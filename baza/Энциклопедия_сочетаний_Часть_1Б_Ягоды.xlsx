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a678588cd47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 проекте" sheetId="1" r:id="R19f792841ba2469d"/>
    <x:sheet xmlns:r="http://schemas.openxmlformats.org/officeDocument/2006/relationships" name="Все сочетания" sheetId="2" r:id="R84f30ed6f7c34dad"/>
    <x:sheet xmlns:r="http://schemas.openxmlformats.org/officeDocument/2006/relationships" name="Напитки" sheetId="3" r:id="R1cbb55e125d64867"/>
    <x:sheet xmlns:r="http://schemas.openxmlformats.org/officeDocument/2006/relationships" name="Еда" sheetId="4" r:id="R239325248a8241a0"/>
    <x:sheet xmlns:r="http://schemas.openxmlformats.org/officeDocument/2006/relationships" name="Десерты" sheetId="5" r:id="R1319bb3b59404765"/>
    <x:sheet xmlns:r="http://schemas.openxmlformats.org/officeDocument/2006/relationships" name="Соусы и маринады" sheetId="6" r:id="R98a201058bc546d9"/>
    <x:sheet xmlns:r="http://schemas.openxmlformats.org/officeDocument/2006/relationships" name="Профили ягод" sheetId="7" r:id="R59d74ce958134143"/>
    <x:sheet xmlns:r="http://schemas.openxmlformats.org/officeDocument/2006/relationships" name="Ингредиенты" sheetId="8" r:id="Ra40123f7d7ee44d9"/>
    <x:sheet xmlns:r="http://schemas.openxmlformats.org/officeDocument/2006/relationships" name="Молекулы" sheetId="9" r:id="R4658a08311bd489f"/>
    <x:sheet xmlns:r="http://schemas.openxmlformats.org/officeDocument/2006/relationships" name="Методика" sheetId="10" r:id="R73160c3a0fcc45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0"/>
      <x:color rgb="FFFFFFFF"/>
      <x:name val="Carlito"/>
    </x:font>
    <x:font>
      <x:sz val="10"/>
      <x:color rgb="FF5D3154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9"/>
      <x:color rgb="FF4B2142"/>
      <x:name val="Carlito"/>
    </x:font>
    <x:font>
      <x:b/>
      <x:sz val="11"/>
      <x:color rgb="FF4B2142"/>
      <x:name val="Carlito"/>
    </x:font>
    <x:font>
      <x:sz val="9"/>
      <x:color rgb="FF5D315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B2142"/>
      </x:patternFill>
    </x:fill>
    <x:fill>
      <x:patternFill patternType="solid">
        <x:fgColor rgb="FFF4EAF2"/>
      </x:patternFill>
    </x:fill>
    <x:fill>
      <x:patternFill patternType="solid">
        <x:fgColor rgb="FF7A376B"/>
      </x:patternFill>
    </x:fill>
    <x:fill>
      <x:patternFill patternType="solid">
        <x:fgColor rgb="FFE4CDE0"/>
      </x:patternFill>
    </x:fill>
    <x:fill>
      <x:patternFill patternType="solid">
        <x:fgColor rgb="FFFAF6F9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5cc8bbb01465e" /><Relationship Type="http://schemas.openxmlformats.org/officeDocument/2006/relationships/theme" Target="/xl/theme/theme1.xml" Id="R0f9a963cdebf4553" /><Relationship Type="http://schemas.openxmlformats.org/officeDocument/2006/relationships/sharedStrings" Target="/xl/sharedStrings.xml" Id="Rf37007e623a0450b" /><Relationship Type="http://schemas.openxmlformats.org/officeDocument/2006/relationships/worksheet" Target="/xl/worksheets/sheet1.xml" Id="R19f792841ba2469d" /><Relationship Type="http://schemas.openxmlformats.org/officeDocument/2006/relationships/worksheet" Target="/xl/worksheets/sheet2.xml" Id="R84f30ed6f7c34dad" /><Relationship Type="http://schemas.openxmlformats.org/officeDocument/2006/relationships/worksheet" Target="/xl/worksheets/sheet3.xml" Id="R1cbb55e125d64867" /><Relationship Type="http://schemas.openxmlformats.org/officeDocument/2006/relationships/worksheet" Target="/xl/worksheets/sheet4.xml" Id="R239325248a8241a0" /><Relationship Type="http://schemas.openxmlformats.org/officeDocument/2006/relationships/worksheet" Target="/xl/worksheets/sheet5.xml" Id="R1319bb3b59404765" /><Relationship Type="http://schemas.openxmlformats.org/officeDocument/2006/relationships/worksheet" Target="/xl/worksheets/sheet6.xml" Id="R98a201058bc546d9" /><Relationship Type="http://schemas.openxmlformats.org/officeDocument/2006/relationships/worksheet" Target="/xl/worksheets/sheet7.xml" Id="R59d74ce958134143" /><Relationship Type="http://schemas.openxmlformats.org/officeDocument/2006/relationships/worksheet" Target="/xl/worksheets/sheet8.xml" Id="Ra40123f7d7ee44d9" /><Relationship Type="http://schemas.openxmlformats.org/officeDocument/2006/relationships/worksheet" Target="/xl/worksheets/sheet9.xml" Id="R4658a08311bd489f" /><Relationship Type="http://schemas.openxmlformats.org/officeDocument/2006/relationships/worksheet" Target="/xl/worksheets/sheet10.xml" Id="R73160c3a0fcc45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b6e5986f0f471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Наиболее насыщенные ягодные разделы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Количество пар</c:v>
          </c:tx>
          <c:cat>
            <c:strRef>
              <c:f>'О проекте'!$A$15:$A$32</c:f>
              <c:strCache>
                <c:ptCount val="0"/>
              </c:strCache>
            </c:strRef>
          </c:cat>
          <c:val>
            <c:numRef>
              <c:f>'О проекте'!$B$15:$B$32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b6e5986f0f471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erryPairsTable" displayName="BerryPairsTable" ref="A1:AD719" headerRowCount="1">
  <x:tableColumns count="30">
    <x:tableColumn id="1" name="ID"/>
    <x:tableColumn id="2" name="Основной раздел"/>
    <x:tableColumn id="3" name="Ингредиент 1"/>
    <x:tableColumn id="4" name="Оригинал 1"/>
    <x:tableColumn id="5" name="Группа 1"/>
    <x:tableColumn id="6" name="Ингредиент 2"/>
    <x:tableColumn id="7" name="Оригинал 2"/>
    <x:tableColumn id="8" name="Группа 2"/>
    <x:tableColumn id="9" name="Аромапрофиль 1"/>
    <x:tableColumn id="10" name="Аромапрофиль 2"/>
    <x:tableColumn id="11" name="Ключевые соединения 1"/>
    <x:tableColumn id="12" name="Ключевые соединения 2"/>
    <x:tableColumn id="13" name="Общий ароматический мост"/>
    <x:tableColumn id="14" name="Общие соединения"/>
    <x:tableColumn id="15" name="Тип механизма"/>
    <x:tableColumn id="16" name="Вкусовое взаимодействие"/>
    <x:tableColumn id="17" name="Тройничный эффект"/>
    <x:tableColumn id="18" name="Матрица и растворимость"/>
    <x:tableColumn id="19" name="Влияние обработки"/>
    <x:tableColumn id="20" name="Подробное научное объяснение"/>
    <x:tableColumn id="21" name="Критические точки"/>
    <x:tableColumn id="22" name="Ингредиент-мост"/>
    <x:tableColumn id="23" name="Практическое применение"/>
    <x:tableColumn id="24" name="Теги применения"/>
    <x:tableColumn id="25" name="Уверенность"/>
    <x:tableColumn id="26" name="Источники"/>
    <x:tableColumn id="27" name="Страницы"/>
    <x:tableColumn id="28" name="Основание из источника"/>
    <x:tableColumn id="29" name="Число источников"/>
    <x:tableColumn id="30" name="Число исходных записей"/>
  </x:tableColumns>
  <x:tableStyleInfo name="TableStyleMedium2" showRowStripes="1"/>
</x:table>
</file>

<file path=xl/tables/table2.xml><?xml version="1.0" encoding="utf-8"?>
<x:table xmlns:x="http://schemas.openxmlformats.org/spreadsheetml/2006/main" id="2" name="BerryDrinksTable" displayName="BerryDrinksTable" ref="A1:L311" headerRowCount="1">
  <x:tableColumns count="12">
    <x:tableColumn id="1" name="ID"/>
    <x:tableColumn id="2" name="Ягода / производное"/>
    <x:tableColumn id="3" name="Партнёр"/>
    <x:tableColumn id="4" name="Группа партнёра"/>
    <x:tableColumn id="5" name="Тип механизма"/>
    <x:tableColumn id="6" name="Подробное научное объяснение"/>
    <x:tableColumn id="7" name="Обработка"/>
    <x:tableColumn id="8" name="Критические точки"/>
    <x:tableColumn id="9" name="Практическое 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3.xml><?xml version="1.0" encoding="utf-8"?>
<x:table xmlns:x="http://schemas.openxmlformats.org/spreadsheetml/2006/main" id="3" name="BerryFoodTable" displayName="BerryFoodTable" ref="A1:L278" headerRowCount="1">
  <x:tableColumns count="12">
    <x:tableColumn id="1" name="ID"/>
    <x:tableColumn id="2" name="Ягода / производное"/>
    <x:tableColumn id="3" name="Партнёр"/>
    <x:tableColumn id="4" name="Группа партнёра"/>
    <x:tableColumn id="5" name="Тип механизма"/>
    <x:tableColumn id="6" name="Подробное научное объяснение"/>
    <x:tableColumn id="7" name="Обработка"/>
    <x:tableColumn id="8" name="Критические точки"/>
    <x:tableColumn id="9" name="Практическое 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4.xml><?xml version="1.0" encoding="utf-8"?>
<x:table xmlns:x="http://schemas.openxmlformats.org/spreadsheetml/2006/main" id="4" name="BerryDessertsTable" displayName="BerryDessertsTable" ref="A1:L277" headerRowCount="1">
  <x:tableColumns count="12">
    <x:tableColumn id="1" name="ID"/>
    <x:tableColumn id="2" name="Ягода / производное"/>
    <x:tableColumn id="3" name="Партнёр"/>
    <x:tableColumn id="4" name="Группа партнёра"/>
    <x:tableColumn id="5" name="Тип механизма"/>
    <x:tableColumn id="6" name="Подробное научное объяснение"/>
    <x:tableColumn id="7" name="Обработка"/>
    <x:tableColumn id="8" name="Критические точки"/>
    <x:tableColumn id="9" name="Практическое 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5.xml><?xml version="1.0" encoding="utf-8"?>
<x:table xmlns:x="http://schemas.openxmlformats.org/spreadsheetml/2006/main" id="5" name="BerrySaucesTable" displayName="BerrySaucesTable" ref="A1:L300" headerRowCount="1">
  <x:tableColumns count="12">
    <x:tableColumn id="1" name="ID"/>
    <x:tableColumn id="2" name="Ягода / производное"/>
    <x:tableColumn id="3" name="Партнёр"/>
    <x:tableColumn id="4" name="Группа партнёра"/>
    <x:tableColumn id="5" name="Тип механизма"/>
    <x:tableColumn id="6" name="Подробное научное объяснение"/>
    <x:tableColumn id="7" name="Обработка"/>
    <x:tableColumn id="8" name="Критические точки"/>
    <x:tableColumn id="9" name="Практическое 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6.xml><?xml version="1.0" encoding="utf-8"?>
<x:table xmlns:x="http://schemas.openxmlformats.org/spreadsheetml/2006/main" id="6" name="BerryProfilesTable" displayName="BerryProfilesTable" ref="A1:I34" headerRowCount="1">
  <x:tableColumns count="9">
    <x:tableColumn id="1" name="Ягода / производное"/>
    <x:tableColumn id="2" name="Группа"/>
    <x:tableColumn id="3" name="Аромапрофиль"/>
    <x:tableColumn id="4" name="Характерные соединения"/>
    <x:tableColumn id="5" name="Базовые вкусы"/>
    <x:tableColumn id="6" name="Тройничный эффект"/>
    <x:tableColumn id="7" name="Матрица"/>
    <x:tableColumn id="8" name="Научный комментарий"/>
    <x:tableColumn id="9" name="Количество пар"/>
  </x:tableColumns>
  <x:tableStyleInfo name="TableStyleMedium2" showRowStripes="1"/>
</x:table>
</file>

<file path=xl/tables/table7.xml><?xml version="1.0" encoding="utf-8"?>
<x:table xmlns:x="http://schemas.openxmlformats.org/spreadsheetml/2006/main" id="7" name="IngredientProfilesTable" displayName="IngredientProfilesTable" ref="A1:I338" headerRowCount="1">
  <x:tableColumns count="9">
    <x:tableColumn id="1" name="Ингредиент"/>
    <x:tableColumn id="2" name="Группа"/>
    <x:tableColumn id="3" name="Аромапрофиль"/>
    <x:tableColumn id="4" name="Характерные соединения"/>
    <x:tableColumn id="5" name="Базовые вкусы"/>
    <x:tableColumn id="6" name="Тройничный эффект"/>
    <x:tableColumn id="7" name="Матрица"/>
    <x:tableColumn id="8" name="Комментарий"/>
    <x:tableColumn id="9" name="Количество пар"/>
  </x:tableColumns>
  <x:tableStyleInfo name="TableStyleMedium2" showRowStripes="1"/>
</x:table>
</file>

<file path=xl/tables/table8.xml><?xml version="1.0" encoding="utf-8"?>
<x:table xmlns:x="http://schemas.openxmlformats.org/spreadsheetml/2006/main" id="8" name="BerryMoleculeTable" displayName="BerryMoleculeTable" ref="A1:F15" headerRowCount="1">
  <x:tableColumns count="6">
    <x:tableColumn id="1" name="Соединение / группа"/>
    <x:tableColumn id="2" name="Класс"/>
    <x:tableColumn id="3" name="Аромат / эффект"/>
    <x:tableColumn id="4" name="Поведение и растворимость"/>
    <x:tableColumn id="5" name="Роль в сочетаниях"/>
    <x:tableColumn id="6" name="Критическая точк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849bae44a3946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48e8c8c61f47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83d0b9b19f48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3e084564a343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28b076bf1e4b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ecc334337747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d38bc52e1945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8ffe9887264e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3bb16dd5c34d57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7" hidden="0" customWidth="1"/>
    <x:col min="3" max="3" width="35" hidden="0" customWidth="1"/>
    <x:col min="4" max="4" width="22" hidden="0" customWidth="1"/>
    <x:col min="5" max="5" width="22" hidden="0" customWidth="1"/>
    <x:col min="7" max="7" width="34" hidden="0" customWidth="1"/>
    <x:col min="8" max="8" width="16" hidden="0" customWidth="1"/>
  </x:cols>
  <x:sheetData>
    <x:row r="1" ht="34" customHeight="1">
      <x:c r="A1" s="4" t="str">
        <x:v>ЭНЦИКЛОПЕДИЯ СОЧЕТАНИЙ ВКУСОВ — ЧАСТЬ 1Б: ЯГОДЫ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45" customHeight="1">
      <x:c r="A3" s="11" t="str">
        <x:v>Единая база сочетаний клубники, земляники, малины, ежевики, голубики, черники, смородины, вишни, черешни, клюквы, брусники, бузины, крыжовника, морошки, шелковицы, асаи, годжи, облепихи и ягодных производных. Прямые дубли сведены, для каждой пары указаны научно-сенсорный механизм, обработка, риски и страницы источников.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45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6">
      <x:c r="A6" s="20" t="str">
        <x:v>Показатель</x:v>
      </x:c>
      <x:c r="B6" s="20" t="str">
        <x:v>Значение</x:v>
      </x:c>
      <x:c r="D6" s="20" t="str">
        <x:v>Основной раздел</x:v>
      </x:c>
      <x:c r="E6" s="20" t="str">
        <x:v>Количество</x:v>
      </x:c>
      <x:c r="G6" s="20" t="str">
        <x:v>Источник</x:v>
      </x:c>
      <x:c r="H6" s="20" t="str">
        <x:v>Пар в базе</x:v>
      </x:c>
    </x:row>
    <x:row r="7">
      <x:c r="A7" s="32" t="str">
        <x:v>Уникальных сочетаний</x:v>
      </x:c>
      <x:c r="B7" s="28" t="n">
        <x:f>COUNTA('Все сочетания'!A:A)-1</x:f>
        <x:v>718</x:v>
      </x:c>
      <x:c r="D7" s="28" t="str">
        <x:v>Напитки</x:v>
      </x:c>
      <x:c r="E7" s="28" t="n">
        <x:v>72</x:v>
      </x:c>
      <x:c r="G7" s="28" t="str">
        <x:v>Тезаурус вкусов</x:v>
      </x:c>
      <x:c r="H7" s="28" t="n">
        <x:v>71</x:v>
      </x:c>
    </x:row>
    <x:row r="8">
      <x:c r="A8" s="32" t="str">
        <x:v>Уникальных ингредиентов</x:v>
      </x:c>
      <x:c r="B8" s="28" t="n">
        <x:f>COUNTA('Ингредиенты'!A:A)-1</x:f>
        <x:v>337</x:v>
      </x:c>
      <x:c r="D8" s="28" t="str">
        <x:v>Еда и соусы</x:v>
      </x:c>
      <x:c r="E8" s="28" t="n">
        <x:v>122</x:v>
      </x:c>
      <x:c r="G8" s="28" t="str">
        <x:v>The Art &amp; Science of Foodpairing</x:v>
      </x:c>
      <x:c r="H8" s="28" t="n">
        <x:v>444</x:v>
      </x:c>
    </x:row>
    <x:row r="9">
      <x:c r="A9" s="32" t="str">
        <x:v>Исходных записей</x:v>
      </x:c>
      <x:c r="B9" s="28" t="n">
        <x:f>971</x:f>
        <x:v>971</x:v>
      </x:c>
      <x:c r="D9" s="28" t="str">
        <x:v>Десерты и выпечка</x:v>
      </x:c>
      <x:c r="E9" s="28" t="n">
        <x:v>103</x:v>
      </x:c>
      <x:c r="G9" s="28" t="str">
        <x:v>Таблица сочетаний</x:v>
      </x:c>
      <x:c r="H9" s="28" t="n">
        <x:v>280</x:v>
      </x:c>
    </x:row>
    <x:row r="10">
      <x:c r="A10" s="32" t="str">
        <x:v>Высокая уверенность</x:v>
      </x:c>
      <x:c r="B10" s="28" t="n">
        <x:f>COUNTIF('Все сочетания'!Y:Y,"Высокая")</x:f>
        <x:v>99</x:v>
      </x:c>
      <x:c r="D10" s="28" t="str">
        <x:v>Универсальные</x:v>
      </x:c>
      <x:c r="E10" s="28" t="n">
        <x:v>421</x:v>
      </x:c>
    </x:row>
    <x:row r="11">
      <x:c r="A11" s="32" t="str">
        <x:v>Средняя уверенность</x:v>
      </x:c>
      <x:c r="B11" s="28" t="n">
        <x:f>COUNTIF('Все сочетания'!Y:Y,"Средняя")</x:f>
        <x:v>619</x:v>
      </x:c>
    </x:row>
    <x:row r="14">
      <x:c r="A14" s="20" t="str">
        <x:v>Ягода / производное</x:v>
      </x:c>
      <x:c r="B14" s="20" t="str">
        <x:v>Количество пар</x:v>
      </x:c>
    </x:row>
    <x:row r="15">
      <x:c r="A15" s="28" t="str">
        <x:v>клубника</x:v>
      </x:c>
      <x:c r="B15" s="28" t="n">
        <x:v>156</x:v>
      </x:c>
    </x:row>
    <x:row r="16">
      <x:c r="A16" s="28" t="str">
        <x:v>голубика</x:v>
      </x:c>
      <x:c r="B16" s="28" t="n">
        <x:v>144</x:v>
      </x:c>
    </x:row>
    <x:row r="17">
      <x:c r="A17" s="28" t="str">
        <x:v>вишня</x:v>
      </x:c>
      <x:c r="B17" s="28" t="n">
        <x:v>66</x:v>
      </x:c>
    </x:row>
    <x:row r="18">
      <x:c r="A18" s="28" t="str">
        <x:v>малина</x:v>
      </x:c>
      <x:c r="B18" s="28" t="n">
        <x:v>48</x:v>
      </x:c>
    </x:row>
    <x:row r="19">
      <x:c r="A19" s="28" t="str">
        <x:v>ежевика</x:v>
      </x:c>
      <x:c r="B19" s="28" t="n">
        <x:v>43</x:v>
      </x:c>
    </x:row>
    <x:row r="20">
      <x:c r="A20" s="28" t="str">
        <x:v>клюква</x:v>
      </x:c>
      <x:c r="B20" s="28" t="n">
        <x:v>42</x:v>
      </x:c>
    </x:row>
    <x:row r="21">
      <x:c r="A21" s="28" t="str">
        <x:v>бузина</x:v>
      </x:c>
      <x:c r="B21" s="28" t="n">
        <x:v>39</x:v>
      </x:c>
    </x:row>
    <x:row r="22">
      <x:c r="A22" s="28" t="str">
        <x:v>чёрная смородина</x:v>
      </x:c>
      <x:c r="B22" s="28" t="n">
        <x:v>37</x:v>
      </x:c>
    </x:row>
    <x:row r="23">
      <x:c r="A23" s="28" t="str">
        <x:v>черешня</x:v>
      </x:c>
      <x:c r="B23" s="28" t="n">
        <x:v>19</x:v>
      </x:c>
    </x:row>
    <x:row r="24">
      <x:c r="A24" s="28" t="str">
        <x:v>крыжовник</x:v>
      </x:c>
      <x:c r="B24" s="28" t="n">
        <x:v>14</x:v>
      </x:c>
    </x:row>
    <x:row r="25">
      <x:c r="A25" s="28" t="str">
        <x:v>черника</x:v>
      </x:c>
      <x:c r="B25" s="28" t="n">
        <x:v>13</x:v>
      </x:c>
    </x:row>
    <x:row r="26">
      <x:c r="A26" s="28" t="str">
        <x:v>морошка</x:v>
      </x:c>
      <x:c r="B26" s="28" t="n">
        <x:v>12</x:v>
      </x:c>
    </x:row>
    <x:row r="27">
      <x:c r="A27" s="28" t="str">
        <x:v>ягоды годжи</x:v>
      </x:c>
      <x:c r="B27" s="28" t="n">
        <x:v>12</x:v>
      </x:c>
    </x:row>
    <x:row r="28">
      <x:c r="A28" s="28" t="str">
        <x:v>шелковица</x:v>
      </x:c>
      <x:c r="B28" s="28" t="n">
        <x:v>11</x:v>
      </x:c>
    </x:row>
    <x:row r="29">
      <x:c r="A29" s="28" t="str">
        <x:v>ягоды асаи</x:v>
      </x:c>
      <x:c r="B29" s="28" t="n">
        <x:v>9</x:v>
      </x:c>
    </x:row>
    <x:row r="30">
      <x:c r="A30" s="28" t="str">
        <x:v>земляника</x:v>
      </x:c>
      <x:c r="B30" s="28" t="n">
        <x:v>8</x:v>
      </x:c>
    </x:row>
    <x:row r="31">
      <x:c r="A31" s="28" t="str">
        <x:v>бузиновый сок</x:v>
      </x:c>
      <x:c r="B31" s="28" t="n">
        <x:v>6</x:v>
      </x:c>
    </x:row>
    <x:row r="32">
      <x:c r="A32" s="28" t="str">
        <x:v>смородина</x:v>
      </x:c>
      <x:c r="B32" s="28" t="n">
        <x:v>6</x:v>
      </x:c>
    </x:row>
    <x:row r="34">
      <x:c r="A34" s="36" t="str">
        <x:v>КАК ЧИТАТЬ НАУЧНЫЕ ПОЛЯ</x:v>
      </x:c>
      <x:c r="B34" s="36"/>
      <x:c r="C34" s="36"/>
      <x:c r="D34" s="36"/>
      <x:c r="E34" s="36"/>
      <x:c r="F34" s="36"/>
      <x:c r="G34" s="36"/>
      <x:c r="H34" s="36"/>
      <x:c r="I34" s="36"/>
      <x:c r="J34" s="36"/>
    </x:row>
    <x:row r="35" ht="96" customHeight="1">
      <x:c r="A35" s="43" t="str">
        <x:v>• Общая молекула указывается только при совпадении рабочих профилей обоих ингредиентов. В остальных строках механизм объясняется ароматическими семействами, вкусовым балансом, тройничным восприятием и пищевой матрицей.
• Антоцианы отвечают главным образом за красную, пурпурную и синюю окраску и часть терпкости. Основной ягодный запах создают летучие эфиры, фураноны, терпены, иононы, альдегиды и тиолы.
• Высокая уверенность означает развёрнутую статью или подтверждение несколькими файлами. Средняя — связь из Foodpairing либо прямая рекомендация одного источника. Сорт, зрелость, нагрев, заморозка и ферментация способны заметно изменить профиль.</x:v>
      </x:c>
      <x:c r="B35" s="43"/>
      <x:c r="C35" s="43"/>
      <x:c r="D35" s="43"/>
      <x:c r="E35" s="43"/>
      <x:c r="F35" s="43"/>
      <x:c r="G35" s="43"/>
      <x:c r="H35" s="43"/>
      <x:c r="I35" s="43"/>
      <x:c r="J35" s="43"/>
    </x:row>
    <x:row r="36" ht="96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</x:row>
    <x:row r="37" ht="96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</x:row>
    <x:row r="38" ht="96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</x:row>
    <x:row r="39" ht="96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</x:row>
    <x:row r="40" ht="96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</x:row>
    <x:row r="41" ht="96" customHeight="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</x:row>
    <x:row r="42" ht="96" customHeight="1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</x:row>
    <x:row r="44">
      <x:c r="A44" s="36" t="str">
        <x:v>ИСТОЧНИКИ</x:v>
      </x:c>
      <x:c r="B44" s="36"/>
      <x:c r="C44" s="36"/>
      <x:c r="D44" s="36"/>
      <x:c r="E44" s="36"/>
      <x:c r="F44" s="36"/>
      <x:c r="G44" s="36"/>
      <x:c r="H44" s="36"/>
      <x:c r="I44" s="36"/>
      <x:c r="J44" s="36"/>
    </x:row>
    <x:row r="45">
      <x:c r="A45" s="20" t="str">
        <x:v>Файл</x:v>
      </x:c>
      <x:c r="B45" s="20" t="str">
        <x:v>Роль в базе</x:v>
      </x:c>
      <x:c r="C45" s="20" t="str">
        <x:v>Навигация</x:v>
      </x:c>
    </x:row>
    <x:row r="46">
      <x:c r="A46" s="28" t="str">
        <x:v>Тезаурус вкусов (Ники Сегнит)(1).pdf</x:v>
      </x:c>
      <x:c r="B46" s="28" t="str">
        <x:v>Развёрнутые статьи, рецептуры и перекрёстные ссылки</x:v>
      </x:c>
      <x:c r="C46" s="28" t="str">
        <x:v>PDF-страницы указаны в каждой строке</x:v>
      </x:c>
    </x:row>
    <x:row r="47">
      <x:c r="A47" s="28" t="str">
        <x:v>The Art &amp; Science of Foodpairing.pdf</x:v>
      </x:c>
      <x:c r="B47" s="28" t="str">
        <x:v>Ароматические профили и связи из pairing grids</x:v>
      </x:c>
      <x:c r="C47" s="28" t="str">
        <x:v>PDF-страницы указаны в каждой строке</x:v>
      </x:c>
    </x:row>
    <x:row r="48">
      <x:c r="A48" s="28" t="str">
        <x:v>Таблица сочетания(1).pdf</x:v>
      </x:c>
      <x:c r="B48" s="28" t="str">
        <x:v>Компактные рекомендации по ингредиентам</x:v>
      </x:c>
      <x:c r="C48" s="28" t="str">
        <x:v>PDF-страницы указаны в каждой строке</x:v>
      </x:c>
    </x:row>
  </x:sheetData>
  <x:mergeCells>
    <x:mergeCell ref="A1:J2"/>
    <x:mergeCell ref="A3:J4"/>
    <x:mergeCell ref="A34:J34"/>
    <x:mergeCell ref="A35:J42"/>
    <x:mergeCell ref="A44:J44"/>
  </x:mergeCells>
  <x:pageMargins left="0.7" right="0.7" top="0.75" bottom="0.75" header="0.3" footer="0.3"/>
  <x:drawing xmlns:r="http://schemas.openxmlformats.org/officeDocument/2006/relationships" r:id="Rf849bae44a3946cf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25" hidden="0" customWidth="1"/>
    <x:col min="4" max="4" width="27" hidden="0" customWidth="1"/>
    <x:col min="5" max="5" width="23" hidden="0" customWidth="1"/>
    <x:col min="6" max="6" width="28" hidden="0" customWidth="1"/>
    <x:col min="7" max="7" width="29" hidden="0" customWidth="1"/>
    <x:col min="8" max="8" width="23" hidden="0" customWidth="1"/>
    <x:col min="9" max="9" width="31" hidden="0" customWidth="1"/>
    <x:col min="10" max="10" width="31" hidden="0" customWidth="1"/>
    <x:col min="11" max="11" width="36" hidden="0" customWidth="1"/>
    <x:col min="12" max="12" width="36" hidden="0" customWidth="1"/>
    <x:col min="13" max="13" width="34" hidden="0" customWidth="1"/>
    <x:col min="14" max="14" width="39" hidden="0" customWidth="1"/>
    <x:col min="15" max="15" width="33" hidden="0" customWidth="1"/>
    <x:col min="16" max="16" width="42" hidden="0" customWidth="1"/>
    <x:col min="17" max="17" width="38" hidden="0" customWidth="1"/>
    <x:col min="18" max="18" width="45" hidden="0" customWidth="1"/>
    <x:col min="19" max="19" width="48" hidden="0" customWidth="1"/>
    <x:col min="20" max="20" width="60" hidden="0" customWidth="1"/>
    <x:col min="21" max="21" width="48" hidden="0" customWidth="1"/>
    <x:col min="22" max="22" width="30" hidden="0" customWidth="1"/>
    <x:col min="23" max="23" width="46" hidden="0" customWidth="1"/>
    <x:col min="24" max="24" width="26" hidden="0" customWidth="1"/>
    <x:col min="25" max="25" width="22" hidden="0" customWidth="1"/>
    <x:col min="26" max="26" width="36" hidden="0" customWidth="1"/>
    <x:col min="27" max="27" width="42" hidden="0" customWidth="1"/>
    <x:col min="28" max="28" width="52" hidden="0" customWidth="1"/>
    <x:col min="29" max="29" width="14" hidden="0" customWidth="1"/>
    <x:col min="30" max="30" width="14" hidden="0" customWidth="1"/>
  </x:cols>
  <x:sheetData>
    <x:row r="1" ht="44" customHeight="1">
      <x:c r="A1" s="20" t="str">
        <x:v>ID</x:v>
      </x:c>
      <x:c r="B1" s="20" t="str">
        <x:v>Основной раздел</x:v>
      </x:c>
      <x:c r="C1" s="20" t="str">
        <x:v>Ингредиент 1</x:v>
      </x:c>
      <x:c r="D1" s="20" t="str">
        <x:v>Оригинал 1</x:v>
      </x:c>
      <x:c r="E1" s="20" t="str">
        <x:v>Группа 1</x:v>
      </x:c>
      <x:c r="F1" s="20" t="str">
        <x:v>Ингредиент 2</x:v>
      </x:c>
      <x:c r="G1" s="20" t="str">
        <x:v>Оригинал 2</x:v>
      </x:c>
      <x:c r="H1" s="20" t="str">
        <x:v>Группа 2</x:v>
      </x:c>
      <x:c r="I1" s="20" t="str">
        <x:v>Аромапрофиль 1</x:v>
      </x:c>
      <x:c r="J1" s="20" t="str">
        <x:v>Аромапрофиль 2</x:v>
      </x:c>
      <x:c r="K1" s="20" t="str">
        <x:v>Ключевые соединения 1</x:v>
      </x:c>
      <x:c r="L1" s="20" t="str">
        <x:v>Ключевые соединения 2</x:v>
      </x:c>
      <x:c r="M1" s="20" t="str">
        <x:v>Общий ароматический мост</x:v>
      </x:c>
      <x:c r="N1" s="20" t="str">
        <x:v>Общие соединения</x:v>
      </x:c>
      <x:c r="O1" s="20" t="str">
        <x:v>Тип механизма</x:v>
      </x:c>
      <x:c r="P1" s="20" t="str">
        <x:v>Вкусовое взаимодействие</x:v>
      </x:c>
      <x:c r="Q1" s="20" t="str">
        <x:v>Тройничный эффект</x:v>
      </x:c>
      <x:c r="R1" s="20" t="str">
        <x:v>Матрица и растворимость</x:v>
      </x:c>
      <x:c r="S1" s="20" t="str">
        <x:v>Влияние обработки</x:v>
      </x:c>
      <x:c r="T1" s="20" t="str">
        <x:v>Подробное научное объяснение</x:v>
      </x:c>
      <x:c r="U1" s="20" t="str">
        <x:v>Критические точки</x:v>
      </x:c>
      <x:c r="V1" s="20" t="str">
        <x:v>Ингредиент-мост</x:v>
      </x:c>
      <x:c r="W1" s="20" t="str">
        <x:v>Практическое применение</x:v>
      </x:c>
      <x:c r="X1" s="20" t="str">
        <x:v>Теги применения</x:v>
      </x:c>
      <x:c r="Y1" s="20" t="str">
        <x:v>Уверенность</x:v>
      </x:c>
      <x:c r="Z1" s="20" t="str">
        <x:v>Источники</x:v>
      </x:c>
      <x:c r="AA1" s="20" t="str">
        <x:v>Страницы</x:v>
      </x:c>
      <x:c r="AB1" s="20" t="str">
        <x:v>Основание из источника</x:v>
      </x:c>
      <x:c r="AC1" s="20" t="str">
        <x:v>Число источников</x:v>
      </x:c>
      <x:c r="AD1" s="20" t="str">
        <x:v>Число исходных записей</x:v>
      </x:c>
    </x:row>
    <x:row r="2" ht="58" customHeight="1">
      <x:c r="A2" s="28" t="str">
        <x:v>BER-0001</x:v>
      </x:c>
      <x:c r="B2" s="28" t="str">
        <x:v>Универсальные</x:v>
      </x:c>
      <x:c r="C2" s="28" t="str">
        <x:v>барбарис</x:v>
      </x:c>
      <x:c r="D2" s="28" t="str">
        <x:v>barberry</x:v>
      </x:c>
      <x:c r="E2" s="28" t="str">
        <x:v>Ягоды и производные</x:v>
      </x:c>
      <x:c r="F2" s="28" t="str">
        <x:v>батат</x:v>
      </x:c>
      <x:c r="G2" s="28" t="str">
        <x:v>Sweet Potato</x:v>
      </x:c>
      <x:c r="H2" s="28" t="str">
        <x:v>Прочее</x:v>
      </x:c>
      <x:c r="I2" s="28" t="str">
        <x:v>кислый, красно-фруктовый, цветочный</x:v>
      </x:c>
      <x:c r="J2" s="28" t="str">
        <x:v>комплексный</x:v>
      </x:c>
      <x:c r="K2" s="28" t="str">
        <x:v>терпены, эфиры</x:v>
      </x:c>
      <x:c r="L2" s="28" t="str">
        <x:v>нет надёжной конкретизации</x:v>
      </x:c>
      <x:c r="M2" s="28" t="str">
        <x:v>прямое совпадение семейств не установлено</x:v>
      </x:c>
      <x:c r="N2" s="28" t="str">
        <x:v>не подтверждены; механизм не сводится к одной общей молекуле</x:v>
      </x:c>
      <x:c r="O2" s="28" t="str">
        <x:v>контраст/комплементарность + матричный эффект</x:v>
      </x:c>
      <x:c r="P2" s="28" t="str">
        <x:v>Оба компонента формируют очень кислый и зависит от ингредиента контур; сахар, кислота и горечь должны быть выровнены дегустацией.</x:v>
      </x:c>
      <x:c r="Q2" s="28" t="str">
        <x:v>Специфического тройничного эффекта обычно нет; кислотность усиливает слюноотделение.</x:v>
      </x:c>
      <x:c r="R2" s="28" t="str">
        <x:v>Ягода: лучше работает как кислотный акцент. Партнёр: механизм зависит от конкретного продукта. В воде аромат раскрывается быстрее, в жире и этаноле — дольше удерживается.</x:v>
      </x:c>
      <x:c r="S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кислый, красно-фруктовый, цветочный; партнёр — комплексный. Оба компонента формируют очень кислый и зависит от ингредиента контур; сахар, кислота и горечь должны быть выровнены дегустацией. Ягода: лучше работает как кислотный акцент.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" s="28" t="str">
        <x:v>лимон или ваниль</x:v>
      </x:c>
      <x:c r="W2" s="28" t="str">
        <x:v>сенсорная проба в малой дозировке</x:v>
      </x:c>
      <x:c r="X2" s="28" t="str">
        <x:v>универсально</x:v>
      </x:c>
      <x:c r="Y2" s="28" t="str">
        <x:v>Средняя</x:v>
      </x:c>
      <x:c r="Z2" s="28" t="str">
        <x:v>The Art &amp; Science of Foodpairing</x:v>
      </x:c>
      <x:c r="AA2" s="28" t="str">
        <x:v>The Art &amp; Science of Foodpairing: 119</x:v>
      </x:c>
      <x:c r="AB2" s="28" t="str">
        <x:v>Ingredient pairings with Sweet Potato: barberry</x:v>
      </x:c>
      <x:c r="AC2" s="28" t="n">
        <x:v>1</x:v>
      </x:c>
      <x:c r="AD2" s="28" t="n">
        <x:v>1</x:v>
      </x:c>
    </x:row>
    <x:row r="3" ht="58" customHeight="1">
      <x:c r="A3" s="28" t="str">
        <x:v>BER-0002</x:v>
      </x:c>
      <x:c r="B3" s="28" t="str">
        <x:v>Напитки</x:v>
      </x:c>
      <x:c r="C3" s="28" t="str">
        <x:v>барбарис</x:v>
      </x:c>
      <x:c r="D3" s="28" t="str">
        <x:v>barberry</x:v>
      </x:c>
      <x:c r="E3" s="28" t="str">
        <x:v>Ягоды и производные</x:v>
      </x:c>
      <x:c r="F3" s="28" t="str">
        <x:v>коньяк</x:v>
      </x:c>
      <x:c r="G3" s="28" t="str">
        <x:v>Cognac</x:v>
      </x:c>
      <x:c r="H3" s="28" t="str">
        <x:v>Алкогольные напитки</x:v>
      </x:c>
      <x:c r="I3" s="28" t="str">
        <x:v>кислый, красно-фруктовый, цветочный</x:v>
      </x:c>
      <x:c r="J3" s="28" t="str">
        <x:v>древесный, фруктовый, эфирный</x:v>
      </x:c>
      <x:c r="K3" s="28" t="str">
        <x:v>терпены, эфиры</x:v>
      </x:c>
      <x:c r="L3" s="28" t="str">
        <x:v>ванилин, дубовые лактоны, этиловые эфиры</x:v>
      </x:c>
      <x:c r="M3" s="28" t="str">
        <x:v>прямое совпадение семейств не установлено</x:v>
      </x:c>
      <x:c r="N3" s="28" t="str">
        <x:v>не подтверждены; механизм не сводится к одной общей молекуле</x:v>
      </x:c>
      <x:c r="O3" s="28" t="str">
        <x:v>контраст/комплементарность + матричный эффект</x:v>
      </x:c>
      <x:c r="P3" s="28" t="str">
        <x:v>Кисло-сладкий ягодный профиль балансирует крепость и возможную дубовую горечь напитка.</x:v>
      </x:c>
      <x:c r="Q3" s="28" t="str">
        <x:v>Специфического тройничного эффекта обычно нет; кислотность усиливает слюноотделение.</x:v>
      </x:c>
      <x:c r="R3" s="28" t="str">
        <x:v>Этанол усиливает извлечение гидрофобных терпенов, иононов и эфиров, но при высокой крепости может подчеркнуть резкость.</x:v>
      </x:c>
      <x:c r="S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T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кислый, красно-фруктовый, цветочный;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U3" s="28" t="str">
        <x:v>Высокая крепость и избыток сахара маскируют свежесть и усиливают терпкость.</x:v>
      </x:c>
      <x:c r="V3" s="28" t="str">
        <x:v>цитрус или вермут</x:v>
      </x:c>
      <x:c r="W3" s="28" t="str">
        <x:v>кордиал, лимонад, чай, коктейль, настой или ферментированный напиток</x:v>
      </x:c>
      <x:c r="X3" s="28" t="str">
        <x:v>напитки</x:v>
      </x:c>
      <x:c r="Y3" s="28" t="str">
        <x:v>Средняя</x:v>
      </x:c>
      <x:c r="Z3" s="28" t="str">
        <x:v>The Art &amp; Science of Foodpairing</x:v>
      </x:c>
      <x:c r="AA3" s="28" t="str">
        <x:v>The Art &amp; Science of Foodpairing: 123</x:v>
      </x:c>
      <x:c r="AB3" s="28" t="str">
        <x:v>Ingredient pairings with Cognac: barberry</x:v>
      </x:c>
      <x:c r="AC3" s="28" t="n">
        <x:v>1</x:v>
      </x:c>
      <x:c r="AD3" s="28" t="n">
        <x:v>1</x:v>
      </x:c>
    </x:row>
    <x:row r="4" ht="58" customHeight="1">
      <x:c r="A4" s="28" t="str">
        <x:v>BER-0003</x:v>
      </x:c>
      <x:c r="B4" s="28" t="str">
        <x:v>Еда и соусы</x:v>
      </x:c>
      <x:c r="C4" s="28" t="str">
        <x:v>барбарис</x:v>
      </x:c>
      <x:c r="D4" s="28" t="str">
        <x:v>barberry</x:v>
      </x:c>
      <x:c r="E4" s="28" t="str">
        <x:v>Ягоды и производные</x:v>
      </x:c>
      <x:c r="F4" s="28" t="str">
        <x:v>соевый соус</x:v>
      </x:c>
      <x:c r="G4" s="28" t="str">
        <x:v>Soy Sauce</x:v>
      </x:c>
      <x:c r="H4" s="28" t="str">
        <x:v>Ферментированные продукты, соусы и уксусы</x:v>
      </x:c>
      <x:c r="I4" s="28" t="str">
        <x:v>кислый, красно-фруктовый, цветочный</x:v>
      </x:c>
      <x:c r="J4" s="28" t="str">
        <x:v>кислый, умами, ферментированный</x:v>
      </x:c>
      <x:c r="K4" s="28" t="str">
        <x:v>терпены, эфиры</x:v>
      </x:c>
      <x:c r="L4" s="28" t="str">
        <x:v>аминокислоты, органические кислоты, эфиры</x:v>
      </x:c>
      <x:c r="M4" s="28" t="str">
        <x:v>кислый</x:v>
      </x:c>
      <x:c r="N4" s="28" t="str">
        <x:v>эфиры</x:v>
      </x:c>
      <x:c r="O4" s="28" t="str">
        <x:v>ароматическое сходство + вкусовой баланс</x:v>
      </x:c>
      <x:c r="P4" s="28" t="str">
        <x:v>Оба компонента формируют очень кислый и кислый/солёный/умами контур; сахар, кислота и горечь должны быть выровнены дегустацией.</x:v>
      </x:c>
      <x:c r="Q4" s="28" t="str">
        <x:v>Специфического тройничного эффекта обычно нет; кислотность усиливает слюноотделение.</x:v>
      </x:c>
      <x:c r="R4" s="28" t="str">
        <x:v>Ягода: лучше работает как кислотный акцент. Партнёр: вода, соль и продукты ферментации. В воде аромат раскрывается быстрее, в жире и этаноле — дольше удерживается.</x:v>
      </x:c>
      <x:c r="S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" s="28" t="str">
        <x:v>Прямой вероятный молекулярный мост: эфиры. Ягодный компонент несёт семейства кислый, красно-фруктовый, цветочный; партнёр — кислый, умами, ферментированный. Оба компонента формируют очень кислый и кислый/солёный/умами контур; сахар, кислота и горечь должны быть выровнены дегустацией. Ягода: лучше работает как кислотный акцент.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" s="28" t="str">
        <x:v>мёд или соевый соус</x:v>
      </x:c>
      <x:c r="W4" s="28" t="str">
        <x:v>соус, глазировка, салат, сырная подача или горячее блюдо; маринад, гастрик, чатни, кетчуп или редукция</x:v>
      </x:c>
      <x:c r="X4" s="28" t="str">
        <x:v>еда; соусы/маринады</x:v>
      </x:c>
      <x:c r="Y4" s="28" t="str">
        <x:v>Средняя</x:v>
      </x:c>
      <x:c r="Z4" s="28" t="str">
        <x:v>The Art &amp; Science of Foodpairing</x:v>
      </x:c>
      <x:c r="AA4" s="28" t="str">
        <x:v>The Art &amp; Science of Foodpairing: 300</x:v>
      </x:c>
      <x:c r="AB4" s="28" t="str">
        <x:v>Ingredient pairings with Soy Sauce: barberry</x:v>
      </x:c>
      <x:c r="AC4" s="28" t="n">
        <x:v>1</x:v>
      </x:c>
      <x:c r="AD4" s="28" t="n">
        <x:v>1</x:v>
      </x:c>
    </x:row>
    <x:row r="5" ht="58" customHeight="1">
      <x:c r="A5" s="28" t="str">
        <x:v>BER-0004</x:v>
      </x:c>
      <x:c r="B5" s="28" t="str">
        <x:v>Напитки</x:v>
      </x:c>
      <x:c r="C5" s="28" t="str">
        <x:v>барбарис</x:v>
      </x:c>
      <x:c r="D5" s="28" t="str">
        <x:v>barberry</x:v>
      </x:c>
      <x:c r="E5" s="28" t="str">
        <x:v>Ягоды и производные</x:v>
      </x:c>
      <x:c r="F5" s="28" t="str">
        <x:v>текила</x:v>
      </x:c>
      <x:c r="G5" s="28" t="str">
        <x:v>Tequila</x:v>
      </x:c>
      <x:c r="H5" s="28" t="str">
        <x:v>Алкогольные напитки</x:v>
      </x:c>
      <x:c r="I5" s="28" t="str">
        <x:v>кислый, красно-фруктовый, цветочный</x:v>
      </x:c>
      <x:c r="J5" s="28" t="str">
        <x:v>древесный, фруктовый, эфирный</x:v>
      </x:c>
      <x:c r="K5" s="28" t="str">
        <x:v>терпены, эфиры</x:v>
      </x:c>
      <x:c r="L5" s="28" t="str">
        <x:v>ванилин, дубовые лактоны, этиловые эфиры</x:v>
      </x:c>
      <x:c r="M5" s="28" t="str">
        <x:v>прямое совпадение семейств не установлено</x:v>
      </x:c>
      <x:c r="N5" s="28" t="str">
        <x:v>не подтверждены; механизм не сводится к одной общей молекуле</x:v>
      </x:c>
      <x:c r="O5" s="28" t="str">
        <x:v>контраст/комплементарность + матричный эффект</x:v>
      </x:c>
      <x:c r="P5" s="28" t="str">
        <x:v>Кисло-сладкий ягодный профиль балансирует крепость и возможную дубовую горечь напитка.</x:v>
      </x:c>
      <x:c r="Q5" s="28" t="str">
        <x:v>Специфического тройничного эффекта обычно нет; кислотность усиливает слюноотделение.</x:v>
      </x:c>
      <x:c r="R5" s="28" t="str">
        <x:v>Этанол усиливает извлечение гидрофобных терпенов, иононов и эфиров, но при высокой крепости может подчеркнуть резкость.</x:v>
      </x:c>
      <x:c r="S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T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кислый, красно-фруктовый, цветочный;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U5" s="28" t="str">
        <x:v>Высокая крепость и избыток сахара маскируют свежесть и усиливают терпкость.</x:v>
      </x:c>
      <x:c r="V5" s="28" t="str">
        <x:v>цитрус или вермут</x:v>
      </x:c>
      <x:c r="W5" s="28" t="str">
        <x:v>кордиал, лимонад, чай, коктейль, настой или ферментированный напиток</x:v>
      </x:c>
      <x:c r="X5" s="28" t="str">
        <x:v>напитки</x:v>
      </x:c>
      <x:c r="Y5" s="28" t="str">
        <x:v>Средняя</x:v>
      </x:c>
      <x:c r="Z5" s="28" t="str">
        <x:v>The Art &amp; Science of Foodpairing</x:v>
      </x:c>
      <x:c r="AA5" s="28" t="str">
        <x:v>The Art &amp; Science of Foodpairing: 82, 83</x:v>
      </x:c>
      <x:c r="AB5" s="28" t="str">
        <x:v>Ingredient pairings with Tequila: barberry | Ingredient pairings with Tequila: barberry</x:v>
      </x:c>
      <x:c r="AC5" s="28" t="n">
        <x:v>1</x:v>
      </x:c>
      <x:c r="AD5" s="28" t="n">
        <x:v>2</x:v>
      </x:c>
    </x:row>
    <x:row r="6" ht="58" customHeight="1">
      <x:c r="A6" s="28" t="str">
        <x:v>BER-0005</x:v>
      </x:c>
      <x:c r="B6" s="28" t="str">
        <x:v>Напитки</x:v>
      </x:c>
      <x:c r="C6" s="28" t="str">
        <x:v>барбарис</x:v>
      </x:c>
      <x:c r="D6" s="28" t="str">
        <x:v>barberry</x:v>
      </x:c>
      <x:c r="E6" s="28" t="str">
        <x:v>Ягоды и производные</x:v>
      </x:c>
      <x:c r="F6" s="28" t="str">
        <x:v>чай</x:v>
      </x:c>
      <x:c r="G6" s="28" t="str">
        <x:v>Tea</x:v>
      </x:c>
      <x:c r="H6" s="28" t="str">
        <x:v>Чай и безалкогольные напитки</x:v>
      </x:c>
      <x:c r="I6" s="28" t="str">
        <x:v>кислый, красно-фруктовый, цветочный</x:v>
      </x:c>
      <x:c r="J6" s="28" t="str">
        <x:v>терпкий, травянистый, цветочный</x:v>
      </x:c>
      <x:c r="K6" s="28" t="str">
        <x:v>терпены, эфиры</x:v>
      </x:c>
      <x:c r="L6" s="28" t="str">
        <x:v>гераниол, линалоол, полифенолы</x:v>
      </x:c>
      <x:c r="M6" s="28" t="str">
        <x:v>цветочный</x:v>
      </x:c>
      <x:c r="N6" s="28" t="str">
        <x:v>не подтверждены; механизм не сводится к одной общей молекуле</x:v>
      </x:c>
      <x:c r="O6" s="28" t="str">
        <x:v>сходство ароматических семейств + комплементарность</x:v>
      </x:c>
      <x:c r="P6" s="28" t="str">
        <x:v>Оба компонента формируют очень кислый и горьковатый, терпкий контур; сахар, кислота и горечь должны быть выровнены дегустацией.</x:v>
      </x:c>
      <x:c r="Q6" s="28" t="str">
        <x:v>Специфического тройничного эффекта обычно нет; кислотность усиливает слюноотделение.</x:v>
      </x:c>
      <x:c r="R6" s="28" t="str">
        <x:v>Ягода: лучше работает как кислотный акцент. Партнёр: водная матрица; температура определяет экстракцию. В воде аромат раскрывается быстрее, в жире и этаноле — дольше удерживается.</x:v>
      </x:c>
      <x:c r="S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" s="28" t="str">
        <x:v>Общие ароматические семейства: цветочный; конкретная доля одорантов зависит от сорта и обработки. Ягодный компонент несёт семейства кислый, красно-фруктовый, цветочный; партнёр — терпкий, травянистый, цветочный. Оба компонента формируют очень кислый и горьковатый, терпкий контур; сахар, кислота и горечь должны быть выровнены дегустацией. Ягода: лучше работает как кислотный акцент. Партнёр: водная матрица; температура определяет экстракцию.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" s="28" t="str">
        <x:v>мёд или лимон</x:v>
      </x:c>
      <x:c r="W6" s="28" t="str">
        <x:v>кордиал, лимонад, чай, коктейль, настой или ферментированный напиток</x:v>
      </x:c>
      <x:c r="X6" s="28" t="str">
        <x:v>напитки</x:v>
      </x:c>
      <x:c r="Y6" s="28" t="str">
        <x:v>Средняя</x:v>
      </x:c>
      <x:c r="Z6" s="28" t="str">
        <x:v>The Art &amp; Science of Foodpairing</x:v>
      </x:c>
      <x:c r="AA6" s="28" t="str">
        <x:v>The Art &amp; Science of Foodpairing: 365</x:v>
      </x:c>
      <x:c r="AB6" s="28" t="str">
        <x:v>Ingredient pairings with Tea: barberry</x:v>
      </x:c>
      <x:c r="AC6" s="28" t="n">
        <x:v>1</x:v>
      </x:c>
      <x:c r="AD6" s="28" t="n">
        <x:v>1</x:v>
      </x:c>
    </x:row>
    <x:row r="7" ht="58" customHeight="1">
      <x:c r="A7" s="28" t="str">
        <x:v>BER-0006</x:v>
      </x:c>
      <x:c r="B7" s="28" t="str">
        <x:v>Универсальные</x:v>
      </x:c>
      <x:c r="C7" s="28" t="str">
        <x:v>бойзенова ягода</x:v>
      </x:c>
      <x:c r="D7" s="28" t="str">
        <x:v>boysenberry</x:v>
      </x:c>
      <x:c r="E7" s="28" t="str">
        <x:v>Ягоды и производные</x:v>
      </x:c>
      <x:c r="F7" s="28" t="str">
        <x:v>базилик</x:v>
      </x:c>
      <x:c r="G7" s="28" t="str">
        <x:v>Basil</x:v>
      </x:c>
      <x:c r="H7" s="28" t="str">
        <x:v>Травы и цветы</x:v>
      </x:c>
      <x:c r="I7" s="28" t="str">
        <x:v>комплексный</x:v>
      </x:c>
      <x:c r="J7" s="28" t="str">
        <x:v>зелёный, травянистый, цветочный</x:v>
      </x:c>
      <x:c r="K7" s="28" t="str">
        <x:v>нет надёжной конкретизации</x:v>
      </x:c>
      <x:c r="L7" s="28" t="str">
        <x:v>гераниол, линалоол, терпены, эвгенол</x:v>
      </x:c>
      <x:c r="M7" s="28" t="str">
        <x:v>прямое совпадение семейств не установлено</x:v>
      </x:c>
      <x:c r="N7" s="28" t="str">
        <x:v>не подтверждены; механизм не сводится к одной общей молекуле</x:v>
      </x:c>
      <x:c r="O7" s="28" t="str">
        <x:v>контраст/комплементарность + матричный эффект</x:v>
      </x:c>
      <x:c r="P7" s="28" t="str">
        <x:v>Ягодная сладость смягчает горечь и пряность, а кислотность делает горьковатый, свежий профиль ярче.</x:v>
      </x:c>
      <x:c r="Q7" s="28" t="str">
        <x:v>Специфического тройничного эффекта обычно нет; кислотность усиливает слюноотделение.</x:v>
      </x:c>
      <x:c r="R7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7" s="28" t="str">
        <x:v>лимон или мёд</x:v>
      </x:c>
      <x:c r="W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7" s="28" t="str">
        <x:v>напитки; еда; соусы/маринады</x:v>
      </x:c>
      <x:c r="Y7" s="28" t="str">
        <x:v>Средняя</x:v>
      </x:c>
      <x:c r="Z7" s="28" t="str">
        <x:v>The Art &amp; Science of Foodpairing</x:v>
      </x:c>
      <x:c r="AA7" s="28" t="str">
        <x:v>The Art &amp; Science of Foodpairing: 74</x:v>
      </x:c>
      <x:c r="AB7" s="28" t="str">
        <x:v>Ingredient pairings with Basil: boysenberry</x:v>
      </x:c>
      <x:c r="AC7" s="28" t="n">
        <x:v>1</x:v>
      </x:c>
      <x:c r="AD7" s="28" t="n">
        <x:v>1</x:v>
      </x:c>
    </x:row>
    <x:row r="8" ht="58" customHeight="1">
      <x:c r="A8" s="28" t="str">
        <x:v>BER-0007</x:v>
      </x:c>
      <x:c r="B8" s="28" t="str">
        <x:v>Универсальные</x:v>
      </x:c>
      <x:c r="C8" s="28" t="str">
        <x:v>брусника</x:v>
      </x:c>
      <x:c r="D8" s="28" t="str">
        <x:v>брусника</x:v>
      </x:c>
      <x:c r="E8" s="28" t="str">
        <x:v>Ягоды и производные</x:v>
      </x:c>
      <x:c r="F8" s="28" t="str">
        <x:v>груша</x:v>
      </x:c>
      <x:c r="G8" s="28" t="str">
        <x:v>Груша</x:v>
      </x:c>
      <x:c r="H8" s="28" t="str">
        <x:v>Фрукты</x:v>
      </x:c>
      <x:c r="I8" s="28" t="str">
        <x:v>древесный, зелёный, кислый, красно-фруктовый</x:v>
      </x:c>
      <x:c r="J8" s="28" t="str">
        <x:v>зелёный, фруктовый, цветочный</x:v>
      </x:c>
      <x:c r="K8" s="28" t="str">
        <x:v>C6-альдегиды, бензойная кислота, эфиры</x:v>
      </x:c>
      <x:c r="L8" s="28" t="str">
        <x:v>лактоны, терпены, эфиры</x:v>
      </x:c>
      <x:c r="M8" s="28" t="str">
        <x:v>зелёный</x:v>
      </x:c>
      <x:c r="N8" s="28" t="str">
        <x:v>эфиры</x:v>
      </x:c>
      <x:c r="O8" s="28" t="str">
        <x:v>ароматическое сходство + вкусовой баланс</x:v>
      </x:c>
      <x:c r="P8" s="28" t="str">
        <x:v>Оба компонента формируют кислый, терпкий и сладко-кислый контур; сахар, кислота и горечь должны быть выровнены дегустацией.</x:v>
      </x:c>
      <x:c r="Q8" s="28" t="str">
        <x:v>Специфического тройничного эффекта обычно нет; кислотность усиливает слюноотделение.</x:v>
      </x:c>
      <x:c r="R8" s="28" t="str">
        <x:v>Ягода: хорошо выдерживает нагрев, но требует баланса сладостью/жиром. Партнёр: водная фруктовая матрица. В воде аромат раскрывается быстрее, в жире и этаноле — дольше удерживается.</x:v>
      </x:c>
      <x:c r="S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8" s="28" t="str">
        <x:v>Прямой вероятный молекулярный мост: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кислый, терпкий и сладко-кислый контур; сахар, кислота и горечь должны быть выровнены дегустацией. Ягода: хорошо выдерживает нагрев, но требует баланса сладостью/жиром.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8" s="28" t="str">
        <x:v>ваниль или лимон</x:v>
      </x:c>
      <x:c r="W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8" s="28" t="str">
        <x:v>напитки; десерты</x:v>
      </x:c>
      <x:c r="Y8" s="28" t="str">
        <x:v>Средняя</x:v>
      </x:c>
      <x:c r="Z8" s="28" t="str">
        <x:v>Таблица сочетаний</x:v>
      </x:c>
      <x:c r="AA8" s="28" t="str">
        <x:v>Таблица сочетаний: 16</x:v>
      </x:c>
      <x:c r="AB8" s="28" t="str">
        <x:v>Груша: брусника</x:v>
      </x:c>
      <x:c r="AC8" s="28" t="n">
        <x:v>1</x:v>
      </x:c>
      <x:c r="AD8" s="28" t="n">
        <x:v>1</x:v>
      </x:c>
    </x:row>
    <x:row r="9" ht="58" customHeight="1">
      <x:c r="A9" s="28" t="str">
        <x:v>BER-0008</x:v>
      </x:c>
      <x:c r="B9" s="28" t="str">
        <x:v>Десерты и выпечка</x:v>
      </x:c>
      <x:c r="C9" s="28" t="str">
        <x:v>брусника</x:v>
      </x:c>
      <x:c r="D9" s="28" t="str">
        <x:v>lingonberry</x:v>
      </x:c>
      <x:c r="E9" s="28" t="str">
        <x:v>Ягоды и производные</x:v>
      </x:c>
      <x:c r="F9" s="28" t="str">
        <x:v>ржаной хлеб на закваске</x:v>
      </x:c>
      <x:c r="G9" s="28" t="str">
        <x:v>Sourdough Rye Bread</x:v>
      </x:c>
      <x:c r="H9" s="28" t="str">
        <x:v>Злаки и выпечка</x:v>
      </x:c>
      <x:c r="I9" s="28" t="str">
        <x:v>древесный, зелёный, кислый, красно-фруктовый</x:v>
      </x:c>
      <x:c r="J9" s="28" t="str">
        <x:v>жареный, зерновой, солодовый</x:v>
      </x:c>
      <x:c r="K9" s="28" t="str">
        <x:v>C6-альдегиды, бензойная кислота, эфиры</x:v>
      </x:c>
      <x:c r="L9" s="28" t="str">
        <x:v>мальтол, пиразины, фураны</x:v>
      </x:c>
      <x:c r="M9" s="28" t="str">
        <x:v>прямое совпадение семейств не установлено</x:v>
      </x:c>
      <x:c r="N9" s="28" t="str">
        <x:v>не подтверждены; механизм не сводится к одной общей молекуле</x:v>
      </x:c>
      <x:c r="O9" s="28" t="str">
        <x:v>контраст/комплементарность + матричный эффект</x:v>
      </x:c>
      <x:c r="P9" s="28" t="str">
        <x:v>Оба компонента формируют кислый, терпкий и крахмалистый, сладковатый контур; сахар, кислота и горечь должны быть выровнены дегустацией.</x:v>
      </x:c>
      <x:c r="Q9" s="28" t="str">
        <x:v>Специфического тройничного эффекта обычно нет; кислотность усиливает слюноотделение.</x:v>
      </x:c>
      <x:c r="R9" s="28" t="str">
        <x:v>Ягода: хорошо выдерживает нагрев, но требует баланса сладостью/жиром. Партнёр: крахмал и сухая пористая матрица. В воде аромат раскрывается быстрее, в жире и этаноле — дольше удерживается.</x:v>
      </x:c>
      <x:c r="S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жареный, зерновой, солодовый. Оба компонента формируют кислый, терпкий и крахмалистый, сладковатый контур; сахар, кислота и горечь должны быть выровнены дегустацией. Ягода: хорошо выдерживает нагрев, но требует баланса сладостью/жиром. Партнёр: крахмал и сухая пористая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9" s="28" t="str">
        <x:v>сливки или орехи</x:v>
      </x:c>
      <x:c r="W9" s="28" t="str">
        <x:v>сорбет, крем, ганаш, выпечка, джем или соус для десерта</x:v>
      </x:c>
      <x:c r="X9" s="28" t="str">
        <x:v>десерты</x:v>
      </x:c>
      <x:c r="Y9" s="28" t="str">
        <x:v>Средняя</x:v>
      </x:c>
      <x:c r="Z9" s="28" t="str">
        <x:v>The Art &amp; Science of Foodpairing</x:v>
      </x:c>
      <x:c r="AA9" s="28" t="str">
        <x:v>The Art &amp; Science of Foodpairing: 177</x:v>
      </x:c>
      <x:c r="AB9" s="28" t="str">
        <x:v>Ingredient pairings with Sourdough Rye Bread: lingonberry</x:v>
      </x:c>
      <x:c r="AC9" s="28" t="n">
        <x:v>1</x:v>
      </x:c>
      <x:c r="AD9" s="28" t="n">
        <x:v>1</x:v>
      </x:c>
    </x:row>
    <x:row r="10" ht="58" customHeight="1">
      <x:c r="A10" s="28" t="str">
        <x:v>BER-0009</x:v>
      </x:c>
      <x:c r="B10" s="28" t="str">
        <x:v>Универсальные</x:v>
      </x:c>
      <x:c r="C10" s="28" t="str">
        <x:v>бузина</x:v>
      </x:c>
      <x:c r="D10" s="28" t="str">
        <x:v>Бузина (цветки бузины)</x:v>
      </x:c>
      <x:c r="E10" s="28" t="str">
        <x:v>Ягоды и производные</x:v>
      </x:c>
      <x:c r="F10" s="28" t="str">
        <x:v>ананас</x:v>
      </x:c>
      <x:c r="G10" s="28" t="str">
        <x:v>ананас</x:v>
      </x:c>
      <x:c r="H10" s="28" t="str">
        <x:v>Фрукты</x:v>
      </x:c>
      <x:c r="I10" s="28" t="str">
        <x:v>зелёный, тёмно-фруктовый, цветочный</x:v>
      </x:c>
      <x:c r="J10" s="28" t="str">
        <x:v>зелёный, фруктовый, цветочный</x:v>
      </x:c>
      <x:c r="K10" s="28" t="str">
        <x:v>альдегиды, терпены, эфиры</x:v>
      </x:c>
      <x:c r="L10" s="28" t="str">
        <x:v>лактоны, терпены, эфиры</x:v>
      </x:c>
      <x:c r="M10" s="28" t="str">
        <x:v>зелёный, цветочный</x:v>
      </x:c>
      <x:c r="N10" s="28" t="str">
        <x:v>терпены, эфиры</x:v>
      </x:c>
      <x:c r="O10" s="28" t="str">
        <x:v>ароматическое сходство + вкусовой баланс</x:v>
      </x:c>
      <x:c r="P10" s="28" t="str">
        <x:v>Оба компонента формируют кисло-сладкий, терпкий и сладко-кислый контур; сахар, кислота и горечь должны быть выровнены дегустацией.</x:v>
      </x:c>
      <x:c r="Q10" s="28" t="str">
        <x:v>Специфического тройничного эффекта обычно нет; кислотность усиливает слюноотделение.</x:v>
      </x:c>
      <x:c r="R10" s="28" t="str">
        <x:v>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</x:v>
      </x:c>
      <x:c r="S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0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0" s="28" t="str">
        <x:v>ваниль или лимон</x:v>
      </x:c>
      <x:c r="W1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10" s="28" t="str">
        <x:v>напитки; десерты</x:v>
      </x:c>
      <x:c r="Y10" s="28" t="str">
        <x:v>Средняя</x:v>
      </x:c>
      <x:c r="Z10" s="28" t="str">
        <x:v>Таблица сочетаний</x:v>
      </x:c>
      <x:c r="AA10" s="28" t="str">
        <x:v>Таблица сочетаний: 7</x:v>
      </x:c>
      <x:c r="AB10" s="28" t="str">
        <x:v>Бузина (цветки бузины): ананас</x:v>
      </x:c>
      <x:c r="AC10" s="28" t="n">
        <x:v>1</x:v>
      </x:c>
      <x:c r="AD10" s="28" t="n">
        <x:v>1</x:v>
      </x:c>
    </x:row>
    <x:row r="11" ht="58" customHeight="1">
      <x:c r="A11" s="28" t="str">
        <x:v>BER-0010</x:v>
      </x:c>
      <x:c r="B11" s="28" t="str">
        <x:v>Напитки</x:v>
      </x:c>
      <x:c r="C11" s="28" t="str">
        <x:v>бузина</x:v>
      </x:c>
      <x:c r="D11" s="28" t="str">
        <x:v>Бузина | Бузина (цветки бузины)</x:v>
      </x:c>
      <x:c r="E11" s="28" t="str">
        <x:v>Ягоды и производные</x:v>
      </x:c>
      <x:c r="F11" s="28" t="str">
        <x:v>апельсин</x:v>
      </x:c>
      <x:c r="G11" s="28" t="str">
        <x:v>апельсин</x:v>
      </x:c>
      <x:c r="H11" s="28" t="str">
        <x:v>Цитрусовые</x:v>
      </x:c>
      <x:c r="I11" s="28" t="str">
        <x:v>зелёный, тёмно-фруктовый, цветочный</x:v>
      </x:c>
      <x:c r="J11" s="28" t="str">
        <x:v>зелёный, цветочный, цитрусовый</x:v>
      </x:c>
      <x:c r="K11" s="28" t="str">
        <x:v>альдегиды, терпены, эфиры</x:v>
      </x:c>
      <x:c r="L11" s="28" t="str">
        <x:v>лимонен, линалоол, цитраль</x:v>
      </x:c>
      <x:c r="M11" s="28" t="str">
        <x:v>зелёный, цветочный</x:v>
      </x:c>
      <x:c r="N11" s="28" t="str">
        <x:v>не подтверждены; механизм не сводится к одной общей молекуле</x:v>
      </x:c>
      <x:c r="O11" s="28" t="str">
        <x:v>сходство ароматических семейств + комплементарность</x:v>
      </x:c>
      <x:c r="P11" s="28" t="str">
        <x:v>Оба компонента формируют кисло-сладкий, терпкий и кислый, свежий контур; сахар, кислота и горечь должны быть выровнены дегустацией.</x:v>
      </x:c>
      <x:c r="Q11" s="28" t="str">
        <x:v>Специфического тройничного эффекта обычно нет; кислотность усиливает слюноотделение.</x:v>
      </x:c>
      <x:c r="R11" s="28" t="str">
        <x:v>Ягода: ягоды обычно требуют термообработки; цветы и ягоды имеют разные профили. Партнёр: вода и эфирные масла; цедра гидрофобна. В воде аромат раскрывается быстрее, в жире и этаноле — дольше удерживается.</x:v>
      </x:c>
      <x:c r="S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1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1" s="28" t="str">
        <x:v>мёд или базилик</x:v>
      </x:c>
      <x:c r="W11" s="28" t="str">
        <x:v>кордиал, лимонад, чай, коктейль, настой или ферментированный напиток; маринад, гастрик, чатни, кетчуп или редукция</x:v>
      </x:c>
      <x:c r="X11" s="28" t="str">
        <x:v>напитки; соусы/маринады</x:v>
      </x:c>
      <x:c r="Y11" s="28" t="str">
        <x:v>Средняя</x:v>
      </x:c>
      <x:c r="Z11" s="28" t="str">
        <x:v>Таблица сочетаний</x:v>
      </x:c>
      <x:c r="AA11" s="28" t="str">
        <x:v>Таблица сочетаний: 7</x:v>
      </x:c>
      <x:c r="AB11" s="28" t="str">
        <x:v>Бузина: апельсин | Бузина (цветки бузины): апельсин</x:v>
      </x:c>
      <x:c r="AC11" s="28" t="n">
        <x:v>1</x:v>
      </x:c>
      <x:c r="AD11" s="28" t="n">
        <x:v>2</x:v>
      </x:c>
    </x:row>
    <x:row r="12" ht="58" customHeight="1">
      <x:c r="A12" s="28" t="str">
        <x:v>BER-0011</x:v>
      </x:c>
      <x:c r="B12" s="28" t="str">
        <x:v>Универсальные</x:v>
      </x:c>
      <x:c r="C12" s="28" t="str">
        <x:v>бузина</x:v>
      </x:c>
      <x:c r="D12" s="28" t="str">
        <x:v>elderberry | Бузина (цветки бузины)</x:v>
      </x:c>
      <x:c r="E12" s="28" t="str">
        <x:v>Ягоды и производные</x:v>
      </x:c>
      <x:c r="F12" s="28" t="str">
        <x:v>базилик</x:v>
      </x:c>
      <x:c r="G12" s="28" t="str">
        <x:v>Basil | базилик</x:v>
      </x:c>
      <x:c r="H12" s="28" t="str">
        <x:v>Травы и цветы</x:v>
      </x:c>
      <x:c r="I12" s="28" t="str">
        <x:v>зелёный, тёмно-фруктовый, цветочный</x:v>
      </x:c>
      <x:c r="J12" s="28" t="str">
        <x:v>зелёный, травянистый, цветочный</x:v>
      </x:c>
      <x:c r="K12" s="28" t="str">
        <x:v>альдегиды, терпены, эфиры</x:v>
      </x:c>
      <x:c r="L12" s="28" t="str">
        <x:v>гераниол, линалоол, терпены, эвгенол</x:v>
      </x:c>
      <x:c r="M12" s="28" t="str">
        <x:v>зелёный, цветочный</x:v>
      </x:c>
      <x:c r="N12" s="28" t="str">
        <x:v>терпены</x:v>
      </x:c>
      <x:c r="O12" s="28" t="str">
        <x:v>ароматическое сходство + вкусовой баланс</x:v>
      </x:c>
      <x:c r="P12" s="28" t="str">
        <x:v>Ягодная сладость смягчает горечь и пряность, а кислотность делает горьковатый, свежий профиль ярче.</x:v>
      </x:c>
      <x:c r="Q12" s="28" t="str">
        <x:v>Специфического тройничного эффекта обычно нет; кислотность усиливает слюноотделение.</x:v>
      </x:c>
      <x:c r="R12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1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2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2" s="28" t="str">
        <x:v>лимон или мёд</x:v>
      </x:c>
      <x:c r="W1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12" s="28" t="str">
        <x:v>напитки; еда; соусы/маринады</x:v>
      </x:c>
      <x:c r="Y12" s="28" t="str">
        <x:v>Высокая</x:v>
      </x:c>
      <x:c r="Z12" s="28" t="str">
        <x:v>The Art &amp; Science of Foodpairing; Таблица сочетаний</x:v>
      </x:c>
      <x:c r="AA12" s="28" t="str">
        <x:v>The Art &amp; Science of Foodpairing: 74; Таблица сочетаний: 7</x:v>
      </x:c>
      <x:c r="AB12" s="28" t="str">
        <x:v>Бузина (цветки бузины): базилик | Ingredient pairings with Basil: elderberry</x:v>
      </x:c>
      <x:c r="AC12" s="28" t="n">
        <x:v>2</x:v>
      </x:c>
      <x:c r="AD12" s="28" t="n">
        <x:v>2</x:v>
      </x:c>
    </x:row>
    <x:row r="13" ht="58" customHeight="1">
      <x:c r="A13" s="28" t="str">
        <x:v>BER-0012</x:v>
      </x:c>
      <x:c r="B13" s="28" t="str">
        <x:v>Универсальные</x:v>
      </x:c>
      <x:c r="C13" s="28" t="str">
        <x:v>бузина</x:v>
      </x:c>
      <x:c r="D13" s="28" t="str">
        <x:v>Бузина</x:v>
      </x:c>
      <x:c r="E13" s="28" t="str">
        <x:v>Ягоды и производные</x:v>
      </x:c>
      <x:c r="F13" s="28" t="str">
        <x:v>ваниль</x:v>
      </x:c>
      <x:c r="G13" s="28" t="str">
        <x:v>ваниль</x:v>
      </x:c>
      <x:c r="H13" s="28" t="str">
        <x:v>Прочее</x:v>
      </x:c>
      <x:c r="I13" s="28" t="str">
        <x:v>зелёный, тёмно-фруктовый, цветочный</x:v>
      </x:c>
      <x:c r="J13" s="28" t="str">
        <x:v>комплексный</x:v>
      </x:c>
      <x:c r="K13" s="28" t="str">
        <x:v>альдегиды, терпены, эфиры</x:v>
      </x:c>
      <x:c r="L13" s="28" t="str">
        <x:v>нет надёжной конкретизации</x:v>
      </x:c>
      <x:c r="M13" s="28" t="str">
        <x:v>прямое совпадение семейств не установлено</x:v>
      </x:c>
      <x:c r="N13" s="28" t="str">
        <x:v>не подтверждены; механизм не сводится к одной общей молекуле</x:v>
      </x:c>
      <x:c r="O13" s="28" t="str">
        <x:v>контраст/комплементарность + матричный эффект</x:v>
      </x:c>
      <x:c r="P13" s="28" t="str">
        <x:v>Оба компонента формируют кисло-сладкий, терпкий и зависит от ингредиента контур; сахар, кислота и горечь должны быть выровнены дегустацией.</x:v>
      </x:c>
      <x:c r="Q13" s="28" t="str">
        <x:v>Специфического тройничного эффекта обычно нет; кислотность усиливает слюноотделение.</x:v>
      </x:c>
      <x:c r="R13" s="28" t="str">
        <x:v>Ягода: ягоды обычно требуют термообработки; цветы и ягоды имеют разные профили. Партнёр: механизм зависит от конкретного продукта. В воде аромат раскрывается быстрее, в жире и этаноле — дольше удерживается.</x:v>
      </x:c>
      <x:c r="S1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тёмно-фруктовый, цветочный; партнёр — комплексный. Оба компонента формируют кисло-сладкий, терпкий и зависит от ингредиента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3" s="28" t="str">
        <x:v>лимон или ваниль</x:v>
      </x:c>
      <x:c r="W13" s="28" t="str">
        <x:v>сенсорная проба в малой дозировке</x:v>
      </x:c>
      <x:c r="X13" s="28" t="str">
        <x:v>универсально</x:v>
      </x:c>
      <x:c r="Y13" s="28" t="str">
        <x:v>Средняя</x:v>
      </x:c>
      <x:c r="Z13" s="28" t="str">
        <x:v>Таблица сочетаний</x:v>
      </x:c>
      <x:c r="AA13" s="28" t="str">
        <x:v>Таблица сочетаний: 7</x:v>
      </x:c>
      <x:c r="AB13" s="28" t="str">
        <x:v>Бузина: ваниль</x:v>
      </x:c>
      <x:c r="AC13" s="28" t="n">
        <x:v>1</x:v>
      </x:c>
      <x:c r="AD13" s="28" t="n">
        <x:v>1</x:v>
      </x:c>
    </x:row>
    <x:row r="14" ht="58" customHeight="1">
      <x:c r="A14" s="28" t="str">
        <x:v>BER-0013</x:v>
      </x:c>
      <x:c r="B14" s="28" t="str">
        <x:v>Универсальные</x:v>
      </x:c>
      <x:c r="C14" s="28" t="str">
        <x:v>бузина</x:v>
      </x:c>
      <x:c r="D14" s="28" t="str">
        <x:v>Бузина</x:v>
      </x:c>
      <x:c r="E14" s="28" t="str">
        <x:v>Ягоды и производные</x:v>
      </x:c>
      <x:c r="F14" s="28" t="str">
        <x:v>гвоздика</x:v>
      </x:c>
      <x:c r="G14" s="28" t="str">
        <x:v>гвоздика</x:v>
      </x:c>
      <x:c r="H14" s="28" t="str">
        <x:v>Специи</x:v>
      </x:c>
      <x:c r="I14" s="28" t="str">
        <x:v>зелёный, тёмно-фруктовый, цветочный</x:v>
      </x:c>
      <x:c r="J14" s="28" t="str">
        <x:v>древесный, пряный, тёплый</x:v>
      </x:c>
      <x:c r="K14" s="28" t="str">
        <x:v>альдегиды, терпены, эфиры</x:v>
      </x:c>
      <x:c r="L14" s="28" t="str">
        <x:v>коричный альдегид, терпены, эвгенол</x:v>
      </x:c>
      <x:c r="M14" s="28" t="str">
        <x:v>прямое совпадение семейств не установлено</x:v>
      </x:c>
      <x:c r="N14" s="28" t="str">
        <x:v>терпены</x:v>
      </x:c>
      <x:c r="O14" s="28" t="str">
        <x:v>ароматическое сходство + вкусовой баланс</x:v>
      </x:c>
      <x:c r="P14" s="28" t="str">
        <x:v>Ягодная сладость смягчает горечь и пряность, а кислотность делает пряный, иногда горький профиль ярче.</x:v>
      </x:c>
      <x:c r="Q14" s="28" t="str">
        <x:v>Специфического тройничного эффекта обычно нет; кислотность усиливает слюноотделение.</x:v>
      </x:c>
      <x:c r="R14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1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4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4" s="28" t="str">
        <x:v>Пряность дозировать как акцент: она быстро перекрывает тонкие ягодные эфиры.</x:v>
      </x:c>
      <x:c r="V14" s="28" t="str">
        <x:v>мёд или цитрус</x:v>
      </x:c>
      <x:c r="W1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14" s="28" t="str">
        <x:v>напитки; десерты; еда; соусы/маринады</x:v>
      </x:c>
      <x:c r="Y14" s="28" t="str">
        <x:v>Средняя</x:v>
      </x:c>
      <x:c r="Z14" s="28" t="str">
        <x:v>Таблица сочетаний</x:v>
      </x:c>
      <x:c r="AA14" s="28" t="str">
        <x:v>Таблица сочетаний: 7</x:v>
      </x:c>
      <x:c r="AB14" s="28" t="str">
        <x:v>Бузина: гвоздика</x:v>
      </x:c>
      <x:c r="AC14" s="28" t="n">
        <x:v>1</x:v>
      </x:c>
      <x:c r="AD14" s="28" t="n">
        <x:v>1</x:v>
      </x:c>
    </x:row>
    <x:row r="15" ht="58" customHeight="1">
      <x:c r="A15" s="28" t="str">
        <x:v>BER-0014</x:v>
      </x:c>
      <x:c r="B15" s="28" t="str">
        <x:v>Универсальные</x:v>
      </x:c>
      <x:c r="C15" s="28" t="str">
        <x:v>бузина</x:v>
      </x:c>
      <x:c r="D15" s="28" t="str">
        <x:v>elderberry</x:v>
      </x:c>
      <x:c r="E15" s="28" t="str">
        <x:v>Ягоды и производные</x:v>
      </x:c>
      <x:c r="F15" s="28" t="str">
        <x:v>голубика</x:v>
      </x:c>
      <x:c r="G15" s="28" t="str">
        <x:v>Blueberry</x:v>
      </x:c>
      <x:c r="H15" s="28" t="str">
        <x:v>Ягоды и производные</x:v>
      </x:c>
      <x:c r="I15" s="28" t="str">
        <x:v>зелёный, тёмно-фруктовый, цветочный</x:v>
      </x:c>
      <x:c r="J15" s="28" t="str">
        <x:v>зелёный, фруктовый, цветочный, цитрусовый</x:v>
      </x:c>
      <x:c r="K15" s="28" t="str">
        <x:v>альдегиды, терпены, эфиры</x:v>
      </x:c>
      <x:c r="L15" s="28" t="str">
        <x:v>C6-альдегиды, гераниол, линалоол, цитронеллол</x:v>
      </x:c>
      <x:c r="M15" s="28" t="str">
        <x:v>зелёный, цветочный</x:v>
      </x:c>
      <x:c r="N15" s="28" t="str">
        <x:v>не подтверждены; механизм не сводится к одной общей молекуле</x:v>
      </x:c>
      <x:c r="O15" s="28" t="str">
        <x:v>сходство ароматических семейств + комплементарность</x:v>
      </x:c>
      <x:c r="P15" s="28" t="str">
        <x:v>Оба компонента формируют кисло-сладкий, терпкий и сладко-кислый, мягкий контур; сахар, кислота и горечь должны быть выровнены дегустацией.</x:v>
      </x:c>
      <x:c r="Q15" s="28" t="str">
        <x:v>Специфического тройничного эффекта обычно нет; кислотность усиливает слюноотделение.</x:v>
      </x:c>
      <x:c r="R15" s="28" t="str">
        <x:v>Ягода: ягоды обычно требуют термообработки; цветы и ягоды имеют разные профили. Партнёр: нежный аромат легко теряется на фоне сильной сладости. В воде аромат раскрывается быстрее, в жире и этаноле — дольше удерживается.</x:v>
      </x:c>
      <x:c r="S1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5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фруктовый, цветочный, цитрусовый. Оба компонента формируют кисло-сладкий, терпкий и сладко-кислый, мягкий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нежный аромат легко теряется на фоне сильной сладости.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5" s="28" t="str">
        <x:v>ваниль или роза</x:v>
      </x:c>
      <x:c r="W1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15" s="28" t="str">
        <x:v>напитки; десерты</x:v>
      </x:c>
      <x:c r="Y15" s="28" t="str">
        <x:v>Средняя</x:v>
      </x:c>
      <x:c r="Z15" s="28" t="str">
        <x:v>The Art &amp; Science of Foodpairing</x:v>
      </x:c>
      <x:c r="AA15" s="28" t="str">
        <x:v>The Art &amp; Science of Foodpairing: 205</x:v>
      </x:c>
      <x:c r="AB15" s="28" t="str">
        <x:v>Ingredient pairings with Blueberry: elderberry</x:v>
      </x:c>
      <x:c r="AC15" s="28" t="n">
        <x:v>1</x:v>
      </x:c>
      <x:c r="AD15" s="28" t="n">
        <x:v>1</x:v>
      </x:c>
    </x:row>
    <x:row r="16" ht="58" customHeight="1">
      <x:c r="A16" s="28" t="str">
        <x:v>BER-0015</x:v>
      </x:c>
      <x:c r="B16" s="28" t="str">
        <x:v>Напитки</x:v>
      </x:c>
      <x:c r="C16" s="28" t="str">
        <x:v>бузина</x:v>
      </x:c>
      <x:c r="D16" s="28" t="str">
        <x:v>Бузина (цветки бузины)</x:v>
      </x:c>
      <x:c r="E16" s="28" t="str">
        <x:v>Ягоды и производные</x:v>
      </x:c>
      <x:c r="F16" s="28" t="str">
        <x:v>грейпфрут</x:v>
      </x:c>
      <x:c r="G16" s="28" t="str">
        <x:v>грейпфрут</x:v>
      </x:c>
      <x:c r="H16" s="28" t="str">
        <x:v>Цитрусовые</x:v>
      </x:c>
      <x:c r="I16" s="28" t="str">
        <x:v>зелёный, тёмно-фруктовый, цветочный</x:v>
      </x:c>
      <x:c r="J16" s="28" t="str">
        <x:v>зелёный, цветочный, цитрусовый</x:v>
      </x:c>
      <x:c r="K16" s="28" t="str">
        <x:v>альдегиды, терпены, эфиры</x:v>
      </x:c>
      <x:c r="L16" s="28" t="str">
        <x:v>лимонен, линалоол, цитраль</x:v>
      </x:c>
      <x:c r="M16" s="28" t="str">
        <x:v>зелёный, цветочный</x:v>
      </x:c>
      <x:c r="N16" s="28" t="str">
        <x:v>не подтверждены; механизм не сводится к одной общей молекуле</x:v>
      </x:c>
      <x:c r="O16" s="28" t="str">
        <x:v>сходство ароматических семейств + комплементарность</x:v>
      </x:c>
      <x:c r="P16" s="28" t="str">
        <x:v>Оба компонента формируют кисло-сладкий, терпкий и кислый, свежий контур; сахар, кислота и горечь должны быть выровнены дегустацией.</x:v>
      </x:c>
      <x:c r="Q16" s="28" t="str">
        <x:v>Специфического тройничного эффекта обычно нет; кислотность усиливает слюноотделение.</x:v>
      </x:c>
      <x:c r="R16" s="28" t="str">
        <x:v>Ягода: ягоды обычно требуют термообработки; цветы и ягоды имеют разные профили. Партнёр: вода и эфирные масла; цедра гидрофобна. В воде аромат раскрывается быстрее, в жире и этаноле — дольше удерживается.</x:v>
      </x:c>
      <x:c r="S1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6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6" s="28" t="str">
        <x:v>мёд или базилик</x:v>
      </x:c>
      <x:c r="W16" s="28" t="str">
        <x:v>кордиал, лимонад, чай, коктейль, настой или ферментированный напиток; маринад, гастрик, чатни, кетчуп или редукция</x:v>
      </x:c>
      <x:c r="X16" s="28" t="str">
        <x:v>напитки; соусы/маринады</x:v>
      </x:c>
      <x:c r="Y16" s="28" t="str">
        <x:v>Средняя</x:v>
      </x:c>
      <x:c r="Z16" s="28" t="str">
        <x:v>Таблица сочетаний</x:v>
      </x:c>
      <x:c r="AA16" s="28" t="str">
        <x:v>Таблица сочетаний: 8</x:v>
      </x:c>
      <x:c r="AB16" s="28" t="str">
        <x:v>Бузина (цветки бузины): грейпфрут</x:v>
      </x:c>
      <x:c r="AC16" s="28" t="n">
        <x:v>1</x:v>
      </x:c>
      <x:c r="AD16" s="28" t="n">
        <x:v>1</x:v>
      </x:c>
    </x:row>
    <x:row r="17" ht="58" customHeight="1">
      <x:c r="A17" s="28" t="str">
        <x:v>BER-0016</x:v>
      </x:c>
      <x:c r="B17" s="28" t="str">
        <x:v>Универсальные</x:v>
      </x:c>
      <x:c r="C17" s="28" t="str">
        <x:v>бузина</x:v>
      </x:c>
      <x:c r="D17" s="28" t="str">
        <x:v>elderberry | Бузина (цветки бузины)</x:v>
      </x:c>
      <x:c r="E17" s="28" t="str">
        <x:v>Ягоды и производные</x:v>
      </x:c>
      <x:c r="F17" s="28" t="str">
        <x:v>груша</x:v>
      </x:c>
      <x:c r="G17" s="28" t="str">
        <x:v>Pear | груша</x:v>
      </x:c>
      <x:c r="H17" s="28" t="str">
        <x:v>Фрукты</x:v>
      </x:c>
      <x:c r="I17" s="28" t="str">
        <x:v>зелёный, тёмно-фруктовый, цветочный</x:v>
      </x:c>
      <x:c r="J17" s="28" t="str">
        <x:v>зелёный, фруктовый, цветочный</x:v>
      </x:c>
      <x:c r="K17" s="28" t="str">
        <x:v>альдегиды, терпены, эфиры</x:v>
      </x:c>
      <x:c r="L17" s="28" t="str">
        <x:v>лактоны, терпены, эфиры</x:v>
      </x:c>
      <x:c r="M17" s="28" t="str">
        <x:v>зелёный, цветочный</x:v>
      </x:c>
      <x:c r="N17" s="28" t="str">
        <x:v>терпены, эфиры</x:v>
      </x:c>
      <x:c r="O17" s="28" t="str">
        <x:v>ароматическое сходство + вкусовой баланс</x:v>
      </x:c>
      <x:c r="P17" s="28" t="str">
        <x:v>Оба компонента формируют кисло-сладкий, терпкий и сладко-кислый контур; сахар, кислота и горечь должны быть выровнены дегустацией.</x:v>
      </x:c>
      <x:c r="Q17" s="28" t="str">
        <x:v>Специфического тройничного эффекта обычно нет; кислотность усиливает слюноотделение.</x:v>
      </x:c>
      <x:c r="R17" s="28" t="str">
        <x:v>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</x:v>
      </x:c>
      <x:c r="S1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7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7" s="28" t="str">
        <x:v>ваниль или лимон</x:v>
      </x:c>
      <x:c r="W1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17" s="28" t="str">
        <x:v>напитки; десерты</x:v>
      </x:c>
      <x:c r="Y17" s="28" t="str">
        <x:v>Высокая</x:v>
      </x:c>
      <x:c r="Z17" s="28" t="str">
        <x:v>The Art &amp; Science of Foodpairing; Таблица сочетаний</x:v>
      </x:c>
      <x:c r="AA17" s="28" t="str">
        <x:v>The Art &amp; Science of Foodpairing: 350; Таблица сочетаний: 8</x:v>
      </x:c>
      <x:c r="AB17" s="28" t="str">
        <x:v>Бузина (цветки бузины): груша | Ingredient pairings with Pear: elderberry</x:v>
      </x:c>
      <x:c r="AC17" s="28" t="n">
        <x:v>2</x:v>
      </x:c>
      <x:c r="AD17" s="28" t="n">
        <x:v>2</x:v>
      </x:c>
    </x:row>
    <x:row r="18" ht="58" customHeight="1">
      <x:c r="A18" s="28" t="str">
        <x:v>BER-0017</x:v>
      </x:c>
      <x:c r="B18" s="28" t="str">
        <x:v>Универсальные</x:v>
      </x:c>
      <x:c r="C18" s="28" t="str">
        <x:v>бузина</x:v>
      </x:c>
      <x:c r="D18" s="28" t="str">
        <x:v>бузина</x:v>
      </x:c>
      <x:c r="E18" s="28" t="str">
        <x:v>Ягоды и производные</x:v>
      </x:c>
      <x:c r="F18" s="28" t="str">
        <x:v>ежевика</x:v>
      </x:c>
      <x:c r="G18" s="28" t="str">
        <x:v>Ежевика</x:v>
      </x:c>
      <x:c r="H18" s="28" t="str">
        <x:v>Ягоды и производные</x:v>
      </x:c>
      <x:c r="I18" s="28" t="str">
        <x:v>зелёный, тёмно-фруктовый, цветочный</x:v>
      </x:c>
      <x:c r="J18" s="28" t="str">
        <x:v>древесный, зелёный, мускусный, тёмно-фруктовый, цветочный</x:v>
      </x:c>
      <x:c r="K18" s="28" t="str">
        <x:v>альдегиды, терпены, эфиры</x:v>
      </x:c>
      <x:c r="L18" s="28" t="str">
        <x:v>C6-альдегиды, иононы, линалоол, эфиры</x:v>
      </x:c>
      <x:c r="M18" s="28" t="str">
        <x:v>зелёный, тёмно-фруктовый, цветочный</x:v>
      </x:c>
      <x:c r="N18" s="28" t="str">
        <x:v>эфиры</x:v>
      </x:c>
      <x:c r="O18" s="28" t="str">
        <x:v>ароматическое сходство + вкусовой баланс</x:v>
      </x:c>
      <x:c r="P18" s="28" t="str">
        <x:v>Оба компонента формируют кисло-сладкий, терпкий и кисло-сладкий, умеренно терпкий контур; сахар, кислота и горечь должны быть выровнены дегустацией.</x:v>
      </x:c>
      <x:c r="Q18" s="28" t="str">
        <x:v>Специфического тройничного эффекта обычно нет; кислотность усиливает слюноотделение.</x:v>
      </x:c>
      <x:c r="R18" s="28" t="str">
        <x:v>Ягода: ягоды обычно требуют термообработки; цветы и ягоды имеют разные профили. Партнёр: пигменты и полифенолы дают цвет и терпкость. В воде аромат раскрывается быстрее, в жире и этаноле — дольше удерживается.</x:v>
      </x:c>
      <x:c r="S1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8" s="28" t="str">
        <x:v>Прямой вероятный молекулярный мост: эфиры. Ягодный компонент несёт семейства зелёный, тёмно-фруктовый, цветочный; партнёр — древесный, зелёный, мускусный, тёмно-фруктовый, цветочный. Оба компонента формируют кисло-сладкий, терпкий и кисло-сладкий, умеренно терпкий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пигменты и полифенолы дают цвет и терпкость.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8" s="28" t="str">
        <x:v>ваниль или роза</x:v>
      </x:c>
      <x:c r="W1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18" s="28" t="str">
        <x:v>напитки; десерты</x:v>
      </x:c>
      <x:c r="Y18" s="28" t="str">
        <x:v>Средняя</x:v>
      </x:c>
      <x:c r="Z18" s="28" t="str">
        <x:v>Таблица сочетаний</x:v>
      </x:c>
      <x:c r="AA18" s="28" t="str">
        <x:v>Таблица сочетаний: 2</x:v>
      </x:c>
      <x:c r="AB18" s="28" t="str">
        <x:v>Ежевика: бузина</x:v>
      </x:c>
      <x:c r="AC18" s="28" t="n">
        <x:v>1</x:v>
      </x:c>
      <x:c r="AD18" s="28" t="n">
        <x:v>1</x:v>
      </x:c>
    </x:row>
    <x:row r="19" ht="58" customHeight="1">
      <x:c r="A19" s="28" t="str">
        <x:v>BER-0018</x:v>
      </x:c>
      <x:c r="B19" s="28" t="str">
        <x:v>Универсальные</x:v>
      </x:c>
      <x:c r="C19" s="28" t="str">
        <x:v>бузина</x:v>
      </x:c>
      <x:c r="D19" s="28" t="str">
        <x:v>цветки бузины</x:v>
      </x:c>
      <x:c r="E19" s="28" t="str">
        <x:v>Ягоды и производные</x:v>
      </x:c>
      <x:c r="F19" s="28" t="str">
        <x:v>жасмин</x:v>
      </x:c>
      <x:c r="G19" s="28" t="str">
        <x:v>Жасмин</x:v>
      </x:c>
      <x:c r="H19" s="28" t="str">
        <x:v>Травы и цветы</x:v>
      </x:c>
      <x:c r="I19" s="28" t="str">
        <x:v>зелёный, тёмно-фруктовый, цветочный</x:v>
      </x:c>
      <x:c r="J19" s="28" t="str">
        <x:v>зелёный, травянистый, цветочный</x:v>
      </x:c>
      <x:c r="K19" s="28" t="str">
        <x:v>альдегиды, терпены, эфиры</x:v>
      </x:c>
      <x:c r="L19" s="28" t="str">
        <x:v>гераниол, линалоол, терпены, эвгенол</x:v>
      </x:c>
      <x:c r="M19" s="28" t="str">
        <x:v>зелёный, цветочный</x:v>
      </x:c>
      <x:c r="N19" s="28" t="str">
        <x:v>терпены</x:v>
      </x:c>
      <x:c r="O19" s="28" t="str">
        <x:v>ароматическое сходство + вкусовой баланс</x:v>
      </x:c>
      <x:c r="P19" s="28" t="str">
        <x:v>Ягодная сладость смягчает горечь и пряность, а кислотность делает горьковатый, свежий профиль ярче.</x:v>
      </x:c>
      <x:c r="Q19" s="28" t="str">
        <x:v>Специфического тройничного эффекта обычно нет; кислотность усиливает слюноотделение.</x:v>
      </x:c>
      <x:c r="R19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1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9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9" s="28" t="str">
        <x:v>лимон или мёд</x:v>
      </x:c>
      <x:c r="W1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19" s="28" t="str">
        <x:v>напитки; еда; соусы/маринады</x:v>
      </x:c>
      <x:c r="Y19" s="28" t="str">
        <x:v>Средняя</x:v>
      </x:c>
      <x:c r="Z19" s="28" t="str">
        <x:v>Таблица сочетаний</x:v>
      </x:c>
      <x:c r="AA19" s="28" t="str">
        <x:v>Таблица сочетаний: 10</x:v>
      </x:c>
      <x:c r="AB19" s="28" t="str">
        <x:v>Жасмин: цветки бузины</x:v>
      </x:c>
      <x:c r="AC19" s="28" t="n">
        <x:v>1</x:v>
      </x:c>
      <x:c r="AD19" s="28" t="n">
        <x:v>1</x:v>
      </x:c>
    </x:row>
    <x:row r="20" ht="58" customHeight="1">
      <x:c r="A20" s="28" t="str">
        <x:v>BER-0019</x:v>
      </x:c>
      <x:c r="B20" s="28" t="str">
        <x:v>Универсальные</x:v>
      </x:c>
      <x:c r="C20" s="28" t="str">
        <x:v>бузина</x:v>
      </x:c>
      <x:c r="D20" s="28" t="str">
        <x:v>Бузина</x:v>
      </x:c>
      <x:c r="E20" s="28" t="str">
        <x:v>Ягоды и производные</x:v>
      </x:c>
      <x:c r="F20" s="28" t="str">
        <x:v>имбирь</x:v>
      </x:c>
      <x:c r="G20" s="28" t="str">
        <x:v>имбирь</x:v>
      </x:c>
      <x:c r="H20" s="28" t="str">
        <x:v>Специи</x:v>
      </x:c>
      <x:c r="I20" s="28" t="str">
        <x:v>зелёный, тёмно-фруктовый, цветочный</x:v>
      </x:c>
      <x:c r="J20" s="28" t="str">
        <x:v>древесный, пряный, тёплый</x:v>
      </x:c>
      <x:c r="K20" s="28" t="str">
        <x:v>альдегиды, терпены, эфиры</x:v>
      </x:c>
      <x:c r="L20" s="28" t="str">
        <x:v>коричный альдегид, терпены, эвгенол</x:v>
      </x:c>
      <x:c r="M20" s="28" t="str">
        <x:v>прямое совпадение семейств не установлено</x:v>
      </x:c>
      <x:c r="N20" s="28" t="str">
        <x:v>терпены</x:v>
      </x:c>
      <x:c r="O20" s="28" t="str">
        <x:v>ароматическое сходство + вкусовой баланс</x:v>
      </x:c>
      <x:c r="P20" s="28" t="str">
        <x:v>Ягодная сладость смягчает горечь и пряность, а кислотность делает пряный, иногда горький профиль ярче.</x:v>
      </x:c>
      <x:c r="Q20" s="28" t="str">
        <x:v>Кислотность ягоды усиливает слюноотделение, а капсаицин/пиперин/гингеролы дают тепло и покалывание; дозировка должна быть низкой.</x:v>
      </x:c>
      <x:c r="R20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0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0" s="28" t="str">
        <x:v>Пряность дозировать как акцент: она быстро перекрывает тонкие ягодные эфиры.</x:v>
      </x:c>
      <x:c r="V20" s="28" t="str">
        <x:v>мёд или цитрус</x:v>
      </x:c>
      <x:c r="W2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20" s="28" t="str">
        <x:v>напитки; десерты; еда; соусы/маринады</x:v>
      </x:c>
      <x:c r="Y20" s="28" t="str">
        <x:v>Средняя</x:v>
      </x:c>
      <x:c r="Z20" s="28" t="str">
        <x:v>Таблица сочетаний</x:v>
      </x:c>
      <x:c r="AA20" s="28" t="str">
        <x:v>Таблица сочетаний: 7</x:v>
      </x:c>
      <x:c r="AB20" s="28" t="str">
        <x:v>Бузина: имбирь</x:v>
      </x:c>
      <x:c r="AC20" s="28" t="n">
        <x:v>1</x:v>
      </x:c>
      <x:c r="AD20" s="28" t="n">
        <x:v>1</x:v>
      </x:c>
    </x:row>
    <x:row r="21" ht="58" customHeight="1">
      <x:c r="A21" s="28" t="str">
        <x:v>BER-0020</x:v>
      </x:c>
      <x:c r="B21" s="28" t="str">
        <x:v>Универсальные</x:v>
      </x:c>
      <x:c r="C21" s="28" t="str">
        <x:v>бузина</x:v>
      </x:c>
      <x:c r="D21" s="28" t="str">
        <x:v>Бузина (цветки бузины)</x:v>
      </x:c>
      <x:c r="E21" s="28" t="str">
        <x:v>Ягоды и производные</x:v>
      </x:c>
      <x:c r="F21" s="28" t="str">
        <x:v>киви</x:v>
      </x:c>
      <x:c r="G21" s="28" t="str">
        <x:v>киви</x:v>
      </x:c>
      <x:c r="H21" s="28" t="str">
        <x:v>Фрукты</x:v>
      </x:c>
      <x:c r="I21" s="28" t="str">
        <x:v>зелёный, тёмно-фруктовый, цветочный</x:v>
      </x:c>
      <x:c r="J21" s="28" t="str">
        <x:v>зелёный, фруктовый, цветочный</x:v>
      </x:c>
      <x:c r="K21" s="28" t="str">
        <x:v>альдегиды, терпены, эфиры</x:v>
      </x:c>
      <x:c r="L21" s="28" t="str">
        <x:v>лактоны, терпены, эфиры</x:v>
      </x:c>
      <x:c r="M21" s="28" t="str">
        <x:v>зелёный, цветочный</x:v>
      </x:c>
      <x:c r="N21" s="28" t="str">
        <x:v>терпены, эфиры</x:v>
      </x:c>
      <x:c r="O21" s="28" t="str">
        <x:v>ароматическое сходство + вкусовой баланс</x:v>
      </x:c>
      <x:c r="P21" s="28" t="str">
        <x:v>Оба компонента формируют кисло-сладкий, терпкий и сладко-кислый контур; сахар, кислота и горечь должны быть выровнены дегустацией.</x:v>
      </x:c>
      <x:c r="Q21" s="28" t="str">
        <x:v>Специфического тройничного эффекта обычно нет; кислотность усиливает слюноотделение.</x:v>
      </x:c>
      <x:c r="R21" s="28" t="str">
        <x:v>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</x:v>
      </x:c>
      <x:c r="S2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1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1" s="28" t="str">
        <x:v>ваниль или лимон</x:v>
      </x:c>
      <x:c r="W2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21" s="28" t="str">
        <x:v>напитки; десерты</x:v>
      </x:c>
      <x:c r="Y21" s="28" t="str">
        <x:v>Средняя</x:v>
      </x:c>
      <x:c r="Z21" s="28" t="str">
        <x:v>Таблица сочетаний</x:v>
      </x:c>
      <x:c r="AA21" s="28" t="str">
        <x:v>Таблица сочетаний: 8</x:v>
      </x:c>
      <x:c r="AB21" s="28" t="str">
        <x:v>Бузина (цветки бузины): киви</x:v>
      </x:c>
      <x:c r="AC21" s="28" t="n">
        <x:v>1</x:v>
      </x:c>
      <x:c r="AD21" s="28" t="n">
        <x:v>1</x:v>
      </x:c>
    </x:row>
    <x:row r="22" ht="58" customHeight="1">
      <x:c r="A22" s="28" t="str">
        <x:v>BER-0021</x:v>
      </x:c>
      <x:c r="B22" s="28" t="str">
        <x:v>Универсальные</x:v>
      </x:c>
      <x:c r="C22" s="28" t="str">
        <x:v>бузина</x:v>
      </x:c>
      <x:c r="D22" s="28" t="str">
        <x:v>elderberry</x:v>
      </x:c>
      <x:c r="E22" s="28" t="str">
        <x:v>Ягоды и производные</x:v>
      </x:c>
      <x:c r="F22" s="28" t="str">
        <x:v>кокос</x:v>
      </x:c>
      <x:c r="G22" s="28" t="str">
        <x:v>Coconut</x:v>
      </x:c>
      <x:c r="H22" s="28" t="str">
        <x:v>Прочее</x:v>
      </x:c>
      <x:c r="I22" s="28" t="str">
        <x:v>зелёный, тёмно-фруктовый, цветочный</x:v>
      </x:c>
      <x:c r="J22" s="28" t="str">
        <x:v>комплексный</x:v>
      </x:c>
      <x:c r="K22" s="28" t="str">
        <x:v>альдегиды, терпены, эфиры</x:v>
      </x:c>
      <x:c r="L22" s="28" t="str">
        <x:v>нет надёжной конкретизации</x:v>
      </x:c>
      <x:c r="M22" s="28" t="str">
        <x:v>прямое совпадение семейств не установлено</x:v>
      </x:c>
      <x:c r="N22" s="28" t="str">
        <x:v>не подтверждены; механизм не сводится к одной общей молекуле</x:v>
      </x:c>
      <x:c r="O22" s="28" t="str">
        <x:v>контраст/комплементарность + матричный эффект</x:v>
      </x:c>
      <x:c r="P22" s="28" t="str">
        <x:v>Оба компонента формируют кисло-сладкий, терпкий и зависит от ингредиента контур; сахар, кислота и горечь должны быть выровнены дегустацией.</x:v>
      </x:c>
      <x:c r="Q22" s="28" t="str">
        <x:v>Специфического тройничного эффекта обычно нет; кислотность усиливает слюноотделение.</x:v>
      </x:c>
      <x:c r="R22" s="28" t="str">
        <x:v>Ягода: ягоды обычно требуют термообработки; цветы и ягоды имеют разные профили. Партнёр: механизм зависит от конкретного продукта. В воде аромат раскрывается быстрее, в жире и этаноле — дольше удерживается.</x:v>
      </x:c>
      <x:c r="S2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тёмно-фруктовый, цветочный; партнёр — комплексный. Оба компонента формируют кисло-сладкий, терпкий и зависит от ингредиента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2" s="28" t="str">
        <x:v>лимон или ваниль</x:v>
      </x:c>
      <x:c r="W22" s="28" t="str">
        <x:v>сенсорная проба в малой дозировке</x:v>
      </x:c>
      <x:c r="X22" s="28" t="str">
        <x:v>универсально</x:v>
      </x:c>
      <x:c r="Y22" s="28" t="str">
        <x:v>Средняя</x:v>
      </x:c>
      <x:c r="Z22" s="28" t="str">
        <x:v>The Art &amp; Science of Foodpairing</x:v>
      </x:c>
      <x:c r="AA22" s="28" t="str">
        <x:v>The Art &amp; Science of Foodpairing: 135</x:v>
      </x:c>
      <x:c r="AB22" s="28" t="str">
        <x:v>Ingredient pairings with Coconut: elderberry</x:v>
      </x:c>
      <x:c r="AC22" s="28" t="n">
        <x:v>1</x:v>
      </x:c>
      <x:c r="AD22" s="28" t="n">
        <x:v>1</x:v>
      </x:c>
    </x:row>
    <x:row r="23" ht="58" customHeight="1">
      <x:c r="A23" s="28" t="str">
        <x:v>BER-0022</x:v>
      </x:c>
      <x:c r="B23" s="28" t="str">
        <x:v>Напитки</x:v>
      </x:c>
      <x:c r="C23" s="28" t="str">
        <x:v>бузина</x:v>
      </x:c>
      <x:c r="D23" s="28" t="str">
        <x:v>elderberry</x:v>
      </x:c>
      <x:c r="E23" s="28" t="str">
        <x:v>Ягоды и производные</x:v>
      </x:c>
      <x:c r="F23" s="28" t="str">
        <x:v>коньяк</x:v>
      </x:c>
      <x:c r="G23" s="28" t="str">
        <x:v>Cognac</x:v>
      </x:c>
      <x:c r="H23" s="28" t="str">
        <x:v>Алкогольные напитки</x:v>
      </x:c>
      <x:c r="I23" s="28" t="str">
        <x:v>зелёный, тёмно-фруктовый, цветочный</x:v>
      </x:c>
      <x:c r="J23" s="28" t="str">
        <x:v>древесный, фруктовый, эфирный</x:v>
      </x:c>
      <x:c r="K23" s="28" t="str">
        <x:v>альдегиды, терпены, эфиры</x:v>
      </x:c>
      <x:c r="L23" s="28" t="str">
        <x:v>ванилин, дубовые лактоны, этиловые эфиры</x:v>
      </x:c>
      <x:c r="M23" s="28" t="str">
        <x:v>прямое совпадение семейств не установлено</x:v>
      </x:c>
      <x:c r="N23" s="28" t="str">
        <x:v>не подтверждены; механизм не сводится к одной общей молекуле</x:v>
      </x:c>
      <x:c r="O23" s="28" t="str">
        <x:v>контраст/комплементарность + матричный эффект</x:v>
      </x:c>
      <x:c r="P23" s="28" t="str">
        <x:v>Кисло-сладкий ягодный профиль балансирует крепость и возможную дубовую горечь напитка.</x:v>
      </x:c>
      <x:c r="Q23" s="28" t="str">
        <x:v>Специфического тройничного эффекта обычно нет; кислотность усиливает слюноотделение.</x:v>
      </x:c>
      <x:c r="R23" s="28" t="str">
        <x:v>Этанол усиливает извлечение гидрофобных терпенов, иононов и эфиров, но при высокой крепости может подчеркнуть резкость.</x:v>
      </x:c>
      <x:c r="S2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T2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тёмно-фруктовый, цветочный;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U23" s="28" t="str">
        <x:v>Высокая крепость и избыток сахара маскируют свежесть и усиливают терпкость.</x:v>
      </x:c>
      <x:c r="V23" s="28" t="str">
        <x:v>цитрус или вермут</x:v>
      </x:c>
      <x:c r="W23" s="28" t="str">
        <x:v>кордиал, лимонад, чай, коктейль, настой или ферментированный напиток</x:v>
      </x:c>
      <x:c r="X23" s="28" t="str">
        <x:v>напитки</x:v>
      </x:c>
      <x:c r="Y23" s="28" t="str">
        <x:v>Средняя</x:v>
      </x:c>
      <x:c r="Z23" s="28" t="str">
        <x:v>The Art &amp; Science of Foodpairing</x:v>
      </x:c>
      <x:c r="AA23" s="28" t="str">
        <x:v>The Art &amp; Science of Foodpairing: 123</x:v>
      </x:c>
      <x:c r="AB23" s="28" t="str">
        <x:v>Ingredient pairings with Cognac: elderberry</x:v>
      </x:c>
      <x:c r="AC23" s="28" t="n">
        <x:v>1</x:v>
      </x:c>
      <x:c r="AD23" s="28" t="n">
        <x:v>1</x:v>
      </x:c>
    </x:row>
    <x:row r="24" ht="58" customHeight="1">
      <x:c r="A24" s="28" t="str">
        <x:v>BER-0023</x:v>
      </x:c>
      <x:c r="B24" s="28" t="str">
        <x:v>Универсальные</x:v>
      </x:c>
      <x:c r="C24" s="28" t="str">
        <x:v>бузина</x:v>
      </x:c>
      <x:c r="D24" s="28" t="str">
        <x:v>Бузина</x:v>
      </x:c>
      <x:c r="E24" s="28" t="str">
        <x:v>Ягоды и производные</x:v>
      </x:c>
      <x:c r="F24" s="28" t="str">
        <x:v>корица</x:v>
      </x:c>
      <x:c r="G24" s="28" t="str">
        <x:v>корица</x:v>
      </x:c>
      <x:c r="H24" s="28" t="str">
        <x:v>Специи</x:v>
      </x:c>
      <x:c r="I24" s="28" t="str">
        <x:v>зелёный, тёмно-фруктовый, цветочный</x:v>
      </x:c>
      <x:c r="J24" s="28" t="str">
        <x:v>древесный, пряный, тёплый</x:v>
      </x:c>
      <x:c r="K24" s="28" t="str">
        <x:v>альдегиды, терпены, эфиры</x:v>
      </x:c>
      <x:c r="L24" s="28" t="str">
        <x:v>коричный альдегид, терпены, эвгенол</x:v>
      </x:c>
      <x:c r="M24" s="28" t="str">
        <x:v>прямое совпадение семейств не установлено</x:v>
      </x:c>
      <x:c r="N24" s="28" t="str">
        <x:v>терпены</x:v>
      </x:c>
      <x:c r="O24" s="28" t="str">
        <x:v>ароматическое сходство + вкусовой баланс</x:v>
      </x:c>
      <x:c r="P24" s="28" t="str">
        <x:v>Ягодная сладость смягчает горечь и пряность, а кислотность делает пряный, иногда горький профиль ярче.</x:v>
      </x:c>
      <x:c r="Q24" s="28" t="str">
        <x:v>Специфического тройничного эффекта обычно нет; кислотность усиливает слюноотделение.</x:v>
      </x:c>
      <x:c r="R24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4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4" s="28" t="str">
        <x:v>Пряность дозировать как акцент: она быстро перекрывает тонкие ягодные эфиры.</x:v>
      </x:c>
      <x:c r="V24" s="28" t="str">
        <x:v>мёд или цитрус</x:v>
      </x:c>
      <x:c r="W2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24" s="28" t="str">
        <x:v>напитки; десерты; еда; соусы/маринады</x:v>
      </x:c>
      <x:c r="Y24" s="28" t="str">
        <x:v>Средняя</x:v>
      </x:c>
      <x:c r="Z24" s="28" t="str">
        <x:v>Таблица сочетаний</x:v>
      </x:c>
      <x:c r="AA24" s="28" t="str">
        <x:v>Таблица сочетаний: 7</x:v>
      </x:c>
      <x:c r="AB24" s="28" t="str">
        <x:v>Бузина: корица</x:v>
      </x:c>
      <x:c r="AC24" s="28" t="n">
        <x:v>1</x:v>
      </x:c>
      <x:c r="AD24" s="28" t="n">
        <x:v>1</x:v>
      </x:c>
    </x:row>
    <x:row r="25" ht="58" customHeight="1">
      <x:c r="A25" s="28" t="str">
        <x:v>BER-0024</x:v>
      </x:c>
      <x:c r="B25" s="28" t="str">
        <x:v>Универсальные</x:v>
      </x:c>
      <x:c r="C25" s="28" t="str">
        <x:v>бузина</x:v>
      </x:c>
      <x:c r="D25" s="28" t="str">
        <x:v>elderberry</x:v>
      </x:c>
      <x:c r="E25" s="28" t="str">
        <x:v>Ягоды и производные</x:v>
      </x:c>
      <x:c r="F25" s="28" t="str">
        <x:v>лемонграсс</x:v>
      </x:c>
      <x:c r="G25" s="28" t="str">
        <x:v>Lemongrass</x:v>
      </x:c>
      <x:c r="H25" s="28" t="str">
        <x:v>Прочее</x:v>
      </x:c>
      <x:c r="I25" s="28" t="str">
        <x:v>зелёный, тёмно-фруктовый, цветочный</x:v>
      </x:c>
      <x:c r="J25" s="28" t="str">
        <x:v>комплексный</x:v>
      </x:c>
      <x:c r="K25" s="28" t="str">
        <x:v>альдегиды, терпены, эфиры</x:v>
      </x:c>
      <x:c r="L25" s="28" t="str">
        <x:v>нет надёжной конкретизации</x:v>
      </x:c>
      <x:c r="M25" s="28" t="str">
        <x:v>прямое совпадение семейств не установлено</x:v>
      </x:c>
      <x:c r="N25" s="28" t="str">
        <x:v>не подтверждены; механизм не сводится к одной общей молекуле</x:v>
      </x:c>
      <x:c r="O25" s="28" t="str">
        <x:v>контраст/комплементарность + матричный эффект</x:v>
      </x:c>
      <x:c r="P25" s="28" t="str">
        <x:v>Оба компонента формируют кисло-сладкий, терпкий и зависит от ингредиента контур; сахар, кислота и горечь должны быть выровнены дегустацией.</x:v>
      </x:c>
      <x:c r="Q25" s="28" t="str">
        <x:v>Специфического тройничного эффекта обычно нет; кислотность усиливает слюноотделение.</x:v>
      </x:c>
      <x:c r="R25" s="28" t="str">
        <x:v>Ягода: ягоды обычно требуют термообработки; цветы и ягоды имеют разные профили. Партнёр: механизм зависит от конкретного продукта. В воде аромат раскрывается быстрее, в жире и этаноле — дольше удерживается.</x:v>
      </x:c>
      <x:c r="S2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тёмно-фруктовый, цветочный; партнёр — комплексный. Оба компонента формируют кисло-сладкий, терпкий и зависит от ингредиента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5" s="28" t="str">
        <x:v>лимон или ваниль</x:v>
      </x:c>
      <x:c r="W25" s="28" t="str">
        <x:v>сенсорная проба в малой дозировке</x:v>
      </x:c>
      <x:c r="X25" s="28" t="str">
        <x:v>универсально</x:v>
      </x:c>
      <x:c r="Y25" s="28" t="str">
        <x:v>Средняя</x:v>
      </x:c>
      <x:c r="Z25" s="28" t="str">
        <x:v>The Art &amp; Science of Foodpairing</x:v>
      </x:c>
      <x:c r="AA25" s="28" t="str">
        <x:v>The Art &amp; Science of Foodpairing: 147</x:v>
      </x:c>
      <x:c r="AB25" s="28" t="str">
        <x:v>Ingredient pairings with Lemongrass: elderberry</x:v>
      </x:c>
      <x:c r="AC25" s="28" t="n">
        <x:v>1</x:v>
      </x:c>
      <x:c r="AD25" s="28" t="n">
        <x:v>1</x:v>
      </x:c>
    </x:row>
    <x:row r="26" ht="58" customHeight="1">
      <x:c r="A26" s="28" t="str">
        <x:v>BER-0025</x:v>
      </x:c>
      <x:c r="B26" s="28" t="str">
        <x:v>Напитки</x:v>
      </x:c>
      <x:c r="C26" s="28" t="str">
        <x:v>бузина</x:v>
      </x:c>
      <x:c r="D26" s="28" t="str">
        <x:v>Бузина (цветки бузины)</x:v>
      </x:c>
      <x:c r="E26" s="28" t="str">
        <x:v>Ягоды и производные</x:v>
      </x:c>
      <x:c r="F26" s="28" t="str">
        <x:v>лимон</x:v>
      </x:c>
      <x:c r="G26" s="28" t="str">
        <x:v>лимон</x:v>
      </x:c>
      <x:c r="H26" s="28" t="str">
        <x:v>Цитрусовые</x:v>
      </x:c>
      <x:c r="I26" s="28" t="str">
        <x:v>зелёный, тёмно-фруктовый, цветочный</x:v>
      </x:c>
      <x:c r="J26" s="28" t="str">
        <x:v>зелёный, цветочный, цитрусовый</x:v>
      </x:c>
      <x:c r="K26" s="28" t="str">
        <x:v>альдегиды, терпены, эфиры</x:v>
      </x:c>
      <x:c r="L26" s="28" t="str">
        <x:v>лимонен, линалоол, цитраль</x:v>
      </x:c>
      <x:c r="M26" s="28" t="str">
        <x:v>зелёный, цветочный</x:v>
      </x:c>
      <x:c r="N26" s="28" t="str">
        <x:v>не подтверждены; механизм не сводится к одной общей молекуле</x:v>
      </x:c>
      <x:c r="O26" s="28" t="str">
        <x:v>сходство ароматических семейств + комплементарность</x:v>
      </x:c>
      <x:c r="P26" s="28" t="str">
        <x:v>Оба компонента формируют кисло-сладкий, терпкий и кислый, свежий контур; сахар, кислота и горечь должны быть выровнены дегустацией.</x:v>
      </x:c>
      <x:c r="Q26" s="28" t="str">
        <x:v>Специфического тройничного эффекта обычно нет; кислотность усиливает слюноотделение.</x:v>
      </x:c>
      <x:c r="R26" s="28" t="str">
        <x:v>Ягода: ягоды обычно требуют термообработки; цветы и ягоды имеют разные профили. Партнёр: вода и эфирные масла; цедра гидрофобна. В воде аромат раскрывается быстрее, в жире и этаноле — дольше удерживается.</x:v>
      </x:c>
      <x:c r="S2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6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6" s="28" t="str">
        <x:v>мёд или базилик</x:v>
      </x:c>
      <x:c r="W26" s="28" t="str">
        <x:v>кордиал, лимонад, чай, коктейль, настой или ферментированный напиток; маринад, гастрик, чатни, кетчуп или редукция</x:v>
      </x:c>
      <x:c r="X26" s="28" t="str">
        <x:v>напитки; соусы/маринады</x:v>
      </x:c>
      <x:c r="Y26" s="28" t="str">
        <x:v>Средняя</x:v>
      </x:c>
      <x:c r="Z26" s="28" t="str">
        <x:v>Таблица сочетаний</x:v>
      </x:c>
      <x:c r="AA26" s="28" t="str">
        <x:v>Таблица сочетаний: 7</x:v>
      </x:c>
      <x:c r="AB26" s="28" t="str">
        <x:v>Бузина (цветки бузины): лимон</x:v>
      </x:c>
      <x:c r="AC26" s="28" t="n">
        <x:v>1</x:v>
      </x:c>
      <x:c r="AD26" s="28" t="n">
        <x:v>1</x:v>
      </x:c>
    </x:row>
    <x:row r="27" ht="58" customHeight="1">
      <x:c r="A27" s="28" t="str">
        <x:v>BER-0026</x:v>
      </x:c>
      <x:c r="B27" s="28" t="str">
        <x:v>Напитки</x:v>
      </x:c>
      <x:c r="C27" s="28" t="str">
        <x:v>бузина</x:v>
      </x:c>
      <x:c r="D27" s="28" t="str">
        <x:v>elderberry</x:v>
      </x:c>
      <x:c r="E27" s="28" t="str">
        <x:v>Ягоды и производные</x:v>
      </x:c>
      <x:c r="F27" s="28" t="str">
        <x:v>лимон и лайм</x:v>
      </x:c>
      <x:c r="G27" s="28" t="str">
        <x:v>Lemon&amp;Lime</x:v>
      </x:c>
      <x:c r="H27" s="28" t="str">
        <x:v>Цитрусовые</x:v>
      </x:c>
      <x:c r="I27" s="28" t="str">
        <x:v>зелёный, тёмно-фруктовый, цветочный</x:v>
      </x:c>
      <x:c r="J27" s="28" t="str">
        <x:v>зелёный, цветочный, цитрусовый</x:v>
      </x:c>
      <x:c r="K27" s="28" t="str">
        <x:v>альдегиды, терпены, эфиры</x:v>
      </x:c>
      <x:c r="L27" s="28" t="str">
        <x:v>лимонен, линалоол, цитраль</x:v>
      </x:c>
      <x:c r="M27" s="28" t="str">
        <x:v>зелёный, цветочный</x:v>
      </x:c>
      <x:c r="N27" s="28" t="str">
        <x:v>не подтверждены; механизм не сводится к одной общей молекуле</x:v>
      </x:c>
      <x:c r="O27" s="28" t="str">
        <x:v>сходство ароматических семейств + комплементарность</x:v>
      </x:c>
      <x:c r="P27" s="28" t="str">
        <x:v>Оба компонента формируют кисло-сладкий, терпкий и кислый, свежий контур; сахар, кислота и горечь должны быть выровнены дегустацией.</x:v>
      </x:c>
      <x:c r="Q27" s="28" t="str">
        <x:v>Специфического тройничного эффекта обычно нет; кислотность усиливает слюноотделение.</x:v>
      </x:c>
      <x:c r="R27" s="28" t="str">
        <x:v>Ягода: ягоды обычно требуют термообработки; цветы и ягоды имеют разные профили. Партнёр: вода и эфирные масла; цедра гидрофобна. В воде аромат раскрывается быстрее, в жире и этаноле — дольше удерживается.</x:v>
      </x:c>
      <x:c r="S2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7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7" s="28" t="str">
        <x:v>мёд или базилик</x:v>
      </x:c>
      <x:c r="W27" s="28" t="str">
        <x:v>кордиал, лимонад, чай, коктейль, настой или ферментированный напиток; маринад, гастрик, чатни, кетчуп или редукция</x:v>
      </x:c>
      <x:c r="X27" s="28" t="str">
        <x:v>напитки; соусы/маринады</x:v>
      </x:c>
      <x:c r="Y27" s="28" t="str">
        <x:v>Средняя</x:v>
      </x:c>
      <x:c r="Z27" s="28" t="str">
        <x:v>The Art &amp; Science of Foodpairing</x:v>
      </x:c>
      <x:c r="AA27" s="28" t="str">
        <x:v>The Art &amp; Science of Foodpairing: 88</x:v>
      </x:c>
      <x:c r="AB27" s="28" t="str">
        <x:v>Ingredient pairings with Lemon&amp;Lime: elderberry</x:v>
      </x:c>
      <x:c r="AC27" s="28" t="n">
        <x:v>1</x:v>
      </x:c>
      <x:c r="AD27" s="28" t="n">
        <x:v>1</x:v>
      </x:c>
    </x:row>
    <x:row r="28" ht="58" customHeight="1">
      <x:c r="A28" s="28" t="str">
        <x:v>BER-0027</x:v>
      </x:c>
      <x:c r="B28" s="28" t="str">
        <x:v>Универсальные</x:v>
      </x:c>
      <x:c r="C28" s="28" t="str">
        <x:v>бузина</x:v>
      </x:c>
      <x:c r="D28" s="28" t="str">
        <x:v>Бузина (цветки бузины)</x:v>
      </x:c>
      <x:c r="E28" s="28" t="str">
        <x:v>Ягоды и производные</x:v>
      </x:c>
      <x:c r="F28" s="28" t="str">
        <x:v>личи</x:v>
      </x:c>
      <x:c r="G28" s="28" t="str">
        <x:v>личи</x:v>
      </x:c>
      <x:c r="H28" s="28" t="str">
        <x:v>Фрукты</x:v>
      </x:c>
      <x:c r="I28" s="28" t="str">
        <x:v>зелёный, тёмно-фруктовый, цветочный</x:v>
      </x:c>
      <x:c r="J28" s="28" t="str">
        <x:v>зелёный, фруктовый, цветочный</x:v>
      </x:c>
      <x:c r="K28" s="28" t="str">
        <x:v>альдегиды, терпены, эфиры</x:v>
      </x:c>
      <x:c r="L28" s="28" t="str">
        <x:v>лактоны, терпены, эфиры</x:v>
      </x:c>
      <x:c r="M28" s="28" t="str">
        <x:v>зелёный, цветочный</x:v>
      </x:c>
      <x:c r="N28" s="28" t="str">
        <x:v>терпены, эфиры</x:v>
      </x:c>
      <x:c r="O28" s="28" t="str">
        <x:v>ароматическое сходство + вкусовой баланс</x:v>
      </x:c>
      <x:c r="P28" s="28" t="str">
        <x:v>Оба компонента формируют кисло-сладкий, терпкий и сладко-кислый контур; сахар, кислота и горечь должны быть выровнены дегустацией.</x:v>
      </x:c>
      <x:c r="Q28" s="28" t="str">
        <x:v>Специфического тройничного эффекта обычно нет; кислотность усиливает слюноотделение.</x:v>
      </x:c>
      <x:c r="R28" s="28" t="str">
        <x:v>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</x:v>
      </x:c>
      <x:c r="S2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8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8" s="28" t="str">
        <x:v>ваниль или лимон</x:v>
      </x:c>
      <x:c r="W2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28" s="28" t="str">
        <x:v>напитки; десерты</x:v>
      </x:c>
      <x:c r="Y28" s="28" t="str">
        <x:v>Средняя</x:v>
      </x:c>
      <x:c r="Z28" s="28" t="str">
        <x:v>Таблица сочетаний</x:v>
      </x:c>
      <x:c r="AA28" s="28" t="str">
        <x:v>Таблица сочетаний: 8</x:v>
      </x:c>
      <x:c r="AB28" s="28" t="str">
        <x:v>Бузина (цветки бузины): личи</x:v>
      </x:c>
      <x:c r="AC28" s="28" t="n">
        <x:v>1</x:v>
      </x:c>
      <x:c r="AD28" s="28" t="n">
        <x:v>1</x:v>
      </x:c>
    </x:row>
    <x:row r="29" ht="58" customHeight="1">
      <x:c r="A29" s="28" t="str">
        <x:v>BER-0028</x:v>
      </x:c>
      <x:c r="B29" s="28" t="str">
        <x:v>Универсальные</x:v>
      </x:c>
      <x:c r="C29" s="28" t="str">
        <x:v>бузина</x:v>
      </x:c>
      <x:c r="D29" s="28" t="str">
        <x:v>elderberry</x:v>
      </x:c>
      <x:c r="E29" s="28" t="str">
        <x:v>Ягоды и производные</x:v>
      </x:c>
      <x:c r="F29" s="28" t="str">
        <x:v>манго</x:v>
      </x:c>
      <x:c r="G29" s="28" t="str">
        <x:v>Mango</x:v>
      </x:c>
      <x:c r="H29" s="28" t="str">
        <x:v>Фрукты</x:v>
      </x:c>
      <x:c r="I29" s="28" t="str">
        <x:v>зелёный, тёмно-фруктовый, цветочный</x:v>
      </x:c>
      <x:c r="J29" s="28" t="str">
        <x:v>зелёный, фруктовый, цветочный</x:v>
      </x:c>
      <x:c r="K29" s="28" t="str">
        <x:v>альдегиды, терпены, эфиры</x:v>
      </x:c>
      <x:c r="L29" s="28" t="str">
        <x:v>лактоны, терпены, эфиры</x:v>
      </x:c>
      <x:c r="M29" s="28" t="str">
        <x:v>зелёный, цветочный</x:v>
      </x:c>
      <x:c r="N29" s="28" t="str">
        <x:v>терпены, эфиры</x:v>
      </x:c>
      <x:c r="O29" s="28" t="str">
        <x:v>ароматическое сходство + вкусовой баланс</x:v>
      </x:c>
      <x:c r="P29" s="28" t="str">
        <x:v>Оба компонента формируют кисло-сладкий, терпкий и сладко-кислый контур; сахар, кислота и горечь должны быть выровнены дегустацией.</x:v>
      </x:c>
      <x:c r="Q29" s="28" t="str">
        <x:v>Специфического тройничного эффекта обычно нет; кислотность усиливает слюноотделение.</x:v>
      </x:c>
      <x:c r="R29" s="28" t="str">
        <x:v>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</x:v>
      </x:c>
      <x:c r="S2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9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9" s="28" t="str">
        <x:v>ваниль или лимон</x:v>
      </x:c>
      <x:c r="W2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29" s="28" t="str">
        <x:v>напитки; десерты</x:v>
      </x:c>
      <x:c r="Y29" s="28" t="str">
        <x:v>Средняя</x:v>
      </x:c>
      <x:c r="Z29" s="28" t="str">
        <x:v>The Art &amp; Science of Foodpairing</x:v>
      </x:c>
      <x:c r="AA29" s="28" t="str">
        <x:v>The Art &amp; Science of Foodpairing: 313</x:v>
      </x:c>
      <x:c r="AB29" s="28" t="str">
        <x:v>Ingredient pairings with Mango: elderberry</x:v>
      </x:c>
      <x:c r="AC29" s="28" t="n">
        <x:v>1</x:v>
      </x:c>
      <x:c r="AD29" s="28" t="n">
        <x:v>1</x:v>
      </x:c>
    </x:row>
    <x:row r="30" ht="58" customHeight="1">
      <x:c r="A30" s="28" t="str">
        <x:v>BER-0029</x:v>
      </x:c>
      <x:c r="B30" s="28" t="str">
        <x:v>Напитки</x:v>
      </x:c>
      <x:c r="C30" s="28" t="str">
        <x:v>бузина</x:v>
      </x:c>
      <x:c r="D30" s="28" t="str">
        <x:v>Бузина</x:v>
      </x:c>
      <x:c r="E30" s="28" t="str">
        <x:v>Ягоды и производные</x:v>
      </x:c>
      <x:c r="F30" s="28" t="str">
        <x:v>мандарин</x:v>
      </x:c>
      <x:c r="G30" s="28" t="str">
        <x:v>мандарин</x:v>
      </x:c>
      <x:c r="H30" s="28" t="str">
        <x:v>Цитрусовые</x:v>
      </x:c>
      <x:c r="I30" s="28" t="str">
        <x:v>зелёный, тёмно-фруктовый, цветочный</x:v>
      </x:c>
      <x:c r="J30" s="28" t="str">
        <x:v>зелёный, цветочный, цитрусовый</x:v>
      </x:c>
      <x:c r="K30" s="28" t="str">
        <x:v>альдегиды, терпены, эфиры</x:v>
      </x:c>
      <x:c r="L30" s="28" t="str">
        <x:v>лимонен, линалоол, цитраль</x:v>
      </x:c>
      <x:c r="M30" s="28" t="str">
        <x:v>зелёный, цветочный</x:v>
      </x:c>
      <x:c r="N30" s="28" t="str">
        <x:v>не подтверждены; механизм не сводится к одной общей молекуле</x:v>
      </x:c>
      <x:c r="O30" s="28" t="str">
        <x:v>сходство ароматических семейств + комплементарность</x:v>
      </x:c>
      <x:c r="P30" s="28" t="str">
        <x:v>Оба компонента формируют кисло-сладкий, терпкий и кислый, свежий контур; сахар, кислота и горечь должны быть выровнены дегустацией.</x:v>
      </x:c>
      <x:c r="Q30" s="28" t="str">
        <x:v>Специфического тройничного эффекта обычно нет; кислотность усиливает слюноотделение.</x:v>
      </x:c>
      <x:c r="R30" s="28" t="str">
        <x:v>Ягода: ягоды обычно требуют термообработки; цветы и ягоды имеют разные профили. Партнёр: вода и эфирные масла; цедра гидрофобна. В воде аромат раскрывается быстрее, в жире и этаноле — дольше удерживается.</x:v>
      </x:c>
      <x:c r="S3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0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0" s="28" t="str">
        <x:v>мёд или базилик</x:v>
      </x:c>
      <x:c r="W30" s="28" t="str">
        <x:v>кордиал, лимонад, чай, коктейль, настой или ферментированный напиток; маринад, гастрик, чатни, кетчуп или редукция</x:v>
      </x:c>
      <x:c r="X30" s="28" t="str">
        <x:v>напитки; соусы/маринады</x:v>
      </x:c>
      <x:c r="Y30" s="28" t="str">
        <x:v>Средняя</x:v>
      </x:c>
      <x:c r="Z30" s="28" t="str">
        <x:v>Таблица сочетаний</x:v>
      </x:c>
      <x:c r="AA30" s="28" t="str">
        <x:v>Таблица сочетаний: 7</x:v>
      </x:c>
      <x:c r="AB30" s="28" t="str">
        <x:v>Бузина: мандарин</x:v>
      </x:c>
      <x:c r="AC30" s="28" t="n">
        <x:v>1</x:v>
      </x:c>
      <x:c r="AD30" s="28" t="n">
        <x:v>1</x:v>
      </x:c>
    </x:row>
    <x:row r="31" ht="58" customHeight="1">
      <x:c r="A31" s="28" t="str">
        <x:v>BER-0030</x:v>
      </x:c>
      <x:c r="B31" s="28" t="str">
        <x:v>Универсальные</x:v>
      </x:c>
      <x:c r="C31" s="28" t="str">
        <x:v>бузина</x:v>
      </x:c>
      <x:c r="D31" s="28" t="str">
        <x:v>Бузина | Бузина (цветки бузины)</x:v>
      </x:c>
      <x:c r="E31" s="28" t="str">
        <x:v>Ягоды и производные</x:v>
      </x:c>
      <x:c r="F31" s="28" t="str">
        <x:v>мёд</x:v>
      </x:c>
      <x:c r="G31" s="28" t="str">
        <x:v>мёд</x:v>
      </x:c>
      <x:c r="H31" s="28" t="str">
        <x:v>Прочее</x:v>
      </x:c>
      <x:c r="I31" s="28" t="str">
        <x:v>зелёный, тёмно-фруктовый, цветочный</x:v>
      </x:c>
      <x:c r="J31" s="28" t="str">
        <x:v>комплексный</x:v>
      </x:c>
      <x:c r="K31" s="28" t="str">
        <x:v>альдегиды, терпены, эфиры</x:v>
      </x:c>
      <x:c r="L31" s="28" t="str">
        <x:v>нет надёжной конкретизации</x:v>
      </x:c>
      <x:c r="M31" s="28" t="str">
        <x:v>прямое совпадение семейств не установлено</x:v>
      </x:c>
      <x:c r="N31" s="28" t="str">
        <x:v>не подтверждены; механизм не сводится к одной общей молекуле</x:v>
      </x:c>
      <x:c r="O31" s="28" t="str">
        <x:v>контраст/комплементарность + матричный эффект</x:v>
      </x:c>
      <x:c r="P31" s="28" t="str">
        <x:v>Оба компонента формируют кисло-сладкий, терпкий и зависит от ингредиента контур; сахар, кислота и горечь должны быть выровнены дегустацией.</x:v>
      </x:c>
      <x:c r="Q31" s="28" t="str">
        <x:v>Специфического тройничного эффекта обычно нет; кислотность усиливает слюноотделение.</x:v>
      </x:c>
      <x:c r="R31" s="28" t="str">
        <x:v>Ягода: ягоды обычно требуют термообработки; цветы и ягоды имеют разные профили. Партнёр: механизм зависит от конкретного продукта. В воде аромат раскрывается быстрее, в жире и этаноле — дольше удерживается.</x:v>
      </x:c>
      <x:c r="S3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тёмно-фруктовый, цветочный; партнёр — комплексный. Оба компонента формируют кисло-сладкий, терпкий и зависит от ингредиента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1" s="28" t="str">
        <x:v>лимон или ваниль</x:v>
      </x:c>
      <x:c r="W31" s="28" t="str">
        <x:v>сенсорная проба в малой дозировке</x:v>
      </x:c>
      <x:c r="X31" s="28" t="str">
        <x:v>универсально</x:v>
      </x:c>
      <x:c r="Y31" s="28" t="str">
        <x:v>Средняя</x:v>
      </x:c>
      <x:c r="Z31" s="28" t="str">
        <x:v>Таблица сочетаний</x:v>
      </x:c>
      <x:c r="AA31" s="28" t="str">
        <x:v>Таблица сочетаний: 7</x:v>
      </x:c>
      <x:c r="AB31" s="28" t="str">
        <x:v>Бузина: мёд | Бузина (цветки бузины): мёд</x:v>
      </x:c>
      <x:c r="AC31" s="28" t="n">
        <x:v>1</x:v>
      </x:c>
      <x:c r="AD31" s="28" t="n">
        <x:v>2</x:v>
      </x:c>
    </x:row>
    <x:row r="32" ht="58" customHeight="1">
      <x:c r="A32" s="28" t="str">
        <x:v>BER-0031</x:v>
      </x:c>
      <x:c r="B32" s="28" t="str">
        <x:v>Универсальные</x:v>
      </x:c>
      <x:c r="C32" s="28" t="str">
        <x:v>бузина</x:v>
      </x:c>
      <x:c r="D32" s="28" t="str">
        <x:v>Бузина (цветки бузины)</x:v>
      </x:c>
      <x:c r="E32" s="28" t="str">
        <x:v>Ягоды и производные</x:v>
      </x:c>
      <x:c r="F32" s="28" t="str">
        <x:v>можжевельник</x:v>
      </x:c>
      <x:c r="G32" s="28" t="str">
        <x:v>можжевельник</x:v>
      </x:c>
      <x:c r="H32" s="28" t="str">
        <x:v>Прочее</x:v>
      </x:c>
      <x:c r="I32" s="28" t="str">
        <x:v>зелёный, тёмно-фруктовый, цветочный</x:v>
      </x:c>
      <x:c r="J32" s="28" t="str">
        <x:v>комплексный</x:v>
      </x:c>
      <x:c r="K32" s="28" t="str">
        <x:v>альдегиды, терпены, эфиры</x:v>
      </x:c>
      <x:c r="L32" s="28" t="str">
        <x:v>нет надёжной конкретизации</x:v>
      </x:c>
      <x:c r="M32" s="28" t="str">
        <x:v>прямое совпадение семейств не установлено</x:v>
      </x:c>
      <x:c r="N32" s="28" t="str">
        <x:v>не подтверждены; механизм не сводится к одной общей молекуле</x:v>
      </x:c>
      <x:c r="O32" s="28" t="str">
        <x:v>контраст/комплементарность + матричный эффект</x:v>
      </x:c>
      <x:c r="P32" s="28" t="str">
        <x:v>Оба компонента формируют кисло-сладкий, терпкий и зависит от ингредиента контур; сахар, кислота и горечь должны быть выровнены дегустацией.</x:v>
      </x:c>
      <x:c r="Q32" s="28" t="str">
        <x:v>Специфического тройничного эффекта обычно нет; кислотность усиливает слюноотделение.</x:v>
      </x:c>
      <x:c r="R32" s="28" t="str">
        <x:v>Ягода: ягоды обычно требуют термообработки; цветы и ягоды имеют разные профили. Партнёр: механизм зависит от конкретного продукта. В воде аромат раскрывается быстрее, в жире и этаноле — дольше удерживается.</x:v>
      </x:c>
      <x:c r="S3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тёмно-фруктовый, цветочный; партнёр — комплексный. Оба компонента формируют кисло-сладкий, терпкий и зависит от ингредиента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2" s="28" t="str">
        <x:v>лимон или ваниль</x:v>
      </x:c>
      <x:c r="W32" s="28" t="str">
        <x:v>сенсорная проба в малой дозировке</x:v>
      </x:c>
      <x:c r="X32" s="28" t="str">
        <x:v>универсально</x:v>
      </x:c>
      <x:c r="Y32" s="28" t="str">
        <x:v>Средняя</x:v>
      </x:c>
      <x:c r="Z32" s="28" t="str">
        <x:v>Таблица сочетаний</x:v>
      </x:c>
      <x:c r="AA32" s="28" t="str">
        <x:v>Таблица сочетаний: 7</x:v>
      </x:c>
      <x:c r="AB32" s="28" t="str">
        <x:v>Бузина (цветки бузины): можжевельник</x:v>
      </x:c>
      <x:c r="AC32" s="28" t="n">
        <x:v>1</x:v>
      </x:c>
      <x:c r="AD32" s="28" t="n">
        <x:v>1</x:v>
      </x:c>
    </x:row>
    <x:row r="33" ht="58" customHeight="1">
      <x:c r="A33" s="28" t="str">
        <x:v>BER-0032</x:v>
      </x:c>
      <x:c r="B33" s="28" t="str">
        <x:v>Десерты и выпечка</x:v>
      </x:c>
      <x:c r="C33" s="28" t="str">
        <x:v>бузина</x:v>
      </x:c>
      <x:c r="D33" s="28" t="str">
        <x:v>Бузина</x:v>
      </x:c>
      <x:c r="E33" s="28" t="str">
        <x:v>Ягоды и производные</x:v>
      </x:c>
      <x:c r="F33" s="28" t="str">
        <x:v>мускатный орех</x:v>
      </x:c>
      <x:c r="G33" s="28" t="str">
        <x:v>мускатный орех</x:v>
      </x:c>
      <x:c r="H33" s="28" t="str">
        <x:v>Орехи и семена</x:v>
      </x:c>
      <x:c r="I33" s="28" t="str">
        <x:v>зелёный, тёмно-фруктовый, цветочный</x:v>
      </x:c>
      <x:c r="J33" s="28" t="str">
        <x:v>жареный, миндальный, ореховый</x:v>
      </x:c>
      <x:c r="K33" s="28" t="str">
        <x:v>альдегиды, терпены, эфиры</x:v>
      </x:c>
      <x:c r="L33" s="28" t="str">
        <x:v>бензальдегид, пиразины, фураны</x:v>
      </x:c>
      <x:c r="M33" s="28" t="str">
        <x:v>прямое совпадение семейств не установлено</x:v>
      </x:c>
      <x:c r="N33" s="28" t="str">
        <x:v>не подтверждены; механизм не сводится к одной общей молекуле</x:v>
      </x:c>
      <x:c r="O33" s="28" t="str">
        <x:v>контраст/комплементарность + матричный эффект</x:v>
      </x:c>
      <x:c r="P33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33" s="28" t="str">
        <x:v>Специфического тройничного эффекта обычно нет; кислотность усиливает слюноотделение.</x:v>
      </x:c>
      <x:c r="R33" s="28" t="str">
        <x:v>Жировая фаза удерживает гидрофобные одоранты и продлевает послевкусие; кислотность ягод повышает слюноотделение.</x:v>
      </x:c>
      <x:c r="S3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тёмно-фруктовый,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3" s="28" t="str">
        <x:v>ваниль или сливки</x:v>
      </x:c>
      <x:c r="W33" s="28" t="str">
        <x:v>сорбет, крем, ганаш, выпечка, джем или соус для десерта</x:v>
      </x:c>
      <x:c r="X33" s="28" t="str">
        <x:v>десерты</x:v>
      </x:c>
      <x:c r="Y33" s="28" t="str">
        <x:v>Средняя</x:v>
      </x:c>
      <x:c r="Z33" s="28" t="str">
        <x:v>Таблица сочетаний</x:v>
      </x:c>
      <x:c r="AA33" s="28" t="str">
        <x:v>Таблица сочетаний: 7</x:v>
      </x:c>
      <x:c r="AB33" s="28" t="str">
        <x:v>Бузина: мускатный орех</x:v>
      </x:c>
      <x:c r="AC33" s="28" t="n">
        <x:v>1</x:v>
      </x:c>
      <x:c r="AD33" s="28" t="n">
        <x:v>1</x:v>
      </x:c>
    </x:row>
    <x:row r="34" ht="58" customHeight="1">
      <x:c r="A34" s="28" t="str">
        <x:v>BER-0033</x:v>
      </x:c>
      <x:c r="B34" s="28" t="str">
        <x:v>Универсальные</x:v>
      </x:c>
      <x:c r="C34" s="28" t="str">
        <x:v>бузина</x:v>
      </x:c>
      <x:c r="D34" s="28" t="str">
        <x:v>Бузина | Бузина (цветки бузины)</x:v>
      </x:c>
      <x:c r="E34" s="28" t="str">
        <x:v>Ягоды и производные</x:v>
      </x:c>
      <x:c r="F34" s="28" t="str">
        <x:v>мята</x:v>
      </x:c>
      <x:c r="G34" s="28" t="str">
        <x:v>мята</x:v>
      </x:c>
      <x:c r="H34" s="28" t="str">
        <x:v>Травы и цветы</x:v>
      </x:c>
      <x:c r="I34" s="28" t="str">
        <x:v>зелёный, тёмно-фруктовый, цветочный</x:v>
      </x:c>
      <x:c r="J34" s="28" t="str">
        <x:v>зелёный, травянистый, цветочный</x:v>
      </x:c>
      <x:c r="K34" s="28" t="str">
        <x:v>альдегиды, терпены, эфиры</x:v>
      </x:c>
      <x:c r="L34" s="28" t="str">
        <x:v>гераниол, линалоол, терпены, эвгенол</x:v>
      </x:c>
      <x:c r="M34" s="28" t="str">
        <x:v>зелёный, цветочный</x:v>
      </x:c>
      <x:c r="N34" s="28" t="str">
        <x:v>терпены</x:v>
      </x:c>
      <x:c r="O34" s="28" t="str">
        <x:v>ароматическое сходство + вкусовой баланс</x:v>
      </x:c>
      <x:c r="P34" s="28" t="str">
        <x:v>Ягодная сладость смягчает горечь и пряность, а кислотность делает горьковатый, свежий профиль ярче.</x:v>
      </x:c>
      <x:c r="Q34" s="28" t="str">
        <x:v>Специфического тройничного эффекта обычно нет; кислотность усиливает слюноотделение.</x:v>
      </x:c>
      <x:c r="R34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3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4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4" s="28" t="str">
        <x:v>лимон или мёд</x:v>
      </x:c>
      <x:c r="W3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34" s="28" t="str">
        <x:v>напитки; еда; соусы/маринады</x:v>
      </x:c>
      <x:c r="Y34" s="28" t="str">
        <x:v>Средняя</x:v>
      </x:c>
      <x:c r="Z34" s="28" t="str">
        <x:v>Таблица сочетаний</x:v>
      </x:c>
      <x:c r="AA34" s="28" t="str">
        <x:v>Таблица сочетаний: 7</x:v>
      </x:c>
      <x:c r="AB34" s="28" t="str">
        <x:v>Бузина: мята | Бузина (цветки бузины): мята</x:v>
      </x:c>
      <x:c r="AC34" s="28" t="n">
        <x:v>1</x:v>
      </x:c>
      <x:c r="AD34" s="28" t="n">
        <x:v>2</x:v>
      </x:c>
    </x:row>
    <x:row r="35" ht="58" customHeight="1">
      <x:c r="A35" s="28" t="str">
        <x:v>BER-0034</x:v>
      </x:c>
      <x:c r="B35" s="28" t="str">
        <x:v>Еда и соусы</x:v>
      </x:c>
      <x:c r="C35" s="28" t="str">
        <x:v>бузина</x:v>
      </x:c>
      <x:c r="D35" s="28" t="str">
        <x:v>Бузина (цветки бузины)</x:v>
      </x:c>
      <x:c r="E35" s="28" t="str">
        <x:v>Ягоды и производные</x:v>
      </x:c>
      <x:c r="F35" s="28" t="str">
        <x:v>огурец</x:v>
      </x:c>
      <x:c r="G35" s="28" t="str">
        <x:v>огурец</x:v>
      </x:c>
      <x:c r="H35" s="28" t="str">
        <x:v>Овощи и грибы</x:v>
      </x:c>
      <x:c r="I35" s="28" t="str">
        <x:v>зелёный, тёмно-фруктовый, цветочный</x:v>
      </x:c>
      <x:c r="J35" s="28" t="str">
        <x:v>зелёный, землистый, сернистый</x:v>
      </x:c>
      <x:c r="K35" s="28" t="str">
        <x:v>альдегиды, терпены, эфиры</x:v>
      </x:c>
      <x:c r="L35" s="28" t="str">
        <x:v>C6-альдегиды, пиразины, сернистые соединения</x:v>
      </x:c>
      <x:c r="M35" s="28" t="str">
        <x:v>зелёный</x:v>
      </x:c>
      <x:c r="N35" s="28" t="str">
        <x:v>не подтверждены; механизм не сводится к одной общей молекуле</x:v>
      </x:c>
      <x:c r="O35" s="28" t="str">
        <x:v>сходство ароматических семейств + комплементарность</x:v>
      </x:c>
      <x:c r="P35" s="28" t="str">
        <x:v>Оба компонента формируют кисло-сладкий, терпкий и растительный, иногда умами контур; сахар, кислота и горечь должны быть выровнены дегустацией.</x:v>
      </x:c>
      <x:c r="Q35" s="28" t="str">
        <x:v>Специфического тройничного эффекта обычно нет; кислотность усиливает слюноотделение.</x:v>
      </x:c>
      <x:c r="R35" s="28" t="str">
        <x:v>Ягода: ягоды обычно требуют термообработки; цветы и ягоды имеют разные профили.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3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35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тёмно-фруктовый, цветочный; партнёр — зелёный, землистый, сернистый. Оба компонента формируют кисло-сладкий, терпкий и растительный, иногда умами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3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5" s="28" t="str">
        <x:v>уксус или мягкий сыр</x:v>
      </x:c>
      <x:c r="W35" s="28" t="str">
        <x:v>соус, глазировка, салат, сырная подача или горячее блюдо; маринад, гастрик, чатни, кетчуп или редукция</x:v>
      </x:c>
      <x:c r="X35" s="28" t="str">
        <x:v>еда; соусы/маринады</x:v>
      </x:c>
      <x:c r="Y35" s="28" t="str">
        <x:v>Средняя</x:v>
      </x:c>
      <x:c r="Z35" s="28" t="str">
        <x:v>Таблица сочетаний</x:v>
      </x:c>
      <x:c r="AA35" s="28" t="str">
        <x:v>Таблица сочетаний: 7</x:v>
      </x:c>
      <x:c r="AB35" s="28" t="str">
        <x:v>Бузина (цветки бузины): огурец</x:v>
      </x:c>
      <x:c r="AC35" s="28" t="n">
        <x:v>1</x:v>
      </x:c>
      <x:c r="AD35" s="28" t="n">
        <x:v>1</x:v>
      </x:c>
    </x:row>
    <x:row r="36" ht="58" customHeight="1">
      <x:c r="A36" s="28" t="str">
        <x:v>BER-0035</x:v>
      </x:c>
      <x:c r="B36" s="28" t="str">
        <x:v>Еда и соусы</x:v>
      </x:c>
      <x:c r="C36" s="28" t="str">
        <x:v>бузина</x:v>
      </x:c>
      <x:c r="D36" s="28" t="str">
        <x:v>elderberry</x:v>
      </x:c>
      <x:c r="E36" s="28" t="str">
        <x:v>Ягоды и производные</x:v>
      </x:c>
      <x:c r="F36" s="28" t="str">
        <x:v>пармиджано-реджано</x:v>
      </x:c>
      <x:c r="G36" s="28" t="str">
        <x:v>Parmigiano-Reggiano</x:v>
      </x:c>
      <x:c r="H36" s="28" t="str">
        <x:v>Рыба и морепродукты</x:v>
      </x:c>
      <x:c r="I36" s="28" t="str">
        <x:v>зелёный, тёмно-фруктовый, цветочный</x:v>
      </x:c>
      <x:c r="J36" s="28" t="str">
        <x:v>жирный, морской, умами</x:v>
      </x:c>
      <x:c r="K36" s="28" t="str">
        <x:v>альдегиды, терпены, эфиры</x:v>
      </x:c>
      <x:c r="L36" s="28" t="str">
        <x:v>альдегиды, амины, сернистые соединения</x:v>
      </x:c>
      <x:c r="M36" s="28" t="str">
        <x:v>прямое совпадение семейств не установлено</x:v>
      </x:c>
      <x:c r="N36" s="28" t="str">
        <x:v>альдегиды</x:v>
      </x:c>
      <x:c r="O36" s="28" t="str">
        <x:v>ароматическое сходство + вкусовой баланс</x:v>
      </x:c>
      <x:c r="P36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36" s="28" t="str">
        <x:v>Специфического тройничного эффекта обычно нет; кислотность усиливает слюноотделение.</x:v>
      </x:c>
      <x:c r="R36" s="28" t="str">
        <x:v>Белок и жир смягчают кислоту; ягодный соус должен сохранять достаточную концентрацию и соль.</x:v>
      </x:c>
      <x:c r="S3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36" s="28" t="str">
        <x:v>Прямой вероятный молекулярный мост: альдегиды. Ягодный компонент несёт семейства зелёный, тёмно-фруктовый,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3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6" s="28" t="str">
        <x:v>цитрус или огурец</x:v>
      </x:c>
      <x:c r="W36" s="28" t="str">
        <x:v>соус, глазировка, салат, сырная подача или горячее блюдо; маринад, гастрик, чатни, кетчуп или редукция</x:v>
      </x:c>
      <x:c r="X36" s="28" t="str">
        <x:v>еда; соусы/маринады</x:v>
      </x:c>
      <x:c r="Y36" s="28" t="str">
        <x:v>Средняя</x:v>
      </x:c>
      <x:c r="Z36" s="28" t="str">
        <x:v>The Art &amp; Science of Foodpairing</x:v>
      </x:c>
      <x:c r="AA36" s="28" t="str">
        <x:v>The Art &amp; Science of Foodpairing: 283</x:v>
      </x:c>
      <x:c r="AB36" s="28" t="str">
        <x:v>Ingredient pairings with Parmigiano-Reggiano: elderberry</x:v>
      </x:c>
      <x:c r="AC36" s="28" t="n">
        <x:v>1</x:v>
      </x:c>
      <x:c r="AD36" s="28" t="n">
        <x:v>1</x:v>
      </x:c>
    </x:row>
    <x:row r="37" ht="58" customHeight="1">
      <x:c r="A37" s="28" t="str">
        <x:v>BER-0036</x:v>
      </x:c>
      <x:c r="B37" s="28" t="str">
        <x:v>Универсальные</x:v>
      </x:c>
      <x:c r="C37" s="28" t="str">
        <x:v>бузина</x:v>
      </x:c>
      <x:c r="D37" s="28" t="str">
        <x:v>elderberry</x:v>
      </x:c>
      <x:c r="E37" s="28" t="str">
        <x:v>Ягоды и производные</x:v>
      </x:c>
      <x:c r="F37" s="28" t="str">
        <x:v>перец чили</x:v>
      </x:c>
      <x:c r="G37" s="28" t="str">
        <x:v>Chilli Pepper</x:v>
      </x:c>
      <x:c r="H37" s="28" t="str">
        <x:v>Специи</x:v>
      </x:c>
      <x:c r="I37" s="28" t="str">
        <x:v>зелёный, тёмно-фруктовый, цветочный</x:v>
      </x:c>
      <x:c r="J37" s="28" t="str">
        <x:v>древесный, пряный, тёплый</x:v>
      </x:c>
      <x:c r="K37" s="28" t="str">
        <x:v>альдегиды, терпены, эфиры</x:v>
      </x:c>
      <x:c r="L37" s="28" t="str">
        <x:v>коричный альдегид, терпены, эвгенол</x:v>
      </x:c>
      <x:c r="M37" s="28" t="str">
        <x:v>прямое совпадение семейств не установлено</x:v>
      </x:c>
      <x:c r="N37" s="28" t="str">
        <x:v>терпены</x:v>
      </x:c>
      <x:c r="O37" s="28" t="str">
        <x:v>ароматическое сходство + вкусовой баланс</x:v>
      </x:c>
      <x:c r="P37" s="28" t="str">
        <x:v>Ягодная сладость смягчает горечь и пряность, а кислотность делает пряный, иногда горький профиль ярче.</x:v>
      </x:c>
      <x:c r="Q37" s="28" t="str">
        <x:v>Кислотность ягоды усиливает слюноотделение, а капсаицин/пиперин/гингеролы дают тепло и покалывание; дозировка должна быть низкой.</x:v>
      </x:c>
      <x:c r="R37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3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7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7" s="28" t="str">
        <x:v>Пряность дозировать как акцент: она быстро перекрывает тонкие ягодные эфиры.</x:v>
      </x:c>
      <x:c r="V37" s="28" t="str">
        <x:v>мёд или цитрус</x:v>
      </x:c>
      <x:c r="W3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37" s="28" t="str">
        <x:v>напитки; десерты; еда; соусы/маринады</x:v>
      </x:c>
      <x:c r="Y37" s="28" t="str">
        <x:v>Средняя</x:v>
      </x:c>
      <x:c r="Z37" s="28" t="str">
        <x:v>The Art &amp; Science of Foodpairing</x:v>
      </x:c>
      <x:c r="AA37" s="28" t="str">
        <x:v>The Art &amp; Science of Foodpairing: 95</x:v>
      </x:c>
      <x:c r="AB37" s="28" t="str">
        <x:v>Ingredient pairings with Chilli Pepper: elderberry</x:v>
      </x:c>
      <x:c r="AC37" s="28" t="n">
        <x:v>1</x:v>
      </x:c>
      <x:c r="AD37" s="28" t="n">
        <x:v>1</x:v>
      </x:c>
    </x:row>
    <x:row r="38" ht="58" customHeight="1">
      <x:c r="A38" s="28" t="str">
        <x:v>BER-0037</x:v>
      </x:c>
      <x:c r="B38" s="28" t="str">
        <x:v>Универсальные</x:v>
      </x:c>
      <x:c r="C38" s="28" t="str">
        <x:v>бузина</x:v>
      </x:c>
      <x:c r="D38" s="28" t="str">
        <x:v>Бузина | Бузина (цветки бузины)</x:v>
      </x:c>
      <x:c r="E38" s="28" t="str">
        <x:v>Ягоды и производные</x:v>
      </x:c>
      <x:c r="F38" s="28" t="str">
        <x:v>персик</x:v>
      </x:c>
      <x:c r="G38" s="28" t="str">
        <x:v>персик</x:v>
      </x:c>
      <x:c r="H38" s="28" t="str">
        <x:v>Фрукты</x:v>
      </x:c>
      <x:c r="I38" s="28" t="str">
        <x:v>зелёный, тёмно-фруктовый, цветочный</x:v>
      </x:c>
      <x:c r="J38" s="28" t="str">
        <x:v>зелёный, фруктовый, цветочный</x:v>
      </x:c>
      <x:c r="K38" s="28" t="str">
        <x:v>альдегиды, терпены, эфиры</x:v>
      </x:c>
      <x:c r="L38" s="28" t="str">
        <x:v>лактоны, терпены, эфиры</x:v>
      </x:c>
      <x:c r="M38" s="28" t="str">
        <x:v>зелёный, цветочный</x:v>
      </x:c>
      <x:c r="N38" s="28" t="str">
        <x:v>терпены, эфиры</x:v>
      </x:c>
      <x:c r="O38" s="28" t="str">
        <x:v>ароматическое сходство + вкусовой баланс</x:v>
      </x:c>
      <x:c r="P38" s="28" t="str">
        <x:v>Оба компонента формируют кисло-сладкий, терпкий и сладко-кислый контур; сахар, кислота и горечь должны быть выровнены дегустацией.</x:v>
      </x:c>
      <x:c r="Q38" s="28" t="str">
        <x:v>Специфического тройничного эффекта обычно нет; кислотность усиливает слюноотделение.</x:v>
      </x:c>
      <x:c r="R38" s="28" t="str">
        <x:v>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</x:v>
      </x:c>
      <x:c r="S3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8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8" s="28" t="str">
        <x:v>ваниль или лимон</x:v>
      </x:c>
      <x:c r="W3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8" s="28" t="str">
        <x:v>напитки; десерты</x:v>
      </x:c>
      <x:c r="Y38" s="28" t="str">
        <x:v>Средняя</x:v>
      </x:c>
      <x:c r="Z38" s="28" t="str">
        <x:v>Таблица сочетаний</x:v>
      </x:c>
      <x:c r="AA38" s="28" t="str">
        <x:v>Таблица сочетаний: 7, 8</x:v>
      </x:c>
      <x:c r="AB38" s="28" t="str">
        <x:v>Бузина: персик | Бузина (цветки бузины): персик</x:v>
      </x:c>
      <x:c r="AC38" s="28" t="n">
        <x:v>1</x:v>
      </x:c>
      <x:c r="AD38" s="28" t="n">
        <x:v>2</x:v>
      </x:c>
    </x:row>
    <x:row r="39" ht="58" customHeight="1">
      <x:c r="A39" s="28" t="str">
        <x:v>BER-0038</x:v>
      </x:c>
      <x:c r="B39" s="28" t="str">
        <x:v>Универсальные</x:v>
      </x:c>
      <x:c r="C39" s="28" t="str">
        <x:v>бузина</x:v>
      </x:c>
      <x:c r="D39" s="28" t="str">
        <x:v>Бузина (цветки бузины)</x:v>
      </x:c>
      <x:c r="E39" s="28" t="str">
        <x:v>Ягоды и производные</x:v>
      </x:c>
      <x:c r="F39" s="28" t="str">
        <x:v>ревень</x:v>
      </x:c>
      <x:c r="G39" s="28" t="str">
        <x:v>ревень</x:v>
      </x:c>
      <x:c r="H39" s="28" t="str">
        <x:v>Прочее</x:v>
      </x:c>
      <x:c r="I39" s="28" t="str">
        <x:v>зелёный, тёмно-фруктовый, цветочный</x:v>
      </x:c>
      <x:c r="J39" s="28" t="str">
        <x:v>комплексный</x:v>
      </x:c>
      <x:c r="K39" s="28" t="str">
        <x:v>альдегиды, терпены, эфиры</x:v>
      </x:c>
      <x:c r="L39" s="28" t="str">
        <x:v>нет надёжной конкретизации</x:v>
      </x:c>
      <x:c r="M39" s="28" t="str">
        <x:v>прямое совпадение семейств не установлено</x:v>
      </x:c>
      <x:c r="N39" s="28" t="str">
        <x:v>не подтверждены; механизм не сводится к одной общей молекуле</x:v>
      </x:c>
      <x:c r="O39" s="28" t="str">
        <x:v>контраст/комплементарность + матричный эффект</x:v>
      </x:c>
      <x:c r="P39" s="28" t="str">
        <x:v>Оба компонента формируют кисло-сладкий, терпкий и зависит от ингредиента контур; сахар, кислота и горечь должны быть выровнены дегустацией.</x:v>
      </x:c>
      <x:c r="Q39" s="28" t="str">
        <x:v>Специфического тройничного эффекта обычно нет; кислотность усиливает слюноотделение.</x:v>
      </x:c>
      <x:c r="R39" s="28" t="str">
        <x:v>Ягода: ягоды обычно требуют термообработки; цветы и ягоды имеют разные профили. Партнёр: механизм зависит от конкретного продукта. В воде аромат раскрывается быстрее, в жире и этаноле — дольше удерживается.</x:v>
      </x:c>
      <x:c r="S3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тёмно-фруктовый, цветочный; партнёр — комплексный. Оба компонента формируют кисло-сладкий, терпкий и зависит от ингредиента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9" s="28" t="str">
        <x:v>лимон или ваниль</x:v>
      </x:c>
      <x:c r="W39" s="28" t="str">
        <x:v>сенсорная проба в малой дозировке</x:v>
      </x:c>
      <x:c r="X39" s="28" t="str">
        <x:v>универсально</x:v>
      </x:c>
      <x:c r="Y39" s="28" t="str">
        <x:v>Средняя</x:v>
      </x:c>
      <x:c r="Z39" s="28" t="str">
        <x:v>Таблица сочетаний</x:v>
      </x:c>
      <x:c r="AA39" s="28" t="str">
        <x:v>Таблица сочетаний: 7</x:v>
      </x:c>
      <x:c r="AB39" s="28" t="str">
        <x:v>Бузина (цветки бузины): ревень</x:v>
      </x:c>
      <x:c r="AC39" s="28" t="n">
        <x:v>1</x:v>
      </x:c>
      <x:c r="AD39" s="28" t="n">
        <x:v>1</x:v>
      </x:c>
    </x:row>
    <x:row r="40" ht="58" customHeight="1">
      <x:c r="A40" s="28" t="str">
        <x:v>BER-0039</x:v>
      </x:c>
      <x:c r="B40" s="28" t="str">
        <x:v>Универсальные</x:v>
      </x:c>
      <x:c r="C40" s="28" t="str">
        <x:v>бузина</x:v>
      </x:c>
      <x:c r="D40" s="28" t="str">
        <x:v>Бузина | Бузина (цветки бузины)</x:v>
      </x:c>
      <x:c r="E40" s="28" t="str">
        <x:v>Ягоды и производные</x:v>
      </x:c>
      <x:c r="F40" s="28" t="str">
        <x:v>розмарин</x:v>
      </x:c>
      <x:c r="G40" s="28" t="str">
        <x:v>розмарин</x:v>
      </x:c>
      <x:c r="H40" s="28" t="str">
        <x:v>Травы и цветы</x:v>
      </x:c>
      <x:c r="I40" s="28" t="str">
        <x:v>зелёный, тёмно-фруктовый, цветочный</x:v>
      </x:c>
      <x:c r="J40" s="28" t="str">
        <x:v>зелёный, травянистый, цветочный</x:v>
      </x:c>
      <x:c r="K40" s="28" t="str">
        <x:v>альдегиды, терпены, эфиры</x:v>
      </x:c>
      <x:c r="L40" s="28" t="str">
        <x:v>гераниол, линалоол, терпены, эвгенол</x:v>
      </x:c>
      <x:c r="M40" s="28" t="str">
        <x:v>зелёный, цветочный</x:v>
      </x:c>
      <x:c r="N40" s="28" t="str">
        <x:v>терпены</x:v>
      </x:c>
      <x:c r="O40" s="28" t="str">
        <x:v>ароматическое сходство + вкусовой баланс</x:v>
      </x:c>
      <x:c r="P40" s="28" t="str">
        <x:v>Ягодная сладость смягчает горечь и пряность, а кислотность делает горьковатый, свежий профиль ярче.</x:v>
      </x:c>
      <x:c r="Q40" s="28" t="str">
        <x:v>Специфического тройничного эффекта обычно нет; кислотность усиливает слюноотделение.</x:v>
      </x:c>
      <x:c r="R40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0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0" s="28" t="str">
        <x:v>лимон или мёд</x:v>
      </x:c>
      <x:c r="W4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40" s="28" t="str">
        <x:v>напитки; еда; соусы/маринады</x:v>
      </x:c>
      <x:c r="Y40" s="28" t="str">
        <x:v>Средняя</x:v>
      </x:c>
      <x:c r="Z40" s="28" t="str">
        <x:v>Таблица сочетаний</x:v>
      </x:c>
      <x:c r="AA40" s="28" t="str">
        <x:v>Таблица сочетаний: 7, 8</x:v>
      </x:c>
      <x:c r="AB40" s="28" t="str">
        <x:v>Бузина: розмарин | Бузина (цветки бузины): розмарин</x:v>
      </x:c>
      <x:c r="AC40" s="28" t="n">
        <x:v>1</x:v>
      </x:c>
      <x:c r="AD40" s="28" t="n">
        <x:v>2</x:v>
      </x:c>
    </x:row>
    <x:row r="41" ht="58" customHeight="1">
      <x:c r="A41" s="28" t="str">
        <x:v>BER-0040</x:v>
      </x:c>
      <x:c r="B41" s="28" t="str">
        <x:v>Универсальные</x:v>
      </x:c>
      <x:c r="C41" s="28" t="str">
        <x:v>бузина</x:v>
      </x:c>
      <x:c r="D41" s="28" t="str">
        <x:v>цветки бузины</x:v>
      </x:c>
      <x:c r="E41" s="28" t="str">
        <x:v>Ягоды и производные</x:v>
      </x:c>
      <x:c r="F41" s="28" t="str">
        <x:v>тархун</x:v>
      </x:c>
      <x:c r="G41" s="28" t="str">
        <x:v>Тархун</x:v>
      </x:c>
      <x:c r="H41" s="28" t="str">
        <x:v>Прочее</x:v>
      </x:c>
      <x:c r="I41" s="28" t="str">
        <x:v>зелёный, тёмно-фруктовый, цветочный</x:v>
      </x:c>
      <x:c r="J41" s="28" t="str">
        <x:v>комплексный</x:v>
      </x:c>
      <x:c r="K41" s="28" t="str">
        <x:v>альдегиды, терпены, эфиры</x:v>
      </x:c>
      <x:c r="L41" s="28" t="str">
        <x:v>нет надёжной конкретизации</x:v>
      </x:c>
      <x:c r="M41" s="28" t="str">
        <x:v>прямое совпадение семейств не установлено</x:v>
      </x:c>
      <x:c r="N41" s="28" t="str">
        <x:v>не подтверждены; механизм не сводится к одной общей молекуле</x:v>
      </x:c>
      <x:c r="O41" s="28" t="str">
        <x:v>контраст/комплементарность + матричный эффект</x:v>
      </x:c>
      <x:c r="P41" s="28" t="str">
        <x:v>Оба компонента формируют кисло-сладкий, терпкий и зависит от ингредиента контур; сахар, кислота и горечь должны быть выровнены дегустацией.</x:v>
      </x:c>
      <x:c r="Q41" s="28" t="str">
        <x:v>Специфического тройничного эффекта обычно нет; кислотность усиливает слюноотделение.</x:v>
      </x:c>
      <x:c r="R41" s="28" t="str">
        <x:v>Ягода: ягоды обычно требуют термообработки; цветы и ягоды имеют разные профили. Партнёр: механизм зависит от конкретного продукта. В воде аромат раскрывается быстрее, в жире и этаноле — дольше удерживается.</x:v>
      </x:c>
      <x:c r="S4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тёмно-фруктовый, цветочный; партнёр — комплексный. Оба компонента формируют кисло-сладкий, терпкий и зависит от ингредиента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1" s="28" t="str">
        <x:v>лимон или ваниль</x:v>
      </x:c>
      <x:c r="W41" s="28" t="str">
        <x:v>сенсорная проба в малой дозировке</x:v>
      </x:c>
      <x:c r="X41" s="28" t="str">
        <x:v>универсально</x:v>
      </x:c>
      <x:c r="Y41" s="28" t="str">
        <x:v>Средняя</x:v>
      </x:c>
      <x:c r="Z41" s="28" t="str">
        <x:v>Таблица сочетаний</x:v>
      </x:c>
      <x:c r="AA41" s="28" t="str">
        <x:v>Таблица сочетаний: 21</x:v>
      </x:c>
      <x:c r="AB41" s="28" t="str">
        <x:v>Тархун: цветки бузины</x:v>
      </x:c>
      <x:c r="AC41" s="28" t="n">
        <x:v>1</x:v>
      </x:c>
      <x:c r="AD41" s="28" t="n">
        <x:v>1</x:v>
      </x:c>
    </x:row>
    <x:row r="42" ht="58" customHeight="1">
      <x:c r="A42" s="28" t="str">
        <x:v>BER-0041</x:v>
      </x:c>
      <x:c r="B42" s="28" t="str">
        <x:v>Универсальные</x:v>
      </x:c>
      <x:c r="C42" s="28" t="str">
        <x:v>бузина</x:v>
      </x:c>
      <x:c r="D42" s="28" t="str">
        <x:v>Бузина (цветки бузины)</x:v>
      </x:c>
      <x:c r="E42" s="28" t="str">
        <x:v>Ягоды и производные</x:v>
      </x:c>
      <x:c r="F42" s="28" t="str">
        <x:v>тимьян</x:v>
      </x:c>
      <x:c r="G42" s="28" t="str">
        <x:v>тимьян</x:v>
      </x:c>
      <x:c r="H42" s="28" t="str">
        <x:v>Травы и цветы</x:v>
      </x:c>
      <x:c r="I42" s="28" t="str">
        <x:v>зелёный, тёмно-фруктовый, цветочный</x:v>
      </x:c>
      <x:c r="J42" s="28" t="str">
        <x:v>зелёный, травянистый, цветочный</x:v>
      </x:c>
      <x:c r="K42" s="28" t="str">
        <x:v>альдегиды, терпены, эфиры</x:v>
      </x:c>
      <x:c r="L42" s="28" t="str">
        <x:v>гераниол, линалоол, терпены, эвгенол</x:v>
      </x:c>
      <x:c r="M42" s="28" t="str">
        <x:v>зелёный, цветочный</x:v>
      </x:c>
      <x:c r="N42" s="28" t="str">
        <x:v>терпены</x:v>
      </x:c>
      <x:c r="O42" s="28" t="str">
        <x:v>ароматическое сходство + вкусовой баланс</x:v>
      </x:c>
      <x:c r="P42" s="28" t="str">
        <x:v>Ягодная сладость смягчает горечь и пряность, а кислотность делает горьковатый, свежий профиль ярче.</x:v>
      </x:c>
      <x:c r="Q42" s="28" t="str">
        <x:v>Специфического тройничного эффекта обычно нет; кислотность усиливает слюноотделение.</x:v>
      </x:c>
      <x:c r="R42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2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2" s="28" t="str">
        <x:v>лимон или мёд</x:v>
      </x:c>
      <x:c r="W4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42" s="28" t="str">
        <x:v>напитки; еда; соусы/маринады</x:v>
      </x:c>
      <x:c r="Y42" s="28" t="str">
        <x:v>Средняя</x:v>
      </x:c>
      <x:c r="Z42" s="28" t="str">
        <x:v>Таблица сочетаний</x:v>
      </x:c>
      <x:c r="AA42" s="28" t="str">
        <x:v>Таблица сочетаний: 8</x:v>
      </x:c>
      <x:c r="AB42" s="28" t="str">
        <x:v>Бузина (цветки бузины): тимьян</x:v>
      </x:c>
      <x:c r="AC42" s="28" t="n">
        <x:v>1</x:v>
      </x:c>
      <x:c r="AD42" s="28" t="n">
        <x:v>1</x:v>
      </x:c>
    </x:row>
    <x:row r="43" ht="58" customHeight="1">
      <x:c r="A43" s="28" t="str">
        <x:v>BER-0042</x:v>
      </x:c>
      <x:c r="B43" s="28" t="str">
        <x:v>Универсальные</x:v>
      </x:c>
      <x:c r="C43" s="28" t="str">
        <x:v>бузина</x:v>
      </x:c>
      <x:c r="D43" s="28" t="str">
        <x:v>цветки бузины</x:v>
      </x:c>
      <x:c r="E43" s="28" t="str">
        <x:v>Ягоды и производные</x:v>
      </x:c>
      <x:c r="F43" s="28" t="str">
        <x:v>фиалка</x:v>
      </x:c>
      <x:c r="G43" s="28" t="str">
        <x:v>Фиалка</x:v>
      </x:c>
      <x:c r="H43" s="28" t="str">
        <x:v>Травы и цветы</x:v>
      </x:c>
      <x:c r="I43" s="28" t="str">
        <x:v>зелёный, тёмно-фруктовый, цветочный</x:v>
      </x:c>
      <x:c r="J43" s="28" t="str">
        <x:v>зелёный, травянистый, цветочный</x:v>
      </x:c>
      <x:c r="K43" s="28" t="str">
        <x:v>альдегиды, терпены, эфиры</x:v>
      </x:c>
      <x:c r="L43" s="28" t="str">
        <x:v>гераниол, линалоол, терпены, эвгенол</x:v>
      </x:c>
      <x:c r="M43" s="28" t="str">
        <x:v>зелёный, цветочный</x:v>
      </x:c>
      <x:c r="N43" s="28" t="str">
        <x:v>терпены</x:v>
      </x:c>
      <x:c r="O43" s="28" t="str">
        <x:v>ароматическое сходство + вкусовой баланс</x:v>
      </x:c>
      <x:c r="P43" s="28" t="str">
        <x:v>Ягодная сладость смягчает горечь и пряность, а кислотность делает горьковатый, свежий профиль ярче.</x:v>
      </x:c>
      <x:c r="Q43" s="28" t="str">
        <x:v>Специфического тройничного эффекта обычно нет; кислотность усиливает слюноотделение.</x:v>
      </x:c>
      <x:c r="R43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3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3" s="28" t="str">
        <x:v>лимон или мёд</x:v>
      </x:c>
      <x:c r="W43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43" s="28" t="str">
        <x:v>напитки; еда; соусы/маринады</x:v>
      </x:c>
      <x:c r="Y43" s="28" t="str">
        <x:v>Средняя</x:v>
      </x:c>
      <x:c r="Z43" s="28" t="str">
        <x:v>Таблица сочетаний</x:v>
      </x:c>
      <x:c r="AA43" s="28" t="str">
        <x:v>Таблица сочетаний: 21</x:v>
      </x:c>
      <x:c r="AB43" s="28" t="str">
        <x:v>Фиалка: цветки бузины</x:v>
      </x:c>
      <x:c r="AC43" s="28" t="n">
        <x:v>1</x:v>
      </x:c>
      <x:c r="AD43" s="28" t="n">
        <x:v>1</x:v>
      </x:c>
    </x:row>
    <x:row r="44" ht="58" customHeight="1">
      <x:c r="A44" s="28" t="str">
        <x:v>BER-0043</x:v>
      </x:c>
      <x:c r="B44" s="28" t="str">
        <x:v>Десерты и выпечка</x:v>
      </x:c>
      <x:c r="C44" s="28" t="str">
        <x:v>бузина</x:v>
      </x:c>
      <x:c r="D44" s="28" t="str">
        <x:v>elderberry</x:v>
      </x:c>
      <x:c r="E44" s="28" t="str">
        <x:v>Ягоды и производные</x:v>
      </x:c>
      <x:c r="F44" s="28" t="str">
        <x:v>фундук</x:v>
      </x:c>
      <x:c r="G44" s="28" t="str">
        <x:v>Hazelnut</x:v>
      </x:c>
      <x:c r="H44" s="28" t="str">
        <x:v>Орехи и семена</x:v>
      </x:c>
      <x:c r="I44" s="28" t="str">
        <x:v>зелёный, тёмно-фруктовый, цветочный</x:v>
      </x:c>
      <x:c r="J44" s="28" t="str">
        <x:v>жареный, миндальный, ореховый</x:v>
      </x:c>
      <x:c r="K44" s="28" t="str">
        <x:v>альдегиды, терпены, эфиры</x:v>
      </x:c>
      <x:c r="L44" s="28" t="str">
        <x:v>бензальдегид, пиразины, фураны</x:v>
      </x:c>
      <x:c r="M44" s="28" t="str">
        <x:v>прямое совпадение семейств не установлено</x:v>
      </x:c>
      <x:c r="N44" s="28" t="str">
        <x:v>не подтверждены; механизм не сводится к одной общей молекуле</x:v>
      </x:c>
      <x:c r="O44" s="28" t="str">
        <x:v>контраст/комплементарность + матричный эффект</x:v>
      </x:c>
      <x:c r="P44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44" s="28" t="str">
        <x:v>Специфического тройничного эффекта обычно нет; кислотность усиливает слюноотделение.</x:v>
      </x:c>
      <x:c r="R44" s="28" t="str">
        <x:v>Жировая фаза удерживает гидрофобные одоранты и продлевает послевкусие; кислотность ягод повышает слюноотделение.</x:v>
      </x:c>
      <x:c r="S4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тёмно-фруктовый,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4" s="28" t="str">
        <x:v>ваниль или сливки</x:v>
      </x:c>
      <x:c r="W44" s="28" t="str">
        <x:v>сорбет, крем, ганаш, выпечка, джем или соус для десерта</x:v>
      </x:c>
      <x:c r="X44" s="28" t="str">
        <x:v>десерты</x:v>
      </x:c>
      <x:c r="Y44" s="28" t="str">
        <x:v>Средняя</x:v>
      </x:c>
      <x:c r="Z44" s="28" t="str">
        <x:v>The Art &amp; Science of Foodpairing</x:v>
      </x:c>
      <x:c r="AA44" s="28" t="str">
        <x:v>The Art &amp; Science of Foodpairing: 333</x:v>
      </x:c>
      <x:c r="AB44" s="28" t="str">
        <x:v>Ingredient pairings with Hazelnut: elderberry</x:v>
      </x:c>
      <x:c r="AC44" s="28" t="n">
        <x:v>1</x:v>
      </x:c>
      <x:c r="AD44" s="28" t="n">
        <x:v>1</x:v>
      </x:c>
    </x:row>
    <x:row r="45" ht="58" customHeight="1">
      <x:c r="A45" s="28" t="str">
        <x:v>BER-0044</x:v>
      </x:c>
      <x:c r="B45" s="28" t="str">
        <x:v>Универсальные</x:v>
      </x:c>
      <x:c r="C45" s="28" t="str">
        <x:v>бузина</x:v>
      </x:c>
      <x:c r="D45" s="28" t="str">
        <x:v>Бузина (цветки бузины)</x:v>
      </x:c>
      <x:c r="E45" s="28" t="str">
        <x:v>Ягоды и производные</x:v>
      </x:c>
      <x:c r="F45" s="28" t="str">
        <x:v>чёрный перец</x:v>
      </x:c>
      <x:c r="G45" s="28" t="str">
        <x:v>чёрный перец</x:v>
      </x:c>
      <x:c r="H45" s="28" t="str">
        <x:v>Специи</x:v>
      </x:c>
      <x:c r="I45" s="28" t="str">
        <x:v>зелёный, тёмно-фруктовый, цветочный</x:v>
      </x:c>
      <x:c r="J45" s="28" t="str">
        <x:v>древесный, пряный, тёплый</x:v>
      </x:c>
      <x:c r="K45" s="28" t="str">
        <x:v>альдегиды, терпены, эфиры</x:v>
      </x:c>
      <x:c r="L45" s="28" t="str">
        <x:v>коричный альдегид, терпены, эвгенол</x:v>
      </x:c>
      <x:c r="M45" s="28" t="str">
        <x:v>прямое совпадение семейств не установлено</x:v>
      </x:c>
      <x:c r="N45" s="28" t="str">
        <x:v>терпены</x:v>
      </x:c>
      <x:c r="O45" s="28" t="str">
        <x:v>ароматическое сходство + вкусовой баланс</x:v>
      </x:c>
      <x:c r="P45" s="28" t="str">
        <x:v>Ягодная сладость смягчает горечь и пряность, а кислотность делает пряный, иногда горький профиль ярче.</x:v>
      </x:c>
      <x:c r="Q45" s="28" t="str">
        <x:v>Специфического тройничного эффекта обычно нет; кислотность усиливает слюноотделение.</x:v>
      </x:c>
      <x:c r="R45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5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5" s="28" t="str">
        <x:v>Пряность дозировать как акцент: она быстро перекрывает тонкие ягодные эфиры.</x:v>
      </x:c>
      <x:c r="V45" s="28" t="str">
        <x:v>мёд или цитрус</x:v>
      </x:c>
      <x:c r="W4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45" s="28" t="str">
        <x:v>напитки; десерты; еда; соусы/маринады</x:v>
      </x:c>
      <x:c r="Y45" s="28" t="str">
        <x:v>Средняя</x:v>
      </x:c>
      <x:c r="Z45" s="28" t="str">
        <x:v>Таблица сочетаний</x:v>
      </x:c>
      <x:c r="AA45" s="28" t="str">
        <x:v>Таблица сочетаний: 7</x:v>
      </x:c>
      <x:c r="AB45" s="28" t="str">
        <x:v>Бузина (цветки бузины): чёрный перец</x:v>
      </x:c>
      <x:c r="AC45" s="28" t="n">
        <x:v>1</x:v>
      </x:c>
      <x:c r="AD45" s="28" t="n">
        <x:v>1</x:v>
      </x:c>
    </x:row>
    <x:row r="46" ht="58" customHeight="1">
      <x:c r="A46" s="28" t="str">
        <x:v>BER-0045</x:v>
      </x:c>
      <x:c r="B46" s="28" t="str">
        <x:v>Универсальные</x:v>
      </x:c>
      <x:c r="C46" s="28" t="str">
        <x:v>бузина</x:v>
      </x:c>
      <x:c r="D46" s="28" t="str">
        <x:v>Бузина (цветки бузины)</x:v>
      </x:c>
      <x:c r="E46" s="28" t="str">
        <x:v>Ягоды и производные</x:v>
      </x:c>
      <x:c r="F46" s="28" t="str">
        <x:v>шалфей</x:v>
      </x:c>
      <x:c r="G46" s="28" t="str">
        <x:v>шалфей</x:v>
      </x:c>
      <x:c r="H46" s="28" t="str">
        <x:v>Травы и цветы</x:v>
      </x:c>
      <x:c r="I46" s="28" t="str">
        <x:v>зелёный, тёмно-фруктовый, цветочный</x:v>
      </x:c>
      <x:c r="J46" s="28" t="str">
        <x:v>зелёный, травянистый, цветочный</x:v>
      </x:c>
      <x:c r="K46" s="28" t="str">
        <x:v>альдегиды, терпены, эфиры</x:v>
      </x:c>
      <x:c r="L46" s="28" t="str">
        <x:v>гераниол, линалоол, терпены, эвгенол</x:v>
      </x:c>
      <x:c r="M46" s="28" t="str">
        <x:v>зелёный, цветочный</x:v>
      </x:c>
      <x:c r="N46" s="28" t="str">
        <x:v>терпены</x:v>
      </x:c>
      <x:c r="O46" s="28" t="str">
        <x:v>ароматическое сходство + вкусовой баланс</x:v>
      </x:c>
      <x:c r="P46" s="28" t="str">
        <x:v>Ягодная сладость смягчает горечь и пряность, а кислотность делает горьковатый, свежий профиль ярче.</x:v>
      </x:c>
      <x:c r="Q46" s="28" t="str">
        <x:v>Специфического тройничного эффекта обычно нет; кислотность усиливает слюноотделение.</x:v>
      </x:c>
      <x:c r="R46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6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6" s="28" t="str">
        <x:v>лимон или мёд</x:v>
      </x:c>
      <x:c r="W4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46" s="28" t="str">
        <x:v>напитки; еда; соусы/маринады</x:v>
      </x:c>
      <x:c r="Y46" s="28" t="str">
        <x:v>Средняя</x:v>
      </x:c>
      <x:c r="Z46" s="28" t="str">
        <x:v>Таблица сочетаний</x:v>
      </x:c>
      <x:c r="AA46" s="28" t="str">
        <x:v>Таблица сочетаний: 7</x:v>
      </x:c>
      <x:c r="AB46" s="28" t="str">
        <x:v>Бузина (цветки бузины): шалфей</x:v>
      </x:c>
      <x:c r="AC46" s="28" t="n">
        <x:v>1</x:v>
      </x:c>
      <x:c r="AD46" s="28" t="n">
        <x:v>1</x:v>
      </x:c>
    </x:row>
    <x:row r="47" ht="58" customHeight="1">
      <x:c r="A47" s="28" t="str">
        <x:v>BER-0046</x:v>
      </x:c>
      <x:c r="B47" s="28" t="str">
        <x:v>Универсальные</x:v>
      </x:c>
      <x:c r="C47" s="28" t="str">
        <x:v>бузина</x:v>
      </x:c>
      <x:c r="D47" s="28" t="str">
        <x:v>Бузина (цветки бузины)</x:v>
      </x:c>
      <x:c r="E47" s="28" t="str">
        <x:v>Ягоды и производные</x:v>
      </x:c>
      <x:c r="F47" s="28" t="str">
        <x:v>яблоко</x:v>
      </x:c>
      <x:c r="G47" s="28" t="str">
        <x:v>яблоко</x:v>
      </x:c>
      <x:c r="H47" s="28" t="str">
        <x:v>Фрукты</x:v>
      </x:c>
      <x:c r="I47" s="28" t="str">
        <x:v>зелёный, тёмно-фруктовый, цветочный</x:v>
      </x:c>
      <x:c r="J47" s="28" t="str">
        <x:v>зелёный, фруктовый, цветочный</x:v>
      </x:c>
      <x:c r="K47" s="28" t="str">
        <x:v>альдегиды, терпены, эфиры</x:v>
      </x:c>
      <x:c r="L47" s="28" t="str">
        <x:v>лактоны, терпены, эфиры</x:v>
      </x:c>
      <x:c r="M47" s="28" t="str">
        <x:v>зелёный, цветочный</x:v>
      </x:c>
      <x:c r="N47" s="28" t="str">
        <x:v>терпены, эфиры</x:v>
      </x:c>
      <x:c r="O47" s="28" t="str">
        <x:v>ароматическое сходство + вкусовой баланс</x:v>
      </x:c>
      <x:c r="P47" s="28" t="str">
        <x:v>Оба компонента формируют кисло-сладкий, терпкий и сладко-кислый контур; сахар, кислота и горечь должны быть выровнены дегустацией.</x:v>
      </x:c>
      <x:c r="Q47" s="28" t="str">
        <x:v>Специфического тройничного эффекта обычно нет; кислотность усиливает слюноотделение.</x:v>
      </x:c>
      <x:c r="R47" s="28" t="str">
        <x:v>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</x:v>
      </x:c>
      <x:c r="S4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7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7" s="28" t="str">
        <x:v>ваниль или лимон</x:v>
      </x:c>
      <x:c r="W4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47" s="28" t="str">
        <x:v>напитки; десерты</x:v>
      </x:c>
      <x:c r="Y47" s="28" t="str">
        <x:v>Средняя</x:v>
      </x:c>
      <x:c r="Z47" s="28" t="str">
        <x:v>Таблица сочетаний</x:v>
      </x:c>
      <x:c r="AA47" s="28" t="str">
        <x:v>Таблица сочетаний: 7</x:v>
      </x:c>
      <x:c r="AB47" s="28" t="str">
        <x:v>Бузина (цветки бузины): яблоко</x:v>
      </x:c>
      <x:c r="AC47" s="28" t="n">
        <x:v>1</x:v>
      </x:c>
      <x:c r="AD47" s="28" t="n">
        <x:v>1</x:v>
      </x:c>
    </x:row>
    <x:row r="48" ht="58" customHeight="1">
      <x:c r="A48" s="28" t="str">
        <x:v>BER-0047</x:v>
      </x:c>
      <x:c r="B48" s="28" t="str">
        <x:v>Универсальные</x:v>
      </x:c>
      <x:c r="C48" s="28" t="str">
        <x:v>бузина</x:v>
      </x:c>
      <x:c r="D48" s="28" t="str">
        <x:v>Бузина | Бузина (цветки бузины)</x:v>
      </x:c>
      <x:c r="E48" s="28" t="str">
        <x:v>Ягоды и производные</x:v>
      </x:c>
      <x:c r="F48" s="28" t="str">
        <x:v>ягоды</x:v>
      </x:c>
      <x:c r="G48" s="28" t="str">
        <x:v>ягоды</x:v>
      </x:c>
      <x:c r="H48" s="28" t="str">
        <x:v>Прочее</x:v>
      </x:c>
      <x:c r="I48" s="28" t="str">
        <x:v>зелёный, тёмно-фруктовый, цветочный</x:v>
      </x:c>
      <x:c r="J48" s="28" t="str">
        <x:v>комплексный</x:v>
      </x:c>
      <x:c r="K48" s="28" t="str">
        <x:v>альдегиды, терпены, эфиры</x:v>
      </x:c>
      <x:c r="L48" s="28" t="str">
        <x:v>нет надёжной конкретизации</x:v>
      </x:c>
      <x:c r="M48" s="28" t="str">
        <x:v>прямое совпадение семейств не установлено</x:v>
      </x:c>
      <x:c r="N48" s="28" t="str">
        <x:v>не подтверждены; механизм не сводится к одной общей молекуле</x:v>
      </x:c>
      <x:c r="O48" s="28" t="str">
        <x:v>контраст/комплементарность + матричный эффект</x:v>
      </x:c>
      <x:c r="P48" s="28" t="str">
        <x:v>Оба компонента формируют кисло-сладкий, терпкий и зависит от ингредиента контур; сахар, кислота и горечь должны быть выровнены дегустацией.</x:v>
      </x:c>
      <x:c r="Q48" s="28" t="str">
        <x:v>Специфического тройничного эффекта обычно нет; кислотность усиливает слюноотделение.</x:v>
      </x:c>
      <x:c r="R48" s="28" t="str">
        <x:v>Ягода: ягоды обычно требуют термообработки; цветы и ягоды имеют разные профили. Партнёр: механизм зависит от конкретного продукта. В воде аромат раскрывается быстрее, в жире и этаноле — дольше удерживается.</x:v>
      </x:c>
      <x:c r="S4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тёмно-фруктовый, цветочный; партнёр — комплексный. Оба компонента формируют кисло-сладкий, терпкий и зависит от ингредиента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8" s="28" t="str">
        <x:v>лимон или ваниль</x:v>
      </x:c>
      <x:c r="W48" s="28" t="str">
        <x:v>сенсорная проба в малой дозировке</x:v>
      </x:c>
      <x:c r="X48" s="28" t="str">
        <x:v>универсально</x:v>
      </x:c>
      <x:c r="Y48" s="28" t="str">
        <x:v>Средняя</x:v>
      </x:c>
      <x:c r="Z48" s="28" t="str">
        <x:v>Таблица сочетаний</x:v>
      </x:c>
      <x:c r="AA48" s="28" t="str">
        <x:v>Таблица сочетаний: 7, 8</x:v>
      </x:c>
      <x:c r="AB48" s="28" t="str">
        <x:v>Бузина: ягоды | Бузина (цветки бузины): ягоды</x:v>
      </x:c>
      <x:c r="AC48" s="28" t="n">
        <x:v>1</x:v>
      </x:c>
      <x:c r="AD48" s="28" t="n">
        <x:v>2</x:v>
      </x:c>
    </x:row>
    <x:row r="49" ht="58" customHeight="1">
      <x:c r="A49" s="28" t="str">
        <x:v>BER-0048</x:v>
      </x:c>
      <x:c r="B49" s="28" t="str">
        <x:v>Универсальные</x:v>
      </x:c>
      <x:c r="C49" s="28" t="str">
        <x:v>бузиновый сок</x:v>
      </x:c>
      <x:c r="D49" s="28" t="str">
        <x:v>elderberry juice</x:v>
      </x:c>
      <x:c r="E49" s="28" t="str">
        <x:v>Ягоды и производные</x:v>
      </x:c>
      <x:c r="F49" s="28" t="str">
        <x:v>клубника</x:v>
      </x:c>
      <x:c r="G49" s="28" t="str">
        <x:v>Strawberry</x:v>
      </x:c>
      <x:c r="H49" s="28" t="str">
        <x:v>Ягоды и производные</x:v>
      </x:c>
      <x:c r="I49" s="28" t="str">
        <x:v>комплексный</x:v>
      </x:c>
      <x:c r="J49" s="28" t="str">
        <x:v>зелёный, карамельный, сливочный, фруктовый, цветочный</x:v>
      </x:c>
      <x:c r="K49" s="28" t="str">
        <x:v>нет надёжной конкретизации</x:v>
      </x:c>
      <x:c r="L49" s="28" t="str">
        <x:v>линалоол, мезифуран, фуранеол, цис-3-гексеналь, этилбутират</x:v>
      </x:c>
      <x:c r="M49" s="28" t="str">
        <x:v>прямое совпадение семейств не установлено</x:v>
      </x:c>
      <x:c r="N49" s="28" t="str">
        <x:v>не подтверждены; механизм не сводится к одной общей молекуле</x:v>
      </x:c>
      <x:c r="O49" s="28" t="str">
        <x:v>контраст/комплементарность + матричный эффект</x:v>
      </x:c>
      <x:c r="P49" s="28" t="str">
        <x:v>Оба компонента формируют зависит от ингредиента и сладко-кислый контур; сахар, кислота и горечь должны быть выровнены дегустацией.</x:v>
      </x:c>
      <x:c r="Q49" s="28" t="str">
        <x:v>Специфического тройничного эффекта обычно нет; кислотность усиливает слюноотделение.</x:v>
      </x:c>
      <x:c r="R49" s="28" t="str">
        <x:v>Ягода: механизм зависит от конкретного продукта. Партнёр: высокая доля воды; аромат чувствителен к перегреву. В воде аромат раскрывается быстрее, в жире и этаноле — дольше удерживается.</x:v>
      </x:c>
      <x:c r="S4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карамельный, сливочный, фруктовый, цветочный. Оба компонента формируют зависит от ингредиента и сладко-кислый контур; сахар, кислота и горечь должны быть выровнены дегустацией. Ягода: механизм зависит от конкретного продукта. Партнёр: высокая доля воды; аромат чувствителен к перегреву.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9" s="28" t="str">
        <x:v>ваниль или роза</x:v>
      </x:c>
      <x:c r="W4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49" s="28" t="str">
        <x:v>напитки; десерты</x:v>
      </x:c>
      <x:c r="Y49" s="28" t="str">
        <x:v>Средняя</x:v>
      </x:c>
      <x:c r="Z49" s="28" t="str">
        <x:v>The Art &amp; Science of Foodpairing</x:v>
      </x:c>
      <x:c r="AA49" s="28" t="str">
        <x:v>The Art &amp; Science of Foodpairing: 71</x:v>
      </x:c>
      <x:c r="AB49" s="28" t="str">
        <x:v>Ingredient pairings with Strawberry: elderberry juice</x:v>
      </x:c>
      <x:c r="AC49" s="28" t="n">
        <x:v>1</x:v>
      </x:c>
      <x:c r="AD49" s="28" t="n">
        <x:v>1</x:v>
      </x:c>
    </x:row>
    <x:row r="50" ht="58" customHeight="1">
      <x:c r="A50" s="28" t="str">
        <x:v>BER-0049</x:v>
      </x:c>
      <x:c r="B50" s="28" t="str">
        <x:v>Универсальные</x:v>
      </x:c>
      <x:c r="C50" s="28" t="str">
        <x:v>бузиновый сок</x:v>
      </x:c>
      <x:c r="D50" s="28" t="str">
        <x:v>elderberry juice</x:v>
      </x:c>
      <x:c r="E50" s="28" t="str">
        <x:v>Ягоды и производные</x:v>
      </x:c>
      <x:c r="F50" s="28" t="str">
        <x:v>кокос</x:v>
      </x:c>
      <x:c r="G50" s="28" t="str">
        <x:v>Coconut</x:v>
      </x:c>
      <x:c r="H50" s="28" t="str">
        <x:v>Прочее</x:v>
      </x:c>
      <x:c r="I50" s="28" t="str">
        <x:v>комплексный</x:v>
      </x:c>
      <x:c r="J50" s="28" t="str">
        <x:v>комплексный</x:v>
      </x:c>
      <x:c r="K50" s="28" t="str">
        <x:v>нет надёжной конкретизации</x:v>
      </x:c>
      <x:c r="L50" s="28" t="str">
        <x:v>нет надёжной конкретизации</x:v>
      </x:c>
      <x:c r="M50" s="28" t="str">
        <x:v>комплексный</x:v>
      </x:c>
      <x:c r="N50" s="28" t="str">
        <x:v>не подтверждены; механизм не сводится к одной общей молекуле</x:v>
      </x:c>
      <x:c r="O50" s="28" t="str">
        <x:v>сходство ароматических семейств + комплементарность</x:v>
      </x:c>
      <x:c r="P50" s="28" t="str">
        <x:v>Оба компонента формируют зависит от ингредиента и зависит от ингредиента контур; сахар, кислота и горечь должны быть выровнены дегустацией.</x:v>
      </x:c>
      <x:c r="Q50" s="28" t="str">
        <x:v>Специфического тройничного эффекта обычно нет; кислотность усиливает слюноотделение.</x:v>
      </x:c>
      <x:c r="R50" s="28" t="str">
        <x:v>Ягода: механизм зависит от конкретного продукта. Партнёр: механизм зависит от конкретного продукта. В воде аромат раскрывается быстрее, в жире и этаноле — дольше удерживается.</x:v>
      </x:c>
      <x:c r="S5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0" s="28" t="str">
        <x:v>Общие ароматические семейства: комплексный; конкретная доля одорантов зависит от сорта и обработки. Ягодный компонент несёт семейства комплексный; партнёр — комплексный. Оба компонента формируют зависит от ингредиента и зависит от ингредиента контур; сахар, кислота и горечь должны быть выровнены дегустацией. Ягода: механизм зависит от конкретного продукта.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0" s="28" t="str">
        <x:v>лимон или ваниль</x:v>
      </x:c>
      <x:c r="W50" s="28" t="str">
        <x:v>сенсорная проба в малой дозировке</x:v>
      </x:c>
      <x:c r="X50" s="28" t="str">
        <x:v>универсально</x:v>
      </x:c>
      <x:c r="Y50" s="28" t="str">
        <x:v>Средняя</x:v>
      </x:c>
      <x:c r="Z50" s="28" t="str">
        <x:v>The Art &amp; Science of Foodpairing</x:v>
      </x:c>
      <x:c r="AA50" s="28" t="str">
        <x:v>The Art &amp; Science of Foodpairing: 135</x:v>
      </x:c>
      <x:c r="AB50" s="28" t="str">
        <x:v>Ingredient pairings with Coconut: elderberry juice</x:v>
      </x:c>
      <x:c r="AC50" s="28" t="n">
        <x:v>1</x:v>
      </x:c>
      <x:c r="AD50" s="28" t="n">
        <x:v>1</x:v>
      </x:c>
    </x:row>
    <x:row r="51" ht="58" customHeight="1">
      <x:c r="A51" s="28" t="str">
        <x:v>BER-0050</x:v>
      </x:c>
      <x:c r="B51" s="28" t="str">
        <x:v>Еда и соусы</x:v>
      </x:c>
      <x:c r="C51" s="28" t="str">
        <x:v>бузиновый сок</x:v>
      </x:c>
      <x:c r="D51" s="28" t="str">
        <x:v>elderberry juice</x:v>
      </x:c>
      <x:c r="E51" s="28" t="str">
        <x:v>Ягоды и производные</x:v>
      </x:c>
      <x:c r="F51" s="28" t="str">
        <x:v>морковь</x:v>
      </x:c>
      <x:c r="G51" s="28" t="str">
        <x:v>Carrot</x:v>
      </x:c>
      <x:c r="H51" s="28" t="str">
        <x:v>Овощи и грибы</x:v>
      </x:c>
      <x:c r="I51" s="28" t="str">
        <x:v>комплексный</x:v>
      </x:c>
      <x:c r="J51" s="28" t="str">
        <x:v>зелёный, землистый, сернистый</x:v>
      </x:c>
      <x:c r="K51" s="28" t="str">
        <x:v>нет надёжной конкретизации</x:v>
      </x:c>
      <x:c r="L51" s="28" t="str">
        <x:v>C6-альдегиды, пиразины, сернистые соединения</x:v>
      </x:c>
      <x:c r="M51" s="28" t="str">
        <x:v>прямое совпадение семейств не установлено</x:v>
      </x:c>
      <x:c r="N51" s="28" t="str">
        <x:v>не подтверждены; механизм не сводится к одной общей молекуле</x:v>
      </x:c>
      <x:c r="O51" s="28" t="str">
        <x:v>контраст/комплементарность + матричный эффект</x:v>
      </x:c>
      <x:c r="P51" s="28" t="str">
        <x:v>Оба компонента формируют зависит от ингредиента и растительный, иногда умами контур; сахар, кислота и горечь должны быть выровнены дегустацией.</x:v>
      </x:c>
      <x:c r="Q51" s="28" t="str">
        <x:v>Специфического тройничного эффекта обычно нет; кислотность усиливает слюноотделение.</x:v>
      </x:c>
      <x:c r="R51" s="28" t="str">
        <x:v>Ягода: механизм зависит от конкретного продукта.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5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5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землистый, сернистый. Оба компонента формируют зависит от ингредиента и растительный, иногда умами контур; сахар, кислота и горечь должны быть выровнены дегустацией. Ягода: механизм зависит от конкретного продукта.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5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1" s="28" t="str">
        <x:v>уксус или мягкий сыр</x:v>
      </x:c>
      <x:c r="W51" s="28" t="str">
        <x:v>соус, глазировка, салат, сырная подача или горячее блюдо; маринад, гастрик, чатни, кетчуп или редукция</x:v>
      </x:c>
      <x:c r="X51" s="28" t="str">
        <x:v>еда; соусы/маринады</x:v>
      </x:c>
      <x:c r="Y51" s="28" t="str">
        <x:v>Средняя</x:v>
      </x:c>
      <x:c r="Z51" s="28" t="str">
        <x:v>The Art &amp; Science of Foodpairing</x:v>
      </x:c>
      <x:c r="AA51" s="28" t="str">
        <x:v>The Art &amp; Science of Foodpairing: 232</x:v>
      </x:c>
      <x:c r="AB51" s="28" t="str">
        <x:v>Ingredient pairings with Carrot: elderberry juice</x:v>
      </x:c>
      <x:c r="AC51" s="28" t="n">
        <x:v>1</x:v>
      </x:c>
      <x:c r="AD51" s="28" t="n">
        <x:v>1</x:v>
      </x:c>
    </x:row>
    <x:row r="52" ht="58" customHeight="1">
      <x:c r="A52" s="28" t="str">
        <x:v>BER-0051</x:v>
      </x:c>
      <x:c r="B52" s="28" t="str">
        <x:v>Еда и соусы</x:v>
      </x:c>
      <x:c r="C52" s="28" t="str">
        <x:v>бузиновый сок</x:v>
      </x:c>
      <x:c r="D52" s="28" t="str">
        <x:v>elderberry juice</x:v>
      </x:c>
      <x:c r="E52" s="28" t="str">
        <x:v>Ягоды и производные</x:v>
      </x:c>
      <x:c r="F52" s="28" t="str">
        <x:v>трюфель</x:v>
      </x:c>
      <x:c r="G52" s="28" t="str">
        <x:v>Truffle</x:v>
      </x:c>
      <x:c r="H52" s="28" t="str">
        <x:v>Овощи и грибы</x:v>
      </x:c>
      <x:c r="I52" s="28" t="str">
        <x:v>комплексный</x:v>
      </x:c>
      <x:c r="J52" s="28" t="str">
        <x:v>зелёный, землистый, сернистый</x:v>
      </x:c>
      <x:c r="K52" s="28" t="str">
        <x:v>нет надёжной конкретизации</x:v>
      </x:c>
      <x:c r="L52" s="28" t="str">
        <x:v>C6-альдегиды, пиразины, сернистые соединения</x:v>
      </x:c>
      <x:c r="M52" s="28" t="str">
        <x:v>прямое совпадение семейств не установлено</x:v>
      </x:c>
      <x:c r="N52" s="28" t="str">
        <x:v>не подтверждены; механизм не сводится к одной общей молекуле</x:v>
      </x:c>
      <x:c r="O52" s="28" t="str">
        <x:v>контраст/комплементарность + матричный эффект</x:v>
      </x:c>
      <x:c r="P52" s="28" t="str">
        <x:v>Оба компонента формируют зависит от ингредиента и растительный, иногда умами контур; сахар, кислота и горечь должны быть выровнены дегустацией.</x:v>
      </x:c>
      <x:c r="Q52" s="28" t="str">
        <x:v>Специфического тройничного эффекта обычно нет; кислотность усиливает слюноотделение.</x:v>
      </x:c>
      <x:c r="R52" s="28" t="str">
        <x:v>Ягода: механизм зависит от конкретного продукта.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5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5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землистый, сернистый. Оба компонента формируют зависит от ингредиента и растительный, иногда умами контур; сахар, кислота и горечь должны быть выровнены дегустацией. Ягода: механизм зависит от конкретного продукта.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5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2" s="28" t="str">
        <x:v>уксус или мягкий сыр</x:v>
      </x:c>
      <x:c r="W52" s="28" t="str">
        <x:v>соус, глазировка, салат, сырная подача или горячее блюдо; маринад, гастрик, чатни, кетчуп или редукция</x:v>
      </x:c>
      <x:c r="X52" s="28" t="str">
        <x:v>еда; соусы/маринады</x:v>
      </x:c>
      <x:c r="Y52" s="28" t="str">
        <x:v>Средняя</x:v>
      </x:c>
      <x:c r="Z52" s="28" t="str">
        <x:v>The Art &amp; Science of Foodpairing</x:v>
      </x:c>
      <x:c r="AA52" s="28" t="str">
        <x:v>The Art &amp; Science of Foodpairing: 192</x:v>
      </x:c>
      <x:c r="AB52" s="28" t="str">
        <x:v>Ingredient pairings with Truffle: elderberry juice</x:v>
      </x:c>
      <x:c r="AC52" s="28" t="n">
        <x:v>1</x:v>
      </x:c>
      <x:c r="AD52" s="28" t="n">
        <x:v>1</x:v>
      </x:c>
    </x:row>
    <x:row r="53" ht="58" customHeight="1">
      <x:c r="A53" s="28" t="str">
        <x:v>BER-0052</x:v>
      </x:c>
      <x:c r="B53" s="28" t="str">
        <x:v>Десерты и выпечка</x:v>
      </x:c>
      <x:c r="C53" s="28" t="str">
        <x:v>бузиновый сок</x:v>
      </x:c>
      <x:c r="D53" s="28" t="str">
        <x:v>elderberry juice</x:v>
      </x:c>
      <x:c r="E53" s="28" t="str">
        <x:v>Ягоды и производные</x:v>
      </x:c>
      <x:c r="F53" s="28" t="str">
        <x:v>фундук</x:v>
      </x:c>
      <x:c r="G53" s="28" t="str">
        <x:v>Hazelnut</x:v>
      </x:c>
      <x:c r="H53" s="28" t="str">
        <x:v>Орехи и семена</x:v>
      </x:c>
      <x:c r="I53" s="28" t="str">
        <x:v>комплексный</x:v>
      </x:c>
      <x:c r="J53" s="28" t="str">
        <x:v>жареный, миндальный, ореховый</x:v>
      </x:c>
      <x:c r="K53" s="28" t="str">
        <x:v>нет надёжной конкретизации</x:v>
      </x:c>
      <x:c r="L53" s="28" t="str">
        <x:v>бензальдегид, пиразины, фураны</x:v>
      </x:c>
      <x:c r="M53" s="28" t="str">
        <x:v>прямое совпадение семейств не установлено</x:v>
      </x:c>
      <x:c r="N53" s="28" t="str">
        <x:v>не подтверждены; механизм не сводится к одной общей молекуле</x:v>
      </x:c>
      <x:c r="O53" s="28" t="str">
        <x:v>контраст/комплементарность + матричный эффект</x:v>
      </x:c>
      <x:c r="P53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53" s="28" t="str">
        <x:v>Специфического тройничного эффекта обычно нет; кислотность усиливает слюноотделение.</x:v>
      </x:c>
      <x:c r="R53" s="28" t="str">
        <x:v>Жировая фаза удерживает гидрофобные одоранты и продлевает послевкусие; кислотность ягод повышает слюноотделение.</x:v>
      </x:c>
      <x:c r="S5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3" s="28" t="str">
        <x:v>ваниль или сливки</x:v>
      </x:c>
      <x:c r="W53" s="28" t="str">
        <x:v>сорбет, крем, ганаш, выпечка, джем или соус для десерта</x:v>
      </x:c>
      <x:c r="X53" s="28" t="str">
        <x:v>десерты</x:v>
      </x:c>
      <x:c r="Y53" s="28" t="str">
        <x:v>Средняя</x:v>
      </x:c>
      <x:c r="Z53" s="28" t="str">
        <x:v>The Art &amp; Science of Foodpairing</x:v>
      </x:c>
      <x:c r="AA53" s="28" t="str">
        <x:v>The Art &amp; Science of Foodpairing: 332</x:v>
      </x:c>
      <x:c r="AB53" s="28" t="str">
        <x:v>Ingredient pairings with Hazelnut: elderberry juice</x:v>
      </x:c>
      <x:c r="AC53" s="28" t="n">
        <x:v>1</x:v>
      </x:c>
      <x:c r="AD53" s="28" t="n">
        <x:v>1</x:v>
      </x:c>
    </x:row>
    <x:row r="54" ht="58" customHeight="1">
      <x:c r="A54" s="28" t="str">
        <x:v>BER-0053</x:v>
      </x:c>
      <x:c r="B54" s="28" t="str">
        <x:v>Десерты и выпечка</x:v>
      </x:c>
      <x:c r="C54" s="28" t="str">
        <x:v>бузиновый сок</x:v>
      </x:c>
      <x:c r="D54" s="28" t="str">
        <x:v>elderberry juice</x:v>
      </x:c>
      <x:c r="E54" s="28" t="str">
        <x:v>Ягоды и производные</x:v>
      </x:c>
      <x:c r="F54" s="28" t="str">
        <x:v>шоколад</x:v>
      </x:c>
      <x:c r="G54" s="28" t="str">
        <x:v>Chocolate</x:v>
      </x:c>
      <x:c r="H54" s="28" t="str">
        <x:v>Шоколад, кофе и жареные продукты</x:v>
      </x:c>
      <x:c r="I54" s="28" t="str">
        <x:v>комплексный</x:v>
      </x:c>
      <x:c r="J54" s="28" t="str">
        <x:v>горький, жареный, карамельный, ореховый</x:v>
      </x:c>
      <x:c r="K54" s="28" t="str">
        <x:v>нет надёжной конкретизации</x:v>
      </x:c>
      <x:c r="L54" s="28" t="str">
        <x:v>ванилин, пиразины, фураны</x:v>
      </x:c>
      <x:c r="M54" s="28" t="str">
        <x:v>прямое совпадение семейств не установлено</x:v>
      </x:c>
      <x:c r="N54" s="28" t="str">
        <x:v>не подтверждены; механизм не сводится к одной общей молекуле</x:v>
      </x:c>
      <x:c r="O54" s="28" t="str">
        <x:v>контраст/комплементарность + матричный эффект</x:v>
      </x:c>
      <x:c r="P54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54" s="28" t="str">
        <x:v>Специфического тройничного эффекта обычно нет; кислотность усиливает слюноотделение.</x:v>
      </x:c>
      <x:c r="R54" s="28" t="str">
        <x:v>Жировая фаза удерживает гидрофобные одоранты и продлевает послевкусие; кислотность ягод повышает слюноотделение.</x:v>
      </x:c>
      <x:c r="S5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4" s="28" t="str">
        <x:v>ваниль или орехи</x:v>
      </x:c>
      <x:c r="W54" s="28" t="str">
        <x:v>сорбет, крем, ганаш, выпечка, джем или соус для десерта</x:v>
      </x:c>
      <x:c r="X54" s="28" t="str">
        <x:v>десерты</x:v>
      </x:c>
      <x:c r="Y54" s="28" t="str">
        <x:v>Средняя</x:v>
      </x:c>
      <x:c r="Z54" s="28" t="str">
        <x:v>The Art &amp; Science of Foodpairing</x:v>
      </x:c>
      <x:c r="AA54" s="28" t="str">
        <x:v>The Art &amp; Science of Foodpairing: 63</x:v>
      </x:c>
      <x:c r="AB54" s="28" t="str">
        <x:v>Ingredient pairings with Chocolate: elderberry juice</x:v>
      </x:c>
      <x:c r="AC54" s="28" t="n">
        <x:v>1</x:v>
      </x:c>
      <x:c r="AD54" s="28" t="n">
        <x:v>1</x:v>
      </x:c>
    </x:row>
    <x:row r="55" ht="58" customHeight="1">
      <x:c r="A55" s="28" t="str">
        <x:v>BER-0054</x:v>
      </x:c>
      <x:c r="B55" s="28" t="str">
        <x:v>Универсальные</x:v>
      </x:c>
      <x:c r="C55" s="28" t="str">
        <x:v>вишня</x:v>
      </x:c>
      <x:c r="D55" s="28" t="str">
        <x:v>Вишня | вишня</x:v>
      </x:c>
      <x:c r="E55" s="28" t="str">
        <x:v>Ягоды и производные</x:v>
      </x:c>
      <x:c r="F55" s="28" t="str">
        <x:v>абрикос</x:v>
      </x:c>
      <x:c r="G55" s="28" t="str">
        <x:v>Абрикос | абрикос</x:v>
      </x:c>
      <x:c r="H55" s="28" t="str">
        <x:v>Фрукты</x:v>
      </x:c>
      <x:c r="I55" s="28" t="str">
        <x:v>миндальный, пряный, фруктовый, цветочный</x:v>
      </x:c>
      <x:c r="J55" s="28" t="str">
        <x:v>зелёный, фруктовый, цветочный</x:v>
      </x:c>
      <x:c r="K55" s="28" t="str">
        <x:v>бензальдегид, бета-дамасценон, линалоол, эвгенол</x:v>
      </x:c>
      <x:c r="L55" s="28" t="str">
        <x:v>лактоны, терпены, эфиры</x:v>
      </x:c>
      <x:c r="M55" s="28" t="str">
        <x:v>фруктовый, цветочный</x:v>
      </x:c>
      <x:c r="N55" s="28" t="str">
        <x:v>не подтверждены; механизм не сводится к одной общей молекуле</x:v>
      </x:c>
      <x:c r="O55" s="28" t="str">
        <x:v>сходство ароматических семейств + комплементарность</x:v>
      </x:c>
      <x:c r="P55" s="28" t="str">
        <x:v>Оба компонента формируют сладко-кислый, иногда терпкий и сладко-кислый контур; сахар, кислота и горечь должны быть выровнены дегустацией.</x:v>
      </x:c>
      <x:c r="Q55" s="28" t="str">
        <x:v>Специфического тройничного эффекта обычно нет; кислотность усиливает слюноотделение.</x:v>
      </x:c>
      <x:c r="R55" s="28" t="str">
        <x:v>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</x:v>
      </x:c>
      <x:c r="S5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5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5" s="28" t="str">
        <x:v>Не использовать повреждённые косточки без валидированной технологии: они содержат цианогенные гликозиды.</x:v>
      </x:c>
      <x:c r="V55" s="28" t="str">
        <x:v>ваниль или лимон</x:v>
      </x:c>
      <x:c r="W5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55" s="28" t="str">
        <x:v>напитки; десерты</x:v>
      </x:c>
      <x:c r="Y55" s="28" t="str">
        <x:v>Средняя</x:v>
      </x:c>
      <x:c r="Z55" s="28" t="str">
        <x:v>Таблица сочетаний</x:v>
      </x:c>
      <x:c r="AA55" s="28" t="str">
        <x:v>Таблица сочетаний: 1, 4</x:v>
      </x:c>
      <x:c r="AB55" s="28" t="str">
        <x:v>Абрикос: вишня | Вишня: абрикос</x:v>
      </x:c>
      <x:c r="AC55" s="28" t="n">
        <x:v>1</x:v>
      </x:c>
      <x:c r="AD55" s="28" t="n">
        <x:v>2</x:v>
      </x:c>
    </x:row>
    <x:row r="56" ht="58" customHeight="1">
      <x:c r="A56" s="28" t="str">
        <x:v>BER-0055</x:v>
      </x:c>
      <x:c r="B56" s="28" t="str">
        <x:v>Универсальные</x:v>
      </x:c>
      <x:c r="C56" s="28" t="str">
        <x:v>вишня</x:v>
      </x:c>
      <x:c r="D56" s="28" t="str">
        <x:v>cherry</x:v>
      </x:c>
      <x:c r="E56" s="28" t="str">
        <x:v>Ягоды и производные</x:v>
      </x:c>
      <x:c r="F56" s="28" t="str">
        <x:v>авокадо</x:v>
      </x:c>
      <x:c r="G56" s="28" t="str">
        <x:v>Avocado</x:v>
      </x:c>
      <x:c r="H56" s="28" t="str">
        <x:v>Прочее</x:v>
      </x:c>
      <x:c r="I56" s="28" t="str">
        <x:v>миндальный, пряный, фруктовый, цветочный</x:v>
      </x:c>
      <x:c r="J56" s="28" t="str">
        <x:v>комплексный</x:v>
      </x:c>
      <x:c r="K56" s="28" t="str">
        <x:v>бензальдегид, бета-дамасценон, линалоол, эвгенол</x:v>
      </x:c>
      <x:c r="L56" s="28" t="str">
        <x:v>нет надёжной конкретизации</x:v>
      </x:c>
      <x:c r="M56" s="28" t="str">
        <x:v>прямое совпадение семейств не установлено</x:v>
      </x:c>
      <x:c r="N56" s="28" t="str">
        <x:v>не подтверждены; механизм не сводится к одной общей молекуле</x:v>
      </x:c>
      <x:c r="O56" s="28" t="str">
        <x:v>контраст/комплементарность + матричный эффект</x:v>
      </x:c>
      <x:c r="P56" s="28" t="str">
        <x:v>Оба компонента формируют сладко-кислый, иногда терпкий и зависит от ингредиента контур; сахар, кислота и горечь должны быть выровнены дегустацией.</x:v>
      </x:c>
      <x:c r="Q56" s="28" t="str">
        <x:v>Специфического тройничного эффекта обычно нет; кислотность усиливает слюноотделение.</x:v>
      </x:c>
      <x:c r="R56" s="28" t="str">
        <x:v>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</x:v>
      </x:c>
      <x:c r="S5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комплексный. Оба компонента формируют сладко-кислый, иногда терпкий и зависит от ингредиента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6" s="28" t="str">
        <x:v>Не использовать повреждённые косточки без валидированной технологии: они содержат цианогенные гликозиды.</x:v>
      </x:c>
      <x:c r="V56" s="28" t="str">
        <x:v>лимон или ваниль</x:v>
      </x:c>
      <x:c r="W56" s="28" t="str">
        <x:v>сенсорная проба в малой дозировке</x:v>
      </x:c>
      <x:c r="X56" s="28" t="str">
        <x:v>универсально</x:v>
      </x:c>
      <x:c r="Y56" s="28" t="str">
        <x:v>Средняя</x:v>
      </x:c>
      <x:c r="Z56" s="28" t="str">
        <x:v>The Art &amp; Science of Foodpairing</x:v>
      </x:c>
      <x:c r="AA56" s="28" t="str">
        <x:v>The Art &amp; Science of Foodpairing: 354, 355</x:v>
      </x:c>
      <x:c r="AB56" s="28" t="str">
        <x:v>Ingredient pairings with Avocado: cherry | Ingredient pairings with Avocado: cherry</x:v>
      </x:c>
      <x:c r="AC56" s="28" t="n">
        <x:v>1</x:v>
      </x:c>
      <x:c r="AD56" s="28" t="n">
        <x:v>2</x:v>
      </x:c>
    </x:row>
    <x:row r="57" ht="58" customHeight="1">
      <x:c r="A57" s="28" t="str">
        <x:v>BER-0056</x:v>
      </x:c>
      <x:c r="B57" s="28" t="str">
        <x:v>Универсальные</x:v>
      </x:c>
      <x:c r="C57" s="28" t="str">
        <x:v>вишня</x:v>
      </x:c>
      <x:c r="D57" s="28" t="str">
        <x:v>вишня</x:v>
      </x:c>
      <x:c r="E57" s="28" t="str">
        <x:v>Ягоды и производные</x:v>
      </x:c>
      <x:c r="F57" s="28" t="str">
        <x:v>агава</x:v>
      </x:c>
      <x:c r="G57" s="28" t="str">
        <x:v>Агава</x:v>
      </x:c>
      <x:c r="H57" s="28" t="str">
        <x:v>Прочее</x:v>
      </x:c>
      <x:c r="I57" s="28" t="str">
        <x:v>миндальный, пряный, фруктовый, цветочный</x:v>
      </x:c>
      <x:c r="J57" s="28" t="str">
        <x:v>комплексный</x:v>
      </x:c>
      <x:c r="K57" s="28" t="str">
        <x:v>бензальдегид, бета-дамасценон, линалоол, эвгенол</x:v>
      </x:c>
      <x:c r="L57" s="28" t="str">
        <x:v>нет надёжной конкретизации</x:v>
      </x:c>
      <x:c r="M57" s="28" t="str">
        <x:v>прямое совпадение семейств не установлено</x:v>
      </x:c>
      <x:c r="N57" s="28" t="str">
        <x:v>не подтверждены; механизм не сводится к одной общей молекуле</x:v>
      </x:c>
      <x:c r="O57" s="28" t="str">
        <x:v>контраст/комплементарность + матричный эффект</x:v>
      </x:c>
      <x:c r="P57" s="28" t="str">
        <x:v>Оба компонента формируют сладко-кислый, иногда терпкий и зависит от ингредиента контур; сахар, кислота и горечь должны быть выровнены дегустацией.</x:v>
      </x:c>
      <x:c r="Q57" s="28" t="str">
        <x:v>Специфического тройничного эффекта обычно нет; кислотность усиливает слюноотделение.</x:v>
      </x:c>
      <x:c r="R57" s="28" t="str">
        <x:v>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</x:v>
      </x:c>
      <x:c r="S5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комплексный. Оба компонента формируют сладко-кислый, иногда терпкий и зависит от ингредиента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7" s="28" t="str">
        <x:v>Не использовать повреждённые косточки без валидированной технологии: они содержат цианогенные гликозиды.</x:v>
      </x:c>
      <x:c r="V57" s="28" t="str">
        <x:v>лимон или ваниль</x:v>
      </x:c>
      <x:c r="W57" s="28" t="str">
        <x:v>сенсорная проба в малой дозировке</x:v>
      </x:c>
      <x:c r="X57" s="28" t="str">
        <x:v>универсально</x:v>
      </x:c>
      <x:c r="Y57" s="28" t="str">
        <x:v>Средняя</x:v>
      </x:c>
      <x:c r="Z57" s="28" t="str">
        <x:v>Таблица сочетаний</x:v>
      </x:c>
      <x:c r="AA57" s="28" t="str">
        <x:v>Таблица сочетаний: 1</x:v>
      </x:c>
      <x:c r="AB57" s="28" t="str">
        <x:v>Агава: вишня</x:v>
      </x:c>
      <x:c r="AC57" s="28" t="n">
        <x:v>1</x:v>
      </x:c>
      <x:c r="AD57" s="28" t="n">
        <x:v>1</x:v>
      </x:c>
    </x:row>
    <x:row r="58" ht="58" customHeight="1">
      <x:c r="A58" s="28" t="str">
        <x:v>BER-0057</x:v>
      </x:c>
      <x:c r="B58" s="28" t="str">
        <x:v>Универсальные</x:v>
      </x:c>
      <x:c r="C58" s="28" t="str">
        <x:v>вишня</x:v>
      </x:c>
      <x:c r="D58" s="28" t="str">
        <x:v>вишня</x:v>
      </x:c>
      <x:c r="E58" s="28" t="str">
        <x:v>Ягоды и производные</x:v>
      </x:c>
      <x:c r="F58" s="28" t="str">
        <x:v>айва</x:v>
      </x:c>
      <x:c r="G58" s="28" t="str">
        <x:v>Айва</x:v>
      </x:c>
      <x:c r="H58" s="28" t="str">
        <x:v>Прочее</x:v>
      </x:c>
      <x:c r="I58" s="28" t="str">
        <x:v>миндальный, пряный, фруктовый, цветочный</x:v>
      </x:c>
      <x:c r="J58" s="28" t="str">
        <x:v>комплексный</x:v>
      </x:c>
      <x:c r="K58" s="28" t="str">
        <x:v>бензальдегид, бета-дамасценон, линалоол, эвгенол</x:v>
      </x:c>
      <x:c r="L58" s="28" t="str">
        <x:v>нет надёжной конкретизации</x:v>
      </x:c>
      <x:c r="M58" s="28" t="str">
        <x:v>прямое совпадение семейств не установлено</x:v>
      </x:c>
      <x:c r="N58" s="28" t="str">
        <x:v>не подтверждены; механизм не сводится к одной общей молекуле</x:v>
      </x:c>
      <x:c r="O58" s="28" t="str">
        <x:v>контраст/комплементарность + матричный эффект</x:v>
      </x:c>
      <x:c r="P58" s="28" t="str">
        <x:v>Оба компонента формируют сладко-кислый, иногда терпкий и зависит от ингредиента контур; сахар, кислота и горечь должны быть выровнены дегустацией.</x:v>
      </x:c>
      <x:c r="Q58" s="28" t="str">
        <x:v>Специфического тройничного эффекта обычно нет; кислотность усиливает слюноотделение.</x:v>
      </x:c>
      <x:c r="R58" s="28" t="str">
        <x:v>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</x:v>
      </x:c>
      <x:c r="S5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комплексный. Оба компонента формируют сладко-кислый, иногда терпкий и зависит от ингредиента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8" s="28" t="str">
        <x:v>Не использовать повреждённые косточки без валидированной технологии: они содержат цианогенные гликозиды.</x:v>
      </x:c>
      <x:c r="V58" s="28" t="str">
        <x:v>лимон или ваниль</x:v>
      </x:c>
      <x:c r="W58" s="28" t="str">
        <x:v>сенсорная проба в малой дозировке</x:v>
      </x:c>
      <x:c r="X58" s="28" t="str">
        <x:v>универсально</x:v>
      </x:c>
      <x:c r="Y58" s="28" t="str">
        <x:v>Средняя</x:v>
      </x:c>
      <x:c r="Z58" s="28" t="str">
        <x:v>Таблица сочетаний</x:v>
      </x:c>
      <x:c r="AA58" s="28" t="str">
        <x:v>Таблица сочетаний: 18</x:v>
      </x:c>
      <x:c r="AB58" s="28" t="str">
        <x:v>Айва: вишня</x:v>
      </x:c>
      <x:c r="AC58" s="28" t="n">
        <x:v>1</x:v>
      </x:c>
      <x:c r="AD58" s="28" t="n">
        <x:v>1</x:v>
      </x:c>
    </x:row>
    <x:row r="59" ht="58" customHeight="1">
      <x:c r="A59" s="28" t="str">
        <x:v>BER-0058</x:v>
      </x:c>
      <x:c r="B59" s="28" t="str">
        <x:v>Универсальные</x:v>
      </x:c>
      <x:c r="C59" s="28" t="str">
        <x:v>вишня</x:v>
      </x:c>
      <x:c r="D59" s="28" t="str">
        <x:v>cherry | вишня</x:v>
      </x:c>
      <x:c r="E59" s="28" t="str">
        <x:v>Ягоды и производные</x:v>
      </x:c>
      <x:c r="F59" s="28" t="str">
        <x:v>ананас</x:v>
      </x:c>
      <x:c r="G59" s="28" t="str">
        <x:v>Pineapple | Ананас</x:v>
      </x:c>
      <x:c r="H59" s="28" t="str">
        <x:v>Фрукты</x:v>
      </x:c>
      <x:c r="I59" s="28" t="str">
        <x:v>миндальный, пряный, фруктовый, цветочный</x:v>
      </x:c>
      <x:c r="J59" s="28" t="str">
        <x:v>зелёный, фруктовый, цветочный</x:v>
      </x:c>
      <x:c r="K59" s="28" t="str">
        <x:v>бензальдегид, бета-дамасценон, линалоол, эвгенол</x:v>
      </x:c>
      <x:c r="L59" s="28" t="str">
        <x:v>лактоны, терпены, эфиры</x:v>
      </x:c>
      <x:c r="M59" s="28" t="str">
        <x:v>фруктовый, цветочный</x:v>
      </x:c>
      <x:c r="N59" s="28" t="str">
        <x:v>не подтверждены; механизм не сводится к одной общей молекуле</x:v>
      </x:c>
      <x:c r="O59" s="28" t="str">
        <x:v>сходство ароматических семейств + комплементарность</x:v>
      </x:c>
      <x:c r="P59" s="28" t="str">
        <x:v>Оба компонента формируют сладко-кислый, иногда терпкий и сладко-кислый контур; сахар, кислота и горечь должны быть выровнены дегустацией.</x:v>
      </x:c>
      <x:c r="Q59" s="28" t="str">
        <x:v>Специфического тройничного эффекта обычно нет; кислотность усиливает слюноотделение.</x:v>
      </x:c>
      <x:c r="R59" s="28" t="str">
        <x:v>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</x:v>
      </x:c>
      <x:c r="S5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9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9" s="28" t="str">
        <x:v>Не использовать повреждённые косточки без валидированной технологии: они содержат цианогенные гликозиды.</x:v>
      </x:c>
      <x:c r="V59" s="28" t="str">
        <x:v>ваниль или лимон</x:v>
      </x:c>
      <x:c r="W5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59" s="28" t="str">
        <x:v>напитки; десерты</x:v>
      </x:c>
      <x:c r="Y59" s="28" t="str">
        <x:v>Высокая</x:v>
      </x:c>
      <x:c r="Z59" s="28" t="str">
        <x:v>The Art &amp; Science of Foodpairing; Таблица сочетаний</x:v>
      </x:c>
      <x:c r="AA59" s="28" t="str">
        <x:v>The Art &amp; Science of Foodpairing: 243; Таблица сочетаний: 17</x:v>
      </x:c>
      <x:c r="AB59" s="28" t="str">
        <x:v>Ананас: вишня | Ingredient pairings with Pineapple: cherry</x:v>
      </x:c>
      <x:c r="AC59" s="28" t="n">
        <x:v>2</x:v>
      </x:c>
      <x:c r="AD59" s="28" t="n">
        <x:v>2</x:v>
      </x:c>
    </x:row>
    <x:row r="60" ht="58" customHeight="1">
      <x:c r="A60" s="28" t="str">
        <x:v>BER-0059</x:v>
      </x:c>
      <x:c r="B60" s="28" t="str">
        <x:v>Напитки</x:v>
      </x:c>
      <x:c r="C60" s="28" t="str">
        <x:v>вишня</x:v>
      </x:c>
      <x:c r="D60" s="28" t="str">
        <x:v>вишня</x:v>
      </x:c>
      <x:c r="E60" s="28" t="str">
        <x:v>Ягоды и производные</x:v>
      </x:c>
      <x:c r="F60" s="28" t="str">
        <x:v>апельсин</x:v>
      </x:c>
      <x:c r="G60" s="28" t="str">
        <x:v>Апельсин</x:v>
      </x:c>
      <x:c r="H60" s="28" t="str">
        <x:v>Цитрусовые</x:v>
      </x:c>
      <x:c r="I60" s="28" t="str">
        <x:v>миндальный, пряный, фруктовый, цветочный</x:v>
      </x:c>
      <x:c r="J60" s="28" t="str">
        <x:v>зелёный, цветочный, цитрусовый</x:v>
      </x:c>
      <x:c r="K60" s="28" t="str">
        <x:v>бензальдегид, бета-дамасценон, линалоол, эвгенол</x:v>
      </x:c>
      <x:c r="L60" s="28" t="str">
        <x:v>лимонен, линалоол, цитраль</x:v>
      </x:c>
      <x:c r="M60" s="28" t="str">
        <x:v>цветочный</x:v>
      </x:c>
      <x:c r="N60" s="28" t="str">
        <x:v>линалоол</x:v>
      </x:c>
      <x:c r="O60" s="28" t="str">
        <x:v>ароматическое сходство + вкусовой баланс</x:v>
      </x:c>
      <x:c r="P60" s="28" t="str">
        <x:v>Оба компонента формируют сладко-кислый, иногда терпкий и кислый, свежий контур; сахар, кислота и горечь должны быть выровнены дегустацией.</x:v>
      </x:c>
      <x:c r="Q60" s="28" t="str">
        <x:v>Специфического тройничного эффекта обычно нет; кислотность усиливает слюноотделение.</x:v>
      </x:c>
      <x:c r="R60" s="28" t="str">
        <x:v>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</x:v>
      </x:c>
      <x:c r="S6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0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цветочный, цитрусовый. Оба компонента формируют сладко-кислый, иногда терпкий и кислый, свежий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0" s="28" t="str">
        <x:v>Не использовать повреждённые косточки без валидированной технологии: они содержат цианогенные гликозиды.</x:v>
      </x:c>
      <x:c r="V60" s="28" t="str">
        <x:v>мёд или базилик</x:v>
      </x:c>
      <x:c r="W60" s="28" t="str">
        <x:v>кордиал, лимонад, чай, коктейль, настой или ферментированный напиток; маринад, гастрик, чатни, кетчуп или редукция</x:v>
      </x:c>
      <x:c r="X60" s="28" t="str">
        <x:v>напитки; соусы/маринады</x:v>
      </x:c>
      <x:c r="Y60" s="28" t="str">
        <x:v>Средняя</x:v>
      </x:c>
      <x:c r="Z60" s="28" t="str">
        <x:v>Таблица сочетаний</x:v>
      </x:c>
      <x:c r="AA60" s="28" t="str">
        <x:v>Таблица сочетаний: 14</x:v>
      </x:c>
      <x:c r="AB60" s="28" t="str">
        <x:v>Апельсин: вишня</x:v>
      </x:c>
      <x:c r="AC60" s="28" t="n">
        <x:v>1</x:v>
      </x:c>
      <x:c r="AD60" s="28" t="n">
        <x:v>1</x:v>
      </x:c>
    </x:row>
    <x:row r="61" ht="58" customHeight="1">
      <x:c r="A61" s="28" t="str">
        <x:v>BER-0060</x:v>
      </x:c>
      <x:c r="B61" s="28" t="str">
        <x:v>Еда и соусы</x:v>
      </x:c>
      <x:c r="C61" s="28" t="str">
        <x:v>вишня</x:v>
      </x:c>
      <x:c r="D61" s="28" t="str">
        <x:v>cherry</x:v>
      </x:c>
      <x:c r="E61" s="28" t="str">
        <x:v>Ягоды и производные</x:v>
      </x:c>
      <x:c r="F61" s="28" t="str">
        <x:v>артишок</x:v>
      </x:c>
      <x:c r="G61" s="28" t="str">
        <x:v>Artichoke</x:v>
      </x:c>
      <x:c r="H61" s="28" t="str">
        <x:v>Овощи и грибы</x:v>
      </x:c>
      <x:c r="I61" s="28" t="str">
        <x:v>миндальный, пряный, фруктовый, цветочный</x:v>
      </x:c>
      <x:c r="J61" s="28" t="str">
        <x:v>зелёный, землистый, сернистый</x:v>
      </x:c>
      <x:c r="K61" s="28" t="str">
        <x:v>бензальдегид, бета-дамасценон, линалоол, эвгенол</x:v>
      </x:c>
      <x:c r="L61" s="28" t="str">
        <x:v>C6-альдегиды, пиразины, сернистые соединения</x:v>
      </x:c>
      <x:c r="M61" s="28" t="str">
        <x:v>прямое совпадение семейств не установлено</x:v>
      </x:c>
      <x:c r="N61" s="28" t="str">
        <x:v>не подтверждены; механизм не сводится к одной общей молекуле</x:v>
      </x:c>
      <x:c r="O61" s="28" t="str">
        <x:v>контраст/комплементарность + матричный эффект</x:v>
      </x:c>
      <x:c r="P61" s="28" t="str">
        <x:v>Оба компонента формируют сладко-кислый, иногда терпкий и растительный, иногда умами контур; сахар, кислота и горечь должны быть выровнены дегустацией.</x:v>
      </x:c>
      <x:c r="Q61" s="28" t="str">
        <x:v>Специфического тройничного эффекта обычно нет; кислотность усиливает слюноотделение.</x:v>
      </x:c>
      <x:c r="R61" s="28" t="str">
        <x:v>Ягода: косточка усиливает миндальный тон, но требует контроля безопасности.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6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6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зелёный, землистый, сернистый. Оба компонента формируют сладко-кислый, иногда терпкий и растительный, иногда умами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61" s="28" t="str">
        <x:v>Не использовать повреждённые косточки без валидированной технологии: они содержат цианогенные гликозиды.</x:v>
      </x:c>
      <x:c r="V61" s="28" t="str">
        <x:v>уксус или мягкий сыр</x:v>
      </x:c>
      <x:c r="W61" s="28" t="str">
        <x:v>соус, глазировка, салат, сырная подача или горячее блюдо; маринад, гастрик, чатни, кетчуп или редукция</x:v>
      </x:c>
      <x:c r="X61" s="28" t="str">
        <x:v>еда; соусы/маринады</x:v>
      </x:c>
      <x:c r="Y61" s="28" t="str">
        <x:v>Средняя</x:v>
      </x:c>
      <x:c r="Z61" s="28" t="str">
        <x:v>The Art &amp; Science of Foodpairing</x:v>
      </x:c>
      <x:c r="AA61" s="28" t="str">
        <x:v>The Art &amp; Science of Foodpairing: 329</x:v>
      </x:c>
      <x:c r="AB61" s="28" t="str">
        <x:v>Ingredient pairings with Artichoke: cherry</x:v>
      </x:c>
      <x:c r="AC61" s="28" t="n">
        <x:v>1</x:v>
      </x:c>
      <x:c r="AD61" s="28" t="n">
        <x:v>1</x:v>
      </x:c>
    </x:row>
    <x:row r="62" ht="58" customHeight="1">
      <x:c r="A62" s="28" t="str">
        <x:v>BER-0061</x:v>
      </x:c>
      <x:c r="B62" s="28" t="str">
        <x:v>Универсальные</x:v>
      </x:c>
      <x:c r="C62" s="28" t="str">
        <x:v>вишня</x:v>
      </x:c>
      <x:c r="D62" s="28" t="str">
        <x:v>sour cherry</x:v>
      </x:c>
      <x:c r="E62" s="28" t="str">
        <x:v>Ягоды и производные</x:v>
      </x:c>
      <x:c r="F62" s="28" t="str">
        <x:v>базилик</x:v>
      </x:c>
      <x:c r="G62" s="28" t="str">
        <x:v>Basil</x:v>
      </x:c>
      <x:c r="H62" s="28" t="str">
        <x:v>Травы и цветы</x:v>
      </x:c>
      <x:c r="I62" s="28" t="str">
        <x:v>миндальный, пряный, фруктовый, цветочный</x:v>
      </x:c>
      <x:c r="J62" s="28" t="str">
        <x:v>зелёный, травянистый, цветочный</x:v>
      </x:c>
      <x:c r="K62" s="28" t="str">
        <x:v>бензальдегид, бета-дамасценон, линалоол, эвгенол</x:v>
      </x:c>
      <x:c r="L62" s="28" t="str">
        <x:v>гераниол, линалоол, терпены, эвгенол</x:v>
      </x:c>
      <x:c r="M62" s="28" t="str">
        <x:v>цветочный</x:v>
      </x:c>
      <x:c r="N62" s="28" t="str">
        <x:v>линалоол, эвгенол</x:v>
      </x:c>
      <x:c r="O62" s="28" t="str">
        <x:v>ароматическое сходство + вкусовой баланс</x:v>
      </x:c>
      <x:c r="P62" s="28" t="str">
        <x:v>Ягодная сладость смягчает горечь и пряность, а кислотность делает горьковатый, свежий профиль ярче.</x:v>
      </x:c>
      <x:c r="Q62" s="28" t="str">
        <x:v>Специфического тройничного эффекта обычно нет; кислотность усиливает слюноотделение.</x:v>
      </x:c>
      <x:c r="R62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6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2" s="28" t="str">
        <x:v>Прямой вероятный молекулярный мост: линалоол, эвгенол. Ягодный компонент несёт семейства миндальный, пряный,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2" s="28" t="str">
        <x:v>Не использовать повреждённые косточки без валидированной технологии: они содержат цианогенные гликозиды.</x:v>
      </x:c>
      <x:c r="V62" s="28" t="str">
        <x:v>лимон или мёд</x:v>
      </x:c>
      <x:c r="W6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62" s="28" t="str">
        <x:v>напитки; еда; соусы/маринады</x:v>
      </x:c>
      <x:c r="Y62" s="28" t="str">
        <x:v>Средняя</x:v>
      </x:c>
      <x:c r="Z62" s="28" t="str">
        <x:v>The Art &amp; Science of Foodpairing</x:v>
      </x:c>
      <x:c r="AA62" s="28" t="str">
        <x:v>The Art &amp; Science of Foodpairing: 74</x:v>
      </x:c>
      <x:c r="AB62" s="28" t="str">
        <x:v>Ingredient pairings with Basil: sour cherry</x:v>
      </x:c>
      <x:c r="AC62" s="28" t="n">
        <x:v>1</x:v>
      </x:c>
      <x:c r="AD62" s="28" t="n">
        <x:v>1</x:v>
      </x:c>
    </x:row>
    <x:row r="63" ht="58" customHeight="1">
      <x:c r="A63" s="28" t="str">
        <x:v>BER-0062</x:v>
      </x:c>
      <x:c r="B63" s="28" t="str">
        <x:v>Еда и соусы</x:v>
      </x:c>
      <x:c r="C63" s="28" t="str">
        <x:v>вишня</x:v>
      </x:c>
      <x:c r="D63" s="28" t="str">
        <x:v>cherry</x:v>
      </x:c>
      <x:c r="E63" s="28" t="str">
        <x:v>Ягоды и производные</x:v>
      </x:c>
      <x:c r="F63" s="28" t="str">
        <x:v>бальзамический уксус</x:v>
      </x:c>
      <x:c r="G63" s="28" t="str">
        <x:v>Balsamic Vinegar</x:v>
      </x:c>
      <x:c r="H63" s="28" t="str">
        <x:v>Ферментированные продукты, соусы и уксусы</x:v>
      </x:c>
      <x:c r="I63" s="28" t="str">
        <x:v>миндальный, пряный, фруктовый, цветочный</x:v>
      </x:c>
      <x:c r="J63" s="28" t="str">
        <x:v>кислый, умами, ферментированный</x:v>
      </x:c>
      <x:c r="K63" s="28" t="str">
        <x:v>бензальдегид, бета-дамасценон, линалоол, эвгенол</x:v>
      </x:c>
      <x:c r="L63" s="28" t="str">
        <x:v>аминокислоты, органические кислоты, эфиры</x:v>
      </x:c>
      <x:c r="M63" s="28" t="str">
        <x:v>прямое совпадение семейств не установлено</x:v>
      </x:c>
      <x:c r="N63" s="28" t="str">
        <x:v>не подтверждены; механизм не сводится к одной общей молекуле</x:v>
      </x:c>
      <x:c r="O63" s="28" t="str">
        <x:v>контраст/комплементарность + матричный эффект</x:v>
      </x:c>
      <x:c r="P63" s="28" t="str">
        <x:v>Оба компонента формируют сладко-кислый, иногда терпкий и кислый/солёный/умами контур; сахар, кислота и горечь должны быть выровнены дегустацией.</x:v>
      </x:c>
      <x:c r="Q63" s="28" t="str">
        <x:v>Специфического тройничного эффекта обычно нет; кислотность усиливает слюноотделение.</x:v>
      </x:c>
      <x:c r="R63" s="28" t="str">
        <x:v>Ягода: косточка усиливает миндальный тон, но требует контроля безопасности. Партнёр: вода, соль и продукты ферментации. В воде аромат раскрывается быстрее, в жире и этаноле — дольше удерживается.</x:v>
      </x:c>
      <x:c r="S6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кислый, умами, ферментированный. Оба компонента формируют сладко-кислый, иногда терпкий и кислый/солёный/умами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3" s="28" t="str">
        <x:v>Не использовать повреждённые косточки без валидированной технологии: они содержат цианогенные гликозиды.</x:v>
      </x:c>
      <x:c r="V63" s="28" t="str">
        <x:v>мёд или соевый соус</x:v>
      </x:c>
      <x:c r="W63" s="28" t="str">
        <x:v>соус, глазировка, салат, сырная подача или горячее блюдо; маринад, гастрик, чатни, кетчуп или редукция</x:v>
      </x:c>
      <x:c r="X63" s="28" t="str">
        <x:v>еда; соусы/маринады</x:v>
      </x:c>
      <x:c r="Y63" s="28" t="str">
        <x:v>Средняя</x:v>
      </x:c>
      <x:c r="Z63" s="28" t="str">
        <x:v>The Art &amp; Science of Foodpairing</x:v>
      </x:c>
      <x:c r="AA63" s="28" t="str">
        <x:v>The Art &amp; Science of Foodpairing: 317</x:v>
      </x:c>
      <x:c r="AB63" s="28" t="str">
        <x:v>Ingredient pairings with Balsamic Vinegar: cherry</x:v>
      </x:c>
      <x:c r="AC63" s="28" t="n">
        <x:v>1</x:v>
      </x:c>
      <x:c r="AD63" s="28" t="n">
        <x:v>1</x:v>
      </x:c>
    </x:row>
    <x:row r="64" ht="58" customHeight="1">
      <x:c r="A64" s="28" t="str">
        <x:v>BER-0063</x:v>
      </x:c>
      <x:c r="B64" s="28" t="str">
        <x:v>Универсальные</x:v>
      </x:c>
      <x:c r="C64" s="28" t="str">
        <x:v>вишня</x:v>
      </x:c>
      <x:c r="D64" s="28" t="str">
        <x:v>cherry | Вишня | вишня</x:v>
      </x:c>
      <x:c r="E64" s="28" t="str">
        <x:v>Ягоды и производные</x:v>
      </x:c>
      <x:c r="F64" s="28" t="str">
        <x:v>банан</x:v>
      </x:c>
      <x:c r="G64" s="28" t="str">
        <x:v>Banana | Банан | банан</x:v>
      </x:c>
      <x:c r="H64" s="28" t="str">
        <x:v>Фрукты</x:v>
      </x:c>
      <x:c r="I64" s="28" t="str">
        <x:v>миндальный, пряный, фруктовый, цветочный</x:v>
      </x:c>
      <x:c r="J64" s="28" t="str">
        <x:v>зелёный, фруктовый, цветочный</x:v>
      </x:c>
      <x:c r="K64" s="28" t="str">
        <x:v>бензальдегид, бета-дамасценон, линалоол, эвгенол</x:v>
      </x:c>
      <x:c r="L64" s="28" t="str">
        <x:v>лактоны, терпены, эфиры</x:v>
      </x:c>
      <x:c r="M64" s="28" t="str">
        <x:v>фруктовый, цветочный</x:v>
      </x:c>
      <x:c r="N64" s="28" t="str">
        <x:v>не подтверждены; механизм не сводится к одной общей молекуле</x:v>
      </x:c>
      <x:c r="O64" s="28" t="str">
        <x:v>сходство ароматических семейств + комплементарность</x:v>
      </x:c>
      <x:c r="P64" s="28" t="str">
        <x:v>Оба компонента формируют сладко-кислый, иногда терпкий и сладко-кислый контур; сахар, кислота и горечь должны быть выровнены дегустацией.</x:v>
      </x:c>
      <x:c r="Q64" s="28" t="str">
        <x:v>Специфического тройничного эффекта обычно нет; кислотность усиливает слюноотделение.</x:v>
      </x:c>
      <x:c r="R64" s="28" t="str">
        <x:v>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</x:v>
      </x:c>
      <x:c r="S6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4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4" s="28" t="str">
        <x:v>Не использовать повреждённые косточки без валидированной технологии: они содержат цианогенные гликозиды.</x:v>
      </x:c>
      <x:c r="V64" s="28" t="str">
        <x:v>ваниль или лимон</x:v>
      </x:c>
      <x:c r="W6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64" s="28" t="str">
        <x:v>напитки; десерты</x:v>
      </x:c>
      <x:c r="Y64" s="28" t="str">
        <x:v>Высокая</x:v>
      </x:c>
      <x:c r="Z64" s="28" t="str">
        <x:v>The Art &amp; Science of Foodpairing; Тезариус вкусов</x:v>
      </x:c>
      <x:c r="AA64" s="28" t="str">
        <x:v>Тезариус вкусов: 653, 731; The Art &amp; Science of Foodpairing: 343</x:v>
      </x:c>
      <x:c r="AB64" s="28" t="str">
        <x:v>Вишня и банан. См. Банан и вишня | Банан и вишня. Кирш, крепкий алкогольный напи- ток из вишен с косточками, имеет во вкусе сильную ноту горького миндаля. Это с головой выдает близкое «родство» вишни и миндаля: последний представля- ет собой косточку сочного плода, так называемой ко- стянки; схожую структуру имеют плоды деревьев сли- вы, персика, вишни и абрикоса. Вылитый на фрукты кирш замыкает вкусовой треугольник сладость – кис | Ingredient pairings with Banana: cherry</x:v>
      </x:c>
      <x:c r="AC64" s="28" t="n">
        <x:v>2</x:v>
      </x:c>
      <x:c r="AD64" s="28" t="n">
        <x:v>3</x:v>
      </x:c>
    </x:row>
    <x:row r="65" ht="58" customHeight="1">
      <x:c r="A65" s="28" t="str">
        <x:v>BER-0064</x:v>
      </x:c>
      <x:c r="B65" s="28" t="str">
        <x:v>Еда и соусы</x:v>
      </x:c>
      <x:c r="C65" s="28" t="str">
        <x:v>вишня</x:v>
      </x:c>
      <x:c r="D65" s="28" t="str">
        <x:v>Вишня | вишня</x:v>
      </x:c>
      <x:c r="E65" s="28" t="str">
        <x:v>Ягоды и производные</x:v>
      </x:c>
      <x:c r="F65" s="28" t="str">
        <x:v>баранина</x:v>
      </x:c>
      <x:c r="G65" s="28" t="str">
        <x:v>Баранина | баранина</x:v>
      </x:c>
      <x:c r="H65" s="28" t="str">
        <x:v>Мясо и птица</x:v>
      </x:c>
      <x:c r="I65" s="28" t="str">
        <x:v>миндальный, пряный, фруктовый, цветочный</x:v>
      </x:c>
      <x:c r="J65" s="28" t="str">
        <x:v>жареный, жирный, сернистый, умами</x:v>
      </x:c>
      <x:c r="K65" s="28" t="str">
        <x:v>бензальдегид, бета-дамасценон, линалоол, эвгенол</x:v>
      </x:c>
      <x:c r="L65" s="28" t="str">
        <x:v>альдегиды, пиразины, сернистые соединения</x:v>
      </x:c>
      <x:c r="M65" s="28" t="str">
        <x:v>прямое совпадение семейств не установлено</x:v>
      </x:c>
      <x:c r="N65" s="28" t="str">
        <x:v>не подтверждены; механизм не сводится к одной общей молекуле</x:v>
      </x:c>
      <x:c r="O65" s="28" t="str">
        <x:v>контраст/комплементарность + матричный эффект</x:v>
      </x:c>
      <x:c r="P65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65" s="28" t="str">
        <x:v>Специфического тройничного эффекта обычно нет; кислотность усиливает слюноотделение.</x:v>
      </x:c>
      <x:c r="R65" s="28" t="str">
        <x:v>Жировая фаза удерживает гидрофобные одоранты и продлевает послевкусие; кислотность ягод повышает слюноотделение.</x:v>
      </x:c>
      <x:c r="S6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6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65" s="28" t="str">
        <x:v>Не использовать повреждённые косточки без валидированной технологии: они содержат цианогенные гликозиды.</x:v>
      </x:c>
      <x:c r="V65" s="28" t="str">
        <x:v>красное вино или чёрный перец</x:v>
      </x:c>
      <x:c r="W65" s="28" t="str">
        <x:v>соус, глазировка, салат, сырная подача или горячее блюдо; маринад, гастрик, чатни, кетчуп или редукция</x:v>
      </x:c>
      <x:c r="X65" s="28" t="str">
        <x:v>еда; соусы/маринады</x:v>
      </x:c>
      <x:c r="Y65" s="28" t="str">
        <x:v>Высокая</x:v>
      </x:c>
      <x:c r="Z65" s="28" t="str">
        <x:v>Тезариус вкусов</x:v>
      </x:c>
      <x:c r="AA65" s="28" t="str">
        <x:v>Тезариус вкусов: 127, 653</x:v>
      </x:c>
      <x:c r="AB65" s="28" t="str">
        <x:v>Баранина и вишня. Строго говоря, вишни бывают кислыми и сладкими. Кислые вишни слишком кислы, чтобы есть их прямо с дерева, но они более аромат- ны, чем сладкие, и потому чаще используются в кули- нарии. Самые известные сорта кислых вишен – Мо- релло (Morello; во Франции его называют Griottes) и Монморанси (Montmorency); их плоды используют во многих блюдах на Ближнем Востоке, в России и в Во- сточной Европе. Клаудиа Роден (Claudia Roden) при- водит рецепт для блюда из лопатки ягненка с начин- кой из риса под кислым вишневым соусом. Как она за- мечает, на Западе вишне еще предстоит стать таким же популярным «партнером» для баранины, каким яв- | Вишня и баранина. См. Баранина и вишня</x:v>
      </x:c>
      <x:c r="AC65" s="28" t="n">
        <x:v>1</x:v>
      </x:c>
      <x:c r="AD65" s="28" t="n">
        <x:v>2</x:v>
      </x:c>
    </x:row>
    <x:row r="66" ht="58" customHeight="1">
      <x:c r="A66" s="28" t="str">
        <x:v>BER-0065</x:v>
      </x:c>
      <x:c r="B66" s="28" t="str">
        <x:v>Десерты и выпечка</x:v>
      </x:c>
      <x:c r="C66" s="28" t="str">
        <x:v>вишня</x:v>
      </x:c>
      <x:c r="D66" s="28" t="str">
        <x:v>cherries</x:v>
      </x:c>
      <x:c r="E66" s="28" t="str">
        <x:v>Ягоды и производные</x:v>
      </x:c>
      <x:c r="F66" s="28" t="str">
        <x:v>бри</x:v>
      </x:c>
      <x:c r="G66" s="28" t="str">
        <x:v>Brie</x:v>
      </x:c>
      <x:c r="H66" s="28" t="str">
        <x:v>Молочные продукты и сыры</x:v>
      </x:c>
      <x:c r="I66" s="28" t="str">
        <x:v>миндальный, пряный, фруктовый, цветочный</x:v>
      </x:c>
      <x:c r="J66" s="28" t="str">
        <x:v>масляный, молочный, сливочный, сырный</x:v>
      </x:c>
      <x:c r="K66" s="28" t="str">
        <x:v>бензальдегид, бета-дамасценон, линалоол, эвгенол</x:v>
      </x:c>
      <x:c r="L66" s="28" t="str">
        <x:v>диацетил, жирные кислоты, лактоны</x:v>
      </x:c>
      <x:c r="M66" s="28" t="str">
        <x:v>прямое совпадение семейств не установлено</x:v>
      </x:c>
      <x:c r="N66" s="28" t="str">
        <x:v>не подтверждены; механизм не сводится к одной общей молекуле</x:v>
      </x:c>
      <x:c r="O66" s="28" t="str">
        <x:v>контраст/комплементарность + матричный эффект</x:v>
      </x:c>
      <x:c r="P66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66" s="28" t="str">
        <x:v>Специфического тройничного эффекта обычно нет; кислотность усиливает слюноотделение.</x:v>
      </x:c>
      <x:c r="R66" s="28" t="str">
        <x:v>Жировая фаза удерживает гидрофобные одоранты и продлевает послевкусие; кислотность ягод повышает слюноотделение.</x:v>
      </x:c>
      <x:c r="S6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6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66" s="28" t="str">
        <x:v>Не использовать повреждённые косточки без валидированной технологии: они содержат цианогенные гликозиды. Высокая кислотность может свернуть молочный белок; смешивать при контролируемой температуре.</x:v>
      </x:c>
      <x:c r="V66" s="28" t="str">
        <x:v>мёд или миндаль</x:v>
      </x:c>
      <x:c r="W66" s="28" t="str">
        <x:v>сорбет, крем, ганаш, выпечка, джем или соус для десерта; соус, глазировка, салат, сырная подача или горячее блюдо</x:v>
      </x:c>
      <x:c r="X66" s="28" t="str">
        <x:v>десерты; еда</x:v>
      </x:c>
      <x:c r="Y66" s="28" t="str">
        <x:v>Средняя</x:v>
      </x:c>
      <x:c r="Z66" s="28" t="str">
        <x:v>The Art &amp; Science of Foodpairing</x:v>
      </x:c>
      <x:c r="AA66" s="28" t="str">
        <x:v>The Art &amp; Science of Foodpairing: 337</x:v>
      </x:c>
      <x:c r="AB66" s="28" t="str">
        <x:v>Ingredient pairings with Brie: cherries</x:v>
      </x:c>
      <x:c r="AC66" s="28" t="n">
        <x:v>1</x:v>
      </x:c>
      <x:c r="AD66" s="28" t="n">
        <x:v>1</x:v>
      </x:c>
    </x:row>
    <x:row r="67" ht="58" customHeight="1">
      <x:c r="A67" s="28" t="str">
        <x:v>BER-0066</x:v>
      </x:c>
      <x:c r="B67" s="28" t="str">
        <x:v>Универсальные</x:v>
      </x:c>
      <x:c r="C67" s="28" t="str">
        <x:v>вишня</x:v>
      </x:c>
      <x:c r="D67" s="28" t="str">
        <x:v>Вишня | вишня</x:v>
      </x:c>
      <x:c r="E67" s="28" t="str">
        <x:v>Ягоды и производные</x:v>
      </x:c>
      <x:c r="F67" s="28" t="str">
        <x:v>ваниль</x:v>
      </x:c>
      <x:c r="G67" s="28" t="str">
        <x:v>Ваниль | ваниль</x:v>
      </x:c>
      <x:c r="H67" s="28" t="str">
        <x:v>Прочее</x:v>
      </x:c>
      <x:c r="I67" s="28" t="str">
        <x:v>миндальный, пряный, фруктовый, цветочный</x:v>
      </x:c>
      <x:c r="J67" s="28" t="str">
        <x:v>комплексный</x:v>
      </x:c>
      <x:c r="K67" s="28" t="str">
        <x:v>бензальдегид, бета-дамасценон, линалоол, эвгенол</x:v>
      </x:c>
      <x:c r="L67" s="28" t="str">
        <x:v>нет надёжной конкретизации</x:v>
      </x:c>
      <x:c r="M67" s="28" t="str">
        <x:v>прямое совпадение семейств не установлено</x:v>
      </x:c>
      <x:c r="N67" s="28" t="str">
        <x:v>не подтверждены; механизм не сводится к одной общей молекуле</x:v>
      </x:c>
      <x:c r="O67" s="28" t="str">
        <x:v>контраст/комплементарность + матричный эффект</x:v>
      </x:c>
      <x:c r="P67" s="28" t="str">
        <x:v>Оба компонента формируют сладко-кислый, иногда терпкий и зависит от ингредиента контур; сахар, кислота и горечь должны быть выровнены дегустацией.</x:v>
      </x:c>
      <x:c r="Q67" s="28" t="str">
        <x:v>Специфического тройничного эффекта обычно нет; кислотность усиливает слюноотделение.</x:v>
      </x:c>
      <x:c r="R67" s="28" t="str">
        <x:v>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</x:v>
      </x:c>
      <x:c r="S6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комплексный. Оба компонента формируют сладко-кислый, иногда терпкий и зависит от ингредиента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7" s="28" t="str">
        <x:v>Не использовать повреждённые косточки без валидированной технологии: они содержат цианогенные гликозиды.</x:v>
      </x:c>
      <x:c r="V67" s="28" t="str">
        <x:v>лимон или ваниль</x:v>
      </x:c>
      <x:c r="W67" s="28" t="str">
        <x:v>сенсорная проба в малой дозировке</x:v>
      </x:c>
      <x:c r="X67" s="28" t="str">
        <x:v>универсально</x:v>
      </x:c>
      <x:c r="Y67" s="28" t="str">
        <x:v>Высокая</x:v>
      </x:c>
      <x:c r="Z67" s="28" t="str">
        <x:v>Таблица сочетаний; Тезариус вкусов</x:v>
      </x:c>
      <x:c r="AA67" s="28" t="str">
        <x:v>Тезариус вкусов: 653, 915; Таблица сочетаний: 4</x:v>
      </x:c>
      <x:c r="AB67" s="28" t="str">
        <x:v>Вишня и ваниль. Особенно хорошо дополняет вкус вишни таитянская ваниль, которая демонстриру- ет во вкусе ноты аниса – несомненно, нужно учиты- вать это обстоятельство, готовя знаменитый десерт Cherries Jubilee (букв. – «Вишневый юбилей»). Это блюдо, созданное в 1887 году знаменитым поваром Эскофье (Escoffier) в честь 60-летия пребывания на троне королевы Виктории, первоначально состояло из сладкой вишни, выдержанной в густом сиропе, к которому был добавлен кирш или бренди. Масса эф- фектно поджигалась. В более поздних версиях Эско- фье стал выкладывать вишни на ванильное мороже- ное – то есть привел десерт почти к такому виду, какой он имеет  | Ваниль и вишня. См. Вишня и ваниль | Вишня: ваниль</x:v>
      </x:c>
      <x:c r="AC67" s="28" t="n">
        <x:v>2</x:v>
      </x:c>
      <x:c r="AD67" s="28" t="n">
        <x:v>3</x:v>
      </x:c>
    </x:row>
    <x:row r="68" ht="58" customHeight="1">
      <x:c r="A68" s="28" t="str">
        <x:v>BER-0067</x:v>
      </x:c>
      <x:c r="B68" s="28" t="str">
        <x:v>Универсальные</x:v>
      </x:c>
      <x:c r="C68" s="28" t="str">
        <x:v>вишня</x:v>
      </x:c>
      <x:c r="D68" s="28" t="str">
        <x:v>Burlat cherry | cherry tomato blue | et cherry</x:v>
      </x:c>
      <x:c r="E68" s="28" t="str">
        <x:v>Ягоды и производные</x:v>
      </x:c>
      <x:c r="F68" s="28" t="str">
        <x:v>голубика</x:v>
      </x:c>
      <x:c r="G68" s="28" t="str">
        <x:v>Blueberry</x:v>
      </x:c>
      <x:c r="H68" s="28" t="str">
        <x:v>Ягоды и производные</x:v>
      </x:c>
      <x:c r="I68" s="28" t="str">
        <x:v>миндальный, пряный, фруктовый, цветочный</x:v>
      </x:c>
      <x:c r="J68" s="28" t="str">
        <x:v>зелёный, фруктовый, цветочный, цитрусовый</x:v>
      </x:c>
      <x:c r="K68" s="28" t="str">
        <x:v>бензальдегид, бета-дамасценон, линалоол, эвгенол</x:v>
      </x:c>
      <x:c r="L68" s="28" t="str">
        <x:v>C6-альдегиды, гераниол, линалоол, цитронеллол</x:v>
      </x:c>
      <x:c r="M68" s="28" t="str">
        <x:v>фруктовый, цветочный</x:v>
      </x:c>
      <x:c r="N68" s="28" t="str">
        <x:v>линалоол</x:v>
      </x:c>
      <x:c r="O68" s="28" t="str">
        <x:v>ароматическое сходство + вкусовой баланс</x:v>
      </x:c>
      <x:c r="P68" s="28" t="str">
        <x:v>Оба компонента формируют сладко-кислый, иногда терпкий и сладко-кислый, мягкий контур; сахар, кислота и горечь должны быть выровнены дегустацией.</x:v>
      </x:c>
      <x:c r="Q68" s="28" t="str">
        <x:v>Специфического тройничного эффекта обычно нет; кислотность усиливает слюноотделение.</x:v>
      </x:c>
      <x:c r="R68" s="28" t="str">
        <x:v>Ягода: косточка усиливает миндальный тон, но требует контроля безопасности. Партнёр: нежный аромат легко теряется на фоне сильной сладости. В воде аромат раскрывается быстрее, в жире и этаноле — дольше удерживается.</x:v>
      </x:c>
      <x:c r="S6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8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фруктовый, цветочный, цитрусовый. Оба компонента формируют сладко-кислый, иногда терпкий и сладко-кислый, мягкий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нежный аромат легко теряется на фоне сильной сладости.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8" s="28" t="str">
        <x:v>Не использовать повреждённые косточки без валидированной технологии: они содержат цианогенные гликозиды.</x:v>
      </x:c>
      <x:c r="V68" s="28" t="str">
        <x:v>ваниль или роза</x:v>
      </x:c>
      <x:c r="W6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68" s="28" t="str">
        <x:v>напитки; десерты</x:v>
      </x:c>
      <x:c r="Y68" s="28" t="str">
        <x:v>Средняя</x:v>
      </x:c>
      <x:c r="Z68" s="28" t="str">
        <x:v>The Art &amp; Science of Foodpairing</x:v>
      </x:c>
      <x:c r="AA68" s="28" t="str">
        <x:v>The Art &amp; Science of Foodpairing: 204, 205</x:v>
      </x:c>
      <x:c r="AB68" s="28" t="str">
        <x:v>Ingredient pairings with Blueberry: et cherry | Ingredient pairings with Blueberry: cherry tomato blue | Ingredient pairings with Blueberry: Burlat cherry</x:v>
      </x:c>
      <x:c r="AC68" s="28" t="n">
        <x:v>1</x:v>
      </x:c>
      <x:c r="AD68" s="28" t="n">
        <x:v>3</x:v>
      </x:c>
    </x:row>
    <x:row r="69" ht="58" customHeight="1">
      <x:c r="A69" s="28" t="str">
        <x:v>BER-0068</x:v>
      </x:c>
      <x:c r="B69" s="28" t="str">
        <x:v>Десерты и выпечка</x:v>
      </x:c>
      <x:c r="C69" s="28" t="str">
        <x:v>вишня</x:v>
      </x:c>
      <x:c r="D69" s="28" t="str">
        <x:v>cherry</x:v>
      </x:c>
      <x:c r="E69" s="28" t="str">
        <x:v>Ягоды и производные</x:v>
      </x:c>
      <x:c r="F69" s="28" t="str">
        <x:v>голубой сыр</x:v>
      </x:c>
      <x:c r="G69" s="28" t="str">
        <x:v>Blue Cheese</x:v>
      </x:c>
      <x:c r="H69" s="28" t="str">
        <x:v>Молочные продукты и сыры</x:v>
      </x:c>
      <x:c r="I69" s="28" t="str">
        <x:v>миндальный, пряный, фруктовый, цветочный</x:v>
      </x:c>
      <x:c r="J69" s="28" t="str">
        <x:v>масляный, молочный, сливочный, сырный</x:v>
      </x:c>
      <x:c r="K69" s="28" t="str">
        <x:v>бензальдегид, бета-дамасценон, линалоол, эвгенол</x:v>
      </x:c>
      <x:c r="L69" s="28" t="str">
        <x:v>диацетил, жирные кислоты, лактоны</x:v>
      </x:c>
      <x:c r="M69" s="28" t="str">
        <x:v>прямое совпадение семейств не установлено</x:v>
      </x:c>
      <x:c r="N69" s="28" t="str">
        <x:v>не подтверждены; механизм не сводится к одной общей молекуле</x:v>
      </x:c>
      <x:c r="O69" s="28" t="str">
        <x:v>контраст/комплементарность + матричный эффект</x:v>
      </x:c>
      <x:c r="P69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69" s="28" t="str">
        <x:v>Специфического тройничного эффекта обычно нет; кислотность усиливает слюноотделение.</x:v>
      </x:c>
      <x:c r="R69" s="28" t="str">
        <x:v>Жировая фаза удерживает гидрофобные одоранты и продлевает послевкусие; кислотность ягод повышает слюноотделение.</x:v>
      </x:c>
      <x:c r="S6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6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69" s="28" t="str">
        <x:v>Не использовать повреждённые косточки без валидированной технологии: они содержат цианогенные гликозиды. Высокая кислотность может свернуть молочный белок; смешивать при контролируемой температуре.</x:v>
      </x:c>
      <x:c r="V69" s="28" t="str">
        <x:v>мёд или миндаль</x:v>
      </x:c>
      <x:c r="W69" s="28" t="str">
        <x:v>сорбет, крем, ганаш, выпечка, джем или соус для десерта; соус, глазировка, салат, сырная подача или горячее блюдо</x:v>
      </x:c>
      <x:c r="X69" s="28" t="str">
        <x:v>десерты; еда</x:v>
      </x:c>
      <x:c r="Y69" s="28" t="str">
        <x:v>Средняя</x:v>
      </x:c>
      <x:c r="Z69" s="28" t="str">
        <x:v>The Art &amp; Science of Foodpairing</x:v>
      </x:c>
      <x:c r="AA69" s="28" t="str">
        <x:v>The Art &amp; Science of Foodpairing: 165</x:v>
      </x:c>
      <x:c r="AB69" s="28" t="str">
        <x:v>Ingredient pairings with Blue Cheese: cherry</x:v>
      </x:c>
      <x:c r="AC69" s="28" t="n">
        <x:v>1</x:v>
      </x:c>
      <x:c r="AD69" s="28" t="n">
        <x:v>1</x:v>
      </x:c>
    </x:row>
    <x:row r="70" ht="58" customHeight="1">
      <x:c r="A70" s="28" t="str">
        <x:v>BER-0069</x:v>
      </x:c>
      <x:c r="B70" s="28" t="str">
        <x:v>Напитки</x:v>
      </x:c>
      <x:c r="C70" s="28" t="str">
        <x:v>вишня</x:v>
      </x:c>
      <x:c r="D70" s="28" t="str">
        <x:v>cherry</x:v>
      </x:c>
      <x:c r="E70" s="28" t="str">
        <x:v>Ягоды и производные</x:v>
      </x:c>
      <x:c r="F70" s="28" t="str">
        <x:v>грейпфрут</x:v>
      </x:c>
      <x:c r="G70" s="28" t="str">
        <x:v>Grapefruit</x:v>
      </x:c>
      <x:c r="H70" s="28" t="str">
        <x:v>Цитрусовые</x:v>
      </x:c>
      <x:c r="I70" s="28" t="str">
        <x:v>миндальный, пряный, фруктовый, цветочный</x:v>
      </x:c>
      <x:c r="J70" s="28" t="str">
        <x:v>зелёный, цветочный, цитрусовый</x:v>
      </x:c>
      <x:c r="K70" s="28" t="str">
        <x:v>бензальдегид, бета-дамасценон, линалоол, эвгенол</x:v>
      </x:c>
      <x:c r="L70" s="28" t="str">
        <x:v>лимонен, линалоол, цитраль</x:v>
      </x:c>
      <x:c r="M70" s="28" t="str">
        <x:v>цветочный</x:v>
      </x:c>
      <x:c r="N70" s="28" t="str">
        <x:v>линалоол</x:v>
      </x:c>
      <x:c r="O70" s="28" t="str">
        <x:v>ароматическое сходство + вкусовой баланс</x:v>
      </x:c>
      <x:c r="P70" s="28" t="str">
        <x:v>Оба компонента формируют сладко-кислый, иногда терпкий и кислый, свежий контур; сахар, кислота и горечь должны быть выровнены дегустацией.</x:v>
      </x:c>
      <x:c r="Q70" s="28" t="str">
        <x:v>Специфического тройничного эффекта обычно нет; кислотность усиливает слюноотделение.</x:v>
      </x:c>
      <x:c r="R70" s="28" t="str">
        <x:v>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</x:v>
      </x:c>
      <x:c r="S7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0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цветочный, цитрусовый. Оба компонента формируют сладко-кислый, иногда терпкий и кислый, свежий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0" s="28" t="str">
        <x:v>Не использовать повреждённые косточки без валидированной технологии: они содержат цианогенные гликозиды.</x:v>
      </x:c>
      <x:c r="V70" s="28" t="str">
        <x:v>мёд или базилик</x:v>
      </x:c>
      <x:c r="W70" s="28" t="str">
        <x:v>кордиал, лимонад, чай, коктейль, настой или ферментированный напиток; маринад, гастрик, чатни, кетчуп или редукция</x:v>
      </x:c>
      <x:c r="X70" s="28" t="str">
        <x:v>напитки; соусы/маринады</x:v>
      </x:c>
      <x:c r="Y70" s="28" t="str">
        <x:v>Средняя</x:v>
      </x:c>
      <x:c r="Z70" s="28" t="str">
        <x:v>The Art &amp; Science of Foodpairing</x:v>
      </x:c>
      <x:c r="AA70" s="28" t="str">
        <x:v>The Art &amp; Science of Foodpairing: 358, 359</x:v>
      </x:c>
      <x:c r="AB70" s="28" t="str">
        <x:v>Ingredient pairings with Grapefruit: cherry | Ingredient pairings with Grapefruit: cherry</x:v>
      </x:c>
      <x:c r="AC70" s="28" t="n">
        <x:v>1</x:v>
      </x:c>
      <x:c r="AD70" s="28" t="n">
        <x:v>2</x:v>
      </x:c>
    </x:row>
    <x:row r="71" ht="58" customHeight="1">
      <x:c r="A71" s="28" t="str">
        <x:v>BER-0070</x:v>
      </x:c>
      <x:c r="B71" s="28" t="str">
        <x:v>Десерты и выпечка</x:v>
      </x:c>
      <x:c r="C71" s="28" t="str">
        <x:v>вишня</x:v>
      </x:c>
      <x:c r="D71" s="28" t="str">
        <x:v>Вишня | вишня</x:v>
      </x:c>
      <x:c r="E71" s="28" t="str">
        <x:v>Ягоды и производные</x:v>
      </x:c>
      <x:c r="F71" s="28" t="str">
        <x:v>грецкий орех</x:v>
      </x:c>
      <x:c r="G71" s="28" t="str">
        <x:v>Грецкий орех | грецкий орех</x:v>
      </x:c>
      <x:c r="H71" s="28" t="str">
        <x:v>Орехи и семена</x:v>
      </x:c>
      <x:c r="I71" s="28" t="str">
        <x:v>миндальный, пряный, фруктовый, цветочный</x:v>
      </x:c>
      <x:c r="J71" s="28" t="str">
        <x:v>жареный, миндальный, ореховый</x:v>
      </x:c>
      <x:c r="K71" s="28" t="str">
        <x:v>бензальдегид, бета-дамасценон, линалоол, эвгенол</x:v>
      </x:c>
      <x:c r="L71" s="28" t="str">
        <x:v>бензальдегид, пиразины, фураны</x:v>
      </x:c>
      <x:c r="M71" s="28" t="str">
        <x:v>миндальный</x:v>
      </x:c>
      <x:c r="N71" s="28" t="str">
        <x:v>бензальдегид</x:v>
      </x:c>
      <x:c r="O71" s="28" t="str">
        <x:v>ароматическое сходство + вкусовой баланс</x:v>
      </x:c>
      <x:c r="P71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71" s="28" t="str">
        <x:v>Специфического тройничного эффекта обычно нет; кислотность усиливает слюноотделение.</x:v>
      </x:c>
      <x:c r="R71" s="28" t="str">
        <x:v>Жировая фаза удерживает гидрофобные одоранты и продлевает послевкусие; кислотность ягод повышает слюноотделение.</x:v>
      </x:c>
      <x:c r="S7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1" s="28" t="str">
        <x:v>Прямой вероятный молекулярный мост: бензальдегид. Ягодный компонент несёт семейства миндальный, пряный,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1" s="28" t="str">
        <x:v>Не использовать повреждённые косточки без валидированной технологии: они содержат цианогенные гликозиды.</x:v>
      </x:c>
      <x:c r="V71" s="28" t="str">
        <x:v>ваниль или сливки</x:v>
      </x:c>
      <x:c r="W71" s="28" t="str">
        <x:v>сорбет, крем, ганаш, выпечка, джем или соус для десерта</x:v>
      </x:c>
      <x:c r="X71" s="28" t="str">
        <x:v>десерты</x:v>
      </x:c>
      <x:c r="Y71" s="28" t="str">
        <x:v>Высокая</x:v>
      </x:c>
      <x:c r="Z71" s="28" t="str">
        <x:v>Таблица сочетаний; Тезариус вкусов</x:v>
      </x:c>
      <x:c r="AA71" s="28" t="str">
        <x:v>Тезариус вкусов: 625, 654; Таблица сочетаний: 22</x:v>
      </x:c>
      <x:c r="AB71" s="28" t="str">
        <x:v>Грецкий орех и вишня. См. Вишня и грецкий орех | Вишня и грецкий орех. О таком дуэте драматург Алан Беннетт (Alan Bennett) может только мечтать! Увы, в последнее время бедный орех находится в опасности: его вытесняют более модные и «гламур- ные» орехи – макадамия, пекан, кедровые. Вишня же отступает под напором вездесущих менее сладких плодов – черники и клюквы. Вспомните добрые ста- рые времена – сделайте вишневый пирог с грецкими орехами! | Грецкий орех: вишня</x:v>
      </x:c>
      <x:c r="AC71" s="28" t="n">
        <x:v>2</x:v>
      </x:c>
      <x:c r="AD71" s="28" t="n">
        <x:v>3</x:v>
      </x:c>
    </x:row>
    <x:row r="72" ht="58" customHeight="1">
      <x:c r="A72" s="28" t="str">
        <x:v>BER-0071</x:v>
      </x:c>
      <x:c r="B72" s="28" t="str">
        <x:v>Универсальные</x:v>
      </x:c>
      <x:c r="C72" s="28" t="str">
        <x:v>вишня</x:v>
      </x:c>
      <x:c r="D72" s="28" t="str">
        <x:v>cherry | вишня</x:v>
      </x:c>
      <x:c r="E72" s="28" t="str">
        <x:v>Ягоды и производные</x:v>
      </x:c>
      <x:c r="F72" s="28" t="str">
        <x:v>груша</x:v>
      </x:c>
      <x:c r="G72" s="28" t="str">
        <x:v>Pear | Груша</x:v>
      </x:c>
      <x:c r="H72" s="28" t="str">
        <x:v>Фрукты</x:v>
      </x:c>
      <x:c r="I72" s="28" t="str">
        <x:v>миндальный, пряный, фруктовый, цветочный</x:v>
      </x:c>
      <x:c r="J72" s="28" t="str">
        <x:v>зелёный, фруктовый, цветочный</x:v>
      </x:c>
      <x:c r="K72" s="28" t="str">
        <x:v>бензальдегид, бета-дамасценон, линалоол, эвгенол</x:v>
      </x:c>
      <x:c r="L72" s="28" t="str">
        <x:v>лактоны, терпены, эфиры</x:v>
      </x:c>
      <x:c r="M72" s="28" t="str">
        <x:v>фруктовый, цветочный</x:v>
      </x:c>
      <x:c r="N72" s="28" t="str">
        <x:v>не подтверждены; механизм не сводится к одной общей молекуле</x:v>
      </x:c>
      <x:c r="O72" s="28" t="str">
        <x:v>сходство ароматических семейств + комплементарность</x:v>
      </x:c>
      <x:c r="P72" s="28" t="str">
        <x:v>Оба компонента формируют сладко-кислый, иногда терпкий и сладко-кислый контур; сахар, кислота и горечь должны быть выровнены дегустацией.</x:v>
      </x:c>
      <x:c r="Q72" s="28" t="str">
        <x:v>Специфического тройничного эффекта обычно нет; кислотность усиливает слюноотделение.</x:v>
      </x:c>
      <x:c r="R72" s="28" t="str">
        <x:v>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</x:v>
      </x:c>
      <x:c r="S7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2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2" s="28" t="str">
        <x:v>Не использовать повреждённые косточки без валидированной технологии: они содержат цианогенные гликозиды.</x:v>
      </x:c>
      <x:c r="V72" s="28" t="str">
        <x:v>ваниль или лимон</x:v>
      </x:c>
      <x:c r="W7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72" s="28" t="str">
        <x:v>напитки; десерты</x:v>
      </x:c>
      <x:c r="Y72" s="28" t="str">
        <x:v>Высокая</x:v>
      </x:c>
      <x:c r="Z72" s="28" t="str">
        <x:v>The Art &amp; Science of Foodpairing; Таблица сочетаний</x:v>
      </x:c>
      <x:c r="AA72" s="28" t="str">
        <x:v>The Art &amp; Science of Foodpairing: 350, 351; Таблица сочетаний: 16</x:v>
      </x:c>
      <x:c r="AB72" s="28" t="str">
        <x:v>Груша: вишня | Ingredient pairings with Pear: cherry | Ingredient pairings with Pear: cherry</x:v>
      </x:c>
      <x:c r="AC72" s="28" t="n">
        <x:v>2</x:v>
      </x:c>
      <x:c r="AD72" s="28" t="n">
        <x:v>3</x:v>
      </x:c>
    </x:row>
    <x:row r="73" ht="58" customHeight="1">
      <x:c r="A73" s="28" t="str">
        <x:v>BER-0072</x:v>
      </x:c>
      <x:c r="B73" s="28" t="str">
        <x:v>Универсальные</x:v>
      </x:c>
      <x:c r="C73" s="28" t="str">
        <x:v>вишня</x:v>
      </x:c>
      <x:c r="D73" s="28" t="str">
        <x:v>вишня</x:v>
      </x:c>
      <x:c r="E73" s="28" t="str">
        <x:v>Ягоды и производные</x:v>
      </x:c>
      <x:c r="F73" s="28" t="str">
        <x:v>дуриан</x:v>
      </x:c>
      <x:c r="G73" s="28" t="str">
        <x:v>Дуриан</x:v>
      </x:c>
      <x:c r="H73" s="28" t="str">
        <x:v>Прочее</x:v>
      </x:c>
      <x:c r="I73" s="28" t="str">
        <x:v>миндальный, пряный, фруктовый, цветочный</x:v>
      </x:c>
      <x:c r="J73" s="28" t="str">
        <x:v>комплексный</x:v>
      </x:c>
      <x:c r="K73" s="28" t="str">
        <x:v>бензальдегид, бета-дамасценон, линалоол, эвгенол</x:v>
      </x:c>
      <x:c r="L73" s="28" t="str">
        <x:v>нет надёжной конкретизации</x:v>
      </x:c>
      <x:c r="M73" s="28" t="str">
        <x:v>прямое совпадение семейств не установлено</x:v>
      </x:c>
      <x:c r="N73" s="28" t="str">
        <x:v>не подтверждены; механизм не сводится к одной общей молекуле</x:v>
      </x:c>
      <x:c r="O73" s="28" t="str">
        <x:v>контраст/комплементарность + матричный эффект</x:v>
      </x:c>
      <x:c r="P73" s="28" t="str">
        <x:v>Оба компонента формируют сладко-кислый, иногда терпкий и зависит от ингредиента контур; сахар, кислота и горечь должны быть выровнены дегустацией.</x:v>
      </x:c>
      <x:c r="Q73" s="28" t="str">
        <x:v>Специфического тройничного эффекта обычно нет; кислотность усиливает слюноотделение.</x:v>
      </x:c>
      <x:c r="R73" s="28" t="str">
        <x:v>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</x:v>
      </x:c>
      <x:c r="S7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комплексный. Оба компонента формируют сладко-кислый, иногда терпкий и зависит от ингредиента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3" s="28" t="str">
        <x:v>Не использовать повреждённые косточки без валидированной технологии: они содержат цианогенные гликозиды.</x:v>
      </x:c>
      <x:c r="V73" s="28" t="str">
        <x:v>лимон или ваниль</x:v>
      </x:c>
      <x:c r="W73" s="28" t="str">
        <x:v>сенсорная проба в малой дозировке</x:v>
      </x:c>
      <x:c r="X73" s="28" t="str">
        <x:v>универсально</x:v>
      </x:c>
      <x:c r="Y73" s="28" t="str">
        <x:v>Средняя</x:v>
      </x:c>
      <x:c r="Z73" s="28" t="str">
        <x:v>Таблица сочетаний</x:v>
      </x:c>
      <x:c r="AA73" s="28" t="str">
        <x:v>Таблица сочетаний: 7</x:v>
      </x:c>
      <x:c r="AB73" s="28" t="str">
        <x:v>Дуриан: вишня</x:v>
      </x:c>
      <x:c r="AC73" s="28" t="n">
        <x:v>1</x:v>
      </x:c>
      <x:c r="AD73" s="28" t="n">
        <x:v>1</x:v>
      </x:c>
    </x:row>
    <x:row r="74" ht="58" customHeight="1">
      <x:c r="A74" s="28" t="str">
        <x:v>BER-0073</x:v>
      </x:c>
      <x:c r="B74" s="28" t="str">
        <x:v>Еда и соусы</x:v>
      </x:c>
      <x:c r="C74" s="28" t="str">
        <x:v>вишня</x:v>
      </x:c>
      <x:c r="D74" s="28" t="str">
        <x:v>sour cherry</x:v>
      </x:c>
      <x:c r="E74" s="28" t="str">
        <x:v>Ягоды и производные</x:v>
      </x:c>
      <x:c r="F74" s="28" t="str">
        <x:v>зелёная фасоль</x:v>
      </x:c>
      <x:c r="G74" s="28" t="str">
        <x:v>Green Beans</x:v>
      </x:c>
      <x:c r="H74" s="28" t="str">
        <x:v>Овощи и грибы</x:v>
      </x:c>
      <x:c r="I74" s="28" t="str">
        <x:v>миндальный, пряный, фруктовый, цветочный</x:v>
      </x:c>
      <x:c r="J74" s="28" t="str">
        <x:v>зелёный, землистый, сернистый</x:v>
      </x:c>
      <x:c r="K74" s="28" t="str">
        <x:v>бензальдегид, бета-дамасценон, линалоол, эвгенол</x:v>
      </x:c>
      <x:c r="L74" s="28" t="str">
        <x:v>C6-альдегиды, пиразины, сернистые соединения</x:v>
      </x:c>
      <x:c r="M74" s="28" t="str">
        <x:v>прямое совпадение семейств не установлено</x:v>
      </x:c>
      <x:c r="N74" s="28" t="str">
        <x:v>не подтверждены; механизм не сводится к одной общей молекуле</x:v>
      </x:c>
      <x:c r="O74" s="28" t="str">
        <x:v>контраст/комплементарность + матричный эффект</x:v>
      </x:c>
      <x:c r="P74" s="28" t="str">
        <x:v>Оба компонента формируют сладко-кислый, иногда терпкий и растительный, иногда умами контур; сахар, кислота и горечь должны быть выровнены дегустацией.</x:v>
      </x:c>
      <x:c r="Q74" s="28" t="str">
        <x:v>Специфического тройничного эффекта обычно нет; кислотность усиливает слюноотделение.</x:v>
      </x:c>
      <x:c r="R74" s="28" t="str">
        <x:v>Ягода: косточка усиливает миндальный тон, но требует контроля безопасности.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7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7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зелёный, землистый, сернистый. Оба компонента формируют сладко-кислый, иногда терпкий и растительный, иногда умами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74" s="28" t="str">
        <x:v>Не использовать повреждённые косточки без валидированной технологии: они содержат цианогенные гликозиды.</x:v>
      </x:c>
      <x:c r="V74" s="28" t="str">
        <x:v>уксус или мягкий сыр</x:v>
      </x:c>
      <x:c r="W74" s="28" t="str">
        <x:v>соус, глазировка, салат, сырная подача или горячее блюдо; маринад, гастрик, чатни, кетчуп или редукция</x:v>
      </x:c>
      <x:c r="X74" s="28" t="str">
        <x:v>еда; соусы/маринады</x:v>
      </x:c>
      <x:c r="Y74" s="28" t="str">
        <x:v>Средняя</x:v>
      </x:c>
      <x:c r="Z74" s="28" t="str">
        <x:v>The Art &amp; Science of Foodpairing</x:v>
      </x:c>
      <x:c r="AA74" s="28" t="str">
        <x:v>The Art &amp; Science of Foodpairing: 320</x:v>
      </x:c>
      <x:c r="AB74" s="28" t="str">
        <x:v>Ingredient pairings with Green Beans: sour cherry</x:v>
      </x:c>
      <x:c r="AC74" s="28" t="n">
        <x:v>1</x:v>
      </x:c>
      <x:c r="AD74" s="28" t="n">
        <x:v>1</x:v>
      </x:c>
    </x:row>
    <x:row r="75" ht="58" customHeight="1">
      <x:c r="A75" s="28" t="str">
        <x:v>BER-0074</x:v>
      </x:c>
      <x:c r="B75" s="28" t="str">
        <x:v>Универсальные</x:v>
      </x:c>
      <x:c r="C75" s="28" t="str">
        <x:v>вишня</x:v>
      </x:c>
      <x:c r="D75" s="28" t="str">
        <x:v>вишня</x:v>
      </x:c>
      <x:c r="E75" s="28" t="str">
        <x:v>Ягоды и производные</x:v>
      </x:c>
      <x:c r="F75" s="28" t="str">
        <x:v>инжир</x:v>
      </x:c>
      <x:c r="G75" s="28" t="str">
        <x:v>Инжир</x:v>
      </x:c>
      <x:c r="H75" s="28" t="str">
        <x:v>Фрукты</x:v>
      </x:c>
      <x:c r="I75" s="28" t="str">
        <x:v>миндальный, пряный, фруктовый, цветочный</x:v>
      </x:c>
      <x:c r="J75" s="28" t="str">
        <x:v>зелёный, фруктовый, цветочный</x:v>
      </x:c>
      <x:c r="K75" s="28" t="str">
        <x:v>бензальдегид, бета-дамасценон, линалоол, эвгенол</x:v>
      </x:c>
      <x:c r="L75" s="28" t="str">
        <x:v>лактоны, терпены, эфиры</x:v>
      </x:c>
      <x:c r="M75" s="28" t="str">
        <x:v>фруктовый, цветочный</x:v>
      </x:c>
      <x:c r="N75" s="28" t="str">
        <x:v>не подтверждены; механизм не сводится к одной общей молекуле</x:v>
      </x:c>
      <x:c r="O75" s="28" t="str">
        <x:v>сходство ароматических семейств + комплементарность</x:v>
      </x:c>
      <x:c r="P75" s="28" t="str">
        <x:v>Оба компонента формируют сладко-кислый, иногда терпкий и сладко-кислый контур; сахар, кислота и горечь должны быть выровнены дегустацией.</x:v>
      </x:c>
      <x:c r="Q75" s="28" t="str">
        <x:v>Специфического тройничного эффекта обычно нет; кислотность усиливает слюноотделение.</x:v>
      </x:c>
      <x:c r="R75" s="28" t="str">
        <x:v>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</x:v>
      </x:c>
      <x:c r="S7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5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5" s="28" t="str">
        <x:v>Не использовать повреждённые косточки без валидированной технологии: они содержат цианогенные гликозиды.</x:v>
      </x:c>
      <x:c r="V75" s="28" t="str">
        <x:v>ваниль или лимон</x:v>
      </x:c>
      <x:c r="W7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75" s="28" t="str">
        <x:v>напитки; десерты</x:v>
      </x:c>
      <x:c r="Y75" s="28" t="str">
        <x:v>Средняя</x:v>
      </x:c>
      <x:c r="Z75" s="28" t="str">
        <x:v>Таблица сочетаний</x:v>
      </x:c>
      <x:c r="AA75" s="28" t="str">
        <x:v>Таблица сочетаний: 8</x:v>
      </x:c>
      <x:c r="AB75" s="28" t="str">
        <x:v>Инжир: вишня</x:v>
      </x:c>
      <x:c r="AC75" s="28" t="n">
        <x:v>1</x:v>
      </x:c>
      <x:c r="AD75" s="28" t="n">
        <x:v>1</x:v>
      </x:c>
    </x:row>
    <x:row r="76" ht="58" customHeight="1">
      <x:c r="A76" s="28" t="str">
        <x:v>BER-0075</x:v>
      </x:c>
      <x:c r="B76" s="28" t="str">
        <x:v>Десерты и выпечка</x:v>
      </x:c>
      <x:c r="C76" s="28" t="str">
        <x:v>вишня</x:v>
      </x:c>
      <x:c r="D76" s="28" t="str">
        <x:v>Вишня</x:v>
      </x:c>
      <x:c r="E76" s="28" t="str">
        <x:v>Ягоды и производные</x:v>
      </x:c>
      <x:c r="F76" s="28" t="str">
        <x:v>карамель</x:v>
      </x:c>
      <x:c r="G76" s="28" t="str">
        <x:v>карамель</x:v>
      </x:c>
      <x:c r="H76" s="28" t="str">
        <x:v>Шоколад, кофе и жареные продукты</x:v>
      </x:c>
      <x:c r="I76" s="28" t="str">
        <x:v>миндальный, пряный, фруктовый, цветочный</x:v>
      </x:c>
      <x:c r="J76" s="28" t="str">
        <x:v>горький, жареный, карамельный, ореховый</x:v>
      </x:c>
      <x:c r="K76" s="28" t="str">
        <x:v>бензальдегид, бета-дамасценон, линалоол, эвгенол</x:v>
      </x:c>
      <x:c r="L76" s="28" t="str">
        <x:v>ванилин, пиразины, фураны</x:v>
      </x:c>
      <x:c r="M76" s="28" t="str">
        <x:v>прямое совпадение семейств не установлено</x:v>
      </x:c>
      <x:c r="N76" s="28" t="str">
        <x:v>не подтверждены; механизм не сводится к одной общей молекуле</x:v>
      </x:c>
      <x:c r="O76" s="28" t="str">
        <x:v>контраст/комплементарность + матричный эффект</x:v>
      </x:c>
      <x:c r="P76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76" s="28" t="str">
        <x:v>Специфического тройничного эффекта обычно нет; кислотность усиливает слюноотделение.</x:v>
      </x:c>
      <x:c r="R76" s="28" t="str">
        <x:v>Жировая фаза удерживает гидрофобные одоранты и продлевает послевкусие; кислотность ягод повышает слюноотделение.</x:v>
      </x:c>
      <x:c r="S7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6" s="28" t="str">
        <x:v>Не использовать повреждённые косточки без валидированной технологии: они содержат цианогенные гликозиды.</x:v>
      </x:c>
      <x:c r="V76" s="28" t="str">
        <x:v>ваниль или орехи</x:v>
      </x:c>
      <x:c r="W76" s="28" t="str">
        <x:v>сорбет, крем, ганаш, выпечка, джем или соус для десерта</x:v>
      </x:c>
      <x:c r="X76" s="28" t="str">
        <x:v>десерты</x:v>
      </x:c>
      <x:c r="Y76" s="28" t="str">
        <x:v>Средняя</x:v>
      </x:c>
      <x:c r="Z76" s="28" t="str">
        <x:v>Таблица сочетаний</x:v>
      </x:c>
      <x:c r="AA76" s="28" t="str">
        <x:v>Таблица сочетаний: 4</x:v>
      </x:c>
      <x:c r="AB76" s="28" t="str">
        <x:v>Вишня: карамель</x:v>
      </x:c>
      <x:c r="AC76" s="28" t="n">
        <x:v>1</x:v>
      </x:c>
      <x:c r="AD76" s="28" t="n">
        <x:v>1</x:v>
      </x:c>
    </x:row>
    <x:row r="77" ht="58" customHeight="1">
      <x:c r="A77" s="28" t="str">
        <x:v>BER-0076</x:v>
      </x:c>
      <x:c r="B77" s="28" t="str">
        <x:v>Универсальные</x:v>
      </x:c>
      <x:c r="C77" s="28" t="str">
        <x:v>вишня</x:v>
      </x:c>
      <x:c r="D77" s="28" t="str">
        <x:v>вишня</x:v>
      </x:c>
      <x:c r="E77" s="28" t="str">
        <x:v>Ягоды и производные</x:v>
      </x:c>
      <x:c r="F77" s="28" t="str">
        <x:v>киви</x:v>
      </x:c>
      <x:c r="G77" s="28" t="str">
        <x:v>Киви</x:v>
      </x:c>
      <x:c r="H77" s="28" t="str">
        <x:v>Фрукты</x:v>
      </x:c>
      <x:c r="I77" s="28" t="str">
        <x:v>миндальный, пряный, фруктовый, цветочный</x:v>
      </x:c>
      <x:c r="J77" s="28" t="str">
        <x:v>зелёный, фруктовый, цветочный</x:v>
      </x:c>
      <x:c r="K77" s="28" t="str">
        <x:v>бензальдегид, бета-дамасценон, линалоол, эвгенол</x:v>
      </x:c>
      <x:c r="L77" s="28" t="str">
        <x:v>лактоны, терпены, эфиры</x:v>
      </x:c>
      <x:c r="M77" s="28" t="str">
        <x:v>фруктовый, цветочный</x:v>
      </x:c>
      <x:c r="N77" s="28" t="str">
        <x:v>не подтверждены; механизм не сводится к одной общей молекуле</x:v>
      </x:c>
      <x:c r="O77" s="28" t="str">
        <x:v>сходство ароматических семейств + комплементарность</x:v>
      </x:c>
      <x:c r="P77" s="28" t="str">
        <x:v>Оба компонента формируют сладко-кислый, иногда терпкий и сладко-кислый контур; сахар, кислота и горечь должны быть выровнены дегустацией.</x:v>
      </x:c>
      <x:c r="Q77" s="28" t="str">
        <x:v>Специфического тройничного эффекта обычно нет; кислотность усиливает слюноотделение.</x:v>
      </x:c>
      <x:c r="R77" s="28" t="str">
        <x:v>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</x:v>
      </x:c>
      <x:c r="S7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7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7" s="28" t="str">
        <x:v>Не использовать повреждённые косточки без валидированной технологии: они содержат цианогенные гликозиды.</x:v>
      </x:c>
      <x:c r="V77" s="28" t="str">
        <x:v>ваниль или лимон</x:v>
      </x:c>
      <x:c r="W7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77" s="28" t="str">
        <x:v>напитки; десерты</x:v>
      </x:c>
      <x:c r="Y77" s="28" t="str">
        <x:v>Средняя</x:v>
      </x:c>
      <x:c r="Z77" s="28" t="str">
        <x:v>Таблица сочетаний</x:v>
      </x:c>
      <x:c r="AA77" s="28" t="str">
        <x:v>Таблица сочетаний: 10</x:v>
      </x:c>
      <x:c r="AB77" s="28" t="str">
        <x:v>Киви: вишня</x:v>
      </x:c>
      <x:c r="AC77" s="28" t="n">
        <x:v>1</x:v>
      </x:c>
      <x:c r="AD77" s="28" t="n">
        <x:v>1</x:v>
      </x:c>
    </x:row>
    <x:row r="78" ht="58" customHeight="1">
      <x:c r="A78" s="28" t="str">
        <x:v>BER-0077</x:v>
      </x:c>
      <x:c r="B78" s="28" t="str">
        <x:v>Десерты и выпечка</x:v>
      </x:c>
      <x:c r="C78" s="28" t="str">
        <x:v>вишня</x:v>
      </x:c>
      <x:c r="D78" s="28" t="str">
        <x:v>cherry | Вишня | вишня</x:v>
      </x:c>
      <x:c r="E78" s="28" t="str">
        <x:v>Ягоды и производные</x:v>
      </x:c>
      <x:c r="F78" s="28" t="str">
        <x:v>козий сыр</x:v>
      </x:c>
      <x:c r="G78" s="28" t="str">
        <x:v>Goats' Cheese | Козий сыр | козий сыр</x:v>
      </x:c>
      <x:c r="H78" s="28" t="str">
        <x:v>Молочные продукты и сыры</x:v>
      </x:c>
      <x:c r="I78" s="28" t="str">
        <x:v>миндальный, пряный, фруктовый, цветочный</x:v>
      </x:c>
      <x:c r="J78" s="28" t="str">
        <x:v>масляный, молочный, сливочный, сырный</x:v>
      </x:c>
      <x:c r="K78" s="28" t="str">
        <x:v>бензальдегид, бета-дамасценон, линалоол, эвгенол</x:v>
      </x:c>
      <x:c r="L78" s="28" t="str">
        <x:v>диацетил, жирные кислоты, лактоны</x:v>
      </x:c>
      <x:c r="M78" s="28" t="str">
        <x:v>прямое совпадение семейств не установлено</x:v>
      </x:c>
      <x:c r="N78" s="28" t="str">
        <x:v>не подтверждены; механизм не сводится к одной общей молекуле</x:v>
      </x:c>
      <x:c r="O78" s="28" t="str">
        <x:v>контраст/комплементарность + матричный эффект</x:v>
      </x:c>
      <x:c r="P78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78" s="28" t="str">
        <x:v>Специфического тройничного эффекта обычно нет; кислотность усиливает слюноотделение.</x:v>
      </x:c>
      <x:c r="R78" s="28" t="str">
        <x:v>Жировая фаза удерживает гидрофобные одоранты и продлевает послевкусие; кислотность ягод повышает слюноотделение.</x:v>
      </x:c>
      <x:c r="S7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7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78" s="28" t="str">
        <x:v>Не использовать повреждённые косточки без валидированной технологии: они содержат цианогенные гликозиды. Высокая кислотность может свернуть молочный белок; смешивать при контролируемой температуре.</x:v>
      </x:c>
      <x:c r="V78" s="28" t="str">
        <x:v>мёд или миндаль</x:v>
      </x:c>
      <x:c r="W78" s="28" t="str">
        <x:v>сорбет, крем, ганаш, выпечка, джем или соус для десерта; соус, глазировка, салат, сырная подача или горячее блюдо</x:v>
      </x:c>
      <x:c r="X78" s="28" t="str">
        <x:v>десерты; еда</x:v>
      </x:c>
      <x:c r="Y78" s="28" t="str">
        <x:v>Высокая</x:v>
      </x:c>
      <x:c r="Z78" s="28" t="str">
        <x:v>The Art &amp; Science of Foodpairing; Тезариус вкусов</x:v>
      </x:c>
      <x:c r="AA78" s="28" t="str">
        <x:v>Тезариус вкусов: 137, 654; The Art &amp; Science of Foodpairing: 200</x:v>
      </x:c>
      <x:c r="AB78" s="28" t="str">
        <x:v>Козий сыр и вишня. См. Вишня и козий сыр | Вишня и козий сыр. Сладкая вишня хорошо со- четается с козьим сыром, особенно когда оба про- дукта обладают свежим травянистым вкусом – обыч- но это происходит вблизи «макушки» лета. Если вы обожаете долгие прогулки с пикниками, но не люби- те таскать на себе корзину или небольшой холодиль- ник, то для вас такой обед под девизом «лучше мень- ше, да лучше» окажется идеальным. Положите све- жие вишни и несколько кружочков козьего сыра в бу | Ingredient pairings with Goats' Cheese: cherry</x:v>
      </x:c>
      <x:c r="AC78" s="28" t="n">
        <x:v>2</x:v>
      </x:c>
      <x:c r="AD78" s="28" t="n">
        <x:v>3</x:v>
      </x:c>
    </x:row>
    <x:row r="79" ht="58" customHeight="1">
      <x:c r="A79" s="28" t="str">
        <x:v>BER-0078</x:v>
      </x:c>
      <x:c r="B79" s="28" t="str">
        <x:v>Универсальные</x:v>
      </x:c>
      <x:c r="C79" s="28" t="str">
        <x:v>вишня</x:v>
      </x:c>
      <x:c r="D79" s="28" t="str">
        <x:v>Вишня | вишня</x:v>
      </x:c>
      <x:c r="E79" s="28" t="str">
        <x:v>Ягоды и производные</x:v>
      </x:c>
      <x:c r="F79" s="28" t="str">
        <x:v>кокос</x:v>
      </x:c>
      <x:c r="G79" s="28" t="str">
        <x:v>Кокос | кокос</x:v>
      </x:c>
      <x:c r="H79" s="28" t="str">
        <x:v>Прочее</x:v>
      </x:c>
      <x:c r="I79" s="28" t="str">
        <x:v>миндальный, пряный, фруктовый, цветочный</x:v>
      </x:c>
      <x:c r="J79" s="28" t="str">
        <x:v>комплексный</x:v>
      </x:c>
      <x:c r="K79" s="28" t="str">
        <x:v>бензальдегид, бета-дамасценон, линалоол, эвгенол</x:v>
      </x:c>
      <x:c r="L79" s="28" t="str">
        <x:v>нет надёжной конкретизации</x:v>
      </x:c>
      <x:c r="M79" s="28" t="str">
        <x:v>прямое совпадение семейств не установлено</x:v>
      </x:c>
      <x:c r="N79" s="28" t="str">
        <x:v>не подтверждены; механизм не сводится к одной общей молекуле</x:v>
      </x:c>
      <x:c r="O79" s="28" t="str">
        <x:v>контраст/комплементарность + матричный эффект</x:v>
      </x:c>
      <x:c r="P79" s="28" t="str">
        <x:v>Оба компонента формируют сладко-кислый, иногда терпкий и зависит от ингредиента контур; сахар, кислота и горечь должны быть выровнены дегустацией.</x:v>
      </x:c>
      <x:c r="Q79" s="28" t="str">
        <x:v>Специфического тройничного эффекта обычно нет; кислотность усиливает слюноотделение.</x:v>
      </x:c>
      <x:c r="R79" s="28" t="str">
        <x:v>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</x:v>
      </x:c>
      <x:c r="S7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комплексный. Оба компонента формируют сладко-кислый, иногда терпкий и зависит от ингредиента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9" s="28" t="str">
        <x:v>Не использовать повреждённые косточки без валидированной технологии: они содержат цианогенные гликозиды.</x:v>
      </x:c>
      <x:c r="V79" s="28" t="str">
        <x:v>лимон или ваниль</x:v>
      </x:c>
      <x:c r="W79" s="28" t="str">
        <x:v>сенсорная проба в малой дозировке</x:v>
      </x:c>
      <x:c r="X79" s="28" t="str">
        <x:v>универсально</x:v>
      </x:c>
      <x:c r="Y79" s="28" t="str">
        <x:v>Высокая</x:v>
      </x:c>
      <x:c r="Z79" s="28" t="str">
        <x:v>Тезариус вкусов</x:v>
      </x:c>
      <x:c r="AA79" s="28" t="str">
        <x:v>Тезариус вкусов: 655, 755</x:v>
      </x:c>
      <x:c r="AB79" s="28" t="str">
        <x:v>Вишня и кокос. См. Кокос и вишня | Кокос и вишня. Помните, в 1980-х к нам пришел (и вскоре ушел) шоколадный батончик Cabana? Он представлял собой кокосовую основу с засахаренны- ми вишнями, залитую карамелью и покрытую молоч- ным шоколадом. Батончик был такой сладкий, что от него в унисон с жеванием начинали ныть зубы. Ощу- щение было такое, что вы на дискотеке слишком близ- ко подошли к динамикам. Кокос, вишня и миндаль – все это представители косточковых, в доминирующих сливочных и ореховых вкусах которых можно обнару- жить некоторые фруктовые ноты. Особенно хорошо сочетаются между собой кокос и вишня с ее фрукто- вым и ореховым вкусом, а оба эти компонента очень хорошо «раб</x:v>
      </x:c>
      <x:c r="AC79" s="28" t="n">
        <x:v>1</x:v>
      </x:c>
      <x:c r="AD79" s="28" t="n">
        <x:v>2</x:v>
      </x:c>
    </x:row>
    <x:row r="80" ht="58" customHeight="1">
      <x:c r="A80" s="28" t="str">
        <x:v>BER-0079</x:v>
      </x:c>
      <x:c r="B80" s="28" t="str">
        <x:v>Еда и соусы</x:v>
      </x:c>
      <x:c r="C80" s="28" t="str">
        <x:v>вишня</x:v>
      </x:c>
      <x:c r="D80" s="28" t="str">
        <x:v>Вишня | вишня</x:v>
      </x:c>
      <x:c r="E80" s="28" t="str">
        <x:v>Ягоды и производные</x:v>
      </x:c>
      <x:c r="F80" s="28" t="str">
        <x:v>копченая рыба</x:v>
      </x:c>
      <x:c r="G80" s="28" t="str">
        <x:v>Копченая рыба | копченая рыба</x:v>
      </x:c>
      <x:c r="H80" s="28" t="str">
        <x:v>Рыба и морепродукты</x:v>
      </x:c>
      <x:c r="I80" s="28" t="str">
        <x:v>миндальный, пряный, фруктовый, цветочный</x:v>
      </x:c>
      <x:c r="J80" s="28" t="str">
        <x:v>жирный, морской, умами</x:v>
      </x:c>
      <x:c r="K80" s="28" t="str">
        <x:v>бензальдегид, бета-дамасценон, линалоол, эвгенол</x:v>
      </x:c>
      <x:c r="L80" s="28" t="str">
        <x:v>альдегиды, амины, сернистые соединения</x:v>
      </x:c>
      <x:c r="M80" s="28" t="str">
        <x:v>прямое совпадение семейств не установлено</x:v>
      </x:c>
      <x:c r="N80" s="28" t="str">
        <x:v>не подтверждены; механизм не сводится к одной общей молекуле</x:v>
      </x:c>
      <x:c r="O80" s="28" t="str">
        <x:v>контраст/комплементарность + матричный эффект</x:v>
      </x:c>
      <x:c r="P80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80" s="28" t="str">
        <x:v>Специфического тройничного эффекта обычно нет; кислотность усиливает слюноотделение.</x:v>
      </x:c>
      <x:c r="R80" s="28" t="str">
        <x:v>Белок и жир смягчают кислоту; ягодный соус должен сохранять достаточную концентрацию и соль.</x:v>
      </x:c>
      <x:c r="S8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8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80" s="28" t="str">
        <x:v>Не использовать повреждённые косточки без валидированной технологии: они содержат цианогенные гликозиды.</x:v>
      </x:c>
      <x:c r="V80" s="28" t="str">
        <x:v>цитрус или огурец</x:v>
      </x:c>
      <x:c r="W80" s="28" t="str">
        <x:v>соус, глазировка, салат, сырная подача или горячее блюдо; маринад, гастрик, чатни, кетчуп или редукция</x:v>
      </x:c>
      <x:c r="X80" s="28" t="str">
        <x:v>еда; соусы/маринады</x:v>
      </x:c>
      <x:c r="Y80" s="28" t="str">
        <x:v>Высокая</x:v>
      </x:c>
      <x:c r="Z80" s="28" t="str">
        <x:v>Тезариус вкусов</x:v>
      </x:c>
      <x:c r="AA80" s="28" t="str">
        <x:v>Тезариус вкусов: 435, 655</x:v>
      </x:c>
      <x:c r="AB80" s="28" t="str">
        <x:v>Копченая рыба и вишня. См. Вишня и копченая рыба | Вишня и копченая рыба. Хью Фернли-Уиттинг- столл (Hugh Fearnley-Whittingstall) предлагает сезон- ное сочетание морской форели горячего копчения с отваром из свежих вишен Морелло (Morello) с косточ- ками, с небольшим количеством коричневого сахара. Подается это сочетание теплым с салатом из водяно- го кресса и ломтиками орехового хлеба</x:v>
      </x:c>
      <x:c r="AC80" s="28" t="n">
        <x:v>1</x:v>
      </x:c>
      <x:c r="AD80" s="28" t="n">
        <x:v>2</x:v>
      </x:c>
    </x:row>
    <x:row r="81" ht="58" customHeight="1">
      <x:c r="A81" s="28" t="str">
        <x:v>BER-0080</x:v>
      </x:c>
      <x:c r="B81" s="28" t="str">
        <x:v>Универсальные</x:v>
      </x:c>
      <x:c r="C81" s="28" t="str">
        <x:v>вишня</x:v>
      </x:c>
      <x:c r="D81" s="28" t="str">
        <x:v>cherry</x:v>
      </x:c>
      <x:c r="E81" s="28" t="str">
        <x:v>Ягоды и производные</x:v>
      </x:c>
      <x:c r="F81" s="28" t="str">
        <x:v>кориандр</x:v>
      </x:c>
      <x:c r="G81" s="28" t="str">
        <x:v>Coriander</x:v>
      </x:c>
      <x:c r="H81" s="28" t="str">
        <x:v>Прочее</x:v>
      </x:c>
      <x:c r="I81" s="28" t="str">
        <x:v>миндальный, пряный, фруктовый, цветочный</x:v>
      </x:c>
      <x:c r="J81" s="28" t="str">
        <x:v>комплексный</x:v>
      </x:c>
      <x:c r="K81" s="28" t="str">
        <x:v>бензальдегид, бета-дамасценон, линалоол, эвгенол</x:v>
      </x:c>
      <x:c r="L81" s="28" t="str">
        <x:v>нет надёжной конкретизации</x:v>
      </x:c>
      <x:c r="M81" s="28" t="str">
        <x:v>прямое совпадение семейств не установлено</x:v>
      </x:c>
      <x:c r="N81" s="28" t="str">
        <x:v>не подтверждены; механизм не сводится к одной общей молекуле</x:v>
      </x:c>
      <x:c r="O81" s="28" t="str">
        <x:v>контраст/комплементарность + матричный эффект</x:v>
      </x:c>
      <x:c r="P81" s="28" t="str">
        <x:v>Оба компонента формируют сладко-кислый, иногда терпкий и зависит от ингредиента контур; сахар, кислота и горечь должны быть выровнены дегустацией.</x:v>
      </x:c>
      <x:c r="Q81" s="28" t="str">
        <x:v>Специфического тройничного эффекта обычно нет; кислотность усиливает слюноотделение.</x:v>
      </x:c>
      <x:c r="R81" s="28" t="str">
        <x:v>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</x:v>
      </x:c>
      <x:c r="S8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8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комплексный. Оба компонента формируют сладко-кислый, иногда терпкий и зависит от ингредиента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81" s="28" t="str">
        <x:v>Не использовать повреждённые косточки без валидированной технологии: они содержат цианогенные гликозиды.</x:v>
      </x:c>
      <x:c r="V81" s="28" t="str">
        <x:v>лимон или ваниль</x:v>
      </x:c>
      <x:c r="W81" s="28" t="str">
        <x:v>сенсорная проба в малой дозировке</x:v>
      </x:c>
      <x:c r="X81" s="28" t="str">
        <x:v>универсально</x:v>
      </x:c>
      <x:c r="Y81" s="28" t="str">
        <x:v>Средняя</x:v>
      </x:c>
      <x:c r="Z81" s="28" t="str">
        <x:v>The Art &amp; Science of Foodpairing</x:v>
      </x:c>
      <x:c r="AA81" s="28" t="str">
        <x:v>The Art &amp; Science of Foodpairing: 98</x:v>
      </x:c>
      <x:c r="AB81" s="28" t="str">
        <x:v>Ingredient pairings with Coriander: cherry</x:v>
      </x:c>
      <x:c r="AC81" s="28" t="n">
        <x:v>1</x:v>
      </x:c>
      <x:c r="AD81" s="28" t="n">
        <x:v>1</x:v>
      </x:c>
    </x:row>
    <x:row r="82" ht="58" customHeight="1">
      <x:c r="A82" s="28" t="str">
        <x:v>BER-0081</x:v>
      </x:c>
      <x:c r="B82" s="28" t="str">
        <x:v>Универсальные</x:v>
      </x:c>
      <x:c r="C82" s="28" t="str">
        <x:v>вишня</x:v>
      </x:c>
      <x:c r="D82" s="28" t="str">
        <x:v>cherry | Вишня | вишня</x:v>
      </x:c>
      <x:c r="E82" s="28" t="str">
        <x:v>Ягоды и производные</x:v>
      </x:c>
      <x:c r="F82" s="28" t="str">
        <x:v>корица</x:v>
      </x:c>
      <x:c r="G82" s="28" t="str">
        <x:v>Cinnamon | Корица | корица</x:v>
      </x:c>
      <x:c r="H82" s="28" t="str">
        <x:v>Специи</x:v>
      </x:c>
      <x:c r="I82" s="28" t="str">
        <x:v>миндальный, пряный, фруктовый, цветочный</x:v>
      </x:c>
      <x:c r="J82" s="28" t="str">
        <x:v>древесный, пряный, тёплый</x:v>
      </x:c>
      <x:c r="K82" s="28" t="str">
        <x:v>бензальдегид, бета-дамасценон, линалоол, эвгенол</x:v>
      </x:c>
      <x:c r="L82" s="28" t="str">
        <x:v>коричный альдегид, терпены, эвгенол</x:v>
      </x:c>
      <x:c r="M82" s="28" t="str">
        <x:v>пряный</x:v>
      </x:c>
      <x:c r="N82" s="28" t="str">
        <x:v>эвгенол</x:v>
      </x:c>
      <x:c r="O82" s="28" t="str">
        <x:v>ароматическое сходство + вкусовой баланс</x:v>
      </x:c>
      <x:c r="P82" s="28" t="str">
        <x:v>Ягодная сладость смягчает горечь и пряность, а кислотность делает пряный, иногда горький профиль ярче.</x:v>
      </x:c>
      <x:c r="Q82" s="28" t="str">
        <x:v>Специфического тройничного эффекта обычно нет; кислотность усиливает слюноотделение.</x:v>
      </x:c>
      <x:c r="R82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8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82" s="28" t="str">
        <x:v>Прямой вероятный молекулярный мост: эвгенол. Ягодный компонент несёт семейства миндальный, пряный,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82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V82" s="28" t="str">
        <x:v>мёд или цитрус</x:v>
      </x:c>
      <x:c r="W8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82" s="28" t="str">
        <x:v>напитки; десерты; еда; соусы/маринады</x:v>
      </x:c>
      <x:c r="Y82" s="28" t="str">
        <x:v>Высокая</x:v>
      </x:c>
      <x:c r="Z82" s="28" t="str">
        <x:v>The Art &amp; Science of Foodpairing; Таблица сочетаний; Тезариус вкусов</x:v>
      </x:c>
      <x:c r="AA82" s="28" t="str">
        <x:v>Тезариус вкусов: 574, 655; The Art &amp; Science of Foodpairing: 130; Таблица сочетаний: 4</x:v>
      </x:c>
      <x:c r="AB82" s="28" t="str">
        <x:v>Корица и вишня. Вот рецепт венгерского вишнево- го супа – лихого, как народный танец. Возьмите 500 г кислой вишни, например сорта Морелло (Morello). По- ложите плоды в пакет для морозильника и раскатай- те их скалкой, чтобы некоторые из них полопались | Вишня и корица. См. Корица и вишня | Вишня: корица | Ingredient pairings with Cinnamon: cherry</x:v>
      </x:c>
      <x:c r="AC82" s="28" t="n">
        <x:v>3</x:v>
      </x:c>
      <x:c r="AD82" s="28" t="n">
        <x:v>4</x:v>
      </x:c>
    </x:row>
    <x:row r="83" ht="58" customHeight="1">
      <x:c r="A83" s="28" t="str">
        <x:v>BER-0082</x:v>
      </x:c>
      <x:c r="B83" s="28" t="str">
        <x:v>Десерты и выпечка</x:v>
      </x:c>
      <x:c r="C83" s="28" t="str">
        <x:v>вишня</x:v>
      </x:c>
      <x:c r="D83" s="28" t="str">
        <x:v>Вишня | вишня</x:v>
      </x:c>
      <x:c r="E83" s="28" t="str">
        <x:v>Ягоды и производные</x:v>
      </x:c>
      <x:c r="F83" s="28" t="str">
        <x:v>кофе</x:v>
      </x:c>
      <x:c r="G83" s="28" t="str">
        <x:v>Кофе | кофе</x:v>
      </x:c>
      <x:c r="H83" s="28" t="str">
        <x:v>Шоколад, кофе и жареные продукты</x:v>
      </x:c>
      <x:c r="I83" s="28" t="str">
        <x:v>миндальный, пряный, фруктовый, цветочный</x:v>
      </x:c>
      <x:c r="J83" s="28" t="str">
        <x:v>горький, жареный, карамельный, ореховый</x:v>
      </x:c>
      <x:c r="K83" s="28" t="str">
        <x:v>бензальдегид, бета-дамасценон, линалоол, эвгенол</x:v>
      </x:c>
      <x:c r="L83" s="28" t="str">
        <x:v>ванилин, пиразины, фураны</x:v>
      </x:c>
      <x:c r="M83" s="28" t="str">
        <x:v>прямое совпадение семейств не установлено</x:v>
      </x:c>
      <x:c r="N83" s="28" t="str">
        <x:v>не подтверждены; механизм не сводится к одной общей молекуле</x:v>
      </x:c>
      <x:c r="O83" s="28" t="str">
        <x:v>контраст/комплементарность + матричный эффект</x:v>
      </x:c>
      <x:c r="P83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83" s="28" t="str">
        <x:v>Специфического тройничного эффекта обычно нет; кислотность усиливает слюноотделение.</x:v>
      </x:c>
      <x:c r="R83" s="28" t="str">
        <x:v>Жировая фаза удерживает гидрофобные одоранты и продлевает послевкусие; кислотность ягод повышает слюноотделение.</x:v>
      </x:c>
      <x:c r="S8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8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83" s="28" t="str">
        <x:v>Не использовать повреждённые косточки без валидированной технологии: они содержат цианогенные гликозиды.</x:v>
      </x:c>
      <x:c r="V83" s="28" t="str">
        <x:v>ваниль или орехи</x:v>
      </x:c>
      <x:c r="W83" s="28" t="str">
        <x:v>сорбет, крем, ганаш, выпечка, джем или соус для десерта</x:v>
      </x:c>
      <x:c r="X83" s="28" t="str">
        <x:v>десерты</x:v>
      </x:c>
      <x:c r="Y83" s="28" t="str">
        <x:v>Высокая</x:v>
      </x:c>
      <x:c r="Z83" s="28" t="str">
        <x:v>Таблица сочетаний; Тезариус вкусов</x:v>
      </x:c>
      <x:c r="AA83" s="28" t="str">
        <x:v>Тезариус вкусов: 43, 655; Таблица сочетаний: 6</x:v>
      </x:c>
      <x:c r="AB83" s="28" t="str">
        <x:v>Кофе и вишня. Когда весь мир гадал, кто убил Ло- ру Палмер в сериале «Твин Пикс», который снял Дэ- вид Линч, я была озабочена только одним: как бы про- скользнуть за экран и присоединиться к агенту Куперу в кафе RR Diner, где подают чертовски хороший кофе с кусочком вишневого пирога? | Вишня и кофе. См. Кофе и вишня | Кофе: вишня</x:v>
      </x:c>
      <x:c r="AC83" s="28" t="n">
        <x:v>2</x:v>
      </x:c>
      <x:c r="AD83" s="28" t="n">
        <x:v>3</x:v>
      </x:c>
    </x:row>
    <x:row r="84" ht="58" customHeight="1">
      <x:c r="A84" s="28" t="str">
        <x:v>BER-0083</x:v>
      </x:c>
      <x:c r="B84" s="28" t="str">
        <x:v>Универсальные</x:v>
      </x:c>
      <x:c r="C84" s="28" t="str">
        <x:v>вишня</x:v>
      </x:c>
      <x:c r="D84" s="28" t="str">
        <x:v>cherry</x:v>
      </x:c>
      <x:c r="E84" s="28" t="str">
        <x:v>Ягоды и производные</x:v>
      </x:c>
      <x:c r="F84" s="28" t="str">
        <x:v>красный сладкий перец</x:v>
      </x:c>
      <x:c r="G84" s="28" t="str">
        <x:v>Red Bell Pepper</x:v>
      </x:c>
      <x:c r="H84" s="28" t="str">
        <x:v>Специи</x:v>
      </x:c>
      <x:c r="I84" s="28" t="str">
        <x:v>миндальный, пряный, фруктовый, цветочный</x:v>
      </x:c>
      <x:c r="J84" s="28" t="str">
        <x:v>древесный, пряный, тёплый</x:v>
      </x:c>
      <x:c r="K84" s="28" t="str">
        <x:v>бензальдегид, бета-дамасценон, линалоол, эвгенол</x:v>
      </x:c>
      <x:c r="L84" s="28" t="str">
        <x:v>коричный альдегид, терпены, эвгенол</x:v>
      </x:c>
      <x:c r="M84" s="28" t="str">
        <x:v>пряный</x:v>
      </x:c>
      <x:c r="N84" s="28" t="str">
        <x:v>эвгенол</x:v>
      </x:c>
      <x:c r="O84" s="28" t="str">
        <x:v>ароматическое сходство + вкусовой баланс</x:v>
      </x:c>
      <x:c r="P84" s="28" t="str">
        <x:v>Ягодная сладость смягчает горечь и пряность, а кислотность делает пряный, иногда горький профиль ярче.</x:v>
      </x:c>
      <x:c r="Q84" s="28" t="str">
        <x:v>Специфического тройничного эффекта обычно нет; кислотность усиливает слюноотделение.</x:v>
      </x:c>
      <x:c r="R84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8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84" s="28" t="str">
        <x:v>Прямой вероятный молекулярный мост: эвгенол. Ягодный компонент несёт семейства миндальный, пряный,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84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V84" s="28" t="str">
        <x:v>мёд или цитрус</x:v>
      </x:c>
      <x:c r="W8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84" s="28" t="str">
        <x:v>напитки; десерты; еда; соусы/маринады</x:v>
      </x:c>
      <x:c r="Y84" s="28" t="str">
        <x:v>Средняя</x:v>
      </x:c>
      <x:c r="Z84" s="28" t="str">
        <x:v>The Art &amp; Science of Foodpairing</x:v>
      </x:c>
      <x:c r="AA84" s="28" t="str">
        <x:v>The Art &amp; Science of Foodpairing: 108</x:v>
      </x:c>
      <x:c r="AB84" s="28" t="str">
        <x:v>Ingredient pairings with Red Bell Pepper: cherry | Ingredient pairings with Red Bell Pepper: cherry</x:v>
      </x:c>
      <x:c r="AC84" s="28" t="n">
        <x:v>1</x:v>
      </x:c>
      <x:c r="AD84" s="28" t="n">
        <x:v>2</x:v>
      </x:c>
    </x:row>
    <x:row r="85" ht="58" customHeight="1">
      <x:c r="A85" s="28" t="str">
        <x:v>BER-0084</x:v>
      </x:c>
      <x:c r="B85" s="28" t="str">
        <x:v>Универсальные</x:v>
      </x:c>
      <x:c r="C85" s="28" t="str">
        <x:v>вишня</x:v>
      </x:c>
      <x:c r="D85" s="28" t="str">
        <x:v>вишня</x:v>
      </x:c>
      <x:c r="E85" s="28" t="str">
        <x:v>Ягоды и производные</x:v>
      </x:c>
      <x:c r="F85" s="28" t="str">
        <x:v>кумкват</x:v>
      </x:c>
      <x:c r="G85" s="28" t="str">
        <x:v>Кумкват</x:v>
      </x:c>
      <x:c r="H85" s="28" t="str">
        <x:v>Прочее</x:v>
      </x:c>
      <x:c r="I85" s="28" t="str">
        <x:v>миндальный, пряный, фруктовый, цветочный</x:v>
      </x:c>
      <x:c r="J85" s="28" t="str">
        <x:v>комплексный</x:v>
      </x:c>
      <x:c r="K85" s="28" t="str">
        <x:v>бензальдегид, бета-дамасценон, линалоол, эвгенол</x:v>
      </x:c>
      <x:c r="L85" s="28" t="str">
        <x:v>нет надёжной конкретизации</x:v>
      </x:c>
      <x:c r="M85" s="28" t="str">
        <x:v>прямое совпадение семейств не установлено</x:v>
      </x:c>
      <x:c r="N85" s="28" t="str">
        <x:v>не подтверждены; механизм не сводится к одной общей молекуле</x:v>
      </x:c>
      <x:c r="O85" s="28" t="str">
        <x:v>контраст/комплементарность + матричный эффект</x:v>
      </x:c>
      <x:c r="P85" s="28" t="str">
        <x:v>Оба компонента формируют сладко-кислый, иногда терпкий и зависит от ингредиента контур; сахар, кислота и горечь должны быть выровнены дегустацией.</x:v>
      </x:c>
      <x:c r="Q85" s="28" t="str">
        <x:v>Специфического тройничного эффекта обычно нет; кислотность усиливает слюноотделение.</x:v>
      </x:c>
      <x:c r="R85" s="28" t="str">
        <x:v>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</x:v>
      </x:c>
      <x:c r="S8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8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комплексный. Оба компонента формируют сладко-кислый, иногда терпкий и зависит от ингредиента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85" s="28" t="str">
        <x:v>Не использовать повреждённые косточки без валидированной технологии: они содержат цианогенные гликозиды.</x:v>
      </x:c>
      <x:c r="V85" s="28" t="str">
        <x:v>лимон или ваниль</x:v>
      </x:c>
      <x:c r="W85" s="28" t="str">
        <x:v>сенсорная проба в малой дозировке</x:v>
      </x:c>
      <x:c r="X85" s="28" t="str">
        <x:v>универсально</x:v>
      </x:c>
      <x:c r="Y85" s="28" t="str">
        <x:v>Средняя</x:v>
      </x:c>
      <x:c r="Z85" s="28" t="str">
        <x:v>Таблица сочетаний</x:v>
      </x:c>
      <x:c r="AA85" s="28" t="str">
        <x:v>Таблица сочетаний: 10</x:v>
      </x:c>
      <x:c r="AB85" s="28" t="str">
        <x:v>Кумкват: вишня</x:v>
      </x:c>
      <x:c r="AC85" s="28" t="n">
        <x:v>1</x:v>
      </x:c>
      <x:c r="AD85" s="28" t="n">
        <x:v>1</x:v>
      </x:c>
    </x:row>
    <x:row r="86" ht="58" customHeight="1">
      <x:c r="A86" s="28" t="str">
        <x:v>BER-0085</x:v>
      </x:c>
      <x:c r="B86" s="28" t="str">
        <x:v>Десерты и выпечка</x:v>
      </x:c>
      <x:c r="C86" s="28" t="str">
        <x:v>вишня</x:v>
      </x:c>
      <x:c r="D86" s="28" t="str">
        <x:v>cherry</x:v>
      </x:c>
      <x:c r="E86" s="28" t="str">
        <x:v>Ягоды и производные</x:v>
      </x:c>
      <x:c r="F86" s="28" t="str">
        <x:v>кунжут</x:v>
      </x:c>
      <x:c r="G86" s="28" t="str">
        <x:v>Sesame Seeds</x:v>
      </x:c>
      <x:c r="H86" s="28" t="str">
        <x:v>Орехи и семена</x:v>
      </x:c>
      <x:c r="I86" s="28" t="str">
        <x:v>миндальный, пряный, фруктовый, цветочный</x:v>
      </x:c>
      <x:c r="J86" s="28" t="str">
        <x:v>жареный, миндальный, ореховый</x:v>
      </x:c>
      <x:c r="K86" s="28" t="str">
        <x:v>бензальдегид, бета-дамасценон, линалоол, эвгенол</x:v>
      </x:c>
      <x:c r="L86" s="28" t="str">
        <x:v>бензальдегид, пиразины, фураны</x:v>
      </x:c>
      <x:c r="M86" s="28" t="str">
        <x:v>миндальный</x:v>
      </x:c>
      <x:c r="N86" s="28" t="str">
        <x:v>бензальдегид</x:v>
      </x:c>
      <x:c r="O86" s="28" t="str">
        <x:v>ароматическое сходство + вкусовой баланс</x:v>
      </x:c>
      <x:c r="P86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86" s="28" t="str">
        <x:v>Специфического тройничного эффекта обычно нет; кислотность усиливает слюноотделение.</x:v>
      </x:c>
      <x:c r="R86" s="28" t="str">
        <x:v>Жировая фаза удерживает гидрофобные одоранты и продлевает послевкусие; кислотность ягод повышает слюноотделение.</x:v>
      </x:c>
      <x:c r="S8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86" s="28" t="str">
        <x:v>Прямой вероятный молекулярный мост: бензальдегид. Ягодный компонент несёт семейства миндальный, пряный,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86" s="28" t="str">
        <x:v>Не использовать повреждённые косточки без валидированной технологии: они содержат цианогенные гликозиды.</x:v>
      </x:c>
      <x:c r="V86" s="28" t="str">
        <x:v>ваниль или сливки</x:v>
      </x:c>
      <x:c r="W86" s="28" t="str">
        <x:v>сорбет, крем, ганаш, выпечка, джем или соус для десерта</x:v>
      </x:c>
      <x:c r="X86" s="28" t="str">
        <x:v>десерты</x:v>
      </x:c>
      <x:c r="Y86" s="28" t="str">
        <x:v>Средняя</x:v>
      </x:c>
      <x:c r="Z86" s="28" t="str">
        <x:v>The Art &amp; Science of Foodpairing</x:v>
      </x:c>
      <x:c r="AA86" s="28" t="str">
        <x:v>The Art &amp; Science of Foodpairing: 308, 309</x:v>
      </x:c>
      <x:c r="AB86" s="28" t="str">
        <x:v>Ingredient pairings with Sesame Seeds: cherry | Ingredient pairings with Sesame Seeds: cherry</x:v>
      </x:c>
      <x:c r="AC86" s="28" t="n">
        <x:v>1</x:v>
      </x:c>
      <x:c r="AD86" s="28" t="n">
        <x:v>2</x:v>
      </x:c>
    </x:row>
    <x:row r="87" ht="58" customHeight="1">
      <x:c r="A87" s="28" t="str">
        <x:v>BER-0086</x:v>
      </x:c>
      <x:c r="B87" s="28" t="str">
        <x:v>Напитки</x:v>
      </x:c>
      <x:c r="C87" s="28" t="str">
        <x:v>вишня</x:v>
      </x:c>
      <x:c r="D87" s="28" t="str">
        <x:v>вишня</x:v>
      </x:c>
      <x:c r="E87" s="28" t="str">
        <x:v>Ягоды и производные</x:v>
      </x:c>
      <x:c r="F87" s="28" t="str">
        <x:v>лимон</x:v>
      </x:c>
      <x:c r="G87" s="28" t="str">
        <x:v>Лимон</x:v>
      </x:c>
      <x:c r="H87" s="28" t="str">
        <x:v>Цитрусовые</x:v>
      </x:c>
      <x:c r="I87" s="28" t="str">
        <x:v>миндальный, пряный, фруктовый, цветочный</x:v>
      </x:c>
      <x:c r="J87" s="28" t="str">
        <x:v>зелёный, цветочный, цитрусовый</x:v>
      </x:c>
      <x:c r="K87" s="28" t="str">
        <x:v>бензальдегид, бета-дамасценон, линалоол, эвгенол</x:v>
      </x:c>
      <x:c r="L87" s="28" t="str">
        <x:v>лимонен, линалоол, цитраль</x:v>
      </x:c>
      <x:c r="M87" s="28" t="str">
        <x:v>цветочный</x:v>
      </x:c>
      <x:c r="N87" s="28" t="str">
        <x:v>линалоол</x:v>
      </x:c>
      <x:c r="O87" s="28" t="str">
        <x:v>ароматическое сходство + вкусовой баланс</x:v>
      </x:c>
      <x:c r="P87" s="28" t="str">
        <x:v>Оба компонента формируют сладко-кислый, иногда терпкий и кислый, свежий контур; сахар, кислота и горечь должны быть выровнены дегустацией.</x:v>
      </x:c>
      <x:c r="Q87" s="28" t="str">
        <x:v>Специфического тройничного эффекта обычно нет; кислотность усиливает слюноотделение.</x:v>
      </x:c>
      <x:c r="R87" s="28" t="str">
        <x:v>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</x:v>
      </x:c>
      <x:c r="S8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87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цветочный, цитрусовый. Оба компонента формируют сладко-кислый, иногда терпкий и кислый, свежий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87" s="28" t="str">
        <x:v>Не использовать повреждённые косточки без валидированной технологии: они содержат цианогенные гликозиды.</x:v>
      </x:c>
      <x:c r="V87" s="28" t="str">
        <x:v>мёд или базилик</x:v>
      </x:c>
      <x:c r="W87" s="28" t="str">
        <x:v>кордиал, лимонад, чай, коктейль, настой или ферментированный напиток; маринад, гастрик, чатни, кетчуп или редукция</x:v>
      </x:c>
      <x:c r="X87" s="28" t="str">
        <x:v>напитки; соусы/маринады</x:v>
      </x:c>
      <x:c r="Y87" s="28" t="str">
        <x:v>Средняя</x:v>
      </x:c>
      <x:c r="Z87" s="28" t="str">
        <x:v>Таблица сочетаний</x:v>
      </x:c>
      <x:c r="AA87" s="28" t="str">
        <x:v>Таблица сочетаний: 11</x:v>
      </x:c>
      <x:c r="AB87" s="28" t="str">
        <x:v>Лимон: вишня</x:v>
      </x:c>
      <x:c r="AC87" s="28" t="n">
        <x:v>1</x:v>
      </x:c>
      <x:c r="AD87" s="28" t="n">
        <x:v>1</x:v>
      </x:c>
    </x:row>
    <x:row r="88" ht="58" customHeight="1">
      <x:c r="A88" s="28" t="str">
        <x:v>BER-0087</x:v>
      </x:c>
      <x:c r="B88" s="28" t="str">
        <x:v>Напитки</x:v>
      </x:c>
      <x:c r="C88" s="28" t="str">
        <x:v>вишня</x:v>
      </x:c>
      <x:c r="D88" s="28" t="str">
        <x:v>cherry</x:v>
      </x:c>
      <x:c r="E88" s="28" t="str">
        <x:v>Ягоды и производные</x:v>
      </x:c>
      <x:c r="F88" s="28" t="str">
        <x:v>лимон и лайм</x:v>
      </x:c>
      <x:c r="G88" s="28" t="str">
        <x:v>Lemon&amp;Lime</x:v>
      </x:c>
      <x:c r="H88" s="28" t="str">
        <x:v>Цитрусовые</x:v>
      </x:c>
      <x:c r="I88" s="28" t="str">
        <x:v>миндальный, пряный, фруктовый, цветочный</x:v>
      </x:c>
      <x:c r="J88" s="28" t="str">
        <x:v>зелёный, цветочный, цитрусовый</x:v>
      </x:c>
      <x:c r="K88" s="28" t="str">
        <x:v>бензальдегид, бета-дамасценон, линалоол, эвгенол</x:v>
      </x:c>
      <x:c r="L88" s="28" t="str">
        <x:v>лимонен, линалоол, цитраль</x:v>
      </x:c>
      <x:c r="M88" s="28" t="str">
        <x:v>цветочный</x:v>
      </x:c>
      <x:c r="N88" s="28" t="str">
        <x:v>линалоол</x:v>
      </x:c>
      <x:c r="O88" s="28" t="str">
        <x:v>ароматическое сходство + вкусовой баланс</x:v>
      </x:c>
      <x:c r="P88" s="28" t="str">
        <x:v>Оба компонента формируют сладко-кислый, иногда терпкий и кислый, свежий контур; сахар, кислота и горечь должны быть выровнены дегустацией.</x:v>
      </x:c>
      <x:c r="Q88" s="28" t="str">
        <x:v>Специфического тройничного эффекта обычно нет; кислотность усиливает слюноотделение.</x:v>
      </x:c>
      <x:c r="R88" s="28" t="str">
        <x:v>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</x:v>
      </x:c>
      <x:c r="S8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88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цветочный, цитрусовый. Оба компонента формируют сладко-кислый, иногда терпкий и кислый, свежий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88" s="28" t="str">
        <x:v>Не использовать повреждённые косточки без валидированной технологии: они содержат цианогенные гликозиды.</x:v>
      </x:c>
      <x:c r="V88" s="28" t="str">
        <x:v>мёд или базилик</x:v>
      </x:c>
      <x:c r="W88" s="28" t="str">
        <x:v>кордиал, лимонад, чай, коктейль, настой или ферментированный напиток; маринад, гастрик, чатни, кетчуп или редукция</x:v>
      </x:c>
      <x:c r="X88" s="28" t="str">
        <x:v>напитки; соусы/маринады</x:v>
      </x:c>
      <x:c r="Y88" s="28" t="str">
        <x:v>Средняя</x:v>
      </x:c>
      <x:c r="Z88" s="28" t="str">
        <x:v>The Art &amp; Science of Foodpairing</x:v>
      </x:c>
      <x:c r="AA88" s="28" t="str">
        <x:v>The Art &amp; Science of Foodpairing: 87, 89</x:v>
      </x:c>
      <x:c r="AB88" s="28" t="str">
        <x:v>Ingredient pairings with Lemon&amp;Lime: cherry | Ingredient pairings with Lemon&amp;Lime: cherry</x:v>
      </x:c>
      <x:c r="AC88" s="28" t="n">
        <x:v>1</x:v>
      </x:c>
      <x:c r="AD88" s="28" t="n">
        <x:v>2</x:v>
      </x:c>
    </x:row>
    <x:row r="89" ht="58" customHeight="1">
      <x:c r="A89" s="28" t="str">
        <x:v>BER-0088</x:v>
      </x:c>
      <x:c r="B89" s="28" t="str">
        <x:v>Универсальные</x:v>
      </x:c>
      <x:c r="C89" s="28" t="str">
        <x:v>вишня</x:v>
      </x:c>
      <x:c r="D89" s="28" t="str">
        <x:v>Вишня</x:v>
      </x:c>
      <x:c r="E89" s="28" t="str">
        <x:v>Ягоды и производные</x:v>
      </x:c>
      <x:c r="F89" s="28" t="str">
        <x:v>личи</x:v>
      </x:c>
      <x:c r="G89" s="28" t="str">
        <x:v>личи</x:v>
      </x:c>
      <x:c r="H89" s="28" t="str">
        <x:v>Фрукты</x:v>
      </x:c>
      <x:c r="I89" s="28" t="str">
        <x:v>миндальный, пряный, фруктовый, цветочный</x:v>
      </x:c>
      <x:c r="J89" s="28" t="str">
        <x:v>зелёный, фруктовый, цветочный</x:v>
      </x:c>
      <x:c r="K89" s="28" t="str">
        <x:v>бензальдегид, бета-дамасценон, линалоол, эвгенол</x:v>
      </x:c>
      <x:c r="L89" s="28" t="str">
        <x:v>лактоны, терпены, эфиры</x:v>
      </x:c>
      <x:c r="M89" s="28" t="str">
        <x:v>фруктовый, цветочный</x:v>
      </x:c>
      <x:c r="N89" s="28" t="str">
        <x:v>не подтверждены; механизм не сводится к одной общей молекуле</x:v>
      </x:c>
      <x:c r="O89" s="28" t="str">
        <x:v>сходство ароматических семейств + комплементарность</x:v>
      </x:c>
      <x:c r="P89" s="28" t="str">
        <x:v>Оба компонента формируют сладко-кислый, иногда терпкий и сладко-кислый контур; сахар, кислота и горечь должны быть выровнены дегустацией.</x:v>
      </x:c>
      <x:c r="Q89" s="28" t="str">
        <x:v>Специфического тройничного эффекта обычно нет; кислотность усиливает слюноотделение.</x:v>
      </x:c>
      <x:c r="R89" s="28" t="str">
        <x:v>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</x:v>
      </x:c>
      <x:c r="S8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89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89" s="28" t="str">
        <x:v>Не использовать повреждённые косточки без валидированной технологии: они содержат цианогенные гликозиды.</x:v>
      </x:c>
      <x:c r="V89" s="28" t="str">
        <x:v>ваниль или лимон</x:v>
      </x:c>
      <x:c r="W8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89" s="28" t="str">
        <x:v>напитки; десерты</x:v>
      </x:c>
      <x:c r="Y89" s="28" t="str">
        <x:v>Средняя</x:v>
      </x:c>
      <x:c r="Z89" s="28" t="str">
        <x:v>Таблица сочетаний</x:v>
      </x:c>
      <x:c r="AA89" s="28" t="str">
        <x:v>Таблица сочетаний: 4</x:v>
      </x:c>
      <x:c r="AB89" s="28" t="str">
        <x:v>Вишня: личи</x:v>
      </x:c>
      <x:c r="AC89" s="28" t="n">
        <x:v>1</x:v>
      </x:c>
      <x:c r="AD89" s="28" t="n">
        <x:v>1</x:v>
      </x:c>
    </x:row>
    <x:row r="90" ht="58" customHeight="1">
      <x:c r="A90" s="28" t="str">
        <x:v>BER-0089</x:v>
      </x:c>
      <x:c r="B90" s="28" t="str">
        <x:v>Десерты и выпечка</x:v>
      </x:c>
      <x:c r="C90" s="28" t="str">
        <x:v>вишня</x:v>
      </x:c>
      <x:c r="D90" s="28" t="str">
        <x:v>вишня</x:v>
      </x:c>
      <x:c r="E90" s="28" t="str">
        <x:v>Ягоды и производные</x:v>
      </x:c>
      <x:c r="F90" s="28" t="str">
        <x:v>макадамия</x:v>
      </x:c>
      <x:c r="G90" s="28" t="str">
        <x:v>Макадамия</x:v>
      </x:c>
      <x:c r="H90" s="28" t="str">
        <x:v>Орехи и семена</x:v>
      </x:c>
      <x:c r="I90" s="28" t="str">
        <x:v>миндальный, пряный, фруктовый, цветочный</x:v>
      </x:c>
      <x:c r="J90" s="28" t="str">
        <x:v>жареный, миндальный, ореховый</x:v>
      </x:c>
      <x:c r="K90" s="28" t="str">
        <x:v>бензальдегид, бета-дамасценон, линалоол, эвгенол</x:v>
      </x:c>
      <x:c r="L90" s="28" t="str">
        <x:v>бензальдегид, пиразины, фураны</x:v>
      </x:c>
      <x:c r="M90" s="28" t="str">
        <x:v>миндальный</x:v>
      </x:c>
      <x:c r="N90" s="28" t="str">
        <x:v>бензальдегид</x:v>
      </x:c>
      <x:c r="O90" s="28" t="str">
        <x:v>ароматическое сходство + вкусовой баланс</x:v>
      </x:c>
      <x:c r="P90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90" s="28" t="str">
        <x:v>Специфического тройничного эффекта обычно нет; кислотность усиливает слюноотделение.</x:v>
      </x:c>
      <x:c r="R90" s="28" t="str">
        <x:v>Жировая фаза удерживает гидрофобные одоранты и продлевает послевкусие; кислотность ягод повышает слюноотделение.</x:v>
      </x:c>
      <x:c r="S9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90" s="28" t="str">
        <x:v>Прямой вероятный молекулярный мост: бензальдегид. Ягодный компонент несёт семейства миндальный, пряный,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90" s="28" t="str">
        <x:v>Не использовать повреждённые косточки без валидированной технологии: они содержат цианогенные гликозиды.</x:v>
      </x:c>
      <x:c r="V90" s="28" t="str">
        <x:v>ваниль или сливки</x:v>
      </x:c>
      <x:c r="W90" s="28" t="str">
        <x:v>сорбет, крем, ганаш, выпечка, джем или соус для десерта</x:v>
      </x:c>
      <x:c r="X90" s="28" t="str">
        <x:v>десерты</x:v>
      </x:c>
      <x:c r="Y90" s="28" t="str">
        <x:v>Средняя</x:v>
      </x:c>
      <x:c r="Z90" s="28" t="str">
        <x:v>Таблица сочетаний</x:v>
      </x:c>
      <x:c r="AA90" s="28" t="str">
        <x:v>Таблица сочетаний: 12</x:v>
      </x:c>
      <x:c r="AB90" s="28" t="str">
        <x:v>Макадамия: вишня</x:v>
      </x:c>
      <x:c r="AC90" s="28" t="n">
        <x:v>1</x:v>
      </x:c>
      <x:c r="AD90" s="28" t="n">
        <x:v>1</x:v>
      </x:c>
    </x:row>
    <x:row r="91" ht="58" customHeight="1">
      <x:c r="A91" s="28" t="str">
        <x:v>BER-0090</x:v>
      </x:c>
      <x:c r="B91" s="28" t="str">
        <x:v>Напитки</x:v>
      </x:c>
      <x:c r="C91" s="28" t="str">
        <x:v>вишня</x:v>
      </x:c>
      <x:c r="D91" s="28" t="str">
        <x:v>вишня</x:v>
      </x:c>
      <x:c r="E91" s="28" t="str">
        <x:v>Ягоды и производные</x:v>
      </x:c>
      <x:c r="F91" s="28" t="str">
        <x:v>мандарин</x:v>
      </x:c>
      <x:c r="G91" s="28" t="str">
        <x:v>Мандарин</x:v>
      </x:c>
      <x:c r="H91" s="28" t="str">
        <x:v>Цитрусовые</x:v>
      </x:c>
      <x:c r="I91" s="28" t="str">
        <x:v>миндальный, пряный, фруктовый, цветочный</x:v>
      </x:c>
      <x:c r="J91" s="28" t="str">
        <x:v>зелёный, цветочный, цитрусовый</x:v>
      </x:c>
      <x:c r="K91" s="28" t="str">
        <x:v>бензальдегид, бета-дамасценон, линалоол, эвгенол</x:v>
      </x:c>
      <x:c r="L91" s="28" t="str">
        <x:v>лимонен, линалоол, цитраль</x:v>
      </x:c>
      <x:c r="M91" s="28" t="str">
        <x:v>цветочный</x:v>
      </x:c>
      <x:c r="N91" s="28" t="str">
        <x:v>линалоол</x:v>
      </x:c>
      <x:c r="O91" s="28" t="str">
        <x:v>ароматическое сходство + вкусовой баланс</x:v>
      </x:c>
      <x:c r="P91" s="28" t="str">
        <x:v>Оба компонента формируют сладко-кислый, иногда терпкий и кислый, свежий контур; сахар, кислота и горечь должны быть выровнены дегустацией.</x:v>
      </x:c>
      <x:c r="Q91" s="28" t="str">
        <x:v>Специфического тройничного эффекта обычно нет; кислотность усиливает слюноотделение.</x:v>
      </x:c>
      <x:c r="R91" s="28" t="str">
        <x:v>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</x:v>
      </x:c>
      <x:c r="S9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91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цветочный, цитрусовый. Оба компонента формируют сладко-кислый, иногда терпкий и кислый, свежий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91" s="28" t="str">
        <x:v>Не использовать повреждённые косточки без валидированной технологии: они содержат цианогенные гликозиды.</x:v>
      </x:c>
      <x:c r="V91" s="28" t="str">
        <x:v>мёд или базилик</x:v>
      </x:c>
      <x:c r="W91" s="28" t="str">
        <x:v>кордиал, лимонад, чай, коктейль, настой или ферментированный напиток; маринад, гастрик, чатни, кетчуп или редукция</x:v>
      </x:c>
      <x:c r="X91" s="28" t="str">
        <x:v>напитки; соусы/маринады</x:v>
      </x:c>
      <x:c r="Y91" s="28" t="str">
        <x:v>Средняя</x:v>
      </x:c>
      <x:c r="Z91" s="28" t="str">
        <x:v>Таблица сочетаний</x:v>
      </x:c>
      <x:c r="AA91" s="28" t="str">
        <x:v>Таблица сочетаний: 12</x:v>
      </x:c>
      <x:c r="AB91" s="28" t="str">
        <x:v>Мандарин: вишня</x:v>
      </x:c>
      <x:c r="AC91" s="28" t="n">
        <x:v>1</x:v>
      </x:c>
      <x:c r="AD91" s="28" t="n">
        <x:v>1</x:v>
      </x:c>
    </x:row>
    <x:row r="92" ht="58" customHeight="1">
      <x:c r="A92" s="28" t="str">
        <x:v>BER-0091</x:v>
      </x:c>
      <x:c r="B92" s="28" t="str">
        <x:v>Десерты и выпечка</x:v>
      </x:c>
      <x:c r="C92" s="28" t="str">
        <x:v>вишня</x:v>
      </x:c>
      <x:c r="D92" s="28" t="str">
        <x:v>cherry | Вишня | вишня</x:v>
      </x:c>
      <x:c r="E92" s="28" t="str">
        <x:v>Ягоды и производные</x:v>
      </x:c>
      <x:c r="F92" s="28" t="str">
        <x:v>миндаль</x:v>
      </x:c>
      <x:c r="G92" s="28" t="str">
        <x:v>Almond | Миндаль | миндаль</x:v>
      </x:c>
      <x:c r="H92" s="28" t="str">
        <x:v>Орехи и семена</x:v>
      </x:c>
      <x:c r="I92" s="28" t="str">
        <x:v>миндальный, пряный, фруктовый, цветочный</x:v>
      </x:c>
      <x:c r="J92" s="28" t="str">
        <x:v>жареный, миндальный, ореховый</x:v>
      </x:c>
      <x:c r="K92" s="28" t="str">
        <x:v>бензальдегид, бета-дамасценон, линалоол, эвгенол</x:v>
      </x:c>
      <x:c r="L92" s="28" t="str">
        <x:v>бензальдегид, пиразины, фураны</x:v>
      </x:c>
      <x:c r="M92" s="28" t="str">
        <x:v>миндальный</x:v>
      </x:c>
      <x:c r="N92" s="28" t="str">
        <x:v>бензальдегид</x:v>
      </x:c>
      <x:c r="O92" s="28" t="str">
        <x:v>ароматическое сходство + вкусовой баланс</x:v>
      </x:c>
      <x:c r="P92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92" s="28" t="str">
        <x:v>Специфического тройничного эффекта обычно нет; кислотность усиливает слюноотделение.</x:v>
      </x:c>
      <x:c r="R92" s="28" t="str">
        <x:v>Жировая фаза удерживает гидрофобные одоранты и продлевает послевкусие; кислотность ягод повышает слюноотделение.</x:v>
      </x:c>
      <x:c r="S9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92" s="28" t="str">
        <x:v>Прямой вероятный молекулярный мост: бензальдегид. Ягодный компонент несёт семейства миндальный, пряный,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92" s="28" t="str">
        <x:v>Не использовать повреждённые косточки без валидированной технологии: они содержат цианогенные гликозиды.</x:v>
      </x:c>
      <x:c r="V92" s="28" t="str">
        <x:v>ваниль или сливки</x:v>
      </x:c>
      <x:c r="W92" s="28" t="str">
        <x:v>сорбет, крем, ганаш, выпечка, джем или соус для десерта</x:v>
      </x:c>
      <x:c r="X92" s="28" t="str">
        <x:v>десерты</x:v>
      </x:c>
      <x:c r="Y92" s="28" t="str">
        <x:v>Высокая</x:v>
      </x:c>
      <x:c r="Z92" s="28" t="str">
        <x:v>The Art &amp; Science of Foodpairing; Таблица сочетаний; Тезариус вкусов</x:v>
      </x:c>
      <x:c r="AA92" s="28" t="str">
        <x:v>Тезариус вкусов: 642, 655; The Art &amp; Science of Foodpairing: 347; Таблица сочетаний: 1</x:v>
      </x:c>
      <x:c r="AB92" s="28" t="str">
        <x:v>Миндаль и вишня. См. Вишня и миндаль | Вишня и миндаль. Косточки вишен и горький мин- даль содержат летучее эфирное масло, которое мож- но использовать для получения соединения под на- званием бензальдегид. В США бензальдегид явля | Миндаль: вишня | Ingredient pairings with Almond: cherry</x:v>
      </x:c>
      <x:c r="AC92" s="28" t="n">
        <x:v>3</x:v>
      </x:c>
      <x:c r="AD92" s="28" t="n">
        <x:v>4</x:v>
      </x:c>
    </x:row>
    <x:row r="93" ht="58" customHeight="1">
      <x:c r="A93" s="28" t="str">
        <x:v>BER-0092</x:v>
      </x:c>
      <x:c r="B93" s="28" t="str">
        <x:v>Еда и соусы</x:v>
      </x:c>
      <x:c r="C93" s="28" t="str">
        <x:v>вишня</x:v>
      </x:c>
      <x:c r="D93" s="28" t="str">
        <x:v>cherry</x:v>
      </x:c>
      <x:c r="E93" s="28" t="str">
        <x:v>Ягоды и производные</x:v>
      </x:c>
      <x:c r="F93" s="28" t="str">
        <x:v>морковь</x:v>
      </x:c>
      <x:c r="G93" s="28" t="str">
        <x:v>Carrot</x:v>
      </x:c>
      <x:c r="H93" s="28" t="str">
        <x:v>Овощи и грибы</x:v>
      </x:c>
      <x:c r="I93" s="28" t="str">
        <x:v>миндальный, пряный, фруктовый, цветочный</x:v>
      </x:c>
      <x:c r="J93" s="28" t="str">
        <x:v>зелёный, землистый, сернистый</x:v>
      </x:c>
      <x:c r="K93" s="28" t="str">
        <x:v>бензальдегид, бета-дамасценон, линалоол, эвгенол</x:v>
      </x:c>
      <x:c r="L93" s="28" t="str">
        <x:v>C6-альдегиды, пиразины, сернистые соединения</x:v>
      </x:c>
      <x:c r="M93" s="28" t="str">
        <x:v>прямое совпадение семейств не установлено</x:v>
      </x:c>
      <x:c r="N93" s="28" t="str">
        <x:v>не подтверждены; механизм не сводится к одной общей молекуле</x:v>
      </x:c>
      <x:c r="O93" s="28" t="str">
        <x:v>контраст/комплементарность + матричный эффект</x:v>
      </x:c>
      <x:c r="P93" s="28" t="str">
        <x:v>Оба компонента формируют сладко-кислый, иногда терпкий и растительный, иногда умами контур; сахар, кислота и горечь должны быть выровнены дегустацией.</x:v>
      </x:c>
      <x:c r="Q93" s="28" t="str">
        <x:v>Специфического тройничного эффекта обычно нет; кислотность усиливает слюноотделение.</x:v>
      </x:c>
      <x:c r="R93" s="28" t="str">
        <x:v>Ягода: косточка усиливает миндальный тон, но требует контроля безопасности.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9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9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зелёный, землистый, сернистый. Оба компонента формируют сладко-кислый, иногда терпкий и растительный, иногда умами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93" s="28" t="str">
        <x:v>Не использовать повреждённые косточки без валидированной технологии: они содержат цианогенные гликозиды.</x:v>
      </x:c>
      <x:c r="V93" s="28" t="str">
        <x:v>уксус или мягкий сыр</x:v>
      </x:c>
      <x:c r="W93" s="28" t="str">
        <x:v>соус, глазировка, салат, сырная подача или горячее блюдо; маринад, гастрик, чатни, кетчуп или редукция</x:v>
      </x:c>
      <x:c r="X93" s="28" t="str">
        <x:v>еда; соусы/маринады</x:v>
      </x:c>
      <x:c r="Y93" s="28" t="str">
        <x:v>Средняя</x:v>
      </x:c>
      <x:c r="Z93" s="28" t="str">
        <x:v>The Art &amp; Science of Foodpairing</x:v>
      </x:c>
      <x:c r="AA93" s="28" t="str">
        <x:v>The Art &amp; Science of Foodpairing: 232</x:v>
      </x:c>
      <x:c r="AB93" s="28" t="str">
        <x:v>Ingredient pairings with Carrot: cherry</x:v>
      </x:c>
      <x:c r="AC93" s="28" t="n">
        <x:v>1</x:v>
      </x:c>
      <x:c r="AD93" s="28" t="n">
        <x:v>1</x:v>
      </x:c>
    </x:row>
    <x:row r="94" ht="58" customHeight="1">
      <x:c r="A94" s="28" t="str">
        <x:v>BER-0093</x:v>
      </x:c>
      <x:c r="B94" s="28" t="str">
        <x:v>Десерты и выпечка</x:v>
      </x:c>
      <x:c r="C94" s="28" t="str">
        <x:v>вишня</x:v>
      </x:c>
      <x:c r="D94" s="28" t="str">
        <x:v>Вишня</x:v>
      </x:c>
      <x:c r="E94" s="28" t="str">
        <x:v>Ягоды и производные</x:v>
      </x:c>
      <x:c r="F94" s="28" t="str">
        <x:v>мускатный орех</x:v>
      </x:c>
      <x:c r="G94" s="28" t="str">
        <x:v>мускатный орех</x:v>
      </x:c>
      <x:c r="H94" s="28" t="str">
        <x:v>Орехи и семена</x:v>
      </x:c>
      <x:c r="I94" s="28" t="str">
        <x:v>миндальный, пряный, фруктовый, цветочный</x:v>
      </x:c>
      <x:c r="J94" s="28" t="str">
        <x:v>жареный, миндальный, ореховый</x:v>
      </x:c>
      <x:c r="K94" s="28" t="str">
        <x:v>бензальдегид, бета-дамасценон, линалоол, эвгенол</x:v>
      </x:c>
      <x:c r="L94" s="28" t="str">
        <x:v>бензальдегид, пиразины, фураны</x:v>
      </x:c>
      <x:c r="M94" s="28" t="str">
        <x:v>миндальный</x:v>
      </x:c>
      <x:c r="N94" s="28" t="str">
        <x:v>бензальдегид</x:v>
      </x:c>
      <x:c r="O94" s="28" t="str">
        <x:v>ароматическое сходство + вкусовой баланс</x:v>
      </x:c>
      <x:c r="P94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94" s="28" t="str">
        <x:v>Специфического тройничного эффекта обычно нет; кислотность усиливает слюноотделение.</x:v>
      </x:c>
      <x:c r="R94" s="28" t="str">
        <x:v>Жировая фаза удерживает гидрофобные одоранты и продлевает послевкусие; кислотность ягод повышает слюноотделение.</x:v>
      </x:c>
      <x:c r="S9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94" s="28" t="str">
        <x:v>Прямой вероятный молекулярный мост: бензальдегид. Ягодный компонент несёт семейства миндальный, пряный,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94" s="28" t="str">
        <x:v>Не использовать повреждённые косточки без валидированной технологии: они содержат цианогенные гликозиды.</x:v>
      </x:c>
      <x:c r="V94" s="28" t="str">
        <x:v>ваниль или сливки</x:v>
      </x:c>
      <x:c r="W94" s="28" t="str">
        <x:v>сорбет, крем, ганаш, выпечка, джем или соус для десерта</x:v>
      </x:c>
      <x:c r="X94" s="28" t="str">
        <x:v>десерты</x:v>
      </x:c>
      <x:c r="Y94" s="28" t="str">
        <x:v>Средняя</x:v>
      </x:c>
      <x:c r="Z94" s="28" t="str">
        <x:v>Таблица сочетаний</x:v>
      </x:c>
      <x:c r="AA94" s="28" t="str">
        <x:v>Таблица сочетаний: 4</x:v>
      </x:c>
      <x:c r="AB94" s="28" t="str">
        <x:v>Вишня: мускатный орех</x:v>
      </x:c>
      <x:c r="AC94" s="28" t="n">
        <x:v>1</x:v>
      </x:c>
      <x:c r="AD94" s="28" t="n">
        <x:v>1</x:v>
      </x:c>
    </x:row>
    <x:row r="95" ht="58" customHeight="1">
      <x:c r="A95" s="28" t="str">
        <x:v>BER-0094</x:v>
      </x:c>
      <x:c r="B95" s="28" t="str">
        <x:v>Еда и соусы</x:v>
      </x:c>
      <x:c r="C95" s="28" t="str">
        <x:v>вишня</x:v>
      </x:c>
      <x:c r="D95" s="28" t="str">
        <x:v>cherry</x:v>
      </x:c>
      <x:c r="E95" s="28" t="str">
        <x:v>Ягоды и производные</x:v>
      </x:c>
      <x:c r="F95" s="28" t="str">
        <x:v>мясо</x:v>
      </x:c>
      <x:c r="G95" s="28" t="str">
        <x:v>Meat</x:v>
      </x:c>
      <x:c r="H95" s="28" t="str">
        <x:v>Мясо и птица</x:v>
      </x:c>
      <x:c r="I95" s="28" t="str">
        <x:v>миндальный, пряный, фруктовый, цветочный</x:v>
      </x:c>
      <x:c r="J95" s="28" t="str">
        <x:v>жареный, жирный, сернистый, умами</x:v>
      </x:c>
      <x:c r="K95" s="28" t="str">
        <x:v>бензальдегид, бета-дамасценон, линалоол, эвгенол</x:v>
      </x:c>
      <x:c r="L95" s="28" t="str">
        <x:v>альдегиды, пиразины, сернистые соединения</x:v>
      </x:c>
      <x:c r="M95" s="28" t="str">
        <x:v>прямое совпадение семейств не установлено</x:v>
      </x:c>
      <x:c r="N95" s="28" t="str">
        <x:v>не подтверждены; механизм не сводится к одной общей молекуле</x:v>
      </x:c>
      <x:c r="O95" s="28" t="str">
        <x:v>контраст/комплементарность + матричный эффект</x:v>
      </x:c>
      <x:c r="P95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95" s="28" t="str">
        <x:v>Специфического тройничного эффекта обычно нет; кислотность усиливает слюноотделение.</x:v>
      </x:c>
      <x:c r="R95" s="28" t="str">
        <x:v>Жировая фаза удерживает гидрофобные одоранты и продлевает послевкусие; кислотность ягод повышает слюноотделение.</x:v>
      </x:c>
      <x:c r="S9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9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95" s="28" t="str">
        <x:v>Не использовать повреждённые косточки без валидированной технологии: они содержат цианогенные гликозиды.</x:v>
      </x:c>
      <x:c r="V95" s="28" t="str">
        <x:v>красное вино или чёрный перец</x:v>
      </x:c>
      <x:c r="W95" s="28" t="str">
        <x:v>соус, глазировка, салат, сырная подача или горячее блюдо; маринад, гастрик, чатни, кетчуп или редукция</x:v>
      </x:c>
      <x:c r="X95" s="28" t="str">
        <x:v>еда; соусы/маринады</x:v>
      </x:c>
      <x:c r="Y95" s="28" t="str">
        <x:v>Средняя</x:v>
      </x:c>
      <x:c r="Z95" s="28" t="str">
        <x:v>The Art &amp; Science of Foodpairing</x:v>
      </x:c>
      <x:c r="AA95" s="28" t="str">
        <x:v>The Art &amp; Science of Foodpairing: 188, 189</x:v>
      </x:c>
      <x:c r="AB95" s="28" t="str">
        <x:v>Ingredient pairings with Meat: cherry | Ingredient pairings with Meat: cherry | Ingredient pairings with Meat: cherry</x:v>
      </x:c>
      <x:c r="AC95" s="28" t="n">
        <x:v>1</x:v>
      </x:c>
      <x:c r="AD95" s="28" t="n">
        <x:v>3</x:v>
      </x:c>
    </x:row>
    <x:row r="96" ht="58" customHeight="1">
      <x:c r="A96" s="28" t="str">
        <x:v>BER-0095</x:v>
      </x:c>
      <x:c r="B96" s="28" t="str">
        <x:v>Универсальные</x:v>
      </x:c>
      <x:c r="C96" s="28" t="str">
        <x:v>вишня</x:v>
      </x:c>
      <x:c r="D96" s="28" t="str">
        <x:v>Вишня | вишня</x:v>
      </x:c>
      <x:c r="E96" s="28" t="str">
        <x:v>Ягоды и производные</x:v>
      </x:c>
      <x:c r="F96" s="28" t="str">
        <x:v>нектарин</x:v>
      </x:c>
      <x:c r="G96" s="28" t="str">
        <x:v>Нектарин | нектарин</x:v>
      </x:c>
      <x:c r="H96" s="28" t="str">
        <x:v>Прочее</x:v>
      </x:c>
      <x:c r="I96" s="28" t="str">
        <x:v>миндальный, пряный, фруктовый, цветочный</x:v>
      </x:c>
      <x:c r="J96" s="28" t="str">
        <x:v>комплексный</x:v>
      </x:c>
      <x:c r="K96" s="28" t="str">
        <x:v>бензальдегид, бета-дамасценон, линалоол, эвгенол</x:v>
      </x:c>
      <x:c r="L96" s="28" t="str">
        <x:v>нет надёжной конкретизации</x:v>
      </x:c>
      <x:c r="M96" s="28" t="str">
        <x:v>прямое совпадение семейств не установлено</x:v>
      </x:c>
      <x:c r="N96" s="28" t="str">
        <x:v>не подтверждены; механизм не сводится к одной общей молекуле</x:v>
      </x:c>
      <x:c r="O96" s="28" t="str">
        <x:v>контраст/комплементарность + матричный эффект</x:v>
      </x:c>
      <x:c r="P96" s="28" t="str">
        <x:v>Оба компонента формируют сладко-кислый, иногда терпкий и зависит от ингредиента контур; сахар, кислота и горечь должны быть выровнены дегустацией.</x:v>
      </x:c>
      <x:c r="Q96" s="28" t="str">
        <x:v>Специфического тройничного эффекта обычно нет; кислотность усиливает слюноотделение.</x:v>
      </x:c>
      <x:c r="R96" s="28" t="str">
        <x:v>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</x:v>
      </x:c>
      <x:c r="S9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9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комплексный. Оба компонента формируют сладко-кислый, иногда терпкий и зависит от ингредиента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96" s="28" t="str">
        <x:v>Не использовать повреждённые косточки без валидированной технологии: они содержат цианогенные гликозиды.</x:v>
      </x:c>
      <x:c r="V96" s="28" t="str">
        <x:v>лимон или ваниль</x:v>
      </x:c>
      <x:c r="W96" s="28" t="str">
        <x:v>сенсорная проба в малой дозировке</x:v>
      </x:c>
      <x:c r="X96" s="28" t="str">
        <x:v>универсально</x:v>
      </x:c>
      <x:c r="Y96" s="28" t="str">
        <x:v>Средняя</x:v>
      </x:c>
      <x:c r="Z96" s="28" t="str">
        <x:v>Таблица сочетаний</x:v>
      </x:c>
      <x:c r="AA96" s="28" t="str">
        <x:v>Таблица сочетаний: 4, 14</x:v>
      </x:c>
      <x:c r="AB96" s="28" t="str">
        <x:v>Вишня: нектарин | Нектарин: вишня</x:v>
      </x:c>
      <x:c r="AC96" s="28" t="n">
        <x:v>1</x:v>
      </x:c>
      <x:c r="AD96" s="28" t="n">
        <x:v>2</x:v>
      </x:c>
    </x:row>
    <x:row r="97" ht="58" customHeight="1">
      <x:c r="A97" s="28" t="str">
        <x:v>BER-0096</x:v>
      </x:c>
      <x:c r="B97" s="28" t="str">
        <x:v>Десерты и выпечка</x:v>
      </x:c>
      <x:c r="C97" s="28" t="str">
        <x:v>вишня</x:v>
      </x:c>
      <x:c r="D97" s="28" t="str">
        <x:v>cherry</x:v>
      </x:c>
      <x:c r="E97" s="28" t="str">
        <x:v>Ягоды и производные</x:v>
      </x:c>
      <x:c r="F97" s="28" t="str">
        <x:v>оливковое масло</x:v>
      </x:c>
      <x:c r="G97" s="28" t="str">
        <x:v>Olive Oil</x:v>
      </x:c>
      <x:c r="H97" s="28" t="str">
        <x:v>Молочные продукты и сыры</x:v>
      </x:c>
      <x:c r="I97" s="28" t="str">
        <x:v>миндальный, пряный, фруктовый, цветочный</x:v>
      </x:c>
      <x:c r="J97" s="28" t="str">
        <x:v>масляный, молочный, сливочный, сырный</x:v>
      </x:c>
      <x:c r="K97" s="28" t="str">
        <x:v>бензальдегид, бета-дамасценон, линалоол, эвгенол</x:v>
      </x:c>
      <x:c r="L97" s="28" t="str">
        <x:v>диацетил, жирные кислоты, лактоны</x:v>
      </x:c>
      <x:c r="M97" s="28" t="str">
        <x:v>прямое совпадение семейств не установлено</x:v>
      </x:c>
      <x:c r="N97" s="28" t="str">
        <x:v>не подтверждены; механизм не сводится к одной общей молекуле</x:v>
      </x:c>
      <x:c r="O97" s="28" t="str">
        <x:v>контраст/комплементарность + матричный эффект</x:v>
      </x:c>
      <x:c r="P97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97" s="28" t="str">
        <x:v>Специфического тройничного эффекта обычно нет; кислотность усиливает слюноотделение.</x:v>
      </x:c>
      <x:c r="R97" s="28" t="str">
        <x:v>Жировая фаза удерживает гидрофобные одоранты и продлевает послевкусие; кислотность ягод повышает слюноотделение.</x:v>
      </x:c>
      <x:c r="S9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9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97" s="28" t="str">
        <x:v>Не использовать повреждённые косточки без валидированной технологии: они содержат цианогенные гликозиды. Высокая кислотность может свернуть молочный белок; смешивать при контролируемой температуре.</x:v>
      </x:c>
      <x:c r="V97" s="28" t="str">
        <x:v>мёд или миндаль</x:v>
      </x:c>
      <x:c r="W97" s="28" t="str">
        <x:v>сорбет, крем, ганаш, выпечка, джем или соус для десерта; соус, глазировка, салат, сырная подача или горячее блюдо</x:v>
      </x:c>
      <x:c r="X97" s="28" t="str">
        <x:v>десерты; еда</x:v>
      </x:c>
      <x:c r="Y97" s="28" t="str">
        <x:v>Средняя</x:v>
      </x:c>
      <x:c r="Z97" s="28" t="str">
        <x:v>The Art &amp; Science of Foodpairing</x:v>
      </x:c>
      <x:c r="AA97" s="28" t="str">
        <x:v>The Art &amp; Science of Foodpairing: 172</x:v>
      </x:c>
      <x:c r="AB97" s="28" t="str">
        <x:v>Ingredient pairings with Olive Oil: cherry</x:v>
      </x:c>
      <x:c r="AC97" s="28" t="n">
        <x:v>1</x:v>
      </x:c>
      <x:c r="AD97" s="28" t="n">
        <x:v>1</x:v>
      </x:c>
    </x:row>
    <x:row r="98" ht="58" customHeight="1">
      <x:c r="A98" s="28" t="str">
        <x:v>BER-0097</x:v>
      </x:c>
      <x:c r="B98" s="28" t="str">
        <x:v>Еда и соусы</x:v>
      </x:c>
      <x:c r="C98" s="28" t="str">
        <x:v>вишня</x:v>
      </x:c>
      <x:c r="D98" s="28" t="str">
        <x:v>cherry</x:v>
      </x:c>
      <x:c r="E98" s="28" t="str">
        <x:v>Ягоды и производные</x:v>
      </x:c>
      <x:c r="F98" s="28" t="str">
        <x:v>паста из твёрдой пшеницы</x:v>
      </x:c>
      <x:c r="G98" s="28" t="str">
        <x:v>Durum Pasta</x:v>
      </x:c>
      <x:c r="H98" s="28" t="str">
        <x:v>Ферментированные продукты, соусы и уксусы</x:v>
      </x:c>
      <x:c r="I98" s="28" t="str">
        <x:v>миндальный, пряный, фруктовый, цветочный</x:v>
      </x:c>
      <x:c r="J98" s="28" t="str">
        <x:v>кислый, умами, ферментированный</x:v>
      </x:c>
      <x:c r="K98" s="28" t="str">
        <x:v>бензальдегид, бета-дамасценон, линалоол, эвгенол</x:v>
      </x:c>
      <x:c r="L98" s="28" t="str">
        <x:v>аминокислоты, органические кислоты, эфиры</x:v>
      </x:c>
      <x:c r="M98" s="28" t="str">
        <x:v>прямое совпадение семейств не установлено</x:v>
      </x:c>
      <x:c r="N98" s="28" t="str">
        <x:v>не подтверждены; механизм не сводится к одной общей молекуле</x:v>
      </x:c>
      <x:c r="O98" s="28" t="str">
        <x:v>контраст/комплементарность + матричный эффект</x:v>
      </x:c>
      <x:c r="P98" s="28" t="str">
        <x:v>Оба компонента формируют сладко-кислый, иногда терпкий и кислый/солёный/умами контур; сахар, кислота и горечь должны быть выровнены дегустацией.</x:v>
      </x:c>
      <x:c r="Q98" s="28" t="str">
        <x:v>Специфического тройничного эффекта обычно нет; кислотность усиливает слюноотделение.</x:v>
      </x:c>
      <x:c r="R98" s="28" t="str">
        <x:v>Ягода: косточка усиливает миндальный тон, но требует контроля безопасности. Партнёр: вода, соль и продукты ферментации. В воде аромат раскрывается быстрее, в жире и этаноле — дольше удерживается.</x:v>
      </x:c>
      <x:c r="S9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9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кислый, умами, ферментированный. Оба компонента формируют сладко-кислый, иногда терпкий и кислый/солёный/умами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98" s="28" t="str">
        <x:v>Не использовать повреждённые косточки без валидированной технологии: они содержат цианогенные гликозиды.</x:v>
      </x:c>
      <x:c r="V98" s="28" t="str">
        <x:v>мёд или соевый соус</x:v>
      </x:c>
      <x:c r="W98" s="28" t="str">
        <x:v>соус, глазировка, салат, сырная подача или горячее блюдо; маринад, гастрик, чатни, кетчуп или редукция</x:v>
      </x:c>
      <x:c r="X98" s="28" t="str">
        <x:v>еда; соусы/маринады</x:v>
      </x:c>
      <x:c r="Y98" s="28" t="str">
        <x:v>Средняя</x:v>
      </x:c>
      <x:c r="Z98" s="28" t="str">
        <x:v>The Art &amp; Science of Foodpairing</x:v>
      </x:c>
      <x:c r="AA98" s="28" t="str">
        <x:v>The Art &amp; Science of Foodpairing: 325</x:v>
      </x:c>
      <x:c r="AB98" s="28" t="str">
        <x:v>Ingredient pairings with Durum Pasta: cherry | Ingredient pairings with Durum Pasta: cherry</x:v>
      </x:c>
      <x:c r="AC98" s="28" t="n">
        <x:v>1</x:v>
      </x:c>
      <x:c r="AD98" s="28" t="n">
        <x:v>2</x:v>
      </x:c>
    </x:row>
    <x:row r="99" ht="58" customHeight="1">
      <x:c r="A99" s="28" t="str">
        <x:v>BER-0098</x:v>
      </x:c>
      <x:c r="B99" s="28" t="str">
        <x:v>Десерты и выпечка</x:v>
      </x:c>
      <x:c r="C99" s="28" t="str">
        <x:v>вишня</x:v>
      </x:c>
      <x:c r="D99" s="28" t="str">
        <x:v>Вишня</x:v>
      </x:c>
      <x:c r="E99" s="28" t="str">
        <x:v>Ягоды и производные</x:v>
      </x:c>
      <x:c r="F99" s="28" t="str">
        <x:v>пекан</x:v>
      </x:c>
      <x:c r="G99" s="28" t="str">
        <x:v>пекан</x:v>
      </x:c>
      <x:c r="H99" s="28" t="str">
        <x:v>Орехи и семена</x:v>
      </x:c>
      <x:c r="I99" s="28" t="str">
        <x:v>миндальный, пряный, фруктовый, цветочный</x:v>
      </x:c>
      <x:c r="J99" s="28" t="str">
        <x:v>жареный, миндальный, ореховый</x:v>
      </x:c>
      <x:c r="K99" s="28" t="str">
        <x:v>бензальдегид, бета-дамасценон, линалоол, эвгенол</x:v>
      </x:c>
      <x:c r="L99" s="28" t="str">
        <x:v>бензальдегид, пиразины, фураны</x:v>
      </x:c>
      <x:c r="M99" s="28" t="str">
        <x:v>миндальный</x:v>
      </x:c>
      <x:c r="N99" s="28" t="str">
        <x:v>бензальдегид</x:v>
      </x:c>
      <x:c r="O99" s="28" t="str">
        <x:v>ароматическое сходство + вкусовой баланс</x:v>
      </x:c>
      <x:c r="P99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99" s="28" t="str">
        <x:v>Специфического тройничного эффекта обычно нет; кислотность усиливает слюноотделение.</x:v>
      </x:c>
      <x:c r="R99" s="28" t="str">
        <x:v>Жировая фаза удерживает гидрофобные одоранты и продлевает послевкусие; кислотность ягод повышает слюноотделение.</x:v>
      </x:c>
      <x:c r="S9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99" s="28" t="str">
        <x:v>Прямой вероятный молекулярный мост: бензальдегид. Ягодный компонент несёт семейства миндальный, пряный,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99" s="28" t="str">
        <x:v>Не использовать повреждённые косточки без валидированной технологии: они содержат цианогенные гликозиды.</x:v>
      </x:c>
      <x:c r="V99" s="28" t="str">
        <x:v>ваниль или сливки</x:v>
      </x:c>
      <x:c r="W99" s="28" t="str">
        <x:v>сорбет, крем, ганаш, выпечка, джем или соус для десерта</x:v>
      </x:c>
      <x:c r="X99" s="28" t="str">
        <x:v>десерты</x:v>
      </x:c>
      <x:c r="Y99" s="28" t="str">
        <x:v>Средняя</x:v>
      </x:c>
      <x:c r="Z99" s="28" t="str">
        <x:v>Таблица сочетаний</x:v>
      </x:c>
      <x:c r="AA99" s="28" t="str">
        <x:v>Таблица сочетаний: 4</x:v>
      </x:c>
      <x:c r="AB99" s="28" t="str">
        <x:v>Вишня: пекан</x:v>
      </x:c>
      <x:c r="AC99" s="28" t="n">
        <x:v>1</x:v>
      </x:c>
      <x:c r="AD99" s="28" t="n">
        <x:v>1</x:v>
      </x:c>
    </x:row>
    <x:row r="100" ht="58" customHeight="1">
      <x:c r="A100" s="28" t="str">
        <x:v>BER-0099</x:v>
      </x:c>
      <x:c r="B100" s="28" t="str">
        <x:v>Универсальные</x:v>
      </x:c>
      <x:c r="C100" s="28" t="str">
        <x:v>вишня</x:v>
      </x:c>
      <x:c r="D100" s="28" t="str">
        <x:v>вишня</x:v>
      </x:c>
      <x:c r="E100" s="28" t="str">
        <x:v>Ягоды и производные</x:v>
      </x:c>
      <x:c r="F100" s="28" t="str">
        <x:v>перец</x:v>
      </x:c>
      <x:c r="G100" s="28" t="str">
        <x:v>Перец</x:v>
      </x:c>
      <x:c r="H100" s="28" t="str">
        <x:v>Специи</x:v>
      </x:c>
      <x:c r="I100" s="28" t="str">
        <x:v>миндальный, пряный, фруктовый, цветочный</x:v>
      </x:c>
      <x:c r="J100" s="28" t="str">
        <x:v>древесный, пряный, тёплый</x:v>
      </x:c>
      <x:c r="K100" s="28" t="str">
        <x:v>бензальдегид, бета-дамасценон, линалоол, эвгенол</x:v>
      </x:c>
      <x:c r="L100" s="28" t="str">
        <x:v>коричный альдегид, терпены, эвгенол</x:v>
      </x:c>
      <x:c r="M100" s="28" t="str">
        <x:v>пряный</x:v>
      </x:c>
      <x:c r="N100" s="28" t="str">
        <x:v>эвгенол</x:v>
      </x:c>
      <x:c r="O100" s="28" t="str">
        <x:v>ароматическое сходство + вкусовой баланс</x:v>
      </x:c>
      <x:c r="P100" s="28" t="str">
        <x:v>Ягодная сладость смягчает горечь и пряность, а кислотность делает пряный, иногда горький профиль ярче.</x:v>
      </x:c>
      <x:c r="Q100" s="28" t="str">
        <x:v>Специфического тройничного эффекта обычно нет; кислотность усиливает слюноотделение.</x:v>
      </x:c>
      <x:c r="R100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10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00" s="28" t="str">
        <x:v>Прямой вероятный молекулярный мост: эвгенол. Ягодный компонент несёт семейства миндальный, пряный,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00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V100" s="28" t="str">
        <x:v>мёд или цитрус</x:v>
      </x:c>
      <x:c r="W10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100" s="28" t="str">
        <x:v>напитки; десерты; еда; соусы/маринады</x:v>
      </x:c>
      <x:c r="Y100" s="28" t="str">
        <x:v>Средняя</x:v>
      </x:c>
      <x:c r="Z100" s="28" t="str">
        <x:v>Таблица сочетаний</x:v>
      </x:c>
      <x:c r="AA100" s="28" t="str">
        <x:v>Таблица сочетаний: 16</x:v>
      </x:c>
      <x:c r="AB100" s="28" t="str">
        <x:v>Перец: вишня</x:v>
      </x:c>
      <x:c r="AC100" s="28" t="n">
        <x:v>1</x:v>
      </x:c>
      <x:c r="AD100" s="28" t="n">
        <x:v>1</x:v>
      </x:c>
    </x:row>
    <x:row r="101" ht="58" customHeight="1">
      <x:c r="A101" s="28" t="str">
        <x:v>BER-0100</x:v>
      </x:c>
      <x:c r="B101" s="28" t="str">
        <x:v>Универсальные</x:v>
      </x:c>
      <x:c r="C101" s="28" t="str">
        <x:v>вишня</x:v>
      </x:c>
      <x:c r="D101" s="28" t="str">
        <x:v>cherry | Вишня | вишня</x:v>
      </x:c>
      <x:c r="E101" s="28" t="str">
        <x:v>Ягоды и производные</x:v>
      </x:c>
      <x:c r="F101" s="28" t="str">
        <x:v>персик</x:v>
      </x:c>
      <x:c r="G101" s="28" t="str">
        <x:v>Peach | Персик | персик</x:v>
      </x:c>
      <x:c r="H101" s="28" t="str">
        <x:v>Фрукты</x:v>
      </x:c>
      <x:c r="I101" s="28" t="str">
        <x:v>миндальный, пряный, фруктовый, цветочный</x:v>
      </x:c>
      <x:c r="J101" s="28" t="str">
        <x:v>зелёный, фруктовый, цветочный</x:v>
      </x:c>
      <x:c r="K101" s="28" t="str">
        <x:v>бензальдегид, бета-дамасценон, линалоол, эвгенол</x:v>
      </x:c>
      <x:c r="L101" s="28" t="str">
        <x:v>лактоны, терпены, эфиры</x:v>
      </x:c>
      <x:c r="M101" s="28" t="str">
        <x:v>фруктовый, цветочный</x:v>
      </x:c>
      <x:c r="N101" s="28" t="str">
        <x:v>не подтверждены; механизм не сводится к одной общей молекуле</x:v>
      </x:c>
      <x:c r="O101" s="28" t="str">
        <x:v>сходство ароматических семейств + комплементарность</x:v>
      </x:c>
      <x:c r="P101" s="28" t="str">
        <x:v>Оба компонента формируют сладко-кислый, иногда терпкий и сладко-кислый контур; сахар, кислота и горечь должны быть выровнены дегустацией.</x:v>
      </x:c>
      <x:c r="Q101" s="28" t="str">
        <x:v>Специфического тройничного эффекта обычно нет; кислотность усиливает слюноотделение.</x:v>
      </x:c>
      <x:c r="R101" s="28" t="str">
        <x:v>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</x:v>
      </x:c>
      <x:c r="S10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01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01" s="28" t="str">
        <x:v>Не использовать повреждённые косточки без валидированной технологии: они содержат цианогенные гликозиды.</x:v>
      </x:c>
      <x:c r="V101" s="28" t="str">
        <x:v>ваниль или лимон</x:v>
      </x:c>
      <x:c r="W10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101" s="28" t="str">
        <x:v>напитки; десерты</x:v>
      </x:c>
      <x:c r="Y101" s="28" t="str">
        <x:v>Высокая</x:v>
      </x:c>
      <x:c r="Z101" s="28" t="str">
        <x:v>The Art &amp; Science of Foodpairing; Таблица сочетаний; Тезариус вкусов</x:v>
      </x:c>
      <x:c r="AA101" s="28" t="str">
        <x:v>Тезариус вкусов: 656, 749; The Art &amp; Science of Foodpairing: 260; Таблица сочетаний: 4, 15</x:v>
      </x:c>
      <x:c r="AB101" s="28" t="str">
        <x:v>Вишня и персик. См. Персик и вишня | Персик и вишня. Персики, вишни да корочка хле- ба – вот все, что осталось к тому времени, когда на- чинается самое интересное. Это я о картине Эдуарда Мане «Завтрак на траве». Что именно хотел сказать Мане? Это каждый понимает по-своему, но мне ка- жется, что изображенная слева обнаженная женщи- на оживленно беседовала с двумя мужчинами, когда голодный художник прервал ее, чтобы спросить, а не осталось ли у них сыра, ветчины или хотя бы немного ремулада из сельдерея. Это в определенной степе- ни объясняет некоторое замешательство, проскаль- зывающее в ее взгляде, – замешательство, призван- ное скрыть смущение от того, что с самыми лакомыми ку | Вишня: персик | Персик: вишня</x:v>
      </x:c>
      <x:c r="AC101" s="28" t="n">
        <x:v>3</x:v>
      </x:c>
      <x:c r="AD101" s="28" t="n">
        <x:v>6</x:v>
      </x:c>
    </x:row>
    <x:row r="102" ht="58" customHeight="1">
      <x:c r="A102" s="28" t="str">
        <x:v>BER-0101</x:v>
      </x:c>
      <x:c r="B102" s="28" t="str">
        <x:v>Универсальные</x:v>
      </x:c>
      <x:c r="C102" s="28" t="str">
        <x:v>вишня</x:v>
      </x:c>
      <x:c r="D102" s="28" t="str">
        <x:v>cherry</x:v>
      </x:c>
      <x:c r="E102" s="28" t="str">
        <x:v>Ягоды и производные</x:v>
      </x:c>
      <x:c r="F102" s="28" t="str">
        <x:v>ракообразные</x:v>
      </x:c>
      <x:c r="G102" s="28" t="str">
        <x:v>Crustaceans</x:v>
      </x:c>
      <x:c r="H102" s="28" t="str">
        <x:v>Прочее</x:v>
      </x:c>
      <x:c r="I102" s="28" t="str">
        <x:v>миндальный, пряный, фруктовый, цветочный</x:v>
      </x:c>
      <x:c r="J102" s="28" t="str">
        <x:v>комплексный</x:v>
      </x:c>
      <x:c r="K102" s="28" t="str">
        <x:v>бензальдегид, бета-дамасценон, линалоол, эвгенол</x:v>
      </x:c>
      <x:c r="L102" s="28" t="str">
        <x:v>нет надёжной конкретизации</x:v>
      </x:c>
      <x:c r="M102" s="28" t="str">
        <x:v>прямое совпадение семейств не установлено</x:v>
      </x:c>
      <x:c r="N102" s="28" t="str">
        <x:v>не подтверждены; механизм не сводится к одной общей молекуле</x:v>
      </x:c>
      <x:c r="O102" s="28" t="str">
        <x:v>контраст/комплементарность + матричный эффект</x:v>
      </x:c>
      <x:c r="P102" s="28" t="str">
        <x:v>Оба компонента формируют сладко-кислый, иногда терпкий и зависит от ингредиента контур; сахар, кислота и горечь должны быть выровнены дегустацией.</x:v>
      </x:c>
      <x:c r="Q102" s="28" t="str">
        <x:v>Специфического тройничного эффекта обычно нет; кислотность усиливает слюноотделение.</x:v>
      </x:c>
      <x:c r="R102" s="28" t="str">
        <x:v>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</x:v>
      </x:c>
      <x:c r="S10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0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комплексный. Оба компонента формируют сладко-кислый, иногда терпкий и зависит от ингредиента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02" s="28" t="str">
        <x:v>Не использовать повреждённые косточки без валидированной технологии: они содержат цианогенные гликозиды.</x:v>
      </x:c>
      <x:c r="V102" s="28" t="str">
        <x:v>лимон или ваниль</x:v>
      </x:c>
      <x:c r="W102" s="28" t="str">
        <x:v>сенсорная проба в малой дозировке</x:v>
      </x:c>
      <x:c r="X102" s="28" t="str">
        <x:v>универсально</x:v>
      </x:c>
      <x:c r="Y102" s="28" t="str">
        <x:v>Средняя</x:v>
      </x:c>
      <x:c r="Z102" s="28" t="str">
        <x:v>The Art &amp; Science of Foodpairing</x:v>
      </x:c>
      <x:c r="AA102" s="28" t="str">
        <x:v>The Art &amp; Science of Foodpairing: 152, 153</x:v>
      </x:c>
      <x:c r="AB102" s="28" t="str">
        <x:v>Ingredient pairings with Crustaceans: cherry | Ingredient pairings with Crustaceans: cherry</x:v>
      </x:c>
      <x:c r="AC102" s="28" t="n">
        <x:v>1</x:v>
      </x:c>
      <x:c r="AD102" s="28" t="n">
        <x:v>2</x:v>
      </x:c>
    </x:row>
    <x:row r="103" ht="58" customHeight="1">
      <x:c r="A103" s="28" t="str">
        <x:v>BER-0102</x:v>
      </x:c>
      <x:c r="B103" s="28" t="str">
        <x:v>Еда и соусы</x:v>
      </x:c>
      <x:c r="C103" s="28" t="str">
        <x:v>вишня</x:v>
      </x:c>
      <x:c r="D103" s="28" t="str">
        <x:v>cherry | sour cherry</x:v>
      </x:c>
      <x:c r="E103" s="28" t="str">
        <x:v>Ягоды и производные</x:v>
      </x:c>
      <x:c r="F103" s="28" t="str">
        <x:v>рыба</x:v>
      </x:c>
      <x:c r="G103" s="28" t="str">
        <x:v>Fish</x:v>
      </x:c>
      <x:c r="H103" s="28" t="str">
        <x:v>Рыба и морепродукты</x:v>
      </x:c>
      <x:c r="I103" s="28" t="str">
        <x:v>миндальный, пряный, фруктовый, цветочный</x:v>
      </x:c>
      <x:c r="J103" s="28" t="str">
        <x:v>жирный, морской, умами</x:v>
      </x:c>
      <x:c r="K103" s="28" t="str">
        <x:v>бензальдегид, бета-дамасценон, линалоол, эвгенол</x:v>
      </x:c>
      <x:c r="L103" s="28" t="str">
        <x:v>альдегиды, амины, сернистые соединения</x:v>
      </x:c>
      <x:c r="M103" s="28" t="str">
        <x:v>прямое совпадение семейств не установлено</x:v>
      </x:c>
      <x:c r="N103" s="28" t="str">
        <x:v>не подтверждены; механизм не сводится к одной общей молекуле</x:v>
      </x:c>
      <x:c r="O103" s="28" t="str">
        <x:v>контраст/комплементарность + матричный эффект</x:v>
      </x:c>
      <x:c r="P103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103" s="28" t="str">
        <x:v>Специфического тройничного эффекта обычно нет; кислотность усиливает слюноотделение.</x:v>
      </x:c>
      <x:c r="R103" s="28" t="str">
        <x:v>Белок и жир смягчают кислоту; ягодный соус должен сохранять достаточную концентрацию и соль.</x:v>
      </x:c>
      <x:c r="S10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10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103" s="28" t="str">
        <x:v>Не использовать повреждённые косточки без валидированной технологии: они содержат цианогенные гликозиды.</x:v>
      </x:c>
      <x:c r="V103" s="28" t="str">
        <x:v>цитрус или огурец</x:v>
      </x:c>
      <x:c r="W103" s="28" t="str">
        <x:v>соус, глазировка, салат, сырная подача или горячее блюдо; маринад, гастрик, чатни, кетчуп или редукция</x:v>
      </x:c>
      <x:c r="X103" s="28" t="str">
        <x:v>еда; соусы/маринады</x:v>
      </x:c>
      <x:c r="Y103" s="28" t="str">
        <x:v>Средняя</x:v>
      </x:c>
      <x:c r="Z103" s="28" t="str">
        <x:v>The Art &amp; Science of Foodpairing</x:v>
      </x:c>
      <x:c r="AA103" s="28" t="str">
        <x:v>The Art &amp; Science of Foodpairing: 104, 105</x:v>
      </x:c>
      <x:c r="AB103" s="28" t="str">
        <x:v>Ingredient pairings with Fish: sour cherry | Ingredient pairings with Fish: cherry</x:v>
      </x:c>
      <x:c r="AC103" s="28" t="n">
        <x:v>1</x:v>
      </x:c>
      <x:c r="AD103" s="28" t="n">
        <x:v>2</x:v>
      </x:c>
    </x:row>
    <x:row r="104" ht="58" customHeight="1">
      <x:c r="A104" s="28" t="str">
        <x:v>BER-0103</x:v>
      </x:c>
      <x:c r="B104" s="28" t="str">
        <x:v>Универсальные</x:v>
      </x:c>
      <x:c r="C104" s="28" t="str">
        <x:v>вишня</x:v>
      </x:c>
      <x:c r="D104" s="28" t="str">
        <x:v>Вишня | вишня</x:v>
      </x:c>
      <x:c r="E104" s="28" t="str">
        <x:v>Ягоды и производные</x:v>
      </x:c>
      <x:c r="F104" s="28" t="str">
        <x:v>слива</x:v>
      </x:c>
      <x:c r="G104" s="28" t="str">
        <x:v>Слива | слива</x:v>
      </x:c>
      <x:c r="H104" s="28" t="str">
        <x:v>Прочее</x:v>
      </x:c>
      <x:c r="I104" s="28" t="str">
        <x:v>миндальный, пряный, фруктовый, цветочный</x:v>
      </x:c>
      <x:c r="J104" s="28" t="str">
        <x:v>комплексный</x:v>
      </x:c>
      <x:c r="K104" s="28" t="str">
        <x:v>бензальдегид, бета-дамасценон, линалоол, эвгенол</x:v>
      </x:c>
      <x:c r="L104" s="28" t="str">
        <x:v>нет надёжной конкретизации</x:v>
      </x:c>
      <x:c r="M104" s="28" t="str">
        <x:v>прямое совпадение семейств не установлено</x:v>
      </x:c>
      <x:c r="N104" s="28" t="str">
        <x:v>не подтверждены; механизм не сводится к одной общей молекуле</x:v>
      </x:c>
      <x:c r="O104" s="28" t="str">
        <x:v>контраст/комплементарность + матричный эффект</x:v>
      </x:c>
      <x:c r="P104" s="28" t="str">
        <x:v>Оба компонента формируют сладко-кислый, иногда терпкий и зависит от ингредиента контур; сахар, кислота и горечь должны быть выровнены дегустацией.</x:v>
      </x:c>
      <x:c r="Q104" s="28" t="str">
        <x:v>Специфического тройничного эффекта обычно нет; кислотность усиливает слюноотделение.</x:v>
      </x:c>
      <x:c r="R104" s="28" t="str">
        <x:v>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</x:v>
      </x:c>
      <x:c r="S10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0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комплексный. Оба компонента формируют сладко-кислый, иногда терпкий и зависит от ингредиента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04" s="28" t="str">
        <x:v>Не использовать повреждённые косточки без валидированной технологии: они содержат цианогенные гликозиды.</x:v>
      </x:c>
      <x:c r="V104" s="28" t="str">
        <x:v>лимон или ваниль</x:v>
      </x:c>
      <x:c r="W104" s="28" t="str">
        <x:v>сенсорная проба в малой дозировке</x:v>
      </x:c>
      <x:c r="X104" s="28" t="str">
        <x:v>универсально</x:v>
      </x:c>
      <x:c r="Y104" s="28" t="str">
        <x:v>Средняя</x:v>
      </x:c>
      <x:c r="Z104" s="28" t="str">
        <x:v>Таблица сочетаний</x:v>
      </x:c>
      <x:c r="AA104" s="28" t="str">
        <x:v>Таблица сочетаний: 4, 17</x:v>
      </x:c>
      <x:c r="AB104" s="28" t="str">
        <x:v>Вишня: слива | Слива: вишня</x:v>
      </x:c>
      <x:c r="AC104" s="28" t="n">
        <x:v>1</x:v>
      </x:c>
      <x:c r="AD104" s="28" t="n">
        <x:v>2</x:v>
      </x:c>
    </x:row>
    <x:row r="105" ht="58" customHeight="1">
      <x:c r="A105" s="28" t="str">
        <x:v>BER-0104</x:v>
      </x:c>
      <x:c r="B105" s="28" t="str">
        <x:v>Универсальные</x:v>
      </x:c>
      <x:c r="C105" s="28" t="str">
        <x:v>вишня</x:v>
      </x:c>
      <x:c r="D105" s="28" t="str">
        <x:v>Вишня</x:v>
      </x:c>
      <x:c r="E105" s="28" t="str">
        <x:v>Ягоды и производные</x:v>
      </x:c>
      <x:c r="F105" s="28" t="str">
        <x:v>смородина</x:v>
      </x:c>
      <x:c r="G105" s="28" t="str">
        <x:v>смородина</x:v>
      </x:c>
      <x:c r="H105" s="28" t="str">
        <x:v>Ягоды и производные</x:v>
      </x:c>
      <x:c r="I105" s="28" t="str">
        <x:v>миндальный, пряный, фруктовый, цветочный</x:v>
      </x:c>
      <x:c r="J105" s="28" t="str">
        <x:v>зелёный, тёмно-фруктовый, цветочный</x:v>
      </x:c>
      <x:c r="K105" s="28" t="str">
        <x:v>бензальдегид, бета-дамасценон, линалоол, эвгенол</x:v>
      </x:c>
      <x:c r="L105" s="28" t="str">
        <x:v>C6-альдегиды, терпены, эфиры</x:v>
      </x:c>
      <x:c r="M105" s="28" t="str">
        <x:v>цветочный</x:v>
      </x:c>
      <x:c r="N105" s="28" t="str">
        <x:v>не подтверждены; механизм не сводится к одной общей молекуле</x:v>
      </x:c>
      <x:c r="O105" s="28" t="str">
        <x:v>сходство ароматических семейств + комплементарность</x:v>
      </x:c>
      <x:c r="P105" s="28" t="str">
        <x:v>Оба компонента формируют сладко-кислый, иногда терпкий и кисло-сладкий, терпкий контур; сахар, кислота и горечь должны быть выровнены дегустацией.</x:v>
      </x:c>
      <x:c r="Q105" s="28" t="str">
        <x:v>Специфического тройничного эффекта обычно нет; кислотность усиливает слюноотделение.</x:v>
      </x:c>
      <x:c r="R105" s="28" t="str">
        <x:v>Ягода: косточка усиливает миндальный тон, но требует контроля безопасности. Партнёр: профиль зависит от вида смородины. В воде аромат раскрывается быстрее, в жире и этаноле — дольше удерживается.</x:v>
      </x:c>
      <x:c r="S10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05" s="28" t="str">
        <x:v>Общие ароматические семейства: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тёмно-фруктовый, цветочный. Оба компонента формируют сладко-кислый, иногда терпкий и кисло-сладкий, терпкий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профиль зависит от вида смородины.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05" s="28" t="str">
        <x:v>Не использовать повреждённые косточки без валидированной технологии: они содержат цианогенные гликозиды.</x:v>
      </x:c>
      <x:c r="V105" s="28" t="str">
        <x:v>ваниль или роза</x:v>
      </x:c>
      <x:c r="W10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105" s="28" t="str">
        <x:v>напитки; десерты</x:v>
      </x:c>
      <x:c r="Y105" s="28" t="str">
        <x:v>Средняя</x:v>
      </x:c>
      <x:c r="Z105" s="28" t="str">
        <x:v>Таблица сочетаний</x:v>
      </x:c>
      <x:c r="AA105" s="28" t="str">
        <x:v>Таблица сочетаний: 4</x:v>
      </x:c>
      <x:c r="AB105" s="28" t="str">
        <x:v>Вишня: смородина</x:v>
      </x:c>
      <x:c r="AC105" s="28" t="n">
        <x:v>1</x:v>
      </x:c>
      <x:c r="AD105" s="28" t="n">
        <x:v>1</x:v>
      </x:c>
    </x:row>
    <x:row r="106" ht="58" customHeight="1">
      <x:c r="A106" s="28" t="str">
        <x:v>BER-0105</x:v>
      </x:c>
      <x:c r="B106" s="28" t="str">
        <x:v>Напитки</x:v>
      </x:c>
      <x:c r="C106" s="28" t="str">
        <x:v>вишня</x:v>
      </x:c>
      <x:c r="D106" s="28" t="str">
        <x:v>sour cherry</x:v>
      </x:c>
      <x:c r="E106" s="28" t="str">
        <x:v>Ягоды и производные</x:v>
      </x:c>
      <x:c r="F106" s="28" t="str">
        <x:v>текила</x:v>
      </x:c>
      <x:c r="G106" s="28" t="str">
        <x:v>Tequila</x:v>
      </x:c>
      <x:c r="H106" s="28" t="str">
        <x:v>Алкогольные напитки</x:v>
      </x:c>
      <x:c r="I106" s="28" t="str">
        <x:v>миндальный, пряный, фруктовый, цветочный</x:v>
      </x:c>
      <x:c r="J106" s="28" t="str">
        <x:v>древесный, фруктовый, эфирный</x:v>
      </x:c>
      <x:c r="K106" s="28" t="str">
        <x:v>бензальдегид, бета-дамасценон, линалоол, эвгенол</x:v>
      </x:c>
      <x:c r="L106" s="28" t="str">
        <x:v>ванилин, дубовые лактоны, этиловые эфиры</x:v>
      </x:c>
      <x:c r="M106" s="28" t="str">
        <x:v>фруктовый</x:v>
      </x:c>
      <x:c r="N106" s="28" t="str">
        <x:v>не подтверждены; механизм не сводится к одной общей молекуле</x:v>
      </x:c>
      <x:c r="O106" s="28" t="str">
        <x:v>сходство ароматических семейств + комплементарность</x:v>
      </x:c>
      <x:c r="P106" s="28" t="str">
        <x:v>Кисло-сладкий ягодный профиль балансирует крепость и возможную дубовую горечь напитка.</x:v>
      </x:c>
      <x:c r="Q106" s="28" t="str">
        <x:v>Специфического тройничного эффекта обычно нет; кислотность усиливает слюноотделение.</x:v>
      </x:c>
      <x:c r="R106" s="28" t="str">
        <x:v>Этанол усиливает извлечение гидрофобных терпенов, иононов и эфиров, но при высокой крепости может подчеркнуть резкость.</x:v>
      </x:c>
      <x:c r="S10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T106" s="28" t="str">
        <x:v>Общие ароматические семейства: фруктовый; конкретная доля одорантов зависит от сорта и обработки. Ягодный компонент несёт семейства миндальный, пряный, фруктовый, цветочный;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U106" s="28" t="str">
        <x:v>Не использовать повреждённые косточки без валидированной технологии: они содержат цианогенные гликозиды. Высокая крепость и избыток сахара маскируют свежесть и усиливают терпкость.</x:v>
      </x:c>
      <x:c r="V106" s="28" t="str">
        <x:v>цитрус или вермут</x:v>
      </x:c>
      <x:c r="W106" s="28" t="str">
        <x:v>кордиал, лимонад, чай, коктейль, настой или ферментированный напиток</x:v>
      </x:c>
      <x:c r="X106" s="28" t="str">
        <x:v>напитки</x:v>
      </x:c>
      <x:c r="Y106" s="28" t="str">
        <x:v>Средняя</x:v>
      </x:c>
      <x:c r="Z106" s="28" t="str">
        <x:v>The Art &amp; Science of Foodpairing</x:v>
      </x:c>
      <x:c r="AA106" s="28" t="str">
        <x:v>The Art &amp; Science of Foodpairing: 83</x:v>
      </x:c>
      <x:c r="AB106" s="28" t="str">
        <x:v>Ingredient pairings with Tequila: sour cherry</x:v>
      </x:c>
      <x:c r="AC106" s="28" t="n">
        <x:v>1</x:v>
      </x:c>
      <x:c r="AD106" s="28" t="n">
        <x:v>1</x:v>
      </x:c>
    </x:row>
    <x:row r="107" ht="58" customHeight="1">
      <x:c r="A107" s="28" t="str">
        <x:v>BER-0106</x:v>
      </x:c>
      <x:c r="B107" s="28" t="str">
        <x:v>Еда и соусы</x:v>
      </x:c>
      <x:c r="C107" s="28" t="str">
        <x:v>вишня</x:v>
      </x:c>
      <x:c r="D107" s="28" t="str">
        <x:v>cherry</x:v>
      </x:c>
      <x:c r="E107" s="28" t="str">
        <x:v>Ягоды и производные</x:v>
      </x:c>
      <x:c r="F107" s="28" t="str">
        <x:v>томат</x:v>
      </x:c>
      <x:c r="G107" s="28" t="str">
        <x:v>Tomato</x:v>
      </x:c>
      <x:c r="H107" s="28" t="str">
        <x:v>Овощи и грибы</x:v>
      </x:c>
      <x:c r="I107" s="28" t="str">
        <x:v>миндальный, пряный, фруктовый, цветочный</x:v>
      </x:c>
      <x:c r="J107" s="28" t="str">
        <x:v>зелёный, землистый, сернистый</x:v>
      </x:c>
      <x:c r="K107" s="28" t="str">
        <x:v>бензальдегид, бета-дамасценон, линалоол, эвгенол</x:v>
      </x:c>
      <x:c r="L107" s="28" t="str">
        <x:v>C6-альдегиды, пиразины, сернистые соединения</x:v>
      </x:c>
      <x:c r="M107" s="28" t="str">
        <x:v>прямое совпадение семейств не установлено</x:v>
      </x:c>
      <x:c r="N107" s="28" t="str">
        <x:v>не подтверждены; механизм не сводится к одной общей молекуле</x:v>
      </x:c>
      <x:c r="O107" s="28" t="str">
        <x:v>контраст/комплементарность + матричный эффект</x:v>
      </x:c>
      <x:c r="P107" s="28" t="str">
        <x:v>Оба компонента формируют сладко-кислый, иногда терпкий и растительный, иногда умами контур; сахар, кислота и горечь должны быть выровнены дегустацией.</x:v>
      </x:c>
      <x:c r="Q107" s="28" t="str">
        <x:v>Специфического тройничного эффекта обычно нет; кислотность усиливает слюноотделение.</x:v>
      </x:c>
      <x:c r="R107" s="28" t="str">
        <x:v>Ягода: косточка усиливает миндальный тон, но требует контроля безопасности.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10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10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зелёный, землистый, сернистый. Оба компонента формируют сладко-кислый, иногда терпкий и растительный, иногда умами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107" s="28" t="str">
        <x:v>Не использовать повреждённые косточки без валидированной технологии: они содержат цианогенные гликозиды.</x:v>
      </x:c>
      <x:c r="V107" s="28" t="str">
        <x:v>уксус или мягкий сыр</x:v>
      </x:c>
      <x:c r="W107" s="28" t="str">
        <x:v>соус, глазировка, салат, сырная подача или горячее блюдо; маринад, гастрик, чатни, кетчуп или редукция</x:v>
      </x:c>
      <x:c r="X107" s="28" t="str">
        <x:v>еда; соусы/маринады</x:v>
      </x:c>
      <x:c r="Y107" s="28" t="str">
        <x:v>Средняя</x:v>
      </x:c>
      <x:c r="Z107" s="28" t="str">
        <x:v>The Art &amp; Science of Foodpairing</x:v>
      </x:c>
      <x:c r="AA107" s="28" t="str">
        <x:v>The Art &amp; Science of Foodpairing: 161</x:v>
      </x:c>
      <x:c r="AB107" s="28" t="str">
        <x:v>Ingredient pairings with Tomato: cherry</x:v>
      </x:c>
      <x:c r="AC107" s="28" t="n">
        <x:v>1</x:v>
      </x:c>
      <x:c r="AD107" s="28" t="n">
        <x:v>1</x:v>
      </x:c>
    </x:row>
    <x:row r="108" ht="58" customHeight="1">
      <x:c r="A108" s="28" t="str">
        <x:v>BER-0107</x:v>
      </x:c>
      <x:c r="B108" s="28" t="str">
        <x:v>Универсальные</x:v>
      </x:c>
      <x:c r="C108" s="28" t="str">
        <x:v>вишня</x:v>
      </x:c>
      <x:c r="D108" s="28" t="str">
        <x:v>Вишня | вишня</x:v>
      </x:c>
      <x:c r="E108" s="28" t="str">
        <x:v>Ягоды и производные</x:v>
      </x:c>
      <x:c r="F108" s="28" t="str">
        <x:v>фиалка</x:v>
      </x:c>
      <x:c r="G108" s="28" t="str">
        <x:v>Фиалка | фиалка</x:v>
      </x:c>
      <x:c r="H108" s="28" t="str">
        <x:v>Травы и цветы</x:v>
      </x:c>
      <x:c r="I108" s="28" t="str">
        <x:v>миндальный, пряный, фруктовый, цветочный</x:v>
      </x:c>
      <x:c r="J108" s="28" t="str">
        <x:v>зелёный, травянистый, цветочный</x:v>
      </x:c>
      <x:c r="K108" s="28" t="str">
        <x:v>бензальдегид, бета-дамасценон, линалоол, эвгенол</x:v>
      </x:c>
      <x:c r="L108" s="28" t="str">
        <x:v>гераниол, линалоол, терпены, эвгенол</x:v>
      </x:c>
      <x:c r="M108" s="28" t="str">
        <x:v>цветочный</x:v>
      </x:c>
      <x:c r="N108" s="28" t="str">
        <x:v>линалоол, эвгенол</x:v>
      </x:c>
      <x:c r="O108" s="28" t="str">
        <x:v>ароматическое сходство + вкусовой баланс</x:v>
      </x:c>
      <x:c r="P108" s="28" t="str">
        <x:v>Ягодная сладость смягчает горечь и пряность, а кислотность делает горьковатый, свежий профиль ярче.</x:v>
      </x:c>
      <x:c r="Q108" s="28" t="str">
        <x:v>Специфического тройничного эффекта обычно нет; кислотность усиливает слюноотделение.</x:v>
      </x:c>
      <x:c r="R108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10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08" s="28" t="str">
        <x:v>Прямой вероятный молекулярный мост: линалоол, эвгенол. Ягодный компонент несёт семейства миндальный, пряный,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08" s="28" t="str">
        <x:v>Не использовать повреждённые косточки без валидированной технологии: они содержат цианогенные гликозиды.</x:v>
      </x:c>
      <x:c r="V108" s="28" t="str">
        <x:v>лимон или мёд</x:v>
      </x:c>
      <x:c r="W10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108" s="28" t="str">
        <x:v>напитки; еда; соусы/маринады</x:v>
      </x:c>
      <x:c r="Y108" s="28" t="str">
        <x:v>Средняя</x:v>
      </x:c>
      <x:c r="Z108" s="28" t="str">
        <x:v>Таблица сочетаний</x:v>
      </x:c>
      <x:c r="AA108" s="28" t="str">
        <x:v>Таблица сочетаний: 4, 21</x:v>
      </x:c>
      <x:c r="AB108" s="28" t="str">
        <x:v>Вишня: фиалка | Фиалка: вишня</x:v>
      </x:c>
      <x:c r="AC108" s="28" t="n">
        <x:v>1</x:v>
      </x:c>
      <x:c r="AD108" s="28" t="n">
        <x:v>2</x:v>
      </x:c>
    </x:row>
    <x:row r="109" ht="58" customHeight="1">
      <x:c r="A109" s="28" t="str">
        <x:v>BER-0108</x:v>
      </x:c>
      <x:c r="B109" s="28" t="str">
        <x:v>Десерты и выпечка</x:v>
      </x:c>
      <x:c r="C109" s="28" t="str">
        <x:v>вишня</x:v>
      </x:c>
      <x:c r="D109" s="28" t="str">
        <x:v>Вишня | вишня</x:v>
      </x:c>
      <x:c r="E109" s="28" t="str">
        <x:v>Ягоды и производные</x:v>
      </x:c>
      <x:c r="F109" s="28" t="str">
        <x:v>фундук</x:v>
      </x:c>
      <x:c r="G109" s="28" t="str">
        <x:v>Фундук | фундук</x:v>
      </x:c>
      <x:c r="H109" s="28" t="str">
        <x:v>Орехи и семена</x:v>
      </x:c>
      <x:c r="I109" s="28" t="str">
        <x:v>миндальный, пряный, фруктовый, цветочный</x:v>
      </x:c>
      <x:c r="J109" s="28" t="str">
        <x:v>жареный, миндальный, ореховый</x:v>
      </x:c>
      <x:c r="K109" s="28" t="str">
        <x:v>бензальдегид, бета-дамасценон, линалоол, эвгенол</x:v>
      </x:c>
      <x:c r="L109" s="28" t="str">
        <x:v>бензальдегид, пиразины, фураны</x:v>
      </x:c>
      <x:c r="M109" s="28" t="str">
        <x:v>миндальный</x:v>
      </x:c>
      <x:c r="N109" s="28" t="str">
        <x:v>бензальдегид</x:v>
      </x:c>
      <x:c r="O109" s="28" t="str">
        <x:v>ароматическое сходство + вкусовой баланс</x:v>
      </x:c>
      <x:c r="P109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109" s="28" t="str">
        <x:v>Специфического тройничного эффекта обычно нет; кислотность усиливает слюноотделение.</x:v>
      </x:c>
      <x:c r="R109" s="28" t="str">
        <x:v>Жировая фаза удерживает гидрофобные одоранты и продлевает послевкусие; кислотность ягод повышает слюноотделение.</x:v>
      </x:c>
      <x:c r="S10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09" s="28" t="str">
        <x:v>Прямой вероятный молекулярный мост: бензальдегид. Ягодный компонент несёт семейства миндальный, пряный,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09" s="28" t="str">
        <x:v>Не использовать повреждённые косточки без валидированной технологии: они содержат цианогенные гликозиды.</x:v>
      </x:c>
      <x:c r="V109" s="28" t="str">
        <x:v>ваниль или сливки</x:v>
      </x:c>
      <x:c r="W109" s="28" t="str">
        <x:v>сорбет, крем, ганаш, выпечка, джем или соус для десерта</x:v>
      </x:c>
      <x:c r="X109" s="28" t="str">
        <x:v>десерты</x:v>
      </x:c>
      <x:c r="Y109" s="28" t="str">
        <x:v>Высокая</x:v>
      </x:c>
      <x:c r="Z109" s="28" t="str">
        <x:v>Тезариус вкусов</x:v>
      </x:c>
      <x:c r="AA109" s="28" t="str">
        <x:v>Тезариус вкусов: 634, 656</x:v>
      </x:c>
      <x:c r="AB109" s="28" t="str">
        <x:v>Фундук и вишня. См. Вишня и фундук | Вишня и фундук. Несколько лесных орехов и су</x:v>
      </x:c>
      <x:c r="AC109" s="28" t="n">
        <x:v>1</x:v>
      </x:c>
      <x:c r="AD109" s="28" t="n">
        <x:v>2</x:v>
      </x:c>
    </x:row>
    <x:row r="110" ht="58" customHeight="1">
      <x:c r="A110" s="28" t="str">
        <x:v>BER-0109</x:v>
      </x:c>
      <x:c r="B110" s="28" t="str">
        <x:v>Универсальные</x:v>
      </x:c>
      <x:c r="C110" s="28" t="str">
        <x:v>вишня</x:v>
      </x:c>
      <x:c r="D110" s="28" t="str">
        <x:v>вишня</x:v>
      </x:c>
      <x:c r="E110" s="28" t="str">
        <x:v>Ягоды и производные</x:v>
      </x:c>
      <x:c r="F110" s="28" t="str">
        <x:v>хурма</x:v>
      </x:c>
      <x:c r="G110" s="28" t="str">
        <x:v>Хурма</x:v>
      </x:c>
      <x:c r="H110" s="28" t="str">
        <x:v>Прочее</x:v>
      </x:c>
      <x:c r="I110" s="28" t="str">
        <x:v>миндальный, пряный, фруктовый, цветочный</x:v>
      </x:c>
      <x:c r="J110" s="28" t="str">
        <x:v>комплексный</x:v>
      </x:c>
      <x:c r="K110" s="28" t="str">
        <x:v>бензальдегид, бета-дамасценон, линалоол, эвгенол</x:v>
      </x:c>
      <x:c r="L110" s="28" t="str">
        <x:v>нет надёжной конкретизации</x:v>
      </x:c>
      <x:c r="M110" s="28" t="str">
        <x:v>прямое совпадение семейств не установлено</x:v>
      </x:c>
      <x:c r="N110" s="28" t="str">
        <x:v>не подтверждены; механизм не сводится к одной общей молекуле</x:v>
      </x:c>
      <x:c r="O110" s="28" t="str">
        <x:v>контраст/комплементарность + матричный эффект</x:v>
      </x:c>
      <x:c r="P110" s="28" t="str">
        <x:v>Оба компонента формируют сладко-кислый, иногда терпкий и зависит от ингредиента контур; сахар, кислота и горечь должны быть выровнены дегустацией.</x:v>
      </x:c>
      <x:c r="Q110" s="28" t="str">
        <x:v>Специфического тройничного эффекта обычно нет; кислотность усиливает слюноотделение.</x:v>
      </x:c>
      <x:c r="R110" s="28" t="str">
        <x:v>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</x:v>
      </x:c>
      <x:c r="S1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1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комплексный. Оба компонента формируют сладко-кислый, иногда терпкий и зависит от ингредиента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10" s="28" t="str">
        <x:v>Не использовать повреждённые косточки без валидированной технологии: они содержат цианогенные гликозиды.</x:v>
      </x:c>
      <x:c r="V110" s="28" t="str">
        <x:v>лимон или ваниль</x:v>
      </x:c>
      <x:c r="W110" s="28" t="str">
        <x:v>сенсорная проба в малой дозировке</x:v>
      </x:c>
      <x:c r="X110" s="28" t="str">
        <x:v>универсально</x:v>
      </x:c>
      <x:c r="Y110" s="28" t="str">
        <x:v>Средняя</x:v>
      </x:c>
      <x:c r="Z110" s="28" t="str">
        <x:v>Таблица сочетаний</x:v>
      </x:c>
      <x:c r="AA110" s="28" t="str">
        <x:v>Таблица сочетаний: 16</x:v>
      </x:c>
      <x:c r="AB110" s="28" t="str">
        <x:v>Хурма: вишня</x:v>
      </x:c>
      <x:c r="AC110" s="28" t="n">
        <x:v>1</x:v>
      </x:c>
      <x:c r="AD110" s="28" t="n">
        <x:v>1</x:v>
      </x:c>
    </x:row>
    <x:row r="111" ht="58" customHeight="1">
      <x:c r="A111" s="28" t="str">
        <x:v>BER-0110</x:v>
      </x:c>
      <x:c r="B111" s="28" t="str">
        <x:v>Универсальные</x:v>
      </x:c>
      <x:c r="C111" s="28" t="str">
        <x:v>вишня</x:v>
      </x:c>
      <x:c r="D111" s="28" t="str">
        <x:v>cherry</x:v>
      </x:c>
      <x:c r="E111" s="28" t="str">
        <x:v>Ягоды и производные</x:v>
      </x:c>
      <x:c r="F111" s="28" t="str">
        <x:v>цветная капуста</x:v>
      </x:c>
      <x:c r="G111" s="28" t="str">
        <x:v>Cauliflower</x:v>
      </x:c>
      <x:c r="H111" s="28" t="str">
        <x:v>Травы и цветы</x:v>
      </x:c>
      <x:c r="I111" s="28" t="str">
        <x:v>миндальный, пряный, фруктовый, цветочный</x:v>
      </x:c>
      <x:c r="J111" s="28" t="str">
        <x:v>зелёный, травянистый, цветочный</x:v>
      </x:c>
      <x:c r="K111" s="28" t="str">
        <x:v>бензальдегид, бета-дамасценон, линалоол, эвгенол</x:v>
      </x:c>
      <x:c r="L111" s="28" t="str">
        <x:v>гераниол, линалоол, терпены, эвгенол</x:v>
      </x:c>
      <x:c r="M111" s="28" t="str">
        <x:v>цветочный</x:v>
      </x:c>
      <x:c r="N111" s="28" t="str">
        <x:v>линалоол, эвгенол</x:v>
      </x:c>
      <x:c r="O111" s="28" t="str">
        <x:v>ароматическое сходство + вкусовой баланс</x:v>
      </x:c>
      <x:c r="P111" s="28" t="str">
        <x:v>Ягодная сладость смягчает горечь и пряность, а кислотность делает горьковатый, свежий профиль ярче.</x:v>
      </x:c>
      <x:c r="Q111" s="28" t="str">
        <x:v>Специфического тройничного эффекта обычно нет; кислотность усиливает слюноотделение.</x:v>
      </x:c>
      <x:c r="R111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1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11" s="28" t="str">
        <x:v>Прямой вероятный молекулярный мост: линалоол, эвгенол. Ягодный компонент несёт семейства миндальный, пряный,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11" s="28" t="str">
        <x:v>Не использовать повреждённые косточки без валидированной технологии: они содержат цианогенные гликозиды.</x:v>
      </x:c>
      <x:c r="V111" s="28" t="str">
        <x:v>лимон или мёд</x:v>
      </x:c>
      <x:c r="W11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111" s="28" t="str">
        <x:v>напитки; еда; соусы/маринады</x:v>
      </x:c>
      <x:c r="Y111" s="28" t="str">
        <x:v>Средняя</x:v>
      </x:c>
      <x:c r="Z111" s="28" t="str">
        <x:v>The Art &amp; Science of Foodpairing</x:v>
      </x:c>
      <x:c r="AA111" s="28" t="str">
        <x:v>The Art &amp; Science of Foodpairing: 67</x:v>
      </x:c>
      <x:c r="AB111" s="28" t="str">
        <x:v>Ingredient pairings with Cauliflower: cherry</x:v>
      </x:c>
      <x:c r="AC111" s="28" t="n">
        <x:v>1</x:v>
      </x:c>
      <x:c r="AD111" s="28" t="n">
        <x:v>1</x:v>
      </x:c>
    </x:row>
    <x:row r="112" ht="58" customHeight="1">
      <x:c r="A112" s="28" t="str">
        <x:v>BER-0111</x:v>
      </x:c>
      <x:c r="B112" s="28" t="str">
        <x:v>Напитки</x:v>
      </x:c>
      <x:c r="C112" s="28" t="str">
        <x:v>вишня</x:v>
      </x:c>
      <x:c r="D112" s="28" t="str">
        <x:v>Вишня</x:v>
      </x:c>
      <x:c r="E112" s="28" t="str">
        <x:v>Ягоды и производные</x:v>
      </x:c>
      <x:c r="F112" s="28" t="str">
        <x:v>цитрусовые</x:v>
      </x:c>
      <x:c r="G112" s="28" t="str">
        <x:v>цитрусовые</x:v>
      </x:c>
      <x:c r="H112" s="28" t="str">
        <x:v>Цитрусовые</x:v>
      </x:c>
      <x:c r="I112" s="28" t="str">
        <x:v>миндальный, пряный, фруктовый, цветочный</x:v>
      </x:c>
      <x:c r="J112" s="28" t="str">
        <x:v>зелёный, цветочный, цитрусовый</x:v>
      </x:c>
      <x:c r="K112" s="28" t="str">
        <x:v>бензальдегид, бета-дамасценон, линалоол, эвгенол</x:v>
      </x:c>
      <x:c r="L112" s="28" t="str">
        <x:v>лимонен, линалоол, цитраль</x:v>
      </x:c>
      <x:c r="M112" s="28" t="str">
        <x:v>цветочный</x:v>
      </x:c>
      <x:c r="N112" s="28" t="str">
        <x:v>линалоол</x:v>
      </x:c>
      <x:c r="O112" s="28" t="str">
        <x:v>ароматическое сходство + вкусовой баланс</x:v>
      </x:c>
      <x:c r="P112" s="28" t="str">
        <x:v>Оба компонента формируют сладко-кислый, иногда терпкий и кислый, свежий контур; сахар, кислота и горечь должны быть выровнены дегустацией.</x:v>
      </x:c>
      <x:c r="Q112" s="28" t="str">
        <x:v>Специфического тройничного эффекта обычно нет; кислотность усиливает слюноотделение.</x:v>
      </x:c>
      <x:c r="R112" s="28" t="str">
        <x:v>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</x:v>
      </x:c>
      <x:c r="S11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12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цветочный, цитрусовый. Оба компонента формируют сладко-кислый, иногда терпкий и кислый, свежий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12" s="28" t="str">
        <x:v>Не использовать повреждённые косточки без валидированной технологии: они содержат цианогенные гликозиды.</x:v>
      </x:c>
      <x:c r="V112" s="28" t="str">
        <x:v>мёд или базилик</x:v>
      </x:c>
      <x:c r="W112" s="28" t="str">
        <x:v>кордиал, лимонад, чай, коктейль, настой или ферментированный напиток; маринад, гастрик, чатни, кетчуп или редукция</x:v>
      </x:c>
      <x:c r="X112" s="28" t="str">
        <x:v>напитки; соусы/маринады</x:v>
      </x:c>
      <x:c r="Y112" s="28" t="str">
        <x:v>Средняя</x:v>
      </x:c>
      <x:c r="Z112" s="28" t="str">
        <x:v>Таблица сочетаний</x:v>
      </x:c>
      <x:c r="AA112" s="28" t="str">
        <x:v>Таблица сочетаний: 4</x:v>
      </x:c>
      <x:c r="AB112" s="28" t="str">
        <x:v>Вишня: цитрусовые</x:v>
      </x:c>
      <x:c r="AC112" s="28" t="n">
        <x:v>1</x:v>
      </x:c>
      <x:c r="AD112" s="28" t="n">
        <x:v>1</x:v>
      </x:c>
    </x:row>
    <x:row r="113" ht="58" customHeight="1">
      <x:c r="A113" s="28" t="str">
        <x:v>BER-0112</x:v>
      </x:c>
      <x:c r="B113" s="28" t="str">
        <x:v>Напитки</x:v>
      </x:c>
      <x:c r="C113" s="28" t="str">
        <x:v>вишня</x:v>
      </x:c>
      <x:c r="D113" s="28" t="str">
        <x:v>cherry</x:v>
      </x:c>
      <x:c r="E113" s="28" t="str">
        <x:v>Ягоды и производные</x:v>
      </x:c>
      <x:c r="F113" s="28" t="str">
        <x:v>чай</x:v>
      </x:c>
      <x:c r="G113" s="28" t="str">
        <x:v>Tea</x:v>
      </x:c>
      <x:c r="H113" s="28" t="str">
        <x:v>Чай и безалкогольные напитки</x:v>
      </x:c>
      <x:c r="I113" s="28" t="str">
        <x:v>миндальный, пряный, фруктовый, цветочный</x:v>
      </x:c>
      <x:c r="J113" s="28" t="str">
        <x:v>терпкий, травянистый, цветочный</x:v>
      </x:c>
      <x:c r="K113" s="28" t="str">
        <x:v>бензальдегид, бета-дамасценон, линалоол, эвгенол</x:v>
      </x:c>
      <x:c r="L113" s="28" t="str">
        <x:v>гераниол, линалоол, полифенолы</x:v>
      </x:c>
      <x:c r="M113" s="28" t="str">
        <x:v>цветочный</x:v>
      </x:c>
      <x:c r="N113" s="28" t="str">
        <x:v>линалоол</x:v>
      </x:c>
      <x:c r="O113" s="28" t="str">
        <x:v>ароматическое сходство + вкусовой баланс</x:v>
      </x:c>
      <x:c r="P113" s="28" t="str">
        <x:v>Оба компонента формируют сладко-кислый, иногда терпкий и горьковатый, терпкий контур; сахар, кислота и горечь должны быть выровнены дегустацией.</x:v>
      </x:c>
      <x:c r="Q113" s="28" t="str">
        <x:v>Специфического тройничного эффекта обычно нет; кислотность усиливает слюноотделение.</x:v>
      </x:c>
      <x:c r="R113" s="28" t="str">
        <x:v>Ягода: косточка усиливает миндальный тон, но требует контроля безопасности. Партнёр: водная матрица; температура определяет экстракцию. В воде аромат раскрывается быстрее, в жире и этаноле — дольше удерживается.</x:v>
      </x:c>
      <x:c r="S11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13" s="28" t="str">
        <x:v>Прямой вероятный молекулярный мост: линалоол. Ягодный компонент несёт семейства миндальный, пряный, фруктовый, цветочный; партнёр — терпкий, травянистый, цветочный. Оба компонента формируют сладко-кислый, иногда терпкий и горьковатый, терпкий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матрица; температура определяет экстракцию.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13" s="28" t="str">
        <x:v>Не использовать повреждённые косточки без валидированной технологии: они содержат цианогенные гликозиды.</x:v>
      </x:c>
      <x:c r="V113" s="28" t="str">
        <x:v>мёд или лимон</x:v>
      </x:c>
      <x:c r="W113" s="28" t="str">
        <x:v>кордиал, лимонад, чай, коктейль, настой или ферментированный напиток</x:v>
      </x:c>
      <x:c r="X113" s="28" t="str">
        <x:v>напитки</x:v>
      </x:c>
      <x:c r="Y113" s="28" t="str">
        <x:v>Средняя</x:v>
      </x:c>
      <x:c r="Z113" s="28" t="str">
        <x:v>The Art &amp; Science of Foodpairing</x:v>
      </x:c>
      <x:c r="AA113" s="28" t="str">
        <x:v>The Art &amp; Science of Foodpairing: 364, 365</x:v>
      </x:c>
      <x:c r="AB113" s="28" t="str">
        <x:v>Ingredient pairings with Tea: cherry | Ingredient pairings with Tea: cherry | Ingredient pairings with Tea: cherry | Ingredient pairings with Tea: cherry</x:v>
      </x:c>
      <x:c r="AC113" s="28" t="n">
        <x:v>1</x:v>
      </x:c>
      <x:c r="AD113" s="28" t="n">
        <x:v>4</x:v>
      </x:c>
    </x:row>
    <x:row r="114" ht="58" customHeight="1">
      <x:c r="A114" s="28" t="str">
        <x:v>BER-0113</x:v>
      </x:c>
      <x:c r="B114" s="28" t="str">
        <x:v>Универсальные</x:v>
      </x:c>
      <x:c r="C114" s="28" t="str">
        <x:v>вишня</x:v>
      </x:c>
      <x:c r="D114" s="28" t="str">
        <x:v>вишня</x:v>
      </x:c>
      <x:c r="E114" s="28" t="str">
        <x:v>Ягоды и производные</x:v>
      </x:c>
      <x:c r="F114" s="28" t="str">
        <x:v>чёрная смородина</x:v>
      </x:c>
      <x:c r="G114" s="28" t="str">
        <x:v>Чёрная смородина</x:v>
      </x:c>
      <x:c r="H114" s="28" t="str">
        <x:v>Ягоды и производные</x:v>
      </x:c>
      <x:c r="I114" s="28" t="str">
        <x:v>миндальный, пряный, фруктовый, цветочный</x:v>
      </x:c>
      <x:c r="J114" s="28" t="str">
        <x:v>зелёный, листовой, сернистый, тёмно-фруктовый, цветочный</x:v>
      </x:c>
      <x:c r="K114" s="28" t="str">
        <x:v>бензальдегид, бета-дамасценон, линалоол, эвгенол</x:v>
      </x:c>
      <x:c r="L114" s="28" t="str">
        <x:v>3-меркаптогексанол, 3-меркаптогексилацетат, 4-метокси-2-метил-2-бутантиол, терпены</x:v>
      </x:c>
      <x:c r="M114" s="28" t="str">
        <x:v>цветочный</x:v>
      </x:c>
      <x:c r="N114" s="28" t="str">
        <x:v>не подтверждены; механизм не сводится к одной общей молекуле</x:v>
      </x:c>
      <x:c r="O114" s="28" t="str">
        <x:v>сходство ароматических семейств + комплементарность</x:v>
      </x:c>
      <x:c r="P114" s="28" t="str">
        <x:v>Оба компонента формируют сладко-кислый, иногда терпкий и ярко-кислый, терпкий контур; сахар, кислота и горечь должны быть выровнены дегустацией.</x:v>
      </x:c>
      <x:c r="Q114" s="28" t="str">
        <x:v>Специфического тройничного эффекта обычно нет; кислотность усиливает слюноотделение.</x:v>
      </x:c>
      <x:c r="R114" s="28" t="str">
        <x:v>Ягода: косточка усиливает миндальный тон, но требует контроля безопасности. Партнёр: следовые тиолы чрезвычайно мощные; передозировка даёт «кошачий» тон. В воде аромат раскрывается быстрее, в жире и этаноле — дольше удерживается.</x:v>
      </x:c>
      <x:c r="S11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14" s="28" t="str">
        <x:v>Общие ароматические семейства: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листовой, сернистый, тёмно-фруктовый, цветочный. Оба компонента формируют сладко-кислый, иногда терпкий и ярко-кислый, терпкий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следовые тиолы чрезвычайно мощные; передозировка даёт «кошачий» тон.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14" s="28" t="str">
        <x:v>Не использовать повреждённые косточки без валидированной технологии: они содержат цианогенные гликозиды.</x:v>
      </x:c>
      <x:c r="V114" s="28" t="str">
        <x:v>ваниль или роза</x:v>
      </x:c>
      <x:c r="W11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114" s="28" t="str">
        <x:v>напитки; десерты</x:v>
      </x:c>
      <x:c r="Y114" s="28" t="str">
        <x:v>Средняя</x:v>
      </x:c>
      <x:c r="Z114" s="28" t="str">
        <x:v>Таблица сочетаний</x:v>
      </x:c>
      <x:c r="AA114" s="28" t="str">
        <x:v>Таблица сочетаний: 2</x:v>
      </x:c>
      <x:c r="AB114" s="28" t="str">
        <x:v>Чёрная смородина: вишня</x:v>
      </x:c>
      <x:c r="AC114" s="28" t="n">
        <x:v>1</x:v>
      </x:c>
      <x:c r="AD114" s="28" t="n">
        <x:v>1</x:v>
      </x:c>
    </x:row>
    <x:row r="115" ht="58" customHeight="1">
      <x:c r="A115" s="28" t="str">
        <x:v>BER-0114</x:v>
      </x:c>
      <x:c r="B115" s="28" t="str">
        <x:v>Универсальные</x:v>
      </x:c>
      <x:c r="C115" s="28" t="str">
        <x:v>вишня</x:v>
      </x:c>
      <x:c r="D115" s="28" t="str">
        <x:v>Вишня</x:v>
      </x:c>
      <x:c r="E115" s="28" t="str">
        <x:v>Ягоды и производные</x:v>
      </x:c>
      <x:c r="F115" s="28" t="str">
        <x:v>чёрный перец</x:v>
      </x:c>
      <x:c r="G115" s="28" t="str">
        <x:v>чёрный перец</x:v>
      </x:c>
      <x:c r="H115" s="28" t="str">
        <x:v>Специи</x:v>
      </x:c>
      <x:c r="I115" s="28" t="str">
        <x:v>миндальный, пряный, фруктовый, цветочный</x:v>
      </x:c>
      <x:c r="J115" s="28" t="str">
        <x:v>древесный, пряный, тёплый</x:v>
      </x:c>
      <x:c r="K115" s="28" t="str">
        <x:v>бензальдегид, бета-дамасценон, линалоол, эвгенол</x:v>
      </x:c>
      <x:c r="L115" s="28" t="str">
        <x:v>коричный альдегид, терпены, эвгенол</x:v>
      </x:c>
      <x:c r="M115" s="28" t="str">
        <x:v>пряный</x:v>
      </x:c>
      <x:c r="N115" s="28" t="str">
        <x:v>эвгенол</x:v>
      </x:c>
      <x:c r="O115" s="28" t="str">
        <x:v>ароматическое сходство + вкусовой баланс</x:v>
      </x:c>
      <x:c r="P115" s="28" t="str">
        <x:v>Ягодная сладость смягчает горечь и пряность, а кислотность делает пряный, иногда горький профиль ярче.</x:v>
      </x:c>
      <x:c r="Q115" s="28" t="str">
        <x:v>Специфического тройничного эффекта обычно нет; кислотность усиливает слюноотделение.</x:v>
      </x:c>
      <x:c r="R115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11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15" s="28" t="str">
        <x:v>Прямой вероятный молекулярный мост: эвгенол. Ягодный компонент несёт семейства миндальный, пряный,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15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V115" s="28" t="str">
        <x:v>мёд или цитрус</x:v>
      </x:c>
      <x:c r="W11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115" s="28" t="str">
        <x:v>напитки; десерты; еда; соусы/маринады</x:v>
      </x:c>
      <x:c r="Y115" s="28" t="str">
        <x:v>Средняя</x:v>
      </x:c>
      <x:c r="Z115" s="28" t="str">
        <x:v>Таблица сочетаний</x:v>
      </x:c>
      <x:c r="AA115" s="28" t="str">
        <x:v>Таблица сочетаний: 4</x:v>
      </x:c>
      <x:c r="AB115" s="28" t="str">
        <x:v>Вишня: чёрный перец</x:v>
      </x:c>
      <x:c r="AC115" s="28" t="n">
        <x:v>1</x:v>
      </x:c>
      <x:c r="AD115" s="28" t="n">
        <x:v>1</x:v>
      </x:c>
    </x:row>
    <x:row r="116" ht="58" customHeight="1">
      <x:c r="A116" s="28" t="str">
        <x:v>BER-0115</x:v>
      </x:c>
      <x:c r="B116" s="28" t="str">
        <x:v>Универсальные</x:v>
      </x:c>
      <x:c r="C116" s="28" t="str">
        <x:v>вишня</x:v>
      </x:c>
      <x:c r="D116" s="28" t="str">
        <x:v>cherry | morello cherries</x:v>
      </x:c>
      <x:c r="E116" s="28" t="str">
        <x:v>Ягоды и производные</x:v>
      </x:c>
      <x:c r="F116" s="28" t="str">
        <x:v>чеснок</x:v>
      </x:c>
      <x:c r="G116" s="28" t="str">
        <x:v>Garlic</x:v>
      </x:c>
      <x:c r="H116" s="28" t="str">
        <x:v>Прочее</x:v>
      </x:c>
      <x:c r="I116" s="28" t="str">
        <x:v>миндальный, пряный, фруктовый, цветочный</x:v>
      </x:c>
      <x:c r="J116" s="28" t="str">
        <x:v>комплексный</x:v>
      </x:c>
      <x:c r="K116" s="28" t="str">
        <x:v>бензальдегид, бета-дамасценон, линалоол, эвгенол</x:v>
      </x:c>
      <x:c r="L116" s="28" t="str">
        <x:v>нет надёжной конкретизации</x:v>
      </x:c>
      <x:c r="M116" s="28" t="str">
        <x:v>прямое совпадение семейств не установлено</x:v>
      </x:c>
      <x:c r="N116" s="28" t="str">
        <x:v>не подтверждены; механизм не сводится к одной общей молекуле</x:v>
      </x:c>
      <x:c r="O116" s="28" t="str">
        <x:v>контраст/комплементарность + матричный эффект</x:v>
      </x:c>
      <x:c r="P116" s="28" t="str">
        <x:v>Оба компонента формируют сладко-кислый, иногда терпкий и зависит от ингредиента контур; сахар, кислота и горечь должны быть выровнены дегустацией.</x:v>
      </x:c>
      <x:c r="Q116" s="28" t="str">
        <x:v>Специфического тройничного эффекта обычно нет; кислотность усиливает слюноотделение.</x:v>
      </x:c>
      <x:c r="R116" s="28" t="str">
        <x:v>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</x:v>
      </x:c>
      <x:c r="S11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1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комплексный. Оба компонента формируют сладко-кислый, иногда терпкий и зависит от ингредиента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16" s="28" t="str">
        <x:v>Не использовать повреждённые косточки без валидированной технологии: они содержат цианогенные гликозиды.</x:v>
      </x:c>
      <x:c r="V116" s="28" t="str">
        <x:v>лимон или ваниль</x:v>
      </x:c>
      <x:c r="W116" s="28" t="str">
        <x:v>сенсорная проба в малой дозировке</x:v>
      </x:c>
      <x:c r="X116" s="28" t="str">
        <x:v>универсально</x:v>
      </x:c>
      <x:c r="Y116" s="28" t="str">
        <x:v>Средняя</x:v>
      </x:c>
      <x:c r="Z116" s="28" t="str">
        <x:v>The Art &amp; Science of Foodpairing</x:v>
      </x:c>
      <x:c r="AA116" s="28" t="str">
        <x:v>The Art &amp; Science of Foodpairing: 115</x:v>
      </x:c>
      <x:c r="AB116" s="28" t="str">
        <x:v>Ingredient pairings with Garlic: morello cherries | Ingredient pairings with Garlic: cherry</x:v>
      </x:c>
      <x:c r="AC116" s="28" t="n">
        <x:v>1</x:v>
      </x:c>
      <x:c r="AD116" s="28" t="n">
        <x:v>2</x:v>
      </x:c>
    </x:row>
    <x:row r="117" ht="58" customHeight="1">
      <x:c r="A117" s="28" t="str">
        <x:v>BER-0116</x:v>
      </x:c>
      <x:c r="B117" s="28" t="str">
        <x:v>Универсальные</x:v>
      </x:c>
      <x:c r="C117" s="28" t="str">
        <x:v>вишня</x:v>
      </x:c>
      <x:c r="D117" s="28" t="str">
        <x:v>Вишня | вишня</x:v>
      </x:c>
      <x:c r="E117" s="28" t="str">
        <x:v>Ягоды и производные</x:v>
      </x:c>
      <x:c r="F117" s="28" t="str">
        <x:v>шалфей</x:v>
      </x:c>
      <x:c r="G117" s="28" t="str">
        <x:v>Шалфей | шалфей</x:v>
      </x:c>
      <x:c r="H117" s="28" t="str">
        <x:v>Травы и цветы</x:v>
      </x:c>
      <x:c r="I117" s="28" t="str">
        <x:v>миндальный, пряный, фруктовый, цветочный</x:v>
      </x:c>
      <x:c r="J117" s="28" t="str">
        <x:v>зелёный, травянистый, цветочный</x:v>
      </x:c>
      <x:c r="K117" s="28" t="str">
        <x:v>бензальдегид, бета-дамасценон, линалоол, эвгенол</x:v>
      </x:c>
      <x:c r="L117" s="28" t="str">
        <x:v>гераниол, линалоол, терпены, эвгенол</x:v>
      </x:c>
      <x:c r="M117" s="28" t="str">
        <x:v>цветочный</x:v>
      </x:c>
      <x:c r="N117" s="28" t="str">
        <x:v>линалоол, эвгенол</x:v>
      </x:c>
      <x:c r="O117" s="28" t="str">
        <x:v>ароматическое сходство + вкусовой баланс</x:v>
      </x:c>
      <x:c r="P117" s="28" t="str">
        <x:v>Ягодная сладость смягчает горечь и пряность, а кислотность делает горьковатый, свежий профиль ярче.</x:v>
      </x:c>
      <x:c r="Q117" s="28" t="str">
        <x:v>Специфического тройничного эффекта обычно нет; кислотность усиливает слюноотделение.</x:v>
      </x:c>
      <x:c r="R117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11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17" s="28" t="str">
        <x:v>Прямой вероятный молекулярный мост: линалоол, эвгенол. Ягодный компонент несёт семейства миндальный, пряный,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17" s="28" t="str">
        <x:v>Не использовать повреждённые косточки без валидированной технологии: они содержат цианогенные гликозиды.</x:v>
      </x:c>
      <x:c r="V117" s="28" t="str">
        <x:v>лимон или мёд</x:v>
      </x:c>
      <x:c r="W11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117" s="28" t="str">
        <x:v>напитки; еда; соусы/маринады</x:v>
      </x:c>
      <x:c r="Y117" s="28" t="str">
        <x:v>Средняя</x:v>
      </x:c>
      <x:c r="Z117" s="28" t="str">
        <x:v>Таблица сочетаний</x:v>
      </x:c>
      <x:c r="AA117" s="28" t="str">
        <x:v>Таблица сочетаний: 4, 20</x:v>
      </x:c>
      <x:c r="AB117" s="28" t="str">
        <x:v>Вишня: шалфей | Шалфей: вишня</x:v>
      </x:c>
      <x:c r="AC117" s="28" t="n">
        <x:v>1</x:v>
      </x:c>
      <x:c r="AD117" s="28" t="n">
        <x:v>2</x:v>
      </x:c>
    </x:row>
    <x:row r="118" ht="58" customHeight="1">
      <x:c r="A118" s="28" t="str">
        <x:v>BER-0117</x:v>
      </x:c>
      <x:c r="B118" s="28" t="str">
        <x:v>Универсальные</x:v>
      </x:c>
      <x:c r="C118" s="28" t="str">
        <x:v>вишня</x:v>
      </x:c>
      <x:c r="D118" s="28" t="str">
        <x:v>cherry</x:v>
      </x:c>
      <x:c r="E118" s="28" t="str">
        <x:v>Ягоды и производные</x:v>
      </x:c>
      <x:c r="F118" s="28" t="str">
        <x:v>шиитаке</x:v>
      </x:c>
      <x:c r="G118" s="28" t="str">
        <x:v>Shiitake Mushroom</x:v>
      </x:c>
      <x:c r="H118" s="28" t="str">
        <x:v>Прочее</x:v>
      </x:c>
      <x:c r="I118" s="28" t="str">
        <x:v>миндальный, пряный, фруктовый, цветочный</x:v>
      </x:c>
      <x:c r="J118" s="28" t="str">
        <x:v>комплексный</x:v>
      </x:c>
      <x:c r="K118" s="28" t="str">
        <x:v>бензальдегид, бета-дамасценон, линалоол, эвгенол</x:v>
      </x:c>
      <x:c r="L118" s="28" t="str">
        <x:v>нет надёжной конкретизации</x:v>
      </x:c>
      <x:c r="M118" s="28" t="str">
        <x:v>прямое совпадение семейств не установлено</x:v>
      </x:c>
      <x:c r="N118" s="28" t="str">
        <x:v>не подтверждены; механизм не сводится к одной общей молекуле</x:v>
      </x:c>
      <x:c r="O118" s="28" t="str">
        <x:v>контраст/комплементарность + матричный эффект</x:v>
      </x:c>
      <x:c r="P118" s="28" t="str">
        <x:v>Оба компонента формируют сладко-кислый, иногда терпкий и зависит от ингредиента контур; сахар, кислота и горечь должны быть выровнены дегустацией.</x:v>
      </x:c>
      <x:c r="Q118" s="28" t="str">
        <x:v>Специфического тройничного эффекта обычно нет; кислотность усиливает слюноотделение.</x:v>
      </x:c>
      <x:c r="R118" s="28" t="str">
        <x:v>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</x:v>
      </x:c>
      <x:c r="S11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1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комплексный. Оба компонента формируют сладко-кислый, иногда терпкий и зависит от ингредиента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18" s="28" t="str">
        <x:v>Не использовать повреждённые косточки без валидированной технологии: они содержат цианогенные гликозиды.</x:v>
      </x:c>
      <x:c r="V118" s="28" t="str">
        <x:v>лимон или ваниль</x:v>
      </x:c>
      <x:c r="W118" s="28" t="str">
        <x:v>сенсорная проба в малой дозировке</x:v>
      </x:c>
      <x:c r="X118" s="28" t="str">
        <x:v>универсально</x:v>
      </x:c>
      <x:c r="Y118" s="28" t="str">
        <x:v>Средняя</x:v>
      </x:c>
      <x:c r="Z118" s="28" t="str">
        <x:v>The Art &amp; Science of Foodpairing</x:v>
      </x:c>
      <x:c r="AA118" s="28" t="str">
        <x:v>The Art &amp; Science of Foodpairing: 126</x:v>
      </x:c>
      <x:c r="AB118" s="28" t="str">
        <x:v>Ingredient pairings with Shiitake Mushroom: cherry</x:v>
      </x:c>
      <x:c r="AC118" s="28" t="n">
        <x:v>1</x:v>
      </x:c>
      <x:c r="AD118" s="28" t="n">
        <x:v>1</x:v>
      </x:c>
    </x:row>
    <x:row r="119" ht="58" customHeight="1">
      <x:c r="A119" s="28" t="str">
        <x:v>BER-0118</x:v>
      </x:c>
      <x:c r="B119" s="28" t="str">
        <x:v>Десерты и выпечка</x:v>
      </x:c>
      <x:c r="C119" s="28" t="str">
        <x:v>вишня</x:v>
      </x:c>
      <x:c r="D119" s="28" t="str">
        <x:v>cherry | Вишня | вишня</x:v>
      </x:c>
      <x:c r="E119" s="28" t="str">
        <x:v>Ягоды и производные</x:v>
      </x:c>
      <x:c r="F119" s="28" t="str">
        <x:v>шоколад</x:v>
      </x:c>
      <x:c r="G119" s="28" t="str">
        <x:v>Chocolate | Шоколад | шоколад</x:v>
      </x:c>
      <x:c r="H119" s="28" t="str">
        <x:v>Шоколад, кофе и жареные продукты</x:v>
      </x:c>
      <x:c r="I119" s="28" t="str">
        <x:v>миндальный, пряный, фруктовый, цветочный</x:v>
      </x:c>
      <x:c r="J119" s="28" t="str">
        <x:v>горький, жареный, карамельный, ореховый</x:v>
      </x:c>
      <x:c r="K119" s="28" t="str">
        <x:v>бензальдегид, бета-дамасценон, линалоол, эвгенол</x:v>
      </x:c>
      <x:c r="L119" s="28" t="str">
        <x:v>ванилин, пиразины, фураны</x:v>
      </x:c>
      <x:c r="M119" s="28" t="str">
        <x:v>прямое совпадение семейств не установлено</x:v>
      </x:c>
      <x:c r="N119" s="28" t="str">
        <x:v>не подтверждены; механизм не сводится к одной общей молекуле</x:v>
      </x:c>
      <x:c r="O119" s="28" t="str">
        <x:v>контраст/комплементарность + матричный эффект</x:v>
      </x:c>
      <x:c r="P119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119" s="28" t="str">
        <x:v>Специфического тройничного эффекта обычно нет; кислотность усиливает слюноотделение.</x:v>
      </x:c>
      <x:c r="R119" s="28" t="str">
        <x:v>Жировая фаза удерживает гидрофобные одоранты и продлевает послевкусие; кислотность ягод повышает слюноотделение.</x:v>
      </x:c>
      <x:c r="S11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1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19" s="28" t="str">
        <x:v>Не использовать повреждённые косточки без валидированной технологии: они содержат цианогенные гликозиды.</x:v>
      </x:c>
      <x:c r="V119" s="28" t="str">
        <x:v>ваниль или орехи</x:v>
      </x:c>
      <x:c r="W119" s="28" t="str">
        <x:v>сорбет, крем, ганаш, выпечка, джем или соус для десерта</x:v>
      </x:c>
      <x:c r="X119" s="28" t="str">
        <x:v>десерты</x:v>
      </x:c>
      <x:c r="Y119" s="28" t="str">
        <x:v>Высокая</x:v>
      </x:c>
      <x:c r="Z119" s="28" t="str">
        <x:v>The Art &amp; Science of Foodpairing; Таблица сочетаний; Тезариус вкусов</x:v>
      </x:c>
      <x:c r="AA119" s="28" t="str">
        <x:v>Тезариус вкусов: 28, 657; The Art &amp; Science of Foodpairing: 62, 63; Таблица сочетаний: 4, 5</x:v>
      </x:c>
      <x:c r="AB119" s="28" t="str">
        <x:v>Шоколад и вишня. См. Вишня и шоколад | Вишня и шоколад. Что и говорить, выигрышная комбинация. Даже если вы воротите нос от торта «Шварцвальд» (Schwarzwald) или мороженого Ben and Jerry’s Cherry Garcia, вы не сможете отрицать, что вишня с ее фруктовым и ореховым вкусами является естественным партнером для шоколада. Обычно для сочетания с шоколадом выбирают вишни сорта Мо- релло (Morello), выращенные в садах горного масси- ва Шварцвальд, на юго-западе Германии. Делия Смит (Delia Smith) делает из них рулет, а Найджела Лоусон (Nigella Lawson) подмешивает вишневый джем из ви- шен Морелло к тесту, из которого выпекает шоколад- ные маффины. Если вы не настроены что-либо ва- рить или печ | Вишня: шоколад | Шоколад: вишня</x:v>
      </x:c>
      <x:c r="AC119" s="28" t="n">
        <x:v>3</x:v>
      </x:c>
      <x:c r="AD119" s="28" t="n">
        <x:v>6</x:v>
      </x:c>
    </x:row>
    <x:row r="120" ht="58" customHeight="1">
      <x:c r="A120" s="28" t="str">
        <x:v>BER-0119</x:v>
      </x:c>
      <x:c r="B120" s="28" t="str">
        <x:v>Универсальные</x:v>
      </x:c>
      <x:c r="C120" s="28" t="str">
        <x:v>вишня</x:v>
      </x:c>
      <x:c r="D120" s="28" t="str">
        <x:v>cherry | morello cherry</x:v>
      </x:c>
      <x:c r="E120" s="28" t="str">
        <x:v>Ягоды и производные</x:v>
      </x:c>
      <x:c r="F120" s="28" t="str">
        <x:v>яблоко</x:v>
      </x:c>
      <x:c r="G120" s="28" t="str">
        <x:v>Apple</x:v>
      </x:c>
      <x:c r="H120" s="28" t="str">
        <x:v>Фрукты</x:v>
      </x:c>
      <x:c r="I120" s="28" t="str">
        <x:v>миндальный, пряный, фруктовый, цветочный</x:v>
      </x:c>
      <x:c r="J120" s="28" t="str">
        <x:v>зелёный, фруктовый, цветочный</x:v>
      </x:c>
      <x:c r="K120" s="28" t="str">
        <x:v>бензальдегид, бета-дамасценон, линалоол, эвгенол</x:v>
      </x:c>
      <x:c r="L120" s="28" t="str">
        <x:v>лактоны, терпены, эфиры</x:v>
      </x:c>
      <x:c r="M120" s="28" t="str">
        <x:v>фруктовый, цветочный</x:v>
      </x:c>
      <x:c r="N120" s="28" t="str">
        <x:v>не подтверждены; механизм не сводится к одной общей молекуле</x:v>
      </x:c>
      <x:c r="O120" s="28" t="str">
        <x:v>сходство ароматических семейств + комплементарность</x:v>
      </x:c>
      <x:c r="P120" s="28" t="str">
        <x:v>Оба компонента формируют сладко-кислый, иногда терпкий и сладко-кислый контур; сахар, кислота и горечь должны быть выровнены дегустацией.</x:v>
      </x:c>
      <x:c r="Q120" s="28" t="str">
        <x:v>Специфического тройничного эффекта обычно нет; кислотность усиливает слюноотделение.</x:v>
      </x:c>
      <x:c r="R120" s="28" t="str">
        <x:v>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</x:v>
      </x:c>
      <x:c r="S12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20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20" s="28" t="str">
        <x:v>Не использовать повреждённые косточки без валидированной технологии: они содержат цианогенные гликозиды.</x:v>
      </x:c>
      <x:c r="V120" s="28" t="str">
        <x:v>ваниль или лимон</x:v>
      </x:c>
      <x:c r="W12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120" s="28" t="str">
        <x:v>напитки; десерты</x:v>
      </x:c>
      <x:c r="Y120" s="28" t="str">
        <x:v>Средняя</x:v>
      </x:c>
      <x:c r="Z120" s="28" t="str">
        <x:v>The Art &amp; Science of Foodpairing</x:v>
      </x:c>
      <x:c r="AA120" s="28" t="str">
        <x:v>The Art &amp; Science of Foodpairing: 48, 49</x:v>
      </x:c>
      <x:c r="AB120" s="28" t="str">
        <x:v>Ingredient pairings with Apple: cherry | Ingredient pairings with Apple: cherry | Ingredient pairings with Apple: cherry | Ingredient pairings with Apple: cherry</x:v>
      </x:c>
      <x:c r="AC120" s="28" t="n">
        <x:v>1</x:v>
      </x:c>
      <x:c r="AD120" s="28" t="n">
        <x:v>5</x:v>
      </x:c>
    </x:row>
    <x:row r="121" ht="58" customHeight="1">
      <x:c r="A121" s="28" t="str">
        <x:v>BER-0120</x:v>
      </x:c>
      <x:c r="B121" s="28" t="str">
        <x:v>Универсальные</x:v>
      </x:c>
      <x:c r="C121" s="28" t="str">
        <x:v>голубика</x:v>
      </x:c>
      <x:c r="D121" s="28" t="str">
        <x:v>Blueberry</x:v>
      </x:c>
      <x:c r="E121" s="28" t="str">
        <x:v>Ягоды и производные</x:v>
      </x:c>
      <x:c r="F121" s="28" t="str">
        <x:v>amarillo chilli</x:v>
      </x:c>
      <x:c r="G121" s="28" t="str">
        <x:v>amarillo chilli</x:v>
      </x:c>
      <x:c r="H121" s="28" t="str">
        <x:v>Специи</x:v>
      </x:c>
      <x:c r="I121" s="28" t="str">
        <x:v>зелёный, фруктовый, цветочный, цитрусовый</x:v>
      </x:c>
      <x:c r="J121" s="28" t="str">
        <x:v>древесный, пряный, тёплый</x:v>
      </x:c>
      <x:c r="K121" s="28" t="str">
        <x:v>C6-альдегиды, гераниол, линалоол, цитронеллол</x:v>
      </x:c>
      <x:c r="L121" s="28" t="str">
        <x:v>коричный альдегид, терпены, эвгенол</x:v>
      </x:c>
      <x:c r="M121" s="28" t="str">
        <x:v>прямое совпадение семейств не установлено</x:v>
      </x:c>
      <x:c r="N121" s="28" t="str">
        <x:v>не подтверждены; механизм не сводится к одной общей молекуле</x:v>
      </x:c>
      <x:c r="O121" s="28" t="str">
        <x:v>контраст/комплементарность + матричный эффект</x:v>
      </x:c>
      <x:c r="P121" s="28" t="str">
        <x:v>Ягодная сладость смягчает горечь и пряность, а кислотность делает пряный, иногда горький профиль ярче.</x:v>
      </x:c>
      <x:c r="Q121" s="28" t="str">
        <x:v>Специфического тройничного эффекта обычно нет; кислотность усиливает слюноотделение.</x:v>
      </x:c>
      <x:c r="R121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12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2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21" s="28" t="str">
        <x:v>Пряность дозировать как акцент: она быстро перекрывает тонкие ягодные эфиры.</x:v>
      </x:c>
      <x:c r="V121" s="28" t="str">
        <x:v>мёд или цитрус</x:v>
      </x:c>
      <x:c r="W12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121" s="28" t="str">
        <x:v>напитки; десерты; еда; соусы/маринады</x:v>
      </x:c>
      <x:c r="Y121" s="28" t="str">
        <x:v>Средняя</x:v>
      </x:c>
      <x:c r="Z121" s="28" t="str">
        <x:v>The Art &amp; Science of Foodpairing</x:v>
      </x:c>
      <x:c r="AA121" s="28" t="str">
        <x:v>The Art &amp; Science of Foodpairing: 204</x:v>
      </x:c>
      <x:c r="AB121" s="28" t="str">
        <x:v>Ingredient pairings with Blueberry: amarillo chilli</x:v>
      </x:c>
      <x:c r="AC121" s="28" t="n">
        <x:v>1</x:v>
      </x:c>
      <x:c r="AD121" s="28" t="n">
        <x:v>1</x:v>
      </x:c>
    </x:row>
    <x:row r="122" ht="58" customHeight="1">
      <x:c r="A122" s="28" t="str">
        <x:v>BER-0121</x:v>
      </x:c>
      <x:c r="B122" s="28" t="str">
        <x:v>Универсальные</x:v>
      </x:c>
      <x:c r="C122" s="28" t="str">
        <x:v>голубика</x:v>
      </x:c>
      <x:c r="D122" s="28" t="str">
        <x:v>Blueberry</x:v>
      </x:c>
      <x:c r="E122" s="28" t="str">
        <x:v>Ягоды и производные</x:v>
      </x:c>
      <x:c r="F122" s="28" t="str">
        <x:v>anberry</x:v>
      </x:c>
      <x:c r="G122" s="28" t="str">
        <x:v>anberry</x:v>
      </x:c>
      <x:c r="H122" s="28" t="str">
        <x:v>Ягоды и производные</x:v>
      </x:c>
      <x:c r="I122" s="28" t="str">
        <x:v>зелёный, фруктовый, цветочный, цитрусовый</x:v>
      </x:c>
      <x:c r="J122" s="28" t="str">
        <x:v>комплексный</x:v>
      </x:c>
      <x:c r="K122" s="28" t="str">
        <x:v>C6-альдегиды, гераниол, линалоол, цитронеллол</x:v>
      </x:c>
      <x:c r="L122" s="28" t="str">
        <x:v>нет надёжной конкретизации</x:v>
      </x:c>
      <x:c r="M122" s="28" t="str">
        <x:v>прямое совпадение семейств не установлено</x:v>
      </x:c>
      <x:c r="N122" s="28" t="str">
        <x:v>не подтверждены; механизм не сводится к одной общей молекуле</x:v>
      </x:c>
      <x:c r="O122" s="28" t="str">
        <x:v>контраст/комплементарность + матричный эффект</x:v>
      </x:c>
      <x:c r="P122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22" s="28" t="str">
        <x:v>Специфического тройничного эффекта обычно нет; кислотность усиливает слюноотделение.</x:v>
      </x:c>
      <x:c r="R122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2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2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2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22" s="28" t="str">
        <x:v>ваниль или роза</x:v>
      </x:c>
      <x:c r="W12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122" s="28" t="str">
        <x:v>напитки; десерты</x:v>
      </x:c>
      <x:c r="Y122" s="28" t="str">
        <x:v>Средняя</x:v>
      </x:c>
      <x:c r="Z122" s="28" t="str">
        <x:v>The Art &amp; Science of Foodpairing</x:v>
      </x:c>
      <x:c r="AA122" s="28" t="str">
        <x:v>The Art &amp; Science of Foodpairing: 204</x:v>
      </x:c>
      <x:c r="AB122" s="28" t="str">
        <x:v>Ingredient pairings with Blueberry: anberry</x:v>
      </x:c>
      <x:c r="AC122" s="28" t="n">
        <x:v>1</x:v>
      </x:c>
      <x:c r="AD122" s="28" t="n">
        <x:v>1</x:v>
      </x:c>
    </x:row>
    <x:row r="123" ht="58" customHeight="1">
      <x:c r="A123" s="28" t="str">
        <x:v>BER-0122</x:v>
      </x:c>
      <x:c r="B123" s="28" t="str">
        <x:v>Универсальные</x:v>
      </x:c>
      <x:c r="C123" s="28" t="str">
        <x:v>голубика</x:v>
      </x:c>
      <x:c r="D123" s="28" t="str">
        <x:v>Blueberry</x:v>
      </x:c>
      <x:c r="E123" s="28" t="str">
        <x:v>Ягоды и производные</x:v>
      </x:c>
      <x:c r="F123" s="28" t="str">
        <x:v>ast fillet</x:v>
      </x:c>
      <x:c r="G123" s="28" t="str">
        <x:v>ast fillet</x:v>
      </x:c>
      <x:c r="H123" s="28" t="str">
        <x:v>Прочее</x:v>
      </x:c>
      <x:c r="I123" s="28" t="str">
        <x:v>зелёный, фруктовый, цветочный, цитрусовый</x:v>
      </x:c>
      <x:c r="J123" s="28" t="str">
        <x:v>комплексный</x:v>
      </x:c>
      <x:c r="K123" s="28" t="str">
        <x:v>C6-альдегиды, гераниол, линалоол, цитронеллол</x:v>
      </x:c>
      <x:c r="L123" s="28" t="str">
        <x:v>нет надёжной конкретизации</x:v>
      </x:c>
      <x:c r="M123" s="28" t="str">
        <x:v>прямое совпадение семейств не установлено</x:v>
      </x:c>
      <x:c r="N123" s="28" t="str">
        <x:v>не подтверждены; механизм не сводится к одной общей молекуле</x:v>
      </x:c>
      <x:c r="O123" s="28" t="str">
        <x:v>контраст/комплементарность + матричный эффект</x:v>
      </x:c>
      <x:c r="P123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23" s="28" t="str">
        <x:v>Специфического тройничного эффекта обычно нет; кислотность усиливает слюноотделение.</x:v>
      </x:c>
      <x:c r="R123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2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2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2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23" s="28" t="str">
        <x:v>лимон или ваниль</x:v>
      </x:c>
      <x:c r="W123" s="28" t="str">
        <x:v>сенсорная проба в малой дозировке</x:v>
      </x:c>
      <x:c r="X123" s="28" t="str">
        <x:v>универсально</x:v>
      </x:c>
      <x:c r="Y123" s="28" t="str">
        <x:v>Средняя</x:v>
      </x:c>
      <x:c r="Z123" s="28" t="str">
        <x:v>The Art &amp; Science of Foodpairing</x:v>
      </x:c>
      <x:c r="AA123" s="28" t="str">
        <x:v>The Art &amp; Science of Foodpairing: 204</x:v>
      </x:c>
      <x:c r="AB123" s="28" t="str">
        <x:v>Ingredient pairings with Blueberry: ast fillet</x:v>
      </x:c>
      <x:c r="AC123" s="28" t="n">
        <x:v>1</x:v>
      </x:c>
      <x:c r="AD123" s="28" t="n">
        <x:v>1</x:v>
      </x:c>
    </x:row>
    <x:row r="124" ht="58" customHeight="1">
      <x:c r="A124" s="28" t="str">
        <x:v>BER-0123</x:v>
      </x:c>
      <x:c r="B124" s="28" t="str">
        <x:v>Универсальные</x:v>
      </x:c>
      <x:c r="C124" s="28" t="str">
        <x:v>голубика</x:v>
      </x:c>
      <x:c r="D124" s="28" t="str">
        <x:v>Blueberry</x:v>
      </x:c>
      <x:c r="E124" s="28" t="str">
        <x:v>Ягоды и производные</x:v>
      </x:c>
      <x:c r="F124" s="28" t="str">
        <x:v>ato ketchup</x:v>
      </x:c>
      <x:c r="G124" s="28" t="str">
        <x:v>ato ketchup</x:v>
      </x:c>
      <x:c r="H124" s="28" t="str">
        <x:v>Прочее</x:v>
      </x:c>
      <x:c r="I124" s="28" t="str">
        <x:v>зелёный, фруктовый, цветочный, цитрусовый</x:v>
      </x:c>
      <x:c r="J124" s="28" t="str">
        <x:v>комплексный</x:v>
      </x:c>
      <x:c r="K124" s="28" t="str">
        <x:v>C6-альдегиды, гераниол, линалоол, цитронеллол</x:v>
      </x:c>
      <x:c r="L124" s="28" t="str">
        <x:v>нет надёжной конкретизации</x:v>
      </x:c>
      <x:c r="M124" s="28" t="str">
        <x:v>прямое совпадение семейств не установлено</x:v>
      </x:c>
      <x:c r="N124" s="28" t="str">
        <x:v>не подтверждены; механизм не сводится к одной общей молекуле</x:v>
      </x:c>
      <x:c r="O124" s="28" t="str">
        <x:v>контраст/комплементарность + матричный эффект</x:v>
      </x:c>
      <x:c r="P124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24" s="28" t="str">
        <x:v>Специфического тройничного эффекта обычно нет; кислотность усиливает слюноотделение.</x:v>
      </x:c>
      <x:c r="R124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2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2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2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24" s="28" t="str">
        <x:v>лимон или ваниль</x:v>
      </x:c>
      <x:c r="W124" s="28" t="str">
        <x:v>сенсорная проба в малой дозировке</x:v>
      </x:c>
      <x:c r="X124" s="28" t="str">
        <x:v>универсально</x:v>
      </x:c>
      <x:c r="Y124" s="28" t="str">
        <x:v>Средняя</x:v>
      </x:c>
      <x:c r="Z124" s="28" t="str">
        <x:v>The Art &amp; Science of Foodpairing</x:v>
      </x:c>
      <x:c r="AA124" s="28" t="str">
        <x:v>The Art &amp; Science of Foodpairing: 204</x:v>
      </x:c>
      <x:c r="AB124" s="28" t="str">
        <x:v>Ingredient pairings with Blueberry: ato ketchup</x:v>
      </x:c>
      <x:c r="AC124" s="28" t="n">
        <x:v>1</x:v>
      </x:c>
      <x:c r="AD124" s="28" t="n">
        <x:v>1</x:v>
      </x:c>
    </x:row>
    <x:row r="125" ht="58" customHeight="1">
      <x:c r="A125" s="28" t="str">
        <x:v>BER-0124</x:v>
      </x:c>
      <x:c r="B125" s="28" t="str">
        <x:v>Универсальные</x:v>
      </x:c>
      <x:c r="C125" s="28" t="str">
        <x:v>голубика</x:v>
      </x:c>
      <x:c r="D125" s="28" t="str">
        <x:v>Blueberry</x:v>
      </x:c>
      <x:c r="E125" s="28" t="str">
        <x:v>Ягоды и производные</x:v>
      </x:c>
      <x:c r="F125" s="28" t="str">
        <x:v>avocado</x:v>
      </x:c>
      <x:c r="G125" s="28" t="str">
        <x:v>avocado</x:v>
      </x:c>
      <x:c r="H125" s="28" t="str">
        <x:v>Прочее</x:v>
      </x:c>
      <x:c r="I125" s="28" t="str">
        <x:v>зелёный, фруктовый, цветочный, цитрусовый</x:v>
      </x:c>
      <x:c r="J125" s="28" t="str">
        <x:v>комплексный</x:v>
      </x:c>
      <x:c r="K125" s="28" t="str">
        <x:v>C6-альдегиды, гераниол, линалоол, цитронеллол</x:v>
      </x:c>
      <x:c r="L125" s="28" t="str">
        <x:v>нет надёжной конкретизации</x:v>
      </x:c>
      <x:c r="M125" s="28" t="str">
        <x:v>прямое совпадение семейств не установлено</x:v>
      </x:c>
      <x:c r="N125" s="28" t="str">
        <x:v>не подтверждены; механизм не сводится к одной общей молекуле</x:v>
      </x:c>
      <x:c r="O125" s="28" t="str">
        <x:v>контраст/комплементарность + матричный эффект</x:v>
      </x:c>
      <x:c r="P125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25" s="28" t="str">
        <x:v>Специфического тройничного эффекта обычно нет; кислотность усиливает слюноотделение.</x:v>
      </x:c>
      <x:c r="R125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2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2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2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25" s="28" t="str">
        <x:v>лимон или ваниль</x:v>
      </x:c>
      <x:c r="W125" s="28" t="str">
        <x:v>сенсорная проба в малой дозировке</x:v>
      </x:c>
      <x:c r="X125" s="28" t="str">
        <x:v>универсально</x:v>
      </x:c>
      <x:c r="Y125" s="28" t="str">
        <x:v>Средняя</x:v>
      </x:c>
      <x:c r="Z125" s="28" t="str">
        <x:v>The Art &amp; Science of Foodpairing</x:v>
      </x:c>
      <x:c r="AA125" s="28" t="str">
        <x:v>The Art &amp; Science of Foodpairing: 205</x:v>
      </x:c>
      <x:c r="AB125" s="28" t="str">
        <x:v>Ingredient pairings with Blueberry: avocado</x:v>
      </x:c>
      <x:c r="AC125" s="28" t="n">
        <x:v>1</x:v>
      </x:c>
      <x:c r="AD125" s="28" t="n">
        <x:v>1</x:v>
      </x:c>
    </x:row>
    <x:row r="126" ht="58" customHeight="1">
      <x:c r="A126" s="28" t="str">
        <x:v>BER-0125</x:v>
      </x:c>
      <x:c r="B126" s="28" t="str">
        <x:v>Универсальные</x:v>
      </x:c>
      <x:c r="C126" s="28" t="str">
        <x:v>голубика</x:v>
      </x:c>
      <x:c r="D126" s="28" t="str">
        <x:v>Blueberry</x:v>
      </x:c>
      <x:c r="E126" s="28" t="str">
        <x:v>Ягоды и производные</x:v>
      </x:c>
      <x:c r="F126" s="28" t="str">
        <x:v>banana chips</x:v>
      </x:c>
      <x:c r="G126" s="28" t="str">
        <x:v>banana chips</x:v>
      </x:c>
      <x:c r="H126" s="28" t="str">
        <x:v>Фрукты</x:v>
      </x:c>
      <x:c r="I126" s="28" t="str">
        <x:v>зелёный, фруктовый, цветочный, цитрусовый</x:v>
      </x:c>
      <x:c r="J126" s="28" t="str">
        <x:v>зелёный, фруктовый, цветочный</x:v>
      </x:c>
      <x:c r="K126" s="28" t="str">
        <x:v>C6-альдегиды, гераниол, линалоол, цитронеллол</x:v>
      </x:c>
      <x:c r="L126" s="28" t="str">
        <x:v>лактоны, терпены, эфиры</x:v>
      </x:c>
      <x:c r="M126" s="28" t="str">
        <x:v>зелёный, фруктовый, цветочный</x:v>
      </x:c>
      <x:c r="N126" s="28" t="str">
        <x:v>не подтверждены; механизм не сводится к одной общей молекуле</x:v>
      </x:c>
      <x:c r="O126" s="28" t="str">
        <x:v>сходство ароматических семейств + комплементарность</x:v>
      </x:c>
      <x:c r="P126" s="28" t="str">
        <x:v>Оба компонента формируют сладко-кислый, мягкий и сладко-кислый контур; сахар, кислота и горечь должны быть выровнены дегустацией.</x:v>
      </x:c>
      <x:c r="Q126" s="28" t="str">
        <x:v>Специфического тройничного эффекта обычно нет; кислотность усиливает слюноотделение.</x:v>
      </x:c>
      <x:c r="R126" s="28" t="str">
        <x:v>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</x:v>
      </x:c>
      <x:c r="S12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26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2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26" s="28" t="str">
        <x:v>ваниль или лимон</x:v>
      </x:c>
      <x:c r="W12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126" s="28" t="str">
        <x:v>напитки; десерты</x:v>
      </x:c>
      <x:c r="Y126" s="28" t="str">
        <x:v>Средняя</x:v>
      </x:c>
      <x:c r="Z126" s="28" t="str">
        <x:v>The Art &amp; Science of Foodpairing</x:v>
      </x:c>
      <x:c r="AA126" s="28" t="str">
        <x:v>The Art &amp; Science of Foodpairing: 205</x:v>
      </x:c>
      <x:c r="AB126" s="28" t="str">
        <x:v>Ingredient pairings with Blueberry: banana chips</x:v>
      </x:c>
      <x:c r="AC126" s="28" t="n">
        <x:v>1</x:v>
      </x:c>
      <x:c r="AD126" s="28" t="n">
        <x:v>1</x:v>
      </x:c>
    </x:row>
    <x:row r="127" ht="58" customHeight="1">
      <x:c r="A127" s="28" t="str">
        <x:v>BER-0126</x:v>
      </x:c>
      <x:c r="B127" s="28" t="str">
        <x:v>Еда и соусы</x:v>
      </x:c>
      <x:c r="C127" s="28" t="str">
        <x:v>голубика</x:v>
      </x:c>
      <x:c r="D127" s="28" t="str">
        <x:v>Blueberry</x:v>
      </x:c>
      <x:c r="E127" s="28" t="str">
        <x:v>Ягоды и производные</x:v>
      </x:c>
      <x:c r="F127" s="28" t="str">
        <x:v>bayonne ham</x:v>
      </x:c>
      <x:c r="G127" s="28" t="str">
        <x:v>Bayonne ham</x:v>
      </x:c>
      <x:c r="H127" s="28" t="str">
        <x:v>Мясо и птица</x:v>
      </x:c>
      <x:c r="I127" s="28" t="str">
        <x:v>зелёный, фруктовый, цветочный, цитрусовый</x:v>
      </x:c>
      <x:c r="J127" s="28" t="str">
        <x:v>жареный, жирный, сернистый, умами</x:v>
      </x:c>
      <x:c r="K127" s="28" t="str">
        <x:v>C6-альдегиды, гераниол, линалоол, цитронеллол</x:v>
      </x:c>
      <x:c r="L127" s="28" t="str">
        <x:v>альдегиды, пиразины, сернистые соединения</x:v>
      </x:c>
      <x:c r="M127" s="28" t="str">
        <x:v>прямое совпадение семейств не установлено</x:v>
      </x:c>
      <x:c r="N127" s="28" t="str">
        <x:v>не подтверждены; механизм не сводится к одной общей молекуле</x:v>
      </x:c>
      <x:c r="O127" s="28" t="str">
        <x:v>контраст/комплементарность + матричный эффект</x:v>
      </x:c>
      <x:c r="P127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127" s="28" t="str">
        <x:v>Специфического тройничного эффекта обычно нет; кислотность усиливает слюноотделение.</x:v>
      </x:c>
      <x:c r="R127" s="28" t="str">
        <x:v>Жировая фаза удерживает гидрофобные одоранты и продлевает послевкусие; кислотность ягод повышает слюноотделение.</x:v>
      </x:c>
      <x:c r="S12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12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12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27" s="28" t="str">
        <x:v>красное вино или чёрный перец</x:v>
      </x:c>
      <x:c r="W127" s="28" t="str">
        <x:v>соус, глазировка, салат, сырная подача или горячее блюдо; маринад, гастрик, чатни, кетчуп или редукция</x:v>
      </x:c>
      <x:c r="X127" s="28" t="str">
        <x:v>еда; соусы/маринады</x:v>
      </x:c>
      <x:c r="Y127" s="28" t="str">
        <x:v>Средняя</x:v>
      </x:c>
      <x:c r="Z127" s="28" t="str">
        <x:v>The Art &amp; Science of Foodpairing</x:v>
      </x:c>
      <x:c r="AA127" s="28" t="str">
        <x:v>The Art &amp; Science of Foodpairing: 204</x:v>
      </x:c>
      <x:c r="AB127" s="28" t="str">
        <x:v>Ingredient pairings with Blueberry: Bayonne ham</x:v>
      </x:c>
      <x:c r="AC127" s="28" t="n">
        <x:v>1</x:v>
      </x:c>
      <x:c r="AD127" s="28" t="n">
        <x:v>1</x:v>
      </x:c>
    </x:row>
    <x:row r="128" ht="58" customHeight="1">
      <x:c r="A128" s="28" t="str">
        <x:v>BER-0127</x:v>
      </x:c>
      <x:c r="B128" s="28" t="str">
        <x:v>Универсальные</x:v>
      </x:c>
      <x:c r="C128" s="28" t="str">
        <x:v>голубика</x:v>
      </x:c>
      <x:c r="D128" s="28" t="str">
        <x:v>Blueberry</x:v>
      </x:c>
      <x:c r="E128" s="28" t="str">
        <x:v>Ягоды и производные</x:v>
      </x:c>
      <x:c r="F128" s="28" t="str">
        <x:v>belgian endive)</x:v>
      </x:c>
      <x:c r="G128" s="28" t="str">
        <x:v>Belgian endive)</x:v>
      </x:c>
      <x:c r="H128" s="28" t="str">
        <x:v>Прочее</x:v>
      </x:c>
      <x:c r="I128" s="28" t="str">
        <x:v>зелёный, фруктовый, цветочный, цитрусовый</x:v>
      </x:c>
      <x:c r="J128" s="28" t="str">
        <x:v>комплексный</x:v>
      </x:c>
      <x:c r="K128" s="28" t="str">
        <x:v>C6-альдегиды, гераниол, линалоол, цитронеллол</x:v>
      </x:c>
      <x:c r="L128" s="28" t="str">
        <x:v>нет надёжной конкретизации</x:v>
      </x:c>
      <x:c r="M128" s="28" t="str">
        <x:v>прямое совпадение семейств не установлено</x:v>
      </x:c>
      <x:c r="N128" s="28" t="str">
        <x:v>не подтверждены; механизм не сводится к одной общей молекуле</x:v>
      </x:c>
      <x:c r="O128" s="28" t="str">
        <x:v>контраст/комплементарность + матричный эффект</x:v>
      </x:c>
      <x:c r="P128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28" s="28" t="str">
        <x:v>Специфического тройничного эффекта обычно нет; кислотность усиливает слюноотделение.</x:v>
      </x:c>
      <x:c r="R128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2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2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2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28" s="28" t="str">
        <x:v>лимон или ваниль</x:v>
      </x:c>
      <x:c r="W128" s="28" t="str">
        <x:v>сенсорная проба в малой дозировке</x:v>
      </x:c>
      <x:c r="X128" s="28" t="str">
        <x:v>универсально</x:v>
      </x:c>
      <x:c r="Y128" s="28" t="str">
        <x:v>Средняя</x:v>
      </x:c>
      <x:c r="Z128" s="28" t="str">
        <x:v>The Art &amp; Science of Foodpairing</x:v>
      </x:c>
      <x:c r="AA128" s="28" t="str">
        <x:v>The Art &amp; Science of Foodpairing: 205</x:v>
      </x:c>
      <x:c r="AB128" s="28" t="str">
        <x:v>Ingredient pairings with Blueberry: Belgian endive)</x:v>
      </x:c>
      <x:c r="AC128" s="28" t="n">
        <x:v>1</x:v>
      </x:c>
      <x:c r="AD128" s="28" t="n">
        <x:v>1</x:v>
      </x:c>
    </x:row>
    <x:row r="129" ht="58" customHeight="1">
      <x:c r="A129" s="28" t="str">
        <x:v>BER-0128</x:v>
      </x:c>
      <x:c r="B129" s="28" t="str">
        <x:v>Универсальные</x:v>
      </x:c>
      <x:c r="C129" s="28" t="str">
        <x:v>голубика</x:v>
      </x:c>
      <x:c r="D129" s="28" t="str">
        <x:v>Blueberry</x:v>
      </x:c>
      <x:c r="E129" s="28" t="str">
        <x:v>Ягоды и производные</x:v>
      </x:c>
      <x:c r="F129" s="28" t="str">
        <x:v>berry</x:v>
      </x:c>
      <x:c r="G129" s="28" t="str">
        <x:v>berry</x:v>
      </x:c>
      <x:c r="H129" s="28" t="str">
        <x:v>Ягоды и производные</x:v>
      </x:c>
      <x:c r="I129" s="28" t="str">
        <x:v>зелёный, фруктовый, цветочный, цитрусовый</x:v>
      </x:c>
      <x:c r="J129" s="28" t="str">
        <x:v>комплексный</x:v>
      </x:c>
      <x:c r="K129" s="28" t="str">
        <x:v>C6-альдегиды, гераниол, линалоол, цитронеллол</x:v>
      </x:c>
      <x:c r="L129" s="28" t="str">
        <x:v>нет надёжной конкретизации</x:v>
      </x:c>
      <x:c r="M129" s="28" t="str">
        <x:v>прямое совпадение семейств не установлено</x:v>
      </x:c>
      <x:c r="N129" s="28" t="str">
        <x:v>не подтверждены; механизм не сводится к одной общей молекуле</x:v>
      </x:c>
      <x:c r="O129" s="28" t="str">
        <x:v>контраст/комплементарность + матричный эффект</x:v>
      </x:c>
      <x:c r="P129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29" s="28" t="str">
        <x:v>Специфического тройничного эффекта обычно нет; кислотность усиливает слюноотделение.</x:v>
      </x:c>
      <x:c r="R129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2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2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2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29" s="28" t="str">
        <x:v>ваниль или роза</x:v>
      </x:c>
      <x:c r="W12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129" s="28" t="str">
        <x:v>напитки; десерты</x:v>
      </x:c>
      <x:c r="Y129" s="28" t="str">
        <x:v>Средняя</x:v>
      </x:c>
      <x:c r="Z129" s="28" t="str">
        <x:v>The Art &amp; Science of Foodpairing</x:v>
      </x:c>
      <x:c r="AA129" s="28" t="str">
        <x:v>The Art &amp; Science of Foodpairing: 204</x:v>
      </x:c>
      <x:c r="AB129" s="28" t="str">
        <x:v>Ingredient pairings with Blueberry: berry</x:v>
      </x:c>
      <x:c r="AC129" s="28" t="n">
        <x:v>1</x:v>
      </x:c>
      <x:c r="AD129" s="28" t="n">
        <x:v>1</x:v>
      </x:c>
    </x:row>
    <x:row r="130" ht="58" customHeight="1">
      <x:c r="A130" s="28" t="str">
        <x:v>BER-0129</x:v>
      </x:c>
      <x:c r="B130" s="28" t="str">
        <x:v>Универсальные</x:v>
      </x:c>
      <x:c r="C130" s="28" t="str">
        <x:v>голубика</x:v>
      </x:c>
      <x:c r="D130" s="28" t="str">
        <x:v>Blueberry</x:v>
      </x:c>
      <x:c r="E130" s="28" t="str">
        <x:v>Ягоды и производные</x:v>
      </x:c>
      <x:c r="F130" s="28" t="str">
        <x:v>berry vinegar</x:v>
      </x:c>
      <x:c r="G130" s="28" t="str">
        <x:v>berry vinegar</x:v>
      </x:c>
      <x:c r="H130" s="28" t="str">
        <x:v>Ягоды и производные</x:v>
      </x:c>
      <x:c r="I130" s="28" t="str">
        <x:v>зелёный, фруктовый, цветочный, цитрусовый</x:v>
      </x:c>
      <x:c r="J130" s="28" t="str">
        <x:v>комплексный</x:v>
      </x:c>
      <x:c r="K130" s="28" t="str">
        <x:v>C6-альдегиды, гераниол, линалоол, цитронеллол</x:v>
      </x:c>
      <x:c r="L130" s="28" t="str">
        <x:v>нет надёжной конкретизации</x:v>
      </x:c>
      <x:c r="M130" s="28" t="str">
        <x:v>прямое совпадение семейств не установлено</x:v>
      </x:c>
      <x:c r="N130" s="28" t="str">
        <x:v>не подтверждены; механизм не сводится к одной общей молекуле</x:v>
      </x:c>
      <x:c r="O130" s="28" t="str">
        <x:v>контраст/комплементарность + матричный эффект</x:v>
      </x:c>
      <x:c r="P130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30" s="28" t="str">
        <x:v>Специфического тройничного эффекта обычно нет; кислотность усиливает слюноотделение.</x:v>
      </x:c>
      <x:c r="R130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3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3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3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30" s="28" t="str">
        <x:v>ваниль или роза</x:v>
      </x:c>
      <x:c r="W13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130" s="28" t="str">
        <x:v>напитки; десерты</x:v>
      </x:c>
      <x:c r="Y130" s="28" t="str">
        <x:v>Средняя</x:v>
      </x:c>
      <x:c r="Z130" s="28" t="str">
        <x:v>The Art &amp; Science of Foodpairing</x:v>
      </x:c>
      <x:c r="AA130" s="28" t="str">
        <x:v>The Art &amp; Science of Foodpairing: 204</x:v>
      </x:c>
      <x:c r="AB130" s="28" t="str">
        <x:v>Ingredient pairings with Blueberry: berry vinegar</x:v>
      </x:c>
      <x:c r="AC130" s="28" t="n">
        <x:v>1</x:v>
      </x:c>
      <x:c r="AD130" s="28" t="n">
        <x:v>1</x:v>
      </x:c>
    </x:row>
    <x:row r="131" ht="58" customHeight="1">
      <x:c r="A131" s="28" t="str">
        <x:v>BER-0130</x:v>
      </x:c>
      <x:c r="B131" s="28" t="str">
        <x:v>Универсальные</x:v>
      </x:c>
      <x:c r="C131" s="28" t="str">
        <x:v>голубика</x:v>
      </x:c>
      <x:c r="D131" s="28" t="str">
        <x:v>Blueberry</x:v>
      </x:c>
      <x:c r="E131" s="28" t="str">
        <x:v>Ягоды и производные</x:v>
      </x:c>
      <x:c r="F131" s="28" t="str">
        <x:v>black-eyed peas) cro</x:v>
      </x:c>
      <x:c r="G131" s="28" t="str">
        <x:v>black-eyed peas) cro</x:v>
      </x:c>
      <x:c r="H131" s="28" t="str">
        <x:v>Прочее</x:v>
      </x:c>
      <x:c r="I131" s="28" t="str">
        <x:v>зелёный, фруктовый, цветочный, цитрусовый</x:v>
      </x:c>
      <x:c r="J131" s="28" t="str">
        <x:v>комплексный</x:v>
      </x:c>
      <x:c r="K131" s="28" t="str">
        <x:v>C6-альдегиды, гераниол, линалоол, цитронеллол</x:v>
      </x:c>
      <x:c r="L131" s="28" t="str">
        <x:v>нет надёжной конкретизации</x:v>
      </x:c>
      <x:c r="M131" s="28" t="str">
        <x:v>прямое совпадение семейств не установлено</x:v>
      </x:c>
      <x:c r="N131" s="28" t="str">
        <x:v>не подтверждены; механизм не сводится к одной общей молекуле</x:v>
      </x:c>
      <x:c r="O131" s="28" t="str">
        <x:v>контраст/комплементарность + матричный эффект</x:v>
      </x:c>
      <x:c r="P131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31" s="28" t="str">
        <x:v>Специфического тройничного эффекта обычно нет; кислотность усиливает слюноотделение.</x:v>
      </x:c>
      <x:c r="R131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3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3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3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31" s="28" t="str">
        <x:v>лимон или ваниль</x:v>
      </x:c>
      <x:c r="W131" s="28" t="str">
        <x:v>сенсорная проба в малой дозировке</x:v>
      </x:c>
      <x:c r="X131" s="28" t="str">
        <x:v>универсально</x:v>
      </x:c>
      <x:c r="Y131" s="28" t="str">
        <x:v>Средняя</x:v>
      </x:c>
      <x:c r="Z131" s="28" t="str">
        <x:v>The Art &amp; Science of Foodpairing</x:v>
      </x:c>
      <x:c r="AA131" s="28" t="str">
        <x:v>The Art &amp; Science of Foodpairing: 204</x:v>
      </x:c>
      <x:c r="AB131" s="28" t="str">
        <x:v>Ingredient pairings with Blueberry: black-eyed peas) cro</x:v>
      </x:c>
      <x:c r="AC131" s="28" t="n">
        <x:v>1</x:v>
      </x:c>
      <x:c r="AD131" s="28" t="n">
        <x:v>1</x:v>
      </x:c>
    </x:row>
    <x:row r="132" ht="58" customHeight="1">
      <x:c r="A132" s="28" t="str">
        <x:v>BER-0131</x:v>
      </x:c>
      <x:c r="B132" s="28" t="str">
        <x:v>Напитки</x:v>
      </x:c>
      <x:c r="C132" s="28" t="str">
        <x:v>голубика</x:v>
      </x:c>
      <x:c r="D132" s="28" t="str">
        <x:v>Blueberry</x:v>
      </x:c>
      <x:c r="E132" s="28" t="str">
        <x:v>Ягоды и производные</x:v>
      </x:c>
      <x:c r="F132" s="28" t="str">
        <x:v>black tea gri</x:v>
      </x:c>
      <x:c r="G132" s="28" t="str">
        <x:v>black tea gri</x:v>
      </x:c>
      <x:c r="H132" s="28" t="str">
        <x:v>Чай и безалкогольные напитки</x:v>
      </x:c>
      <x:c r="I132" s="28" t="str">
        <x:v>зелёный, фруктовый, цветочный, цитрусовый</x:v>
      </x:c>
      <x:c r="J132" s="28" t="str">
        <x:v>терпкий, травянистый, цветочный</x:v>
      </x:c>
      <x:c r="K132" s="28" t="str">
        <x:v>C6-альдегиды, гераниол, линалоол, цитронеллол</x:v>
      </x:c>
      <x:c r="L132" s="28" t="str">
        <x:v>гераниол, линалоол, полифенолы</x:v>
      </x:c>
      <x:c r="M132" s="28" t="str">
        <x:v>цветочный</x:v>
      </x:c>
      <x:c r="N132" s="28" t="str">
        <x:v>гераниол, линалоол</x:v>
      </x:c>
      <x:c r="O132" s="28" t="str">
        <x:v>ароматическое сходство + вкусовой баланс</x:v>
      </x:c>
      <x:c r="P132" s="28" t="str">
        <x:v>Оба компонента формируют сладко-кислый, мягкий и горьковатый, терпкий контур; сахар, кислота и горечь должны быть выровнены дегустацией.</x:v>
      </x:c>
      <x:c r="Q132" s="28" t="str">
        <x:v>Специфического тройничного эффекта обычно нет; кислотность усиливает слюноотделение.</x:v>
      </x:c>
      <x:c r="R132" s="28" t="str">
        <x:v>Ягода: нежный аромат легко теряется на фоне сильной сладости. Партнёр: водная матрица; температура определяет экстракцию. В воде аромат раскрывается быстрее, в жире и этаноле — дольше удерживается.</x:v>
      </x:c>
      <x:c r="S13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32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терпкий, травянистый, цветочный. Оба компонента формируют сладко-кислый, мягкий и горьковатый, терпкий контур; сахар, кислота и горечь должны быть выровнены дегустацией. Ягода: нежный аромат легко теряется на фоне сильной сладости. Партнёр: водная матрица; температура определяет экстракцию.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3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32" s="28" t="str">
        <x:v>мёд или лимон</x:v>
      </x:c>
      <x:c r="W132" s="28" t="str">
        <x:v>кордиал, лимонад, чай, коктейль, настой или ферментированный напиток</x:v>
      </x:c>
      <x:c r="X132" s="28" t="str">
        <x:v>напитки</x:v>
      </x:c>
      <x:c r="Y132" s="28" t="str">
        <x:v>Средняя</x:v>
      </x:c>
      <x:c r="Z132" s="28" t="str">
        <x:v>The Art &amp; Science of Foodpairing</x:v>
      </x:c>
      <x:c r="AA132" s="28" t="str">
        <x:v>The Art &amp; Science of Foodpairing: 204</x:v>
      </x:c>
      <x:c r="AB132" s="28" t="str">
        <x:v>Ingredient pairings with Blueberry: black tea gri</x:v>
      </x:c>
      <x:c r="AC132" s="28" t="n">
        <x:v>1</x:v>
      </x:c>
      <x:c r="AD132" s="28" t="n">
        <x:v>1</x:v>
      </x:c>
    </x:row>
    <x:row r="133" ht="58" customHeight="1">
      <x:c r="A133" s="28" t="str">
        <x:v>BER-0132</x:v>
      </x:c>
      <x:c r="B133" s="28" t="str">
        <x:v>Напитки</x:v>
      </x:c>
      <x:c r="C133" s="28" t="str">
        <x:v>голубика</x:v>
      </x:c>
      <x:c r="D133" s="28" t="str">
        <x:v>Blueberry</x:v>
      </x:c>
      <x:c r="E133" s="28" t="str">
        <x:v>Ягоды и производные</x:v>
      </x:c>
      <x:c r="F133" s="28" t="str">
        <x:v>blood orange</x:v>
      </x:c>
      <x:c r="G133" s="28" t="str">
        <x:v>blood orange</x:v>
      </x:c>
      <x:c r="H133" s="28" t="str">
        <x:v>Цитрусовые</x:v>
      </x:c>
      <x:c r="I133" s="28" t="str">
        <x:v>зелёный, фруктовый, цветочный, цитрусовый</x:v>
      </x:c>
      <x:c r="J133" s="28" t="str">
        <x:v>зелёный, цветочный, цитрусовый</x:v>
      </x:c>
      <x:c r="K133" s="28" t="str">
        <x:v>C6-альдегиды, гераниол, линалоол, цитронеллол</x:v>
      </x:c>
      <x:c r="L133" s="28" t="str">
        <x:v>лимонен, линалоол, цитраль</x:v>
      </x:c>
      <x:c r="M133" s="28" t="str">
        <x:v>зелёный, цветочный, цитрусовый</x:v>
      </x:c>
      <x:c r="N133" s="28" t="str">
        <x:v>линалоол</x:v>
      </x:c>
      <x:c r="O133" s="28" t="str">
        <x:v>ароматическое сходство + вкусовой баланс</x:v>
      </x:c>
      <x:c r="P133" s="28" t="str">
        <x:v>Оба компонента формируют сладко-кислый, мягкий и кислый, свежий контур; сахар, кислота и горечь должны быть выровнены дегустацией.</x:v>
      </x:c>
      <x:c r="Q133" s="28" t="str">
        <x:v>Специфического тройничного эффекта обычно нет; кислотность усиливает слюноотделение.</x:v>
      </x:c>
      <x:c r="R133" s="28" t="str">
        <x:v>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</x:v>
      </x:c>
      <x:c r="S13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33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3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33" s="28" t="str">
        <x:v>мёд или базилик</x:v>
      </x:c>
      <x:c r="W133" s="28" t="str">
        <x:v>кордиал, лимонад, чай, коктейль, настой или ферментированный напиток; маринад, гастрик, чатни, кетчуп или редукция</x:v>
      </x:c>
      <x:c r="X133" s="28" t="str">
        <x:v>напитки; соусы/маринады</x:v>
      </x:c>
      <x:c r="Y133" s="28" t="str">
        <x:v>Средняя</x:v>
      </x:c>
      <x:c r="Z133" s="28" t="str">
        <x:v>The Art &amp; Science of Foodpairing</x:v>
      </x:c>
      <x:c r="AA133" s="28" t="str">
        <x:v>The Art &amp; Science of Foodpairing: 204</x:v>
      </x:c>
      <x:c r="AB133" s="28" t="str">
        <x:v>Ingredient pairings with Blueberry: blood orange</x:v>
      </x:c>
      <x:c r="AC133" s="28" t="n">
        <x:v>1</x:v>
      </x:c>
      <x:c r="AD133" s="28" t="n">
        <x:v>1</x:v>
      </x:c>
    </x:row>
    <x:row r="134" ht="58" customHeight="1">
      <x:c r="A134" s="28" t="str">
        <x:v>BER-0133</x:v>
      </x:c>
      <x:c r="B134" s="28" t="str">
        <x:v>Универсальные</x:v>
      </x:c>
      <x:c r="C134" s="28" t="str">
        <x:v>голубика</x:v>
      </x:c>
      <x:c r="D134" s="28" t="str">
        <x:v>Blueberry</x:v>
      </x:c>
      <x:c r="E134" s="28" t="str">
        <x:v>Ягоды и производные</x:v>
      </x:c>
      <x:c r="F134" s="28" t="str">
        <x:v>borage</x:v>
      </x:c>
      <x:c r="G134" s="28" t="str">
        <x:v>borage</x:v>
      </x:c>
      <x:c r="H134" s="28" t="str">
        <x:v>Прочее</x:v>
      </x:c>
      <x:c r="I134" s="28" t="str">
        <x:v>зелёный, фруктовый, цветочный, цитрусовый</x:v>
      </x:c>
      <x:c r="J134" s="28" t="str">
        <x:v>комплексный</x:v>
      </x:c>
      <x:c r="K134" s="28" t="str">
        <x:v>C6-альдегиды, гераниол, линалоол, цитронеллол</x:v>
      </x:c>
      <x:c r="L134" s="28" t="str">
        <x:v>нет надёжной конкретизации</x:v>
      </x:c>
      <x:c r="M134" s="28" t="str">
        <x:v>прямое совпадение семейств не установлено</x:v>
      </x:c>
      <x:c r="N134" s="28" t="str">
        <x:v>не подтверждены; механизм не сводится к одной общей молекуле</x:v>
      </x:c>
      <x:c r="O134" s="28" t="str">
        <x:v>контраст/комплементарность + матричный эффект</x:v>
      </x:c>
      <x:c r="P134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34" s="28" t="str">
        <x:v>Специфического тройничного эффекта обычно нет; кислотность усиливает слюноотделение.</x:v>
      </x:c>
      <x:c r="R134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3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3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3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34" s="28" t="str">
        <x:v>лимон или ваниль</x:v>
      </x:c>
      <x:c r="W134" s="28" t="str">
        <x:v>сенсорная проба в малой дозировке</x:v>
      </x:c>
      <x:c r="X134" s="28" t="str">
        <x:v>универсально</x:v>
      </x:c>
      <x:c r="Y134" s="28" t="str">
        <x:v>Средняя</x:v>
      </x:c>
      <x:c r="Z134" s="28" t="str">
        <x:v>The Art &amp; Science of Foodpairing</x:v>
      </x:c>
      <x:c r="AA134" s="28" t="str">
        <x:v>The Art &amp; Science of Foodpairing: 205</x:v>
      </x:c>
      <x:c r="AB134" s="28" t="str">
        <x:v>Ingredient pairings with Blueberry: borage</x:v>
      </x:c>
      <x:c r="AC134" s="28" t="n">
        <x:v>1</x:v>
      </x:c>
      <x:c r="AD134" s="28" t="n">
        <x:v>1</x:v>
      </x:c>
    </x:row>
    <x:row r="135" ht="58" customHeight="1">
      <x:c r="A135" s="28" t="str">
        <x:v>BER-0134</x:v>
      </x:c>
      <x:c r="B135" s="28" t="str">
        <x:v>Десерты и выпечка</x:v>
      </x:c>
      <x:c r="C135" s="28" t="str">
        <x:v>голубика</x:v>
      </x:c>
      <x:c r="D135" s="28" t="str">
        <x:v>Blueberry</x:v>
      </x:c>
      <x:c r="E135" s="28" t="str">
        <x:v>Ягоды и производные</x:v>
      </x:c>
      <x:c r="F135" s="28" t="str">
        <x:v>brioche kiw</x:v>
      </x:c>
      <x:c r="G135" s="28" t="str">
        <x:v>brioche kiw</x:v>
      </x:c>
      <x:c r="H135" s="28" t="str">
        <x:v>Злаки и выпечка</x:v>
      </x:c>
      <x:c r="I135" s="28" t="str">
        <x:v>зелёный, фруктовый, цветочный, цитрусовый</x:v>
      </x:c>
      <x:c r="J135" s="28" t="str">
        <x:v>жареный, зерновой, солодовый</x:v>
      </x:c>
      <x:c r="K135" s="28" t="str">
        <x:v>C6-альдегиды, гераниол, линалоол, цитронеллол</x:v>
      </x:c>
      <x:c r="L135" s="28" t="str">
        <x:v>мальтол, пиразины, фураны</x:v>
      </x:c>
      <x:c r="M135" s="28" t="str">
        <x:v>прямое совпадение семейств не установлено</x:v>
      </x:c>
      <x:c r="N135" s="28" t="str">
        <x:v>не подтверждены; механизм не сводится к одной общей молекуле</x:v>
      </x:c>
      <x:c r="O135" s="28" t="str">
        <x:v>контраст/комплементарность + матричный эффект</x:v>
      </x:c>
      <x:c r="P135" s="28" t="str">
        <x:v>Оба компонента формируют сладко-кислый, мягкий и крахмалистый, сладковатый контур; сахар, кислота и горечь должны быть выровнены дегустацией.</x:v>
      </x:c>
      <x:c r="Q135" s="28" t="str">
        <x:v>Специфического тройничного эффекта обычно нет; кислотность усиливает слюноотделение.</x:v>
      </x:c>
      <x:c r="R135" s="28" t="str">
        <x:v>Ягода: нежный аромат легко теряется на фоне сильной сладости. Партнёр: крахмал и сухая пористая матрица. В воде аромат раскрывается быстрее, в жире и этаноле — дольше удерживается.</x:v>
      </x:c>
      <x:c r="S13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3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зерновой, солодовый. Оба компонента формируют сладко-кислый, мягкий и крахмалистый, сладковатый контур; сахар, кислота и горечь должны быть выровнены дегустацией. Ягода: нежный аромат легко теряется на фоне сильной сладости. Партнёр: крахмал и сухая пористая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3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35" s="28" t="str">
        <x:v>сливки или орехи</x:v>
      </x:c>
      <x:c r="W135" s="28" t="str">
        <x:v>сорбет, крем, ганаш, выпечка, джем или соус для десерта</x:v>
      </x:c>
      <x:c r="X135" s="28" t="str">
        <x:v>десерты</x:v>
      </x:c>
      <x:c r="Y135" s="28" t="str">
        <x:v>Средняя</x:v>
      </x:c>
      <x:c r="Z135" s="28" t="str">
        <x:v>The Art &amp; Science of Foodpairing</x:v>
      </x:c>
      <x:c r="AA135" s="28" t="str">
        <x:v>The Art &amp; Science of Foodpairing: 204</x:v>
      </x:c>
      <x:c r="AB135" s="28" t="str">
        <x:v>Ingredient pairings with Blueberry: brioche kiw</x:v>
      </x:c>
      <x:c r="AC135" s="28" t="n">
        <x:v>1</x:v>
      </x:c>
      <x:c r="AD135" s="28" t="n">
        <x:v>1</x:v>
      </x:c>
    </x:row>
    <x:row r="136" ht="58" customHeight="1">
      <x:c r="A136" s="28" t="str">
        <x:v>BER-0135</x:v>
      </x:c>
      <x:c r="B136" s="28" t="str">
        <x:v>Универсальные</x:v>
      </x:c>
      <x:c r="C136" s="28" t="str">
        <x:v>голубика</x:v>
      </x:c>
      <x:c r="D136" s="28" t="str">
        <x:v>Blueberry</x:v>
      </x:c>
      <x:c r="E136" s="28" t="str">
        <x:v>Ягоды и производные</x:v>
      </x:c>
      <x:c r="F136" s="28" t="str">
        <x:v>calendula flower</x:v>
      </x:c>
      <x:c r="G136" s="28" t="str">
        <x:v>calendula flower</x:v>
      </x:c>
      <x:c r="H136" s="28" t="str">
        <x:v>Травы и цветы</x:v>
      </x:c>
      <x:c r="I136" s="28" t="str">
        <x:v>зелёный, фруктовый, цветочный, цитрусовый</x:v>
      </x:c>
      <x:c r="J136" s="28" t="str">
        <x:v>зелёный, травянистый, цветочный</x:v>
      </x:c>
      <x:c r="K136" s="28" t="str">
        <x:v>C6-альдегиды, гераниол, линалоол, цитронеллол</x:v>
      </x:c>
      <x:c r="L136" s="28" t="str">
        <x:v>гераниол, линалоол, терпены, эвгенол</x:v>
      </x:c>
      <x:c r="M136" s="28" t="str">
        <x:v>зелёный, цветочный</x:v>
      </x:c>
      <x:c r="N136" s="28" t="str">
        <x:v>гераниол, линалоол</x:v>
      </x:c>
      <x:c r="O136" s="28" t="str">
        <x:v>ароматическое сходство + вкусовой баланс</x:v>
      </x:c>
      <x:c r="P136" s="28" t="str">
        <x:v>Ягодная сладость смягчает горечь и пряность, а кислотность делает горьковатый, свежий профиль ярче.</x:v>
      </x:c>
      <x:c r="Q136" s="28" t="str">
        <x:v>Специфического тройничного эффекта обычно нет; кислотность усиливает слюноотделение.</x:v>
      </x:c>
      <x:c r="R136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13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36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3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36" s="28" t="str">
        <x:v>лимон или мёд</x:v>
      </x:c>
      <x:c r="W13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136" s="28" t="str">
        <x:v>напитки; еда; соусы/маринады</x:v>
      </x:c>
      <x:c r="Y136" s="28" t="str">
        <x:v>Средняя</x:v>
      </x:c>
      <x:c r="Z136" s="28" t="str">
        <x:v>The Art &amp; Science of Foodpairing</x:v>
      </x:c>
      <x:c r="AA136" s="28" t="str">
        <x:v>The Art &amp; Science of Foodpairing: 205</x:v>
      </x:c>
      <x:c r="AB136" s="28" t="str">
        <x:v>Ingredient pairings with Blueberry: calendula flower</x:v>
      </x:c>
      <x:c r="AC136" s="28" t="n">
        <x:v>1</x:v>
      </x:c>
      <x:c r="AD136" s="28" t="n">
        <x:v>1</x:v>
      </x:c>
    </x:row>
    <x:row r="137" ht="58" customHeight="1">
      <x:c r="A137" s="28" t="str">
        <x:v>BER-0136</x:v>
      </x:c>
      <x:c r="B137" s="28" t="str">
        <x:v>Универсальные</x:v>
      </x:c>
      <x:c r="C137" s="28" t="str">
        <x:v>голубика</x:v>
      </x:c>
      <x:c r="D137" s="28" t="str">
        <x:v>Blueberry</x:v>
      </x:c>
      <x:c r="E137" s="28" t="str">
        <x:v>Ягоды и производные</x:v>
      </x:c>
      <x:c r="F137" s="28" t="str">
        <x:v>catay (Peruvian black mint)</x:v>
      </x:c>
      <x:c r="G137" s="28" t="str">
        <x:v>catay (Peruvian black mint)</x:v>
      </x:c>
      <x:c r="H137" s="28" t="str">
        <x:v>Прочее</x:v>
      </x:c>
      <x:c r="I137" s="28" t="str">
        <x:v>зелёный, фруктовый, цветочный, цитрусовый</x:v>
      </x:c>
      <x:c r="J137" s="28" t="str">
        <x:v>комплексный</x:v>
      </x:c>
      <x:c r="K137" s="28" t="str">
        <x:v>C6-альдегиды, гераниол, линалоол, цитронеллол</x:v>
      </x:c>
      <x:c r="L137" s="28" t="str">
        <x:v>нет надёжной конкретизации</x:v>
      </x:c>
      <x:c r="M137" s="28" t="str">
        <x:v>прямое совпадение семейств не установлено</x:v>
      </x:c>
      <x:c r="N137" s="28" t="str">
        <x:v>не подтверждены; механизм не сводится к одной общей молекуле</x:v>
      </x:c>
      <x:c r="O137" s="28" t="str">
        <x:v>контраст/комплементарность + матричный эффект</x:v>
      </x:c>
      <x:c r="P137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37" s="28" t="str">
        <x:v>Специфического тройничного эффекта обычно нет; кислотность усиливает слюноотделение.</x:v>
      </x:c>
      <x:c r="R137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3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3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3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37" s="28" t="str">
        <x:v>лимон или ваниль</x:v>
      </x:c>
      <x:c r="W137" s="28" t="str">
        <x:v>сенсорная проба в малой дозировке</x:v>
      </x:c>
      <x:c r="X137" s="28" t="str">
        <x:v>универсально</x:v>
      </x:c>
      <x:c r="Y137" s="28" t="str">
        <x:v>Средняя</x:v>
      </x:c>
      <x:c r="Z137" s="28" t="str">
        <x:v>The Art &amp; Science of Foodpairing</x:v>
      </x:c>
      <x:c r="AA137" s="28" t="str">
        <x:v>The Art &amp; Science of Foodpairing: 204</x:v>
      </x:c>
      <x:c r="AB137" s="28" t="str">
        <x:v>Ingredient pairings with Blueberry: catay (Peruvian black mint)</x:v>
      </x:c>
      <x:c r="AC137" s="28" t="n">
        <x:v>1</x:v>
      </x:c>
      <x:c r="AD137" s="28" t="n">
        <x:v>1</x:v>
      </x:c>
    </x:row>
    <x:row r="138" ht="58" customHeight="1">
      <x:c r="A138" s="28" t="str">
        <x:v>BER-0137</x:v>
      </x:c>
      <x:c r="B138" s="28" t="str">
        <x:v>Универсальные</x:v>
      </x:c>
      <x:c r="C138" s="28" t="str">
        <x:v>голубика</x:v>
      </x:c>
      <x:c r="D138" s="28" t="str">
        <x:v>Blueberry</x:v>
      </x:c>
      <x:c r="E138" s="28" t="str">
        <x:v>Ягоды и производные</x:v>
      </x:c>
      <x:c r="F138" s="28" t="str">
        <x:v>chicory</x:v>
      </x:c>
      <x:c r="G138" s="28" t="str">
        <x:v>chicory</x:v>
      </x:c>
      <x:c r="H138" s="28" t="str">
        <x:v>Прочее</x:v>
      </x:c>
      <x:c r="I138" s="28" t="str">
        <x:v>зелёный, фруктовый, цветочный, цитрусовый</x:v>
      </x:c>
      <x:c r="J138" s="28" t="str">
        <x:v>комплексный</x:v>
      </x:c>
      <x:c r="K138" s="28" t="str">
        <x:v>C6-альдегиды, гераниол, линалоол, цитронеллол</x:v>
      </x:c>
      <x:c r="L138" s="28" t="str">
        <x:v>нет надёжной конкретизации</x:v>
      </x:c>
      <x:c r="M138" s="28" t="str">
        <x:v>прямое совпадение семейств не установлено</x:v>
      </x:c>
      <x:c r="N138" s="28" t="str">
        <x:v>не подтверждены; механизм не сводится к одной общей молекуле</x:v>
      </x:c>
      <x:c r="O138" s="28" t="str">
        <x:v>контраст/комплементарность + матричный эффект</x:v>
      </x:c>
      <x:c r="P138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38" s="28" t="str">
        <x:v>Специфического тройничного эффекта обычно нет; кислотность усиливает слюноотделение.</x:v>
      </x:c>
      <x:c r="R138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3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3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3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38" s="28" t="str">
        <x:v>лимон или ваниль</x:v>
      </x:c>
      <x:c r="W138" s="28" t="str">
        <x:v>сенсорная проба в малой дозировке</x:v>
      </x:c>
      <x:c r="X138" s="28" t="str">
        <x:v>универсально</x:v>
      </x:c>
      <x:c r="Y138" s="28" t="str">
        <x:v>Средняя</x:v>
      </x:c>
      <x:c r="Z138" s="28" t="str">
        <x:v>The Art &amp; Science of Foodpairing</x:v>
      </x:c>
      <x:c r="AA138" s="28" t="str">
        <x:v>The Art &amp; Science of Foodpairing: 205</x:v>
      </x:c>
      <x:c r="AB138" s="28" t="str">
        <x:v>Ingredient pairings with Blueberry: chicory</x:v>
      </x:c>
      <x:c r="AC138" s="28" t="n">
        <x:v>1</x:v>
      </x:c>
      <x:c r="AD138" s="28" t="n">
        <x:v>1</x:v>
      </x:c>
    </x:row>
    <x:row r="139" ht="58" customHeight="1">
      <x:c r="A139" s="28" t="str">
        <x:v>BER-0138</x:v>
      </x:c>
      <x:c r="B139" s="28" t="str">
        <x:v>Универсальные</x:v>
      </x:c>
      <x:c r="C139" s="28" t="str">
        <x:v>голубика</x:v>
      </x:c>
      <x:c r="D139" s="28" t="str">
        <x:v>Blueberry</x:v>
      </x:c>
      <x:c r="E139" s="28" t="str">
        <x:v>Ягоды и производные</x:v>
      </x:c>
      <x:c r="F139" s="28" t="str">
        <x:v>d eucalyptus leaves</x:v>
      </x:c>
      <x:c r="G139" s="28" t="str">
        <x:v>d eucalyptus leaves</x:v>
      </x:c>
      <x:c r="H139" s="28" t="str">
        <x:v>Прочее</x:v>
      </x:c>
      <x:c r="I139" s="28" t="str">
        <x:v>зелёный, фруктовый, цветочный, цитрусовый</x:v>
      </x:c>
      <x:c r="J139" s="28" t="str">
        <x:v>комплексный</x:v>
      </x:c>
      <x:c r="K139" s="28" t="str">
        <x:v>C6-альдегиды, гераниол, линалоол, цитронеллол</x:v>
      </x:c>
      <x:c r="L139" s="28" t="str">
        <x:v>нет надёжной конкретизации</x:v>
      </x:c>
      <x:c r="M139" s="28" t="str">
        <x:v>прямое совпадение семейств не установлено</x:v>
      </x:c>
      <x:c r="N139" s="28" t="str">
        <x:v>не подтверждены; механизм не сводится к одной общей молекуле</x:v>
      </x:c>
      <x:c r="O139" s="28" t="str">
        <x:v>контраст/комплементарность + матричный эффект</x:v>
      </x:c>
      <x:c r="P139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39" s="28" t="str">
        <x:v>Специфического тройничного эффекта обычно нет; кислотность усиливает слюноотделение.</x:v>
      </x:c>
      <x:c r="R139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3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3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3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39" s="28" t="str">
        <x:v>лимон или ваниль</x:v>
      </x:c>
      <x:c r="W139" s="28" t="str">
        <x:v>сенсорная проба в малой дозировке</x:v>
      </x:c>
      <x:c r="X139" s="28" t="str">
        <x:v>универсально</x:v>
      </x:c>
      <x:c r="Y139" s="28" t="str">
        <x:v>Средняя</x:v>
      </x:c>
      <x:c r="Z139" s="28" t="str">
        <x:v>The Art &amp; Science of Foodpairing</x:v>
      </x:c>
      <x:c r="AA139" s="28" t="str">
        <x:v>The Art &amp; Science of Foodpairing: 204</x:v>
      </x:c>
      <x:c r="AB139" s="28" t="str">
        <x:v>Ingredient pairings with Blueberry: d eucalyptus leaves</x:v>
      </x:c>
      <x:c r="AC139" s="28" t="n">
        <x:v>1</x:v>
      </x:c>
      <x:c r="AD139" s="28" t="n">
        <x:v>1</x:v>
      </x:c>
    </x:row>
    <x:row r="140" ht="58" customHeight="1">
      <x:c r="A140" s="28" t="str">
        <x:v>BER-0139</x:v>
      </x:c>
      <x:c r="B140" s="28" t="str">
        <x:v>Универсальные</x:v>
      </x:c>
      <x:c r="C140" s="28" t="str">
        <x:v>голубика</x:v>
      </x:c>
      <x:c r="D140" s="28" t="str">
        <x:v>Blueberry</x:v>
      </x:c>
      <x:c r="E140" s="28" t="str">
        <x:v>Ягоды и производные</x:v>
      </x:c>
      <x:c r="F140" s="28" t="str">
        <x:v>darin peel</x:v>
      </x:c>
      <x:c r="G140" s="28" t="str">
        <x:v>darin peel</x:v>
      </x:c>
      <x:c r="H140" s="28" t="str">
        <x:v>Прочее</x:v>
      </x:c>
      <x:c r="I140" s="28" t="str">
        <x:v>зелёный, фруктовый, цветочный, цитрусовый</x:v>
      </x:c>
      <x:c r="J140" s="28" t="str">
        <x:v>комплексный</x:v>
      </x:c>
      <x:c r="K140" s="28" t="str">
        <x:v>C6-альдегиды, гераниол, линалоол, цитронеллол</x:v>
      </x:c>
      <x:c r="L140" s="28" t="str">
        <x:v>нет надёжной конкретизации</x:v>
      </x:c>
      <x:c r="M140" s="28" t="str">
        <x:v>прямое совпадение семейств не установлено</x:v>
      </x:c>
      <x:c r="N140" s="28" t="str">
        <x:v>не подтверждены; механизм не сводится к одной общей молекуле</x:v>
      </x:c>
      <x:c r="O140" s="28" t="str">
        <x:v>контраст/комплементарность + матричный эффект</x:v>
      </x:c>
      <x:c r="P140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40" s="28" t="str">
        <x:v>Специфического тройничного эффекта обычно нет; кислотность усиливает слюноотделение.</x:v>
      </x:c>
      <x:c r="R140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4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4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4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40" s="28" t="str">
        <x:v>лимон или ваниль</x:v>
      </x:c>
      <x:c r="W140" s="28" t="str">
        <x:v>сенсорная проба в малой дозировке</x:v>
      </x:c>
      <x:c r="X140" s="28" t="str">
        <x:v>универсально</x:v>
      </x:c>
      <x:c r="Y140" s="28" t="str">
        <x:v>Средняя</x:v>
      </x:c>
      <x:c r="Z140" s="28" t="str">
        <x:v>The Art &amp; Science of Foodpairing</x:v>
      </x:c>
      <x:c r="AA140" s="28" t="str">
        <x:v>The Art &amp; Science of Foodpairing: 204</x:v>
      </x:c>
      <x:c r="AB140" s="28" t="str">
        <x:v>Ingredient pairings with Blueberry: darin peel</x:v>
      </x:c>
      <x:c r="AC140" s="28" t="n">
        <x:v>1</x:v>
      </x:c>
      <x:c r="AD140" s="28" t="n">
        <x:v>1</x:v>
      </x:c>
    </x:row>
    <x:row r="141" ht="58" customHeight="1">
      <x:c r="A141" s="28" t="str">
        <x:v>BER-0140</x:v>
      </x:c>
      <x:c r="B141" s="28" t="str">
        <x:v>Десерты и выпечка</x:v>
      </x:c>
      <x:c r="C141" s="28" t="str">
        <x:v>голубика</x:v>
      </x:c>
      <x:c r="D141" s="28" t="str">
        <x:v>Blueberry</x:v>
      </x:c>
      <x:c r="E141" s="28" t="str">
        <x:v>Ягоды и производные</x:v>
      </x:c>
      <x:c r="F141" s="28" t="str">
        <x:v>dark chocolate log</x:v>
      </x:c>
      <x:c r="G141" s="28" t="str">
        <x:v>dark chocolate log</x:v>
      </x:c>
      <x:c r="H141" s="28" t="str">
        <x:v>Шоколад, кофе и жареные продукты</x:v>
      </x:c>
      <x:c r="I141" s="28" t="str">
        <x:v>зелёный, фруктовый, цветочный, цитрусовый</x:v>
      </x:c>
      <x:c r="J141" s="28" t="str">
        <x:v>горький, жареный, карамельный, ореховый</x:v>
      </x:c>
      <x:c r="K141" s="28" t="str">
        <x:v>C6-альдегиды, гераниол, линалоол, цитронеллол</x:v>
      </x:c>
      <x:c r="L141" s="28" t="str">
        <x:v>ванилин, пиразины, фураны</x:v>
      </x:c>
      <x:c r="M141" s="28" t="str">
        <x:v>прямое совпадение семейств не установлено</x:v>
      </x:c>
      <x:c r="N141" s="28" t="str">
        <x:v>не подтверждены; механизм не сводится к одной общей молекуле</x:v>
      </x:c>
      <x:c r="O141" s="28" t="str">
        <x:v>контраст/комплементарность + матричный эффект</x:v>
      </x:c>
      <x:c r="P141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141" s="28" t="str">
        <x:v>Специфического тройничного эффекта обычно нет; кислотность усиливает слюноотделение.</x:v>
      </x:c>
      <x:c r="R141" s="28" t="str">
        <x:v>Жировая фаза удерживает гидрофобные одоранты и продлевает послевкусие; кислотность ягод повышает слюноотделение.</x:v>
      </x:c>
      <x:c r="S14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4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4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41" s="28" t="str">
        <x:v>ваниль или орехи</x:v>
      </x:c>
      <x:c r="W141" s="28" t="str">
        <x:v>сорбет, крем, ганаш, выпечка, джем или соус для десерта</x:v>
      </x:c>
      <x:c r="X141" s="28" t="str">
        <x:v>десерты</x:v>
      </x:c>
      <x:c r="Y141" s="28" t="str">
        <x:v>Средняя</x:v>
      </x:c>
      <x:c r="Z141" s="28" t="str">
        <x:v>The Art &amp; Science of Foodpairing</x:v>
      </x:c>
      <x:c r="AA141" s="28" t="str">
        <x:v>The Art &amp; Science of Foodpairing: 204</x:v>
      </x:c>
      <x:c r="AB141" s="28" t="str">
        <x:v>Ingredient pairings with Blueberry: dark chocolate log</x:v>
      </x:c>
      <x:c r="AC141" s="28" t="n">
        <x:v>1</x:v>
      </x:c>
      <x:c r="AD141" s="28" t="n">
        <x:v>1</x:v>
      </x:c>
    </x:row>
    <x:row r="142" ht="58" customHeight="1">
      <x:c r="A142" s="28" t="str">
        <x:v>BER-0141</x:v>
      </x:c>
      <x:c r="B142" s="28" t="str">
        <x:v>Универсальные</x:v>
      </x:c>
      <x:c r="C142" s="28" t="str">
        <x:v>голубика</x:v>
      </x:c>
      <x:c r="D142" s="28" t="str">
        <x:v>Blueberry</x:v>
      </x:c>
      <x:c r="E142" s="28" t="str">
        <x:v>Ягоды и производные</x:v>
      </x:c>
      <x:c r="F142" s="28" t="str">
        <x:v>ed caraway leaves</x:v>
      </x:c>
      <x:c r="G142" s="28" t="str">
        <x:v>ed caraway leaves</x:v>
      </x:c>
      <x:c r="H142" s="28" t="str">
        <x:v>Прочее</x:v>
      </x:c>
      <x:c r="I142" s="28" t="str">
        <x:v>зелёный, фруктовый, цветочный, цитрусовый</x:v>
      </x:c>
      <x:c r="J142" s="28" t="str">
        <x:v>комплексный</x:v>
      </x:c>
      <x:c r="K142" s="28" t="str">
        <x:v>C6-альдегиды, гераниол, линалоол, цитронеллол</x:v>
      </x:c>
      <x:c r="L142" s="28" t="str">
        <x:v>нет надёжной конкретизации</x:v>
      </x:c>
      <x:c r="M142" s="28" t="str">
        <x:v>прямое совпадение семейств не установлено</x:v>
      </x:c>
      <x:c r="N142" s="28" t="str">
        <x:v>не подтверждены; механизм не сводится к одной общей молекуле</x:v>
      </x:c>
      <x:c r="O142" s="28" t="str">
        <x:v>контраст/комплементарность + матричный эффект</x:v>
      </x:c>
      <x:c r="P142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42" s="28" t="str">
        <x:v>Специфического тройничного эффекта обычно нет; кислотность усиливает слюноотделение.</x:v>
      </x:c>
      <x:c r="R142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4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4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4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42" s="28" t="str">
        <x:v>лимон или ваниль</x:v>
      </x:c>
      <x:c r="W142" s="28" t="str">
        <x:v>сенсорная проба в малой дозировке</x:v>
      </x:c>
      <x:c r="X142" s="28" t="str">
        <x:v>универсально</x:v>
      </x:c>
      <x:c r="Y142" s="28" t="str">
        <x:v>Средняя</x:v>
      </x:c>
      <x:c r="Z142" s="28" t="str">
        <x:v>The Art &amp; Science of Foodpairing</x:v>
      </x:c>
      <x:c r="AA142" s="28" t="str">
        <x:v>The Art &amp; Science of Foodpairing: 204</x:v>
      </x:c>
      <x:c r="AB142" s="28" t="str">
        <x:v>Ingredient pairings with Blueberry: ed caraway leaves</x:v>
      </x:c>
      <x:c r="AC142" s="28" t="n">
        <x:v>1</x:v>
      </x:c>
      <x:c r="AD142" s="28" t="n">
        <x:v>1</x:v>
      </x:c>
    </x:row>
    <x:row r="143" ht="58" customHeight="1">
      <x:c r="A143" s="28" t="str">
        <x:v>BER-0142</x:v>
      </x:c>
      <x:c r="B143" s="28" t="str">
        <x:v>Универсальные</x:v>
      </x:c>
      <x:c r="C143" s="28" t="str">
        <x:v>голубика</x:v>
      </x:c>
      <x:c r="D143" s="28" t="str">
        <x:v>Blueberry</x:v>
      </x:c>
      <x:c r="E143" s="28" t="str">
        <x:v>Ягоды и производные</x:v>
      </x:c>
      <x:c r="F143" s="28" t="str">
        <x:v>ed fig</x:v>
      </x:c>
      <x:c r="G143" s="28" t="str">
        <x:v>ed fig</x:v>
      </x:c>
      <x:c r="H143" s="28" t="str">
        <x:v>Фрукты</x:v>
      </x:c>
      <x:c r="I143" s="28" t="str">
        <x:v>зелёный, фруктовый, цветочный, цитрусовый</x:v>
      </x:c>
      <x:c r="J143" s="28" t="str">
        <x:v>зелёный, фруктовый, цветочный</x:v>
      </x:c>
      <x:c r="K143" s="28" t="str">
        <x:v>C6-альдегиды, гераниол, линалоол, цитронеллол</x:v>
      </x:c>
      <x:c r="L143" s="28" t="str">
        <x:v>лактоны, терпены, эфиры</x:v>
      </x:c>
      <x:c r="M143" s="28" t="str">
        <x:v>зелёный, фруктовый, цветочный</x:v>
      </x:c>
      <x:c r="N143" s="28" t="str">
        <x:v>не подтверждены; механизм не сводится к одной общей молекуле</x:v>
      </x:c>
      <x:c r="O143" s="28" t="str">
        <x:v>сходство ароматических семейств + комплементарность</x:v>
      </x:c>
      <x:c r="P143" s="28" t="str">
        <x:v>Оба компонента формируют сладко-кислый, мягкий и сладко-кислый контур; сахар, кислота и горечь должны быть выровнены дегустацией.</x:v>
      </x:c>
      <x:c r="Q143" s="28" t="str">
        <x:v>Специфического тройничного эффекта обычно нет; кислотность усиливает слюноотделение.</x:v>
      </x:c>
      <x:c r="R143" s="28" t="str">
        <x:v>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</x:v>
      </x:c>
      <x:c r="S14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43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4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43" s="28" t="str">
        <x:v>ваниль или лимон</x:v>
      </x:c>
      <x:c r="W14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143" s="28" t="str">
        <x:v>напитки; десерты</x:v>
      </x:c>
      <x:c r="Y143" s="28" t="str">
        <x:v>Средняя</x:v>
      </x:c>
      <x:c r="Z143" s="28" t="str">
        <x:v>The Art &amp; Science of Foodpairing</x:v>
      </x:c>
      <x:c r="AA143" s="28" t="str">
        <x:v>The Art &amp; Science of Foodpairing: 204</x:v>
      </x:c>
      <x:c r="AB143" s="28" t="str">
        <x:v>Ingredient pairings with Blueberry: ed fig</x:v>
      </x:c>
      <x:c r="AC143" s="28" t="n">
        <x:v>1</x:v>
      </x:c>
      <x:c r="AD143" s="28" t="n">
        <x:v>1</x:v>
      </x:c>
    </x:row>
    <x:row r="144" ht="58" customHeight="1">
      <x:c r="A144" s="28" t="str">
        <x:v>BER-0143</x:v>
      </x:c>
      <x:c r="B144" s="28" t="str">
        <x:v>Еда и соусы</x:v>
      </x:c>
      <x:c r="C144" s="28" t="str">
        <x:v>голубика</x:v>
      </x:c>
      <x:c r="D144" s="28" t="str">
        <x:v>Blueberry</x:v>
      </x:c>
      <x:c r="E144" s="28" t="str">
        <x:v>Ягоды и производные</x:v>
      </x:c>
      <x:c r="F144" s="28" t="str">
        <x:v>ed tomato</x:v>
      </x:c>
      <x:c r="G144" s="28" t="str">
        <x:v>ed tomato</x:v>
      </x:c>
      <x:c r="H144" s="28" t="str">
        <x:v>Овощи и грибы</x:v>
      </x:c>
      <x:c r="I144" s="28" t="str">
        <x:v>зелёный, фруктовый, цветочный, цитрусовый</x:v>
      </x:c>
      <x:c r="J144" s="28" t="str">
        <x:v>зелёный, землистый, сернистый</x:v>
      </x:c>
      <x:c r="K144" s="28" t="str">
        <x:v>C6-альдегиды, гераниол, линалоол, цитронеллол</x:v>
      </x:c>
      <x:c r="L144" s="28" t="str">
        <x:v>C6-альдегиды, пиразины, сернистые соединения</x:v>
      </x:c>
      <x:c r="M144" s="28" t="str">
        <x:v>зелёный</x:v>
      </x:c>
      <x:c r="N144" s="28" t="str">
        <x:v>C6-альдегиды</x:v>
      </x:c>
      <x:c r="O144" s="28" t="str">
        <x:v>ароматическое сходство + вкусовой баланс</x:v>
      </x:c>
      <x:c r="P144" s="28" t="str">
        <x:v>Оба компонента формируют сладко-кислый, мягкий и растительный, иногда умами контур; сахар, кислота и горечь должны быть выровнены дегустацией.</x:v>
      </x:c>
      <x:c r="Q144" s="28" t="str">
        <x:v>Специфического тройничного эффекта обычно нет; кислотность усиливает слюноотделение.</x:v>
      </x:c>
      <x:c r="R144" s="28" t="str">
        <x:v>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14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144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14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44" s="28" t="str">
        <x:v>уксус или мягкий сыр</x:v>
      </x:c>
      <x:c r="W144" s="28" t="str">
        <x:v>соус, глазировка, салат, сырная подача или горячее блюдо; маринад, гастрик, чатни, кетчуп или редукция</x:v>
      </x:c>
      <x:c r="X144" s="28" t="str">
        <x:v>еда; соусы/маринады</x:v>
      </x:c>
      <x:c r="Y144" s="28" t="str">
        <x:v>Средняя</x:v>
      </x:c>
      <x:c r="Z144" s="28" t="str">
        <x:v>The Art &amp; Science of Foodpairing</x:v>
      </x:c>
      <x:c r="AA144" s="28" t="str">
        <x:v>The Art &amp; Science of Foodpairing: 204</x:v>
      </x:c>
      <x:c r="AB144" s="28" t="str">
        <x:v>Ingredient pairings with Blueberry: ed tomato</x:v>
      </x:c>
      <x:c r="AC144" s="28" t="n">
        <x:v>1</x:v>
      </x:c>
      <x:c r="AD144" s="28" t="n">
        <x:v>1</x:v>
      </x:c>
    </x:row>
    <x:row r="145" ht="58" customHeight="1">
      <x:c r="A145" s="28" t="str">
        <x:v>BER-0144</x:v>
      </x:c>
      <x:c r="B145" s="28" t="str">
        <x:v>Десерты и выпечка</x:v>
      </x:c>
      <x:c r="C145" s="28" t="str">
        <x:v>голубика</x:v>
      </x:c>
      <x:c r="D145" s="28" t="str">
        <x:v>Blueberry</x:v>
      </x:c>
      <x:c r="E145" s="28" t="str">
        <x:v>Ягоды и производные</x:v>
      </x:c>
      <x:c r="F145" s="28" t="str">
        <x:v>edamame nut</x:v>
      </x:c>
      <x:c r="G145" s="28" t="str">
        <x:v>edamame nut</x:v>
      </x:c>
      <x:c r="H145" s="28" t="str">
        <x:v>Орехи и семена</x:v>
      </x:c>
      <x:c r="I145" s="28" t="str">
        <x:v>зелёный, фруктовый, цветочный, цитрусовый</x:v>
      </x:c>
      <x:c r="J145" s="28" t="str">
        <x:v>жареный, миндальный, ореховый</x:v>
      </x:c>
      <x:c r="K145" s="28" t="str">
        <x:v>C6-альдегиды, гераниол, линалоол, цитронеллол</x:v>
      </x:c>
      <x:c r="L145" s="28" t="str">
        <x:v>бензальдегид, пиразины, фураны</x:v>
      </x:c>
      <x:c r="M145" s="28" t="str">
        <x:v>прямое совпадение семейств не установлено</x:v>
      </x:c>
      <x:c r="N145" s="28" t="str">
        <x:v>не подтверждены; механизм не сводится к одной общей молекуле</x:v>
      </x:c>
      <x:c r="O145" s="28" t="str">
        <x:v>контраст/комплементарность + матричный эффект</x:v>
      </x:c>
      <x:c r="P145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145" s="28" t="str">
        <x:v>Специфического тройничного эффекта обычно нет; кислотность усиливает слюноотделение.</x:v>
      </x:c>
      <x:c r="R145" s="28" t="str">
        <x:v>Жировая фаза удерживает гидрофобные одоранты и продлевает послевкусие; кислотность ягод повышает слюноотделение.</x:v>
      </x:c>
      <x:c r="S14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4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4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45" s="28" t="str">
        <x:v>ваниль или сливки</x:v>
      </x:c>
      <x:c r="W145" s="28" t="str">
        <x:v>сорбет, крем, ганаш, выпечка, джем или соус для десерта</x:v>
      </x:c>
      <x:c r="X145" s="28" t="str">
        <x:v>десерты</x:v>
      </x:c>
      <x:c r="Y145" s="28" t="str">
        <x:v>Средняя</x:v>
      </x:c>
      <x:c r="Z145" s="28" t="str">
        <x:v>The Art &amp; Science of Foodpairing</x:v>
      </x:c>
      <x:c r="AA145" s="28" t="str">
        <x:v>The Art &amp; Science of Foodpairing: 204</x:v>
      </x:c>
      <x:c r="AB145" s="28" t="str">
        <x:v>Ingredient pairings with Blueberry: edamame nut</x:v>
      </x:c>
      <x:c r="AC145" s="28" t="n">
        <x:v>1</x:v>
      </x:c>
      <x:c r="AD145" s="28" t="n">
        <x:v>1</x:v>
      </x:c>
    </x:row>
    <x:row r="146" ht="58" customHeight="1">
      <x:c r="A146" s="28" t="str">
        <x:v>BER-0145</x:v>
      </x:c>
      <x:c r="B146" s="28" t="str">
        <x:v>Универсальные</x:v>
      </x:c>
      <x:c r="C146" s="28" t="str">
        <x:v>голубика</x:v>
      </x:c>
      <x:c r="D146" s="28" t="str">
        <x:v>Blueberry</x:v>
      </x:c>
      <x:c r="E146" s="28" t="str">
        <x:v>Ягоды и производные</x:v>
      </x:c>
      <x:c r="F146" s="28" t="str">
        <x:v>emmental</x:v>
      </x:c>
      <x:c r="G146" s="28" t="str">
        <x:v>Emmental</x:v>
      </x:c>
      <x:c r="H146" s="28" t="str">
        <x:v>Прочее</x:v>
      </x:c>
      <x:c r="I146" s="28" t="str">
        <x:v>зелёный, фруктовый, цветочный, цитрусовый</x:v>
      </x:c>
      <x:c r="J146" s="28" t="str">
        <x:v>комплексный</x:v>
      </x:c>
      <x:c r="K146" s="28" t="str">
        <x:v>C6-альдегиды, гераниол, линалоол, цитронеллол</x:v>
      </x:c>
      <x:c r="L146" s="28" t="str">
        <x:v>нет надёжной конкретизации</x:v>
      </x:c>
      <x:c r="M146" s="28" t="str">
        <x:v>прямое совпадение семейств не установлено</x:v>
      </x:c>
      <x:c r="N146" s="28" t="str">
        <x:v>не подтверждены; механизм не сводится к одной общей молекуле</x:v>
      </x:c>
      <x:c r="O146" s="28" t="str">
        <x:v>контраст/комплементарность + матричный эффект</x:v>
      </x:c>
      <x:c r="P146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46" s="28" t="str">
        <x:v>Специфического тройничного эффекта обычно нет; кислотность усиливает слюноотделение.</x:v>
      </x:c>
      <x:c r="R146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4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4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4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46" s="28" t="str">
        <x:v>лимон или ваниль</x:v>
      </x:c>
      <x:c r="W146" s="28" t="str">
        <x:v>сенсорная проба в малой дозировке</x:v>
      </x:c>
      <x:c r="X146" s="28" t="str">
        <x:v>универсально</x:v>
      </x:c>
      <x:c r="Y146" s="28" t="str">
        <x:v>Средняя</x:v>
      </x:c>
      <x:c r="Z146" s="28" t="str">
        <x:v>The Art &amp; Science of Foodpairing</x:v>
      </x:c>
      <x:c r="AA146" s="28" t="str">
        <x:v>The Art &amp; Science of Foodpairing: 205</x:v>
      </x:c>
      <x:c r="AB146" s="28" t="str">
        <x:v>Ingredient pairings with Blueberry: Emmental</x:v>
      </x:c>
      <x:c r="AC146" s="28" t="n">
        <x:v>1</x:v>
      </x:c>
      <x:c r="AD146" s="28" t="n">
        <x:v>1</x:v>
      </x:c>
    </x:row>
    <x:row r="147" ht="58" customHeight="1">
      <x:c r="A147" s="28" t="str">
        <x:v>BER-0146</x:v>
      </x:c>
      <x:c r="B147" s="28" t="str">
        <x:v>Универсальные</x:v>
      </x:c>
      <x:c r="C147" s="28" t="str">
        <x:v>голубика</x:v>
      </x:c>
      <x:c r="D147" s="28" t="str">
        <x:v>Blueberry</x:v>
      </x:c>
      <x:c r="E147" s="28" t="str">
        <x:v>Ягоды и производные</x:v>
      </x:c>
      <x:c r="F147" s="28" t="str">
        <x:v>farmhouse Cheddar</x:v>
      </x:c>
      <x:c r="G147" s="28" t="str">
        <x:v>farmhouse Cheddar</x:v>
      </x:c>
      <x:c r="H147" s="28" t="str">
        <x:v>Прочее</x:v>
      </x:c>
      <x:c r="I147" s="28" t="str">
        <x:v>зелёный, фруктовый, цветочный, цитрусовый</x:v>
      </x:c>
      <x:c r="J147" s="28" t="str">
        <x:v>комплексный</x:v>
      </x:c>
      <x:c r="K147" s="28" t="str">
        <x:v>C6-альдегиды, гераниол, линалоол, цитронеллол</x:v>
      </x:c>
      <x:c r="L147" s="28" t="str">
        <x:v>нет надёжной конкретизации</x:v>
      </x:c>
      <x:c r="M147" s="28" t="str">
        <x:v>прямое совпадение семейств не установлено</x:v>
      </x:c>
      <x:c r="N147" s="28" t="str">
        <x:v>не подтверждены; механизм не сводится к одной общей молекуле</x:v>
      </x:c>
      <x:c r="O147" s="28" t="str">
        <x:v>контраст/комплементарность + матричный эффект</x:v>
      </x:c>
      <x:c r="P147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47" s="28" t="str">
        <x:v>Специфического тройничного эффекта обычно нет; кислотность усиливает слюноотделение.</x:v>
      </x:c>
      <x:c r="R147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4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4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4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47" s="28" t="str">
        <x:v>лимон или ваниль</x:v>
      </x:c>
      <x:c r="W147" s="28" t="str">
        <x:v>сенсорная проба в малой дозировке</x:v>
      </x:c>
      <x:c r="X147" s="28" t="str">
        <x:v>универсально</x:v>
      </x:c>
      <x:c r="Y147" s="28" t="str">
        <x:v>Средняя</x:v>
      </x:c>
      <x:c r="Z147" s="28" t="str">
        <x:v>The Art &amp; Science of Foodpairing</x:v>
      </x:c>
      <x:c r="AA147" s="28" t="str">
        <x:v>The Art &amp; Science of Foodpairing: 204</x:v>
      </x:c>
      <x:c r="AB147" s="28" t="str">
        <x:v>Ingredient pairings with Blueberry: farmhouse Cheddar</x:v>
      </x:c>
      <x:c r="AC147" s="28" t="n">
        <x:v>1</x:v>
      </x:c>
      <x:c r="AD147" s="28" t="n">
        <x:v>1</x:v>
      </x:c>
    </x:row>
    <x:row r="148" ht="58" customHeight="1">
      <x:c r="A148" s="28" t="str">
        <x:v>BER-0147</x:v>
      </x:c>
      <x:c r="B148" s="28" t="str">
        <x:v>Универсальные</x:v>
      </x:c>
      <x:c r="C148" s="28" t="str">
        <x:v>голубика</x:v>
      </x:c>
      <x:c r="D148" s="28" t="str">
        <x:v>Blueberry</x:v>
      </x:c>
      <x:c r="E148" s="28" t="str">
        <x:v>Ягоды и производные</x:v>
      </x:c>
      <x:c r="F148" s="28" t="str">
        <x:v>fried quail</x:v>
      </x:c>
      <x:c r="G148" s="28" t="str">
        <x:v>fried quail</x:v>
      </x:c>
      <x:c r="H148" s="28" t="str">
        <x:v>Прочее</x:v>
      </x:c>
      <x:c r="I148" s="28" t="str">
        <x:v>зелёный, фруктовый, цветочный, цитрусовый</x:v>
      </x:c>
      <x:c r="J148" s="28" t="str">
        <x:v>комплексный</x:v>
      </x:c>
      <x:c r="K148" s="28" t="str">
        <x:v>C6-альдегиды, гераниол, линалоол, цитронеллол</x:v>
      </x:c>
      <x:c r="L148" s="28" t="str">
        <x:v>нет надёжной конкретизации</x:v>
      </x:c>
      <x:c r="M148" s="28" t="str">
        <x:v>прямое совпадение семейств не установлено</x:v>
      </x:c>
      <x:c r="N148" s="28" t="str">
        <x:v>не подтверждены; механизм не сводится к одной общей молекуле</x:v>
      </x:c>
      <x:c r="O148" s="28" t="str">
        <x:v>контраст/комплементарность + матричный эффект</x:v>
      </x:c>
      <x:c r="P148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48" s="28" t="str">
        <x:v>Специфического тройничного эффекта обычно нет; кислотность усиливает слюноотделение.</x:v>
      </x:c>
      <x:c r="R148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4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4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4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48" s="28" t="str">
        <x:v>лимон или ваниль</x:v>
      </x:c>
      <x:c r="W148" s="28" t="str">
        <x:v>сенсорная проба в малой дозировке</x:v>
      </x:c>
      <x:c r="X148" s="28" t="str">
        <x:v>универсально</x:v>
      </x:c>
      <x:c r="Y148" s="28" t="str">
        <x:v>Средняя</x:v>
      </x:c>
      <x:c r="Z148" s="28" t="str">
        <x:v>The Art &amp; Science of Foodpairing</x:v>
      </x:c>
      <x:c r="AA148" s="28" t="str">
        <x:v>The Art &amp; Science of Foodpairing: 204</x:v>
      </x:c>
      <x:c r="AB148" s="28" t="str">
        <x:v>Ingredient pairings with Blueberry: fried quail</x:v>
      </x:c>
      <x:c r="AC148" s="28" t="n">
        <x:v>1</x:v>
      </x:c>
      <x:c r="AD148" s="28" t="n">
        <x:v>1</x:v>
      </x:c>
    </x:row>
    <x:row r="149" ht="58" customHeight="1">
      <x:c r="A149" s="28" t="str">
        <x:v>BER-0148</x:v>
      </x:c>
      <x:c r="B149" s="28" t="str">
        <x:v>Напитки</x:v>
      </x:c>
      <x:c r="C149" s="28" t="str">
        <x:v>голубика</x:v>
      </x:c>
      <x:c r="D149" s="28" t="str">
        <x:v>Blueberry</x:v>
      </x:c>
      <x:c r="E149" s="28" t="str">
        <x:v>Ягоды и производные</x:v>
      </x:c>
      <x:c r="F149" s="28" t="str">
        <x:v>Gin Mare</x:v>
      </x:c>
      <x:c r="G149" s="28" t="str">
        <x:v>Gin Mare</x:v>
      </x:c>
      <x:c r="H149" s="28" t="str">
        <x:v>Алкогольные напитки</x:v>
      </x:c>
      <x:c r="I149" s="28" t="str">
        <x:v>зелёный, фруктовый, цветочный, цитрусовый</x:v>
      </x:c>
      <x:c r="J149" s="28" t="str">
        <x:v>древесный, фруктовый, эфирный</x:v>
      </x:c>
      <x:c r="K149" s="28" t="str">
        <x:v>C6-альдегиды, гераниол, линалоол, цитронеллол</x:v>
      </x:c>
      <x:c r="L149" s="28" t="str">
        <x:v>ванилин, дубовые лактоны, этиловые эфиры</x:v>
      </x:c>
      <x:c r="M149" s="28" t="str">
        <x:v>фруктовый</x:v>
      </x:c>
      <x:c r="N149" s="28" t="str">
        <x:v>не подтверждены; механизм не сводится к одной общей молекуле</x:v>
      </x:c>
      <x:c r="O149" s="28" t="str">
        <x:v>сходство ароматических семейств + комплементарность</x:v>
      </x:c>
      <x:c r="P149" s="28" t="str">
        <x:v>Кисло-сладкий ягодный профиль балансирует крепость и возможную дубовую горечь напитка.</x:v>
      </x:c>
      <x:c r="Q149" s="28" t="str">
        <x:v>Специфического тройничного эффекта обычно нет; кислотность усиливает слюноотделение.</x:v>
      </x:c>
      <x:c r="R149" s="28" t="str">
        <x:v>Этанол усиливает извлечение гидрофобных терпенов, иононов и эфиров, но при высокой крепости может подчеркнуть резкость.</x:v>
      </x:c>
      <x:c r="S14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T149" s="28" t="str">
        <x:v>Общие ароматические семейства: фруктовый; конкретная доля одорантов зависит от сорта и обработки. Ягодный компонент несёт семейства зелёный, фруктовый, цветочный, цитрусовый;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U149" s="28" t="str">
        <x:v>Высокая крепость и избыток сахара маскируют свежесть и усиливают терпкость.</x:v>
      </x:c>
      <x:c r="V149" s="28" t="str">
        <x:v>цитрус или вермут</x:v>
      </x:c>
      <x:c r="W149" s="28" t="str">
        <x:v>кордиал, лимонад, чай, коктейль, настой или ферментированный напиток</x:v>
      </x:c>
      <x:c r="X149" s="28" t="str">
        <x:v>напитки</x:v>
      </x:c>
      <x:c r="Y149" s="28" t="str">
        <x:v>Средняя</x:v>
      </x:c>
      <x:c r="Z149" s="28" t="str">
        <x:v>The Art &amp; Science of Foodpairing</x:v>
      </x:c>
      <x:c r="AA149" s="28" t="str">
        <x:v>The Art &amp; Science of Foodpairing: 205</x:v>
      </x:c>
      <x:c r="AB149" s="28" t="str">
        <x:v>Ingredient pairings with Blueberry: Gin Mare</x:v>
      </x:c>
      <x:c r="AC149" s="28" t="n">
        <x:v>1</x:v>
      </x:c>
      <x:c r="AD149" s="28" t="n">
        <x:v>1</x:v>
      </x:c>
    </x:row>
    <x:row r="150" ht="58" customHeight="1">
      <x:c r="A150" s="28" t="str">
        <x:v>BER-0149</x:v>
      </x:c>
      <x:c r="B150" s="28" t="str">
        <x:v>Универсальные</x:v>
      </x:c>
      <x:c r="C150" s="28" t="str">
        <x:v>голубика</x:v>
      </x:c>
      <x:c r="D150" s="28" t="str">
        <x:v>Blueberry</x:v>
      </x:c>
      <x:c r="E150" s="28" t="str">
        <x:v>Ягоды и производные</x:v>
      </x:c>
      <x:c r="F150" s="28" t="str">
        <x:v>guava</x:v>
      </x:c>
      <x:c r="G150" s="28" t="str">
        <x:v>guava</x:v>
      </x:c>
      <x:c r="H150" s="28" t="str">
        <x:v>Прочее</x:v>
      </x:c>
      <x:c r="I150" s="28" t="str">
        <x:v>зелёный, фруктовый, цветочный, цитрусовый</x:v>
      </x:c>
      <x:c r="J150" s="28" t="str">
        <x:v>комплексный</x:v>
      </x:c>
      <x:c r="K150" s="28" t="str">
        <x:v>C6-альдегиды, гераниол, линалоол, цитронеллол</x:v>
      </x:c>
      <x:c r="L150" s="28" t="str">
        <x:v>нет надёжной конкретизации</x:v>
      </x:c>
      <x:c r="M150" s="28" t="str">
        <x:v>прямое совпадение семейств не установлено</x:v>
      </x:c>
      <x:c r="N150" s="28" t="str">
        <x:v>не подтверждены; механизм не сводится к одной общей молекуле</x:v>
      </x:c>
      <x:c r="O150" s="28" t="str">
        <x:v>контраст/комплементарность + матричный эффект</x:v>
      </x:c>
      <x:c r="P150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50" s="28" t="str">
        <x:v>Специфического тройничного эффекта обычно нет; кислотность усиливает слюноотделение.</x:v>
      </x:c>
      <x:c r="R150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5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5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5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50" s="28" t="str">
        <x:v>лимон или ваниль</x:v>
      </x:c>
      <x:c r="W150" s="28" t="str">
        <x:v>сенсорная проба в малой дозировке</x:v>
      </x:c>
      <x:c r="X150" s="28" t="str">
        <x:v>универсально</x:v>
      </x:c>
      <x:c r="Y150" s="28" t="str">
        <x:v>Средняя</x:v>
      </x:c>
      <x:c r="Z150" s="28" t="str">
        <x:v>The Art &amp; Science of Foodpairing</x:v>
      </x:c>
      <x:c r="AA150" s="28" t="str">
        <x:v>The Art &amp; Science of Foodpairing: 205</x:v>
      </x:c>
      <x:c r="AB150" s="28" t="str">
        <x:v>Ingredient pairings with Blueberry: guava</x:v>
      </x:c>
      <x:c r="AC150" s="28" t="n">
        <x:v>1</x:v>
      </x:c>
      <x:c r="AD150" s="28" t="n">
        <x:v>1</x:v>
      </x:c>
    </x:row>
    <x:row r="151" ht="58" customHeight="1">
      <x:c r="A151" s="28" t="str">
        <x:v>BER-0150</x:v>
      </x:c>
      <x:c r="B151" s="28" t="str">
        <x:v>Универсальные</x:v>
      </x:c>
      <x:c r="C151" s="28" t="str">
        <x:v>голубика</x:v>
      </x:c>
      <x:c r="D151" s="28" t="str">
        <x:v>Blueberry</x:v>
      </x:c>
      <x:c r="E151" s="28" t="str">
        <x:v>Ягоды и производные</x:v>
      </x:c>
      <x:c r="F151" s="28" t="str">
        <x:v>honeydew melon</x:v>
      </x:c>
      <x:c r="G151" s="28" t="str">
        <x:v>honeydew melon</x:v>
      </x:c>
      <x:c r="H151" s="28" t="str">
        <x:v>Фрукты</x:v>
      </x:c>
      <x:c r="I151" s="28" t="str">
        <x:v>зелёный, фруктовый, цветочный, цитрусовый</x:v>
      </x:c>
      <x:c r="J151" s="28" t="str">
        <x:v>зелёный, фруктовый, цветочный</x:v>
      </x:c>
      <x:c r="K151" s="28" t="str">
        <x:v>C6-альдегиды, гераниол, линалоол, цитронеллол</x:v>
      </x:c>
      <x:c r="L151" s="28" t="str">
        <x:v>лактоны, терпены, эфиры</x:v>
      </x:c>
      <x:c r="M151" s="28" t="str">
        <x:v>зелёный, фруктовый, цветочный</x:v>
      </x:c>
      <x:c r="N151" s="28" t="str">
        <x:v>не подтверждены; механизм не сводится к одной общей молекуле</x:v>
      </x:c>
      <x:c r="O151" s="28" t="str">
        <x:v>сходство ароматических семейств + комплементарность</x:v>
      </x:c>
      <x:c r="P151" s="28" t="str">
        <x:v>Оба компонента формируют сладко-кислый, мягкий и сладко-кислый контур; сахар, кислота и горечь должны быть выровнены дегустацией.</x:v>
      </x:c>
      <x:c r="Q151" s="28" t="str">
        <x:v>Специфического тройничного эффекта обычно нет; кислотность усиливает слюноотделение.</x:v>
      </x:c>
      <x:c r="R151" s="28" t="str">
        <x:v>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</x:v>
      </x:c>
      <x:c r="S15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51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5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51" s="28" t="str">
        <x:v>ваниль или лимон</x:v>
      </x:c>
      <x:c r="W15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151" s="28" t="str">
        <x:v>напитки; десерты</x:v>
      </x:c>
      <x:c r="Y151" s="28" t="str">
        <x:v>Средняя</x:v>
      </x:c>
      <x:c r="Z151" s="28" t="str">
        <x:v>The Art &amp; Science of Foodpairing</x:v>
      </x:c>
      <x:c r="AA151" s="28" t="str">
        <x:v>The Art &amp; Science of Foodpairing: 205</x:v>
      </x:c>
      <x:c r="AB151" s="28" t="str">
        <x:v>Ingredient pairings with Blueberry: honeydew melon</x:v>
      </x:c>
      <x:c r="AC151" s="28" t="n">
        <x:v>1</x:v>
      </x:c>
      <x:c r="AD151" s="28" t="n">
        <x:v>1</x:v>
      </x:c>
    </x:row>
    <x:row r="152" ht="58" customHeight="1">
      <x:c r="A152" s="28" t="str">
        <x:v>BER-0151</x:v>
      </x:c>
      <x:c r="B152" s="28" t="str">
        <x:v>Универсальные</x:v>
      </x:c>
      <x:c r="C152" s="28" t="str">
        <x:v>голубика</x:v>
      </x:c>
      <x:c r="D152" s="28" t="str">
        <x:v>Blueberry</x:v>
      </x:c>
      <x:c r="E152" s="28" t="str">
        <x:v>Ягоды и производные</x:v>
      </x:c>
      <x:c r="F152" s="28" t="str">
        <x:v>hop shoot) bre</x:v>
      </x:c>
      <x:c r="G152" s="28" t="str">
        <x:v>hop shoot) bre</x:v>
      </x:c>
      <x:c r="H152" s="28" t="str">
        <x:v>Прочее</x:v>
      </x:c>
      <x:c r="I152" s="28" t="str">
        <x:v>зелёный, фруктовый, цветочный, цитрусовый</x:v>
      </x:c>
      <x:c r="J152" s="28" t="str">
        <x:v>комплексный</x:v>
      </x:c>
      <x:c r="K152" s="28" t="str">
        <x:v>C6-альдегиды, гераниол, линалоол, цитронеллол</x:v>
      </x:c>
      <x:c r="L152" s="28" t="str">
        <x:v>нет надёжной конкретизации</x:v>
      </x:c>
      <x:c r="M152" s="28" t="str">
        <x:v>прямое совпадение семейств не установлено</x:v>
      </x:c>
      <x:c r="N152" s="28" t="str">
        <x:v>не подтверждены; механизм не сводится к одной общей молекуле</x:v>
      </x:c>
      <x:c r="O152" s="28" t="str">
        <x:v>контраст/комплементарность + матричный эффект</x:v>
      </x:c>
      <x:c r="P152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52" s="28" t="str">
        <x:v>Специфического тройничного эффекта обычно нет; кислотность усиливает слюноотделение.</x:v>
      </x:c>
      <x:c r="R152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5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5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5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52" s="28" t="str">
        <x:v>лимон или ваниль</x:v>
      </x:c>
      <x:c r="W152" s="28" t="str">
        <x:v>сенсорная проба в малой дозировке</x:v>
      </x:c>
      <x:c r="X152" s="28" t="str">
        <x:v>универсально</x:v>
      </x:c>
      <x:c r="Y152" s="28" t="str">
        <x:v>Средняя</x:v>
      </x:c>
      <x:c r="Z152" s="28" t="str">
        <x:v>The Art &amp; Science of Foodpairing</x:v>
      </x:c>
      <x:c r="AA152" s="28" t="str">
        <x:v>The Art &amp; Science of Foodpairing: 204</x:v>
      </x:c>
      <x:c r="AB152" s="28" t="str">
        <x:v>Ingredient pairings with Blueberry: hop shoot) bre</x:v>
      </x:c>
      <x:c r="AC152" s="28" t="n">
        <x:v>1</x:v>
      </x:c>
      <x:c r="AD152" s="28" t="n">
        <x:v>1</x:v>
      </x:c>
    </x:row>
    <x:row r="153" ht="58" customHeight="1">
      <x:c r="A153" s="28" t="str">
        <x:v>BER-0152</x:v>
      </x:c>
      <x:c r="B153" s="28" t="str">
        <x:v>Универсальные</x:v>
      </x:c>
      <x:c r="C153" s="28" t="str">
        <x:v>голубика</x:v>
      </x:c>
      <x:c r="D153" s="28" t="str">
        <x:v>Blueberry</x:v>
      </x:c>
      <x:c r="E153" s="28" t="str">
        <x:v>Ягоды и производные</x:v>
      </x:c>
      <x:c r="F153" s="28" t="str">
        <x:v>humulus shoot roa</x:v>
      </x:c>
      <x:c r="G153" s="28" t="str">
        <x:v>humulus shoot roa</x:v>
      </x:c>
      <x:c r="H153" s="28" t="str">
        <x:v>Прочее</x:v>
      </x:c>
      <x:c r="I153" s="28" t="str">
        <x:v>зелёный, фруктовый, цветочный, цитрусовый</x:v>
      </x:c>
      <x:c r="J153" s="28" t="str">
        <x:v>комплексный</x:v>
      </x:c>
      <x:c r="K153" s="28" t="str">
        <x:v>C6-альдегиды, гераниол, линалоол, цитронеллол</x:v>
      </x:c>
      <x:c r="L153" s="28" t="str">
        <x:v>нет надёжной конкретизации</x:v>
      </x:c>
      <x:c r="M153" s="28" t="str">
        <x:v>прямое совпадение семейств не установлено</x:v>
      </x:c>
      <x:c r="N153" s="28" t="str">
        <x:v>не подтверждены; механизм не сводится к одной общей молекуле</x:v>
      </x:c>
      <x:c r="O153" s="28" t="str">
        <x:v>контраст/комплементарность + матричный эффект</x:v>
      </x:c>
      <x:c r="P153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53" s="28" t="str">
        <x:v>Специфического тройничного эффекта обычно нет; кислотность усиливает слюноотделение.</x:v>
      </x:c>
      <x:c r="R153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5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5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5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53" s="28" t="str">
        <x:v>лимон или ваниль</x:v>
      </x:c>
      <x:c r="W153" s="28" t="str">
        <x:v>сенсорная проба в малой дозировке</x:v>
      </x:c>
      <x:c r="X153" s="28" t="str">
        <x:v>универсально</x:v>
      </x:c>
      <x:c r="Y153" s="28" t="str">
        <x:v>Средняя</x:v>
      </x:c>
      <x:c r="Z153" s="28" t="str">
        <x:v>The Art &amp; Science of Foodpairing</x:v>
      </x:c>
      <x:c r="AA153" s="28" t="str">
        <x:v>The Art &amp; Science of Foodpairing: 204</x:v>
      </x:c>
      <x:c r="AB153" s="28" t="str">
        <x:v>Ingredient pairings with Blueberry: humulus shoot roa</x:v>
      </x:c>
      <x:c r="AC153" s="28" t="n">
        <x:v>1</x:v>
      </x:c>
      <x:c r="AD153" s="28" t="n">
        <x:v>1</x:v>
      </x:c>
    </x:row>
    <x:row r="154" ht="58" customHeight="1">
      <x:c r="A154" s="28" t="str">
        <x:v>BER-0153</x:v>
      </x:c>
      <x:c r="B154" s="28" t="str">
        <x:v>Универсальные</x:v>
      </x:c>
      <x:c r="C154" s="28" t="str">
        <x:v>голубика</x:v>
      </x:c>
      <x:c r="D154" s="28" t="str">
        <x:v>Blueberry</x:v>
      </x:c>
      <x:c r="E154" s="28" t="str">
        <x:v>Ягоды и производные</x:v>
      </x:c>
      <x:c r="F154" s="28" t="str">
        <x:v>iander leaves</x:v>
      </x:c>
      <x:c r="G154" s="28" t="str">
        <x:v>iander leaves</x:v>
      </x:c>
      <x:c r="H154" s="28" t="str">
        <x:v>Прочее</x:v>
      </x:c>
      <x:c r="I154" s="28" t="str">
        <x:v>зелёный, фруктовый, цветочный, цитрусовый</x:v>
      </x:c>
      <x:c r="J154" s="28" t="str">
        <x:v>комплексный</x:v>
      </x:c>
      <x:c r="K154" s="28" t="str">
        <x:v>C6-альдегиды, гераниол, линалоол, цитронеллол</x:v>
      </x:c>
      <x:c r="L154" s="28" t="str">
        <x:v>нет надёжной конкретизации</x:v>
      </x:c>
      <x:c r="M154" s="28" t="str">
        <x:v>прямое совпадение семейств не установлено</x:v>
      </x:c>
      <x:c r="N154" s="28" t="str">
        <x:v>не подтверждены; механизм не сводится к одной общей молекуле</x:v>
      </x:c>
      <x:c r="O154" s="28" t="str">
        <x:v>контраст/комплементарность + матричный эффект</x:v>
      </x:c>
      <x:c r="P154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54" s="28" t="str">
        <x:v>Специфического тройничного эффекта обычно нет; кислотность усиливает слюноотделение.</x:v>
      </x:c>
      <x:c r="R154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5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5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5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54" s="28" t="str">
        <x:v>лимон или ваниль</x:v>
      </x:c>
      <x:c r="W154" s="28" t="str">
        <x:v>сенсорная проба в малой дозировке</x:v>
      </x:c>
      <x:c r="X154" s="28" t="str">
        <x:v>универсально</x:v>
      </x:c>
      <x:c r="Y154" s="28" t="str">
        <x:v>Средняя</x:v>
      </x:c>
      <x:c r="Z154" s="28" t="str">
        <x:v>The Art &amp; Science of Foodpairing</x:v>
      </x:c>
      <x:c r="AA154" s="28" t="str">
        <x:v>The Art &amp; Science of Foodpairing: 204</x:v>
      </x:c>
      <x:c r="AB154" s="28" t="str">
        <x:v>Ingredient pairings with Blueberry: iander leaves</x:v>
      </x:c>
      <x:c r="AC154" s="28" t="n">
        <x:v>1</x:v>
      </x:c>
      <x:c r="AD154" s="28" t="n">
        <x:v>1</x:v>
      </x:c>
    </x:row>
    <x:row r="155" ht="58" customHeight="1">
      <x:c r="A155" s="28" t="str">
        <x:v>BER-0154</x:v>
      </x:c>
      <x:c r="B155" s="28" t="str">
        <x:v>Универсальные</x:v>
      </x:c>
      <x:c r="C155" s="28" t="str">
        <x:v>голубика</x:v>
      </x:c>
      <x:c r="D155" s="28" t="str">
        <x:v>Blueberry</x:v>
      </x:c>
      <x:c r="E155" s="28" t="str">
        <x:v>Ягоды и производные</x:v>
      </x:c>
      <x:c r="F155" s="28" t="str">
        <x:v>icot brandy</x:v>
      </x:c>
      <x:c r="G155" s="28" t="str">
        <x:v>icot brandy</x:v>
      </x:c>
      <x:c r="H155" s="28" t="str">
        <x:v>Прочее</x:v>
      </x:c>
      <x:c r="I155" s="28" t="str">
        <x:v>зелёный, фруктовый, цветочный, цитрусовый</x:v>
      </x:c>
      <x:c r="J155" s="28" t="str">
        <x:v>комплексный</x:v>
      </x:c>
      <x:c r="K155" s="28" t="str">
        <x:v>C6-альдегиды, гераниол, линалоол, цитронеллол</x:v>
      </x:c>
      <x:c r="L155" s="28" t="str">
        <x:v>нет надёжной конкретизации</x:v>
      </x:c>
      <x:c r="M155" s="28" t="str">
        <x:v>прямое совпадение семейств не установлено</x:v>
      </x:c>
      <x:c r="N155" s="28" t="str">
        <x:v>не подтверждены; механизм не сводится к одной общей молекуле</x:v>
      </x:c>
      <x:c r="O155" s="28" t="str">
        <x:v>контраст/комплементарность + матричный эффект</x:v>
      </x:c>
      <x:c r="P155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55" s="28" t="str">
        <x:v>Специфического тройничного эффекта обычно нет; кислотность усиливает слюноотделение.</x:v>
      </x:c>
      <x:c r="R155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5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5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5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55" s="28" t="str">
        <x:v>лимон или ваниль</x:v>
      </x:c>
      <x:c r="W155" s="28" t="str">
        <x:v>сенсорная проба в малой дозировке</x:v>
      </x:c>
      <x:c r="X155" s="28" t="str">
        <x:v>универсально</x:v>
      </x:c>
      <x:c r="Y155" s="28" t="str">
        <x:v>Средняя</x:v>
      </x:c>
      <x:c r="Z155" s="28" t="str">
        <x:v>The Art &amp; Science of Foodpairing</x:v>
      </x:c>
      <x:c r="AA155" s="28" t="str">
        <x:v>The Art &amp; Science of Foodpairing: 204</x:v>
      </x:c>
      <x:c r="AB155" s="28" t="str">
        <x:v>Ingredient pairings with Blueberry: icot brandy</x:v>
      </x:c>
      <x:c r="AC155" s="28" t="n">
        <x:v>1</x:v>
      </x:c>
      <x:c r="AD155" s="28" t="n">
        <x:v>1</x:v>
      </x:c>
    </x:row>
    <x:row r="156" ht="58" customHeight="1">
      <x:c r="A156" s="28" t="str">
        <x:v>BER-0155</x:v>
      </x:c>
      <x:c r="B156" s="28" t="str">
        <x:v>Универсальные</x:v>
      </x:c>
      <x:c r="C156" s="28" t="str">
        <x:v>голубика</x:v>
      </x:c>
      <x:c r="D156" s="28" t="str">
        <x:v>Blueberry</x:v>
      </x:c>
      <x:c r="E156" s="28" t="str">
        <x:v>Ягоды и производные</x:v>
      </x:c>
      <x:c r="F156" s="28" t="str">
        <x:v>japanese plum (ume)</x:v>
      </x:c>
      <x:c r="G156" s="28" t="str">
        <x:v>Japanese plum (ume)</x:v>
      </x:c>
      <x:c r="H156" s="28" t="str">
        <x:v>Прочее</x:v>
      </x:c>
      <x:c r="I156" s="28" t="str">
        <x:v>зелёный, фруктовый, цветочный, цитрусовый</x:v>
      </x:c>
      <x:c r="J156" s="28" t="str">
        <x:v>комплексный</x:v>
      </x:c>
      <x:c r="K156" s="28" t="str">
        <x:v>C6-альдегиды, гераниол, линалоол, цитронеллол</x:v>
      </x:c>
      <x:c r="L156" s="28" t="str">
        <x:v>нет надёжной конкретизации</x:v>
      </x:c>
      <x:c r="M156" s="28" t="str">
        <x:v>прямое совпадение семейств не установлено</x:v>
      </x:c>
      <x:c r="N156" s="28" t="str">
        <x:v>не подтверждены; механизм не сводится к одной общей молекуле</x:v>
      </x:c>
      <x:c r="O156" s="28" t="str">
        <x:v>контраст/комплементарность + матричный эффект</x:v>
      </x:c>
      <x:c r="P156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56" s="28" t="str">
        <x:v>Специфического тройничного эффекта обычно нет; кислотность усиливает слюноотделение.</x:v>
      </x:c>
      <x:c r="R156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5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5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5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56" s="28" t="str">
        <x:v>лимон или ваниль</x:v>
      </x:c>
      <x:c r="W156" s="28" t="str">
        <x:v>сенсорная проба в малой дозировке</x:v>
      </x:c>
      <x:c r="X156" s="28" t="str">
        <x:v>универсально</x:v>
      </x:c>
      <x:c r="Y156" s="28" t="str">
        <x:v>Средняя</x:v>
      </x:c>
      <x:c r="Z156" s="28" t="str">
        <x:v>The Art &amp; Science of Foodpairing</x:v>
      </x:c>
      <x:c r="AA156" s="28" t="str">
        <x:v>The Art &amp; Science of Foodpairing: 205</x:v>
      </x:c>
      <x:c r="AB156" s="28" t="str">
        <x:v>Ingredient pairings with Blueberry: Japanese plum (ume)</x:v>
      </x:c>
      <x:c r="AC156" s="28" t="n">
        <x:v>1</x:v>
      </x:c>
      <x:c r="AD156" s="28" t="n">
        <x:v>1</x:v>
      </x:c>
    </x:row>
    <x:row r="157" ht="58" customHeight="1">
      <x:c r="A157" s="28" t="str">
        <x:v>BER-0156</x:v>
      </x:c>
      <x:c r="B157" s="28" t="str">
        <x:v>Универсальные</x:v>
      </x:c>
      <x:c r="C157" s="28" t="str">
        <x:v>голубика</x:v>
      </x:c>
      <x:c r="D157" s="28" t="str">
        <x:v>Blueberry</x:v>
      </x:c>
      <x:c r="E157" s="28" t="str">
        <x:v>Ягоды и производные</x:v>
      </x:c>
      <x:c r="F157" s="28" t="str">
        <x:v>kefir</x:v>
      </x:c>
      <x:c r="G157" s="28" t="str">
        <x:v>kefir</x:v>
      </x:c>
      <x:c r="H157" s="28" t="str">
        <x:v>Прочее</x:v>
      </x:c>
      <x:c r="I157" s="28" t="str">
        <x:v>зелёный, фруктовый, цветочный, цитрусовый</x:v>
      </x:c>
      <x:c r="J157" s="28" t="str">
        <x:v>комплексный</x:v>
      </x:c>
      <x:c r="K157" s="28" t="str">
        <x:v>C6-альдегиды, гераниол, линалоол, цитронеллол</x:v>
      </x:c>
      <x:c r="L157" s="28" t="str">
        <x:v>нет надёжной конкретизации</x:v>
      </x:c>
      <x:c r="M157" s="28" t="str">
        <x:v>прямое совпадение семейств не установлено</x:v>
      </x:c>
      <x:c r="N157" s="28" t="str">
        <x:v>не подтверждены; механизм не сводится к одной общей молекуле</x:v>
      </x:c>
      <x:c r="O157" s="28" t="str">
        <x:v>контраст/комплементарность + матричный эффект</x:v>
      </x:c>
      <x:c r="P157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57" s="28" t="str">
        <x:v>Специфического тройничного эффекта обычно нет; кислотность усиливает слюноотделение.</x:v>
      </x:c>
      <x:c r="R157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5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5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5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57" s="28" t="str">
        <x:v>лимон или ваниль</x:v>
      </x:c>
      <x:c r="W157" s="28" t="str">
        <x:v>сенсорная проба в малой дозировке</x:v>
      </x:c>
      <x:c r="X157" s="28" t="str">
        <x:v>универсально</x:v>
      </x:c>
      <x:c r="Y157" s="28" t="str">
        <x:v>Средняя</x:v>
      </x:c>
      <x:c r="Z157" s="28" t="str">
        <x:v>The Art &amp; Science of Foodpairing</x:v>
      </x:c>
      <x:c r="AA157" s="28" t="str">
        <x:v>The Art &amp; Science of Foodpairing: 205</x:v>
      </x:c>
      <x:c r="AB157" s="28" t="str">
        <x:v>Ingredient pairings with Blueberry: kefir</x:v>
      </x:c>
      <x:c r="AC157" s="28" t="n">
        <x:v>1</x:v>
      </x:c>
      <x:c r="AD157" s="28" t="n">
        <x:v>1</x:v>
      </x:c>
    </x:row>
    <x:row r="158" ht="58" customHeight="1">
      <x:c r="A158" s="28" t="str">
        <x:v>BER-0157</x:v>
      </x:c>
      <x:c r="B158" s="28" t="str">
        <x:v>Универсальные</x:v>
      </x:c>
      <x:c r="C158" s="28" t="str">
        <x:v>голубика</x:v>
      </x:c>
      <x:c r="D158" s="28" t="str">
        <x:v>Blueberry</x:v>
      </x:c>
      <x:c r="E158" s="28" t="str">
        <x:v>Ягоды и производные</x:v>
      </x:c>
      <x:c r="F158" s="28" t="str">
        <x:v>kent mango</x:v>
      </x:c>
      <x:c r="G158" s="28" t="str">
        <x:v>Kent mango</x:v>
      </x:c>
      <x:c r="H158" s="28" t="str">
        <x:v>Фрукты</x:v>
      </x:c>
      <x:c r="I158" s="28" t="str">
        <x:v>зелёный, фруктовый, цветочный, цитрусовый</x:v>
      </x:c>
      <x:c r="J158" s="28" t="str">
        <x:v>зелёный, фруктовый, цветочный</x:v>
      </x:c>
      <x:c r="K158" s="28" t="str">
        <x:v>C6-альдегиды, гераниол, линалоол, цитронеллол</x:v>
      </x:c>
      <x:c r="L158" s="28" t="str">
        <x:v>лактоны, терпены, эфиры</x:v>
      </x:c>
      <x:c r="M158" s="28" t="str">
        <x:v>зелёный, фруктовый, цветочный</x:v>
      </x:c>
      <x:c r="N158" s="28" t="str">
        <x:v>не подтверждены; механизм не сводится к одной общей молекуле</x:v>
      </x:c>
      <x:c r="O158" s="28" t="str">
        <x:v>сходство ароматических семейств + комплементарность</x:v>
      </x:c>
      <x:c r="P158" s="28" t="str">
        <x:v>Оба компонента формируют сладко-кислый, мягкий и сладко-кислый контур; сахар, кислота и горечь должны быть выровнены дегустацией.</x:v>
      </x:c>
      <x:c r="Q158" s="28" t="str">
        <x:v>Специфического тройничного эффекта обычно нет; кислотность усиливает слюноотделение.</x:v>
      </x:c>
      <x:c r="R158" s="28" t="str">
        <x:v>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</x:v>
      </x:c>
      <x:c r="S15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58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5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58" s="28" t="str">
        <x:v>ваниль или лимон</x:v>
      </x:c>
      <x:c r="W15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158" s="28" t="str">
        <x:v>напитки; десерты</x:v>
      </x:c>
      <x:c r="Y158" s="28" t="str">
        <x:v>Средняя</x:v>
      </x:c>
      <x:c r="Z158" s="28" t="str">
        <x:v>The Art &amp; Science of Foodpairing</x:v>
      </x:c>
      <x:c r="AA158" s="28" t="str">
        <x:v>The Art &amp; Science of Foodpairing: 205</x:v>
      </x:c>
      <x:c r="AB158" s="28" t="str">
        <x:v>Ingredient pairings with Blueberry: Kent mango</x:v>
      </x:c>
      <x:c r="AC158" s="28" t="n">
        <x:v>1</x:v>
      </x:c>
      <x:c r="AD158" s="28" t="n">
        <x:v>1</x:v>
      </x:c>
    </x:row>
    <x:row r="159" ht="58" customHeight="1">
      <x:c r="A159" s="28" t="str">
        <x:v>BER-0158</x:v>
      </x:c>
      <x:c r="B159" s="28" t="str">
        <x:v>Еда и соусы</x:v>
      </x:c>
      <x:c r="C159" s="28" t="str">
        <x:v>голубика</x:v>
      </x:c>
      <x:c r="D159" s="28" t="str">
        <x:v>Blueberry</x:v>
      </x:c>
      <x:c r="E159" s="28" t="str">
        <x:v>Ягоды и производные</x:v>
      </x:c>
      <x:c r="F159" s="28" t="str">
        <x:v>led mitten crab</x:v>
      </x:c>
      <x:c r="G159" s="28" t="str">
        <x:v>led mitten crab</x:v>
      </x:c>
      <x:c r="H159" s="28" t="str">
        <x:v>Рыба и морепродукты</x:v>
      </x:c>
      <x:c r="I159" s="28" t="str">
        <x:v>зелёный, фруктовый, цветочный, цитрусовый</x:v>
      </x:c>
      <x:c r="J159" s="28" t="str">
        <x:v>жирный, морской, умами</x:v>
      </x:c>
      <x:c r="K159" s="28" t="str">
        <x:v>C6-альдегиды, гераниол, линалоол, цитронеллол</x:v>
      </x:c>
      <x:c r="L159" s="28" t="str">
        <x:v>альдегиды, амины, сернистые соединения</x:v>
      </x:c>
      <x:c r="M159" s="28" t="str">
        <x:v>прямое совпадение семейств не установлено</x:v>
      </x:c>
      <x:c r="N159" s="28" t="str">
        <x:v>не подтверждены; механизм не сводится к одной общей молекуле</x:v>
      </x:c>
      <x:c r="O159" s="28" t="str">
        <x:v>контраст/комплементарность + матричный эффект</x:v>
      </x:c>
      <x:c r="P159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159" s="28" t="str">
        <x:v>Специфического тройничного эффекта обычно нет; кислотность усиливает слюноотделение.</x:v>
      </x:c>
      <x:c r="R159" s="28" t="str">
        <x:v>Белок и жир смягчают кислоту; ягодный соус должен сохранять достаточную концентрацию и соль.</x:v>
      </x:c>
      <x:c r="S15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15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15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59" s="28" t="str">
        <x:v>цитрус или огурец</x:v>
      </x:c>
      <x:c r="W159" s="28" t="str">
        <x:v>соус, глазировка, салат, сырная подача или горячее блюдо; маринад, гастрик, чатни, кетчуп или редукция</x:v>
      </x:c>
      <x:c r="X159" s="28" t="str">
        <x:v>еда; соусы/маринады</x:v>
      </x:c>
      <x:c r="Y159" s="28" t="str">
        <x:v>Средняя</x:v>
      </x:c>
      <x:c r="Z159" s="28" t="str">
        <x:v>The Art &amp; Science of Foodpairing</x:v>
      </x:c>
      <x:c r="AA159" s="28" t="str">
        <x:v>The Art &amp; Science of Foodpairing: 204</x:v>
      </x:c>
      <x:c r="AB159" s="28" t="str">
        <x:v>Ingredient pairings with Blueberry: led mitten crab</x:v>
      </x:c>
      <x:c r="AC159" s="28" t="n">
        <x:v>1</x:v>
      </x:c>
      <x:c r="AD159" s="28" t="n">
        <x:v>1</x:v>
      </x:c>
    </x:row>
    <x:row r="160" ht="58" customHeight="1">
      <x:c r="A160" s="28" t="str">
        <x:v>BER-0159</x:v>
      </x:c>
      <x:c r="B160" s="28" t="str">
        <x:v>Универсальные</x:v>
      </x:c>
      <x:c r="C160" s="28" t="str">
        <x:v>голубика</x:v>
      </x:c>
      <x:c r="D160" s="28" t="str">
        <x:v>Blueberry</x:v>
      </x:c>
      <x:c r="E160" s="28" t="str">
        <x:v>Ягоды и производные</x:v>
      </x:c>
      <x:c r="F160" s="28" t="str">
        <x:v>led parsnip</x:v>
      </x:c>
      <x:c r="G160" s="28" t="str">
        <x:v>led parsnip</x:v>
      </x:c>
      <x:c r="H160" s="28" t="str">
        <x:v>Прочее</x:v>
      </x:c>
      <x:c r="I160" s="28" t="str">
        <x:v>зелёный, фруктовый, цветочный, цитрусовый</x:v>
      </x:c>
      <x:c r="J160" s="28" t="str">
        <x:v>комплексный</x:v>
      </x:c>
      <x:c r="K160" s="28" t="str">
        <x:v>C6-альдегиды, гераниол, линалоол, цитронеллол</x:v>
      </x:c>
      <x:c r="L160" s="28" t="str">
        <x:v>нет надёжной конкретизации</x:v>
      </x:c>
      <x:c r="M160" s="28" t="str">
        <x:v>прямое совпадение семейств не установлено</x:v>
      </x:c>
      <x:c r="N160" s="28" t="str">
        <x:v>не подтверждены; механизм не сводится к одной общей молекуле</x:v>
      </x:c>
      <x:c r="O160" s="28" t="str">
        <x:v>контраст/комплементарность + матричный эффект</x:v>
      </x:c>
      <x:c r="P160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60" s="28" t="str">
        <x:v>Специфического тройничного эффекта обычно нет; кислотность усиливает слюноотделение.</x:v>
      </x:c>
      <x:c r="R160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6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6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6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60" s="28" t="str">
        <x:v>лимон или ваниль</x:v>
      </x:c>
      <x:c r="W160" s="28" t="str">
        <x:v>сенсорная проба в малой дозировке</x:v>
      </x:c>
      <x:c r="X160" s="28" t="str">
        <x:v>универсально</x:v>
      </x:c>
      <x:c r="Y160" s="28" t="str">
        <x:v>Средняя</x:v>
      </x:c>
      <x:c r="Z160" s="28" t="str">
        <x:v>The Art &amp; Science of Foodpairing</x:v>
      </x:c>
      <x:c r="AA160" s="28" t="str">
        <x:v>The Art &amp; Science of Foodpairing: 204</x:v>
      </x:c>
      <x:c r="AB160" s="28" t="str">
        <x:v>Ingredient pairings with Blueberry: led parsnip</x:v>
      </x:c>
      <x:c r="AC160" s="28" t="n">
        <x:v>1</x:v>
      </x:c>
      <x:c r="AD160" s="28" t="n">
        <x:v>1</x:v>
      </x:c>
    </x:row>
    <x:row r="161" ht="58" customHeight="1">
      <x:c r="A161" s="28" t="str">
        <x:v>BER-0160</x:v>
      </x:c>
      <x:c r="B161" s="28" t="str">
        <x:v>Напитки</x:v>
      </x:c>
      <x:c r="C161" s="28" t="str">
        <x:v>голубика</x:v>
      </x:c>
      <x:c r="D161" s="28" t="str">
        <x:v>Blueberry</x:v>
      </x:c>
      <x:c r="E161" s="28" t="str">
        <x:v>Ягоды и производные</x:v>
      </x:c>
      <x:c r="F161" s="28" t="str">
        <x:v>lled aubergine</x:v>
      </x:c>
      <x:c r="G161" s="28" t="str">
        <x:v>lled aubergine</x:v>
      </x:c>
      <x:c r="H161" s="28" t="str">
        <x:v>Алкогольные напитки</x:v>
      </x:c>
      <x:c r="I161" s="28" t="str">
        <x:v>зелёный, фруктовый, цветочный, цитрусовый</x:v>
      </x:c>
      <x:c r="J161" s="28" t="str">
        <x:v>древесный, фруктовый, эфирный</x:v>
      </x:c>
      <x:c r="K161" s="28" t="str">
        <x:v>C6-альдегиды, гераниол, линалоол, цитронеллол</x:v>
      </x:c>
      <x:c r="L161" s="28" t="str">
        <x:v>ванилин, дубовые лактоны, этиловые эфиры</x:v>
      </x:c>
      <x:c r="M161" s="28" t="str">
        <x:v>фруктовый</x:v>
      </x:c>
      <x:c r="N161" s="28" t="str">
        <x:v>не подтверждены; механизм не сводится к одной общей молекуле</x:v>
      </x:c>
      <x:c r="O161" s="28" t="str">
        <x:v>сходство ароматических семейств + комплементарность</x:v>
      </x:c>
      <x:c r="P161" s="28" t="str">
        <x:v>Кисло-сладкий ягодный профиль балансирует крепость и возможную дубовую горечь напитка.</x:v>
      </x:c>
      <x:c r="Q161" s="28" t="str">
        <x:v>Специфического тройничного эффекта обычно нет; кислотность усиливает слюноотделение.</x:v>
      </x:c>
      <x:c r="R161" s="28" t="str">
        <x:v>Этанол усиливает извлечение гидрофобных терпенов, иононов и эфиров, но при высокой крепости может подчеркнуть резкость.</x:v>
      </x:c>
      <x:c r="S16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T161" s="28" t="str">
        <x:v>Общие ароматические семейства: фруктовый; конкретная доля одорантов зависит от сорта и обработки. Ягодный компонент несёт семейства зелёный, фруктовый, цветочный, цитрусовый;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U161" s="28" t="str">
        <x:v>Высокая крепость и избыток сахара маскируют свежесть и усиливают терпкость.</x:v>
      </x:c>
      <x:c r="V161" s="28" t="str">
        <x:v>цитрус или вермут</x:v>
      </x:c>
      <x:c r="W161" s="28" t="str">
        <x:v>кордиал, лимонад, чай, коктейль, настой или ферментированный напиток</x:v>
      </x:c>
      <x:c r="X161" s="28" t="str">
        <x:v>напитки</x:v>
      </x:c>
      <x:c r="Y161" s="28" t="str">
        <x:v>Средняя</x:v>
      </x:c>
      <x:c r="Z161" s="28" t="str">
        <x:v>The Art &amp; Science of Foodpairing</x:v>
      </x:c>
      <x:c r="AA161" s="28" t="str">
        <x:v>The Art &amp; Science of Foodpairing: 204</x:v>
      </x:c>
      <x:c r="AB161" s="28" t="str">
        <x:v>Ingredient pairings with Blueberry: lled aubergine</x:v>
      </x:c>
      <x:c r="AC161" s="28" t="n">
        <x:v>1</x:v>
      </x:c>
      <x:c r="AD161" s="28" t="n">
        <x:v>1</x:v>
      </x:c>
    </x:row>
    <x:row r="162" ht="58" customHeight="1">
      <x:c r="A162" s="28" t="str">
        <x:v>BER-0161</x:v>
      </x:c>
      <x:c r="B162" s="28" t="str">
        <x:v>Еда и соусы</x:v>
      </x:c>
      <x:c r="C162" s="28" t="str">
        <x:v>голубика</x:v>
      </x:c>
      <x:c r="D162" s="28" t="str">
        <x:v>Blueberry</x:v>
      </x:c>
      <x:c r="E162" s="28" t="str">
        <x:v>Ягоды и производные</x:v>
      </x:c>
      <x:c r="F162" s="28" t="str">
        <x:v>lled turbot</x:v>
      </x:c>
      <x:c r="G162" s="28" t="str">
        <x:v>lled turbot</x:v>
      </x:c>
      <x:c r="H162" s="28" t="str">
        <x:v>Рыба и морепродукты</x:v>
      </x:c>
      <x:c r="I162" s="28" t="str">
        <x:v>зелёный, фруктовый, цветочный, цитрусовый</x:v>
      </x:c>
      <x:c r="J162" s="28" t="str">
        <x:v>жирный, морской, умами</x:v>
      </x:c>
      <x:c r="K162" s="28" t="str">
        <x:v>C6-альдегиды, гераниол, линалоол, цитронеллол</x:v>
      </x:c>
      <x:c r="L162" s="28" t="str">
        <x:v>альдегиды, амины, сернистые соединения</x:v>
      </x:c>
      <x:c r="M162" s="28" t="str">
        <x:v>прямое совпадение семейств не установлено</x:v>
      </x:c>
      <x:c r="N162" s="28" t="str">
        <x:v>не подтверждены; механизм не сводится к одной общей молекуле</x:v>
      </x:c>
      <x:c r="O162" s="28" t="str">
        <x:v>контраст/комплементарность + матричный эффект</x:v>
      </x:c>
      <x:c r="P162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162" s="28" t="str">
        <x:v>Специфического тройничного эффекта обычно нет; кислотность усиливает слюноотделение.</x:v>
      </x:c>
      <x:c r="R162" s="28" t="str">
        <x:v>Белок и жир смягчают кислоту; ягодный соус должен сохранять достаточную концентрацию и соль.</x:v>
      </x:c>
      <x:c r="S16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16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16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62" s="28" t="str">
        <x:v>цитрус или огурец</x:v>
      </x:c>
      <x:c r="W162" s="28" t="str">
        <x:v>соус, глазировка, салат, сырная подача или горячее блюдо; маринад, гастрик, чатни, кетчуп или редукция</x:v>
      </x:c>
      <x:c r="X162" s="28" t="str">
        <x:v>еда; соусы/маринады</x:v>
      </x:c>
      <x:c r="Y162" s="28" t="str">
        <x:v>Средняя</x:v>
      </x:c>
      <x:c r="Z162" s="28" t="str">
        <x:v>The Art &amp; Science of Foodpairing</x:v>
      </x:c>
      <x:c r="AA162" s="28" t="str">
        <x:v>The Art &amp; Science of Foodpairing: 204</x:v>
      </x:c>
      <x:c r="AB162" s="28" t="str">
        <x:v>Ingredient pairings with Blueberry: lled turbot</x:v>
      </x:c>
      <x:c r="AC162" s="28" t="n">
        <x:v>1</x:v>
      </x:c>
      <x:c r="AD162" s="28" t="n">
        <x:v>1</x:v>
      </x:c>
    </x:row>
    <x:row r="163" ht="58" customHeight="1">
      <x:c r="A163" s="28" t="str">
        <x:v>BER-0162</x:v>
      </x:c>
      <x:c r="B163" s="28" t="str">
        <x:v>Напитки</x:v>
      </x:c>
      <x:c r="C163" s="28" t="str">
        <x:v>голубика</x:v>
      </x:c>
      <x:c r="D163" s="28" t="str">
        <x:v>Blueberry</x:v>
      </x:c>
      <x:c r="E163" s="28" t="str">
        <x:v>Ягоды и производные</x:v>
      </x:c>
      <x:c r="F163" s="28" t="str">
        <x:v>makrut lime leaf</x:v>
      </x:c>
      <x:c r="G163" s="28" t="str">
        <x:v>makrut lime leaf</x:v>
      </x:c>
      <x:c r="H163" s="28" t="str">
        <x:v>Цитрусовые</x:v>
      </x:c>
      <x:c r="I163" s="28" t="str">
        <x:v>зелёный, фруктовый, цветочный, цитрусовый</x:v>
      </x:c>
      <x:c r="J163" s="28" t="str">
        <x:v>зелёный, цветочный, цитрусовый</x:v>
      </x:c>
      <x:c r="K163" s="28" t="str">
        <x:v>C6-альдегиды, гераниол, линалоол, цитронеллол</x:v>
      </x:c>
      <x:c r="L163" s="28" t="str">
        <x:v>лимонен, линалоол, цитраль</x:v>
      </x:c>
      <x:c r="M163" s="28" t="str">
        <x:v>зелёный, цветочный, цитрусовый</x:v>
      </x:c>
      <x:c r="N163" s="28" t="str">
        <x:v>линалоол</x:v>
      </x:c>
      <x:c r="O163" s="28" t="str">
        <x:v>ароматическое сходство + вкусовой баланс</x:v>
      </x:c>
      <x:c r="P163" s="28" t="str">
        <x:v>Оба компонента формируют сладко-кислый, мягкий и кислый, свежий контур; сахар, кислота и горечь должны быть выровнены дегустацией.</x:v>
      </x:c>
      <x:c r="Q163" s="28" t="str">
        <x:v>Специфического тройничного эффекта обычно нет; кислотность усиливает слюноотделение.</x:v>
      </x:c>
      <x:c r="R163" s="28" t="str">
        <x:v>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</x:v>
      </x:c>
      <x:c r="S16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63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6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63" s="28" t="str">
        <x:v>мёд или базилик</x:v>
      </x:c>
      <x:c r="W163" s="28" t="str">
        <x:v>кордиал, лимонад, чай, коктейль, настой или ферментированный напиток; маринад, гастрик, чатни, кетчуп или редукция</x:v>
      </x:c>
      <x:c r="X163" s="28" t="str">
        <x:v>напитки; соусы/маринады</x:v>
      </x:c>
      <x:c r="Y163" s="28" t="str">
        <x:v>Средняя</x:v>
      </x:c>
      <x:c r="Z163" s="28" t="str">
        <x:v>The Art &amp; Science of Foodpairing</x:v>
      </x:c>
      <x:c r="AA163" s="28" t="str">
        <x:v>The Art &amp; Science of Foodpairing: 205</x:v>
      </x:c>
      <x:c r="AB163" s="28" t="str">
        <x:v>Ingredient pairings with Blueberry: makrut lime leaf</x:v>
      </x:c>
      <x:c r="AC163" s="28" t="n">
        <x:v>1</x:v>
      </x:c>
      <x:c r="AD163" s="28" t="n">
        <x:v>1</x:v>
      </x:c>
    </x:row>
    <x:row r="164" ht="58" customHeight="1">
      <x:c r="A164" s="28" t="str">
        <x:v>BER-0163</x:v>
      </x:c>
      <x:c r="B164" s="28" t="str">
        <x:v>Универсальные</x:v>
      </x:c>
      <x:c r="C164" s="28" t="str">
        <x:v>голубика</x:v>
      </x:c>
      <x:c r="D164" s="28" t="str">
        <x:v>Blueberry</x:v>
      </x:c>
      <x:c r="E164" s="28" t="str">
        <x:v>Ягоды и производные</x:v>
      </x:c>
      <x:c r="F164" s="28" t="str">
        <x:v>Malvasia Madeira, 10 years old</x:v>
      </x:c>
      <x:c r="G164" s="28" t="str">
        <x:v>Malvasia Madeira, 10 years old</x:v>
      </x:c>
      <x:c r="H164" s="28" t="str">
        <x:v>Прочее</x:v>
      </x:c>
      <x:c r="I164" s="28" t="str">
        <x:v>зелёный, фруктовый, цветочный, цитрусовый</x:v>
      </x:c>
      <x:c r="J164" s="28" t="str">
        <x:v>комплексный</x:v>
      </x:c>
      <x:c r="K164" s="28" t="str">
        <x:v>C6-альдегиды, гераниол, линалоол, цитронеллол</x:v>
      </x:c>
      <x:c r="L164" s="28" t="str">
        <x:v>нет надёжной конкретизации</x:v>
      </x:c>
      <x:c r="M164" s="28" t="str">
        <x:v>прямое совпадение семейств не установлено</x:v>
      </x:c>
      <x:c r="N164" s="28" t="str">
        <x:v>не подтверждены; механизм не сводится к одной общей молекуле</x:v>
      </x:c>
      <x:c r="O164" s="28" t="str">
        <x:v>контраст/комплементарность + матричный эффект</x:v>
      </x:c>
      <x:c r="P164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64" s="28" t="str">
        <x:v>Специфического тройничного эффекта обычно нет; кислотность усиливает слюноотделение.</x:v>
      </x:c>
      <x:c r="R164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6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6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6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64" s="28" t="str">
        <x:v>лимон или ваниль</x:v>
      </x:c>
      <x:c r="W164" s="28" t="str">
        <x:v>сенсорная проба в малой дозировке</x:v>
      </x:c>
      <x:c r="X164" s="28" t="str">
        <x:v>универсально</x:v>
      </x:c>
      <x:c r="Y164" s="28" t="str">
        <x:v>Средняя</x:v>
      </x:c>
      <x:c r="Z164" s="28" t="str">
        <x:v>The Art &amp; Science of Foodpairing</x:v>
      </x:c>
      <x:c r="AA164" s="28" t="str">
        <x:v>The Art &amp; Science of Foodpairing: 205</x:v>
      </x:c>
      <x:c r="AB164" s="28" t="str">
        <x:v>Ingredient pairings with Blueberry: Malvasia Madeira, 10 years old</x:v>
      </x:c>
      <x:c r="AC164" s="28" t="n">
        <x:v>1</x:v>
      </x:c>
      <x:c r="AD164" s="28" t="n">
        <x:v>1</x:v>
      </x:c>
    </x:row>
    <x:row r="165" ht="58" customHeight="1">
      <x:c r="A165" s="28" t="str">
        <x:v>BER-0164</x:v>
      </x:c>
      <x:c r="B165" s="28" t="str">
        <x:v>Универсальные</x:v>
      </x:c>
      <x:c r="C165" s="28" t="str">
        <x:v>голубика</x:v>
      </x:c>
      <x:c r="D165" s="28" t="str">
        <x:v>Blueberry</x:v>
      </x:c>
      <x:c r="E165" s="28" t="str">
        <x:v>Ягоды и производные</x:v>
      </x:c>
      <x:c r="F165" s="28" t="str">
        <x:v>maracuja</x:v>
      </x:c>
      <x:c r="G165" s="28" t="str">
        <x:v>maracuja</x:v>
      </x:c>
      <x:c r="H165" s="28" t="str">
        <x:v>Прочее</x:v>
      </x:c>
      <x:c r="I165" s="28" t="str">
        <x:v>зелёный, фруктовый, цветочный, цитрусовый</x:v>
      </x:c>
      <x:c r="J165" s="28" t="str">
        <x:v>комплексный</x:v>
      </x:c>
      <x:c r="K165" s="28" t="str">
        <x:v>C6-альдегиды, гераниол, линалоол, цитронеллол</x:v>
      </x:c>
      <x:c r="L165" s="28" t="str">
        <x:v>нет надёжной конкретизации</x:v>
      </x:c>
      <x:c r="M165" s="28" t="str">
        <x:v>прямое совпадение семейств не установлено</x:v>
      </x:c>
      <x:c r="N165" s="28" t="str">
        <x:v>не подтверждены; механизм не сводится к одной общей молекуле</x:v>
      </x:c>
      <x:c r="O165" s="28" t="str">
        <x:v>контраст/комплементарность + матричный эффект</x:v>
      </x:c>
      <x:c r="P165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65" s="28" t="str">
        <x:v>Специфического тройничного эффекта обычно нет; кислотность усиливает слюноотделение.</x:v>
      </x:c>
      <x:c r="R165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6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6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6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65" s="28" t="str">
        <x:v>лимон или ваниль</x:v>
      </x:c>
      <x:c r="W165" s="28" t="str">
        <x:v>сенсорная проба в малой дозировке</x:v>
      </x:c>
      <x:c r="X165" s="28" t="str">
        <x:v>универсально</x:v>
      </x:c>
      <x:c r="Y165" s="28" t="str">
        <x:v>Средняя</x:v>
      </x:c>
      <x:c r="Z165" s="28" t="str">
        <x:v>The Art &amp; Science of Foodpairing</x:v>
      </x:c>
      <x:c r="AA165" s="28" t="str">
        <x:v>The Art &amp; Science of Foodpairing: 205</x:v>
      </x:c>
      <x:c r="AB165" s="28" t="str">
        <x:v>Ingredient pairings with Blueberry: maracuja</x:v>
      </x:c>
      <x:c r="AC165" s="28" t="n">
        <x:v>1</x:v>
      </x:c>
      <x:c r="AD165" s="28" t="n">
        <x:v>1</x:v>
      </x:c>
    </x:row>
    <x:row r="166" ht="58" customHeight="1">
      <x:c r="A166" s="28" t="str">
        <x:v>BER-0165</x:v>
      </x:c>
      <x:c r="B166" s="28" t="str">
        <x:v>Универсальные</x:v>
      </x:c>
      <x:c r="C166" s="28" t="str">
        <x:v>голубика</x:v>
      </x:c>
      <x:c r="D166" s="28" t="str">
        <x:v>Blueberry</x:v>
      </x:c>
      <x:c r="E166" s="28" t="str">
        <x:v>Ягоды и производные</x:v>
      </x:c>
      <x:c r="F166" s="28" t="str">
        <x:v>meg</x:v>
      </x:c>
      <x:c r="G166" s="28" t="str">
        <x:v>meg</x:v>
      </x:c>
      <x:c r="H166" s="28" t="str">
        <x:v>Прочее</x:v>
      </x:c>
      <x:c r="I166" s="28" t="str">
        <x:v>зелёный, фруктовый, цветочный, цитрусовый</x:v>
      </x:c>
      <x:c r="J166" s="28" t="str">
        <x:v>комплексный</x:v>
      </x:c>
      <x:c r="K166" s="28" t="str">
        <x:v>C6-альдегиды, гераниол, линалоол, цитронеллол</x:v>
      </x:c>
      <x:c r="L166" s="28" t="str">
        <x:v>нет надёжной конкретизации</x:v>
      </x:c>
      <x:c r="M166" s="28" t="str">
        <x:v>прямое совпадение семейств не установлено</x:v>
      </x:c>
      <x:c r="N166" s="28" t="str">
        <x:v>не подтверждены; механизм не сводится к одной общей молекуле</x:v>
      </x:c>
      <x:c r="O166" s="28" t="str">
        <x:v>контраст/комплементарность + матричный эффект</x:v>
      </x:c>
      <x:c r="P166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66" s="28" t="str">
        <x:v>Специфического тройничного эффекта обычно нет; кислотность усиливает слюноотделение.</x:v>
      </x:c>
      <x:c r="R166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6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6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6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66" s="28" t="str">
        <x:v>лимон или ваниль</x:v>
      </x:c>
      <x:c r="W166" s="28" t="str">
        <x:v>сенсорная проба в малой дозировке</x:v>
      </x:c>
      <x:c r="X166" s="28" t="str">
        <x:v>универсально</x:v>
      </x:c>
      <x:c r="Y166" s="28" t="str">
        <x:v>Средняя</x:v>
      </x:c>
      <x:c r="Z166" s="28" t="str">
        <x:v>The Art &amp; Science of Foodpairing</x:v>
      </x:c>
      <x:c r="AA166" s="28" t="str">
        <x:v>The Art &amp; Science of Foodpairing: 204</x:v>
      </x:c>
      <x:c r="AB166" s="28" t="str">
        <x:v>Ingredient pairings with Blueberry: meg | Ingredient pairings with Blueberry: meg</x:v>
      </x:c>
      <x:c r="AC166" s="28" t="n">
        <x:v>1</x:v>
      </x:c>
      <x:c r="AD166" s="28" t="n">
        <x:v>2</x:v>
      </x:c>
    </x:row>
    <x:row r="167" ht="58" customHeight="1">
      <x:c r="A167" s="28" t="str">
        <x:v>BER-0166</x:v>
      </x:c>
      <x:c r="B167" s="28" t="str">
        <x:v>Десерты и выпечка</x:v>
      </x:c>
      <x:c r="C167" s="28" t="str">
        <x:v>голубика</x:v>
      </x:c>
      <x:c r="D167" s="28" t="str">
        <x:v>Blueberry</x:v>
      </x:c>
      <x:c r="E167" s="28" t="str">
        <x:v>Ягоды и производные</x:v>
      </x:c>
      <x:c r="F167" s="28" t="str">
        <x:v>melted butter</x:v>
      </x:c>
      <x:c r="G167" s="28" t="str">
        <x:v>melted butter</x:v>
      </x:c>
      <x:c r="H167" s="28" t="str">
        <x:v>Молочные продукты и сыры</x:v>
      </x:c>
      <x:c r="I167" s="28" t="str">
        <x:v>зелёный, фруктовый, цветочный, цитрусовый</x:v>
      </x:c>
      <x:c r="J167" s="28" t="str">
        <x:v>масляный, молочный, сливочный, сырный</x:v>
      </x:c>
      <x:c r="K167" s="28" t="str">
        <x:v>C6-альдегиды, гераниол, линалоол, цитронеллол</x:v>
      </x:c>
      <x:c r="L167" s="28" t="str">
        <x:v>диацетил, жирные кислоты, лактоны</x:v>
      </x:c>
      <x:c r="M167" s="28" t="str">
        <x:v>прямое совпадение семейств не установлено</x:v>
      </x:c>
      <x:c r="N167" s="28" t="str">
        <x:v>не подтверждены; механизм не сводится к одной общей молекуле</x:v>
      </x:c>
      <x:c r="O167" s="28" t="str">
        <x:v>контраст/комплементарность + матричный эффект</x:v>
      </x:c>
      <x:c r="P167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167" s="28" t="str">
        <x:v>Специфического тройничного эффекта обычно нет; кислотность усиливает слюноотделение.</x:v>
      </x:c>
      <x:c r="R167" s="28" t="str">
        <x:v>Жировая фаза удерживает гидрофобные одоранты и продлевает послевкусие; кислотность ягод повышает слюноотделение.</x:v>
      </x:c>
      <x:c r="S16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16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167" s="28" t="str">
        <x:v>Высокая кислотность может свернуть молочный белок; смешивать при контролируемой температуре.</x:v>
      </x:c>
      <x:c r="V167" s="28" t="str">
        <x:v>мёд или миндаль</x:v>
      </x:c>
      <x:c r="W167" s="28" t="str">
        <x:v>сорбет, крем, ганаш, выпечка, джем или соус для десерта; соус, глазировка, салат, сырная подача или горячее блюдо</x:v>
      </x:c>
      <x:c r="X167" s="28" t="str">
        <x:v>десерты; еда</x:v>
      </x:c>
      <x:c r="Y167" s="28" t="str">
        <x:v>Средняя</x:v>
      </x:c>
      <x:c r="Z167" s="28" t="str">
        <x:v>The Art &amp; Science of Foodpairing</x:v>
      </x:c>
      <x:c r="AA167" s="28" t="str">
        <x:v>The Art &amp; Science of Foodpairing: 205</x:v>
      </x:c>
      <x:c r="AB167" s="28" t="str">
        <x:v>Ingredient pairings with Blueberry: melted butter</x:v>
      </x:c>
      <x:c r="AC167" s="28" t="n">
        <x:v>1</x:v>
      </x:c>
      <x:c r="AD167" s="28" t="n">
        <x:v>1</x:v>
      </x:c>
    </x:row>
    <x:row r="168" ht="58" customHeight="1">
      <x:c r="A168" s="28" t="str">
        <x:v>BER-0167</x:v>
      </x:c>
      <x:c r="B168" s="28" t="str">
        <x:v>Универсальные</x:v>
      </x:c>
      <x:c r="C168" s="28" t="str">
        <x:v>голубика</x:v>
      </x:c>
      <x:c r="D168" s="28" t="str">
        <x:v>Blueberry</x:v>
      </x:c>
      <x:c r="E168" s="28" t="str">
        <x:v>Ягоды и производные</x:v>
      </x:c>
      <x:c r="F168" s="28" t="str">
        <x:v>mint Sich</x:v>
      </x:c>
      <x:c r="G168" s="28" t="str">
        <x:v>mint Sich</x:v>
      </x:c>
      <x:c r="H168" s="28" t="str">
        <x:v>Травы и цветы</x:v>
      </x:c>
      <x:c r="I168" s="28" t="str">
        <x:v>зелёный, фруктовый, цветочный, цитрусовый</x:v>
      </x:c>
      <x:c r="J168" s="28" t="str">
        <x:v>зелёный, травянистый, цветочный</x:v>
      </x:c>
      <x:c r="K168" s="28" t="str">
        <x:v>C6-альдегиды, гераниол, линалоол, цитронеллол</x:v>
      </x:c>
      <x:c r="L168" s="28" t="str">
        <x:v>гераниол, линалоол, терпены, эвгенол</x:v>
      </x:c>
      <x:c r="M168" s="28" t="str">
        <x:v>зелёный, цветочный</x:v>
      </x:c>
      <x:c r="N168" s="28" t="str">
        <x:v>гераниол, линалоол</x:v>
      </x:c>
      <x:c r="O168" s="28" t="str">
        <x:v>ароматическое сходство + вкусовой баланс</x:v>
      </x:c>
      <x:c r="P168" s="28" t="str">
        <x:v>Ягодная сладость смягчает горечь и пряность, а кислотность делает горьковатый, свежий профиль ярче.</x:v>
      </x:c>
      <x:c r="Q168" s="28" t="str">
        <x:v>Специфического тройничного эффекта обычно нет; кислотность усиливает слюноотделение.</x:v>
      </x:c>
      <x:c r="R168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16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68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6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68" s="28" t="str">
        <x:v>лимон или мёд</x:v>
      </x:c>
      <x:c r="W16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168" s="28" t="str">
        <x:v>напитки; еда; соусы/маринады</x:v>
      </x:c>
      <x:c r="Y168" s="28" t="str">
        <x:v>Средняя</x:v>
      </x:c>
      <x:c r="Z168" s="28" t="str">
        <x:v>The Art &amp; Science of Foodpairing</x:v>
      </x:c>
      <x:c r="AA168" s="28" t="str">
        <x:v>The Art &amp; Science of Foodpairing: 204</x:v>
      </x:c>
      <x:c r="AB168" s="28" t="str">
        <x:v>Ingredient pairings with Blueberry: mint Sich</x:v>
      </x:c>
      <x:c r="AC168" s="28" t="n">
        <x:v>1</x:v>
      </x:c>
      <x:c r="AD168" s="28" t="n">
        <x:v>1</x:v>
      </x:c>
    </x:row>
    <x:row r="169" ht="58" customHeight="1">
      <x:c r="A169" s="28" t="str">
        <x:v>BER-0168</x:v>
      </x:c>
      <x:c r="B169" s="28" t="str">
        <x:v>Универсальные</x:v>
      </x:c>
      <x:c r="C169" s="28" t="str">
        <x:v>голубика</x:v>
      </x:c>
      <x:c r="D169" s="28" t="str">
        <x:v>Blueberry</x:v>
      </x:c>
      <x:c r="E169" s="28" t="str">
        <x:v>Ягоды и производные</x:v>
      </x:c>
      <x:c r="F169" s="28" t="str">
        <x:v>ot</x:v>
      </x:c>
      <x:c r="G169" s="28" t="str">
        <x:v>ot</x:v>
      </x:c>
      <x:c r="H169" s="28" t="str">
        <x:v>Прочее</x:v>
      </x:c>
      <x:c r="I169" s="28" t="str">
        <x:v>зелёный, фруктовый, цветочный, цитрусовый</x:v>
      </x:c>
      <x:c r="J169" s="28" t="str">
        <x:v>комплексный</x:v>
      </x:c>
      <x:c r="K169" s="28" t="str">
        <x:v>C6-альдегиды, гераниол, линалоол, цитронеллол</x:v>
      </x:c>
      <x:c r="L169" s="28" t="str">
        <x:v>нет надёжной конкретизации</x:v>
      </x:c>
      <x:c r="M169" s="28" t="str">
        <x:v>прямое совпадение семейств не установлено</x:v>
      </x:c>
      <x:c r="N169" s="28" t="str">
        <x:v>не подтверждены; механизм не сводится к одной общей молекуле</x:v>
      </x:c>
      <x:c r="O169" s="28" t="str">
        <x:v>контраст/комплементарность + матричный эффект</x:v>
      </x:c>
      <x:c r="P169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69" s="28" t="str">
        <x:v>Специфического тройничного эффекта обычно нет; кислотность усиливает слюноотделение.</x:v>
      </x:c>
      <x:c r="R169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6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6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6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69" s="28" t="str">
        <x:v>лимон или ваниль</x:v>
      </x:c>
      <x:c r="W169" s="28" t="str">
        <x:v>сенсорная проба в малой дозировке</x:v>
      </x:c>
      <x:c r="X169" s="28" t="str">
        <x:v>универсально</x:v>
      </x:c>
      <x:c r="Y169" s="28" t="str">
        <x:v>Средняя</x:v>
      </x:c>
      <x:c r="Z169" s="28" t="str">
        <x:v>The Art &amp; Science of Foodpairing</x:v>
      </x:c>
      <x:c r="AA169" s="28" t="str">
        <x:v>The Art &amp; Science of Foodpairing: 204</x:v>
      </x:c>
      <x:c r="AB169" s="28" t="str">
        <x:v>Ingredient pairings with Blueberry: ot</x:v>
      </x:c>
      <x:c r="AC169" s="28" t="n">
        <x:v>1</x:v>
      </x:c>
      <x:c r="AD169" s="28" t="n">
        <x:v>1</x:v>
      </x:c>
    </x:row>
    <x:row r="170" ht="58" customHeight="1">
      <x:c r="A170" s="28" t="str">
        <x:v>BER-0169</x:v>
      </x:c>
      <x:c r="B170" s="28" t="str">
        <x:v>Универсальные</x:v>
      </x:c>
      <x:c r="C170" s="28" t="str">
        <x:v>голубика</x:v>
      </x:c>
      <x:c r="D170" s="28" t="str">
        <x:v>Blueberry</x:v>
      </x:c>
      <x:c r="E170" s="28" t="str">
        <x:v>Ягоды и производные</x:v>
      </x:c>
      <x:c r="F170" s="28" t="str">
        <x:v>oven-жареный potato</x:v>
      </x:c>
      <x:c r="G170" s="28" t="str">
        <x:v>oven-roasted potato</x:v>
      </x:c>
      <x:c r="H170" s="28" t="str">
        <x:v>Прочее</x:v>
      </x:c>
      <x:c r="I170" s="28" t="str">
        <x:v>зелёный, фруктовый, цветочный, цитрусовый</x:v>
      </x:c>
      <x:c r="J170" s="28" t="str">
        <x:v>комплексный</x:v>
      </x:c>
      <x:c r="K170" s="28" t="str">
        <x:v>C6-альдегиды, гераниол, линалоол, цитронеллол</x:v>
      </x:c>
      <x:c r="L170" s="28" t="str">
        <x:v>нет надёжной конкретизации</x:v>
      </x:c>
      <x:c r="M170" s="28" t="str">
        <x:v>прямое совпадение семейств не установлено</x:v>
      </x:c>
      <x:c r="N170" s="28" t="str">
        <x:v>не подтверждены; механизм не сводится к одной общей молекуле</x:v>
      </x:c>
      <x:c r="O170" s="28" t="str">
        <x:v>контраст/комплементарность + матричный эффект</x:v>
      </x:c>
      <x:c r="P170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70" s="28" t="str">
        <x:v>Специфического тройничного эффекта обычно нет; кислотность усиливает слюноотделение.</x:v>
      </x:c>
      <x:c r="R170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7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7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7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70" s="28" t="str">
        <x:v>лимон или ваниль</x:v>
      </x:c>
      <x:c r="W170" s="28" t="str">
        <x:v>сенсорная проба в малой дозировке</x:v>
      </x:c>
      <x:c r="X170" s="28" t="str">
        <x:v>универсально</x:v>
      </x:c>
      <x:c r="Y170" s="28" t="str">
        <x:v>Средняя</x:v>
      </x:c>
      <x:c r="Z170" s="28" t="str">
        <x:v>The Art &amp; Science of Foodpairing</x:v>
      </x:c>
      <x:c r="AA170" s="28" t="str">
        <x:v>The Art &amp; Science of Foodpairing: 204</x:v>
      </x:c>
      <x:c r="AB170" s="28" t="str">
        <x:v>Ingredient pairings with Blueberry: oven-roasted potato</x:v>
      </x:c>
      <x:c r="AC170" s="28" t="n">
        <x:v>1</x:v>
      </x:c>
      <x:c r="AD170" s="28" t="n">
        <x:v>1</x:v>
      </x:c>
    </x:row>
    <x:row r="171" ht="58" customHeight="1">
      <x:c r="A171" s="28" t="str">
        <x:v>BER-0170</x:v>
      </x:c>
      <x:c r="B171" s="28" t="str">
        <x:v>Напитки</x:v>
      </x:c>
      <x:c r="C171" s="28" t="str">
        <x:v>голубика</x:v>
      </x:c>
      <x:c r="D171" s="28" t="str">
        <x:v>Blueberry</x:v>
      </x:c>
      <x:c r="E171" s="28" t="str">
        <x:v>Ягоды и производные</x:v>
      </x:c>
      <x:c r="F171" s="28" t="str">
        <x:v>oven-приготовленный steak</x:v>
      </x:c>
      <x:c r="G171" s="28" t="str">
        <x:v>oven-cooked steak</x:v>
      </x:c>
      <x:c r="H171" s="28" t="str">
        <x:v>Чай и безалкогольные напитки</x:v>
      </x:c>
      <x:c r="I171" s="28" t="str">
        <x:v>зелёный, фруктовый, цветочный, цитрусовый</x:v>
      </x:c>
      <x:c r="J171" s="28" t="str">
        <x:v>терпкий, травянистый, цветочный</x:v>
      </x:c>
      <x:c r="K171" s="28" t="str">
        <x:v>C6-альдегиды, гераниол, линалоол, цитронеллол</x:v>
      </x:c>
      <x:c r="L171" s="28" t="str">
        <x:v>гераниол, линалоол, полифенолы</x:v>
      </x:c>
      <x:c r="M171" s="28" t="str">
        <x:v>цветочный</x:v>
      </x:c>
      <x:c r="N171" s="28" t="str">
        <x:v>гераниол, линалоол</x:v>
      </x:c>
      <x:c r="O171" s="28" t="str">
        <x:v>ароматическое сходство + вкусовой баланс</x:v>
      </x:c>
      <x:c r="P171" s="28" t="str">
        <x:v>Оба компонента формируют сладко-кислый, мягкий и горьковатый, терпкий контур; сахар, кислота и горечь должны быть выровнены дегустацией.</x:v>
      </x:c>
      <x:c r="Q171" s="28" t="str">
        <x:v>Специфического тройничного эффекта обычно нет; кислотность усиливает слюноотделение.</x:v>
      </x:c>
      <x:c r="R171" s="28" t="str">
        <x:v>Ягода: нежный аромат легко теряется на фоне сильной сладости. Партнёр: водная матрица; температура определяет экстракцию. В воде аромат раскрывается быстрее, в жире и этаноле — дольше удерживается.</x:v>
      </x:c>
      <x:c r="S17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71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терпкий, травянистый, цветочный. Оба компонента формируют сладко-кислый, мягкий и горьковатый, терпкий контур; сахар, кислота и горечь должны быть выровнены дегустацией. Ягода: нежный аромат легко теряется на фоне сильной сладости. Партнёр: водная матрица; температура определяет экстракцию.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7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71" s="28" t="str">
        <x:v>мёд или лимон</x:v>
      </x:c>
      <x:c r="W171" s="28" t="str">
        <x:v>кордиал, лимонад, чай, коктейль, настой или ферментированный напиток</x:v>
      </x:c>
      <x:c r="X171" s="28" t="str">
        <x:v>напитки</x:v>
      </x:c>
      <x:c r="Y171" s="28" t="str">
        <x:v>Средняя</x:v>
      </x:c>
      <x:c r="Z171" s="28" t="str">
        <x:v>The Art &amp; Science of Foodpairing</x:v>
      </x:c>
      <x:c r="AA171" s="28" t="str">
        <x:v>The Art &amp; Science of Foodpairing: 205</x:v>
      </x:c>
      <x:c r="AB171" s="28" t="str">
        <x:v>Ingredient pairings with Blueberry: oven-cooked steak</x:v>
      </x:c>
      <x:c r="AC171" s="28" t="n">
        <x:v>1</x:v>
      </x:c>
      <x:c r="AD171" s="28" t="n">
        <x:v>1</x:v>
      </x:c>
    </x:row>
    <x:row r="172" ht="58" customHeight="1">
      <x:c r="A172" s="28" t="str">
        <x:v>BER-0171</x:v>
      </x:c>
      <x:c r="B172" s="28" t="str">
        <x:v>Еда и соусы</x:v>
      </x:c>
      <x:c r="C172" s="28" t="str">
        <x:v>голубика</x:v>
      </x:c>
      <x:c r="D172" s="28" t="str">
        <x:v>Blueberry</x:v>
      </x:c>
      <x:c r="E172" s="28" t="str">
        <x:v>Ягоды и производные</x:v>
      </x:c>
      <x:c r="F172" s="28" t="str">
        <x:v>parma ham</x:v>
      </x:c>
      <x:c r="G172" s="28" t="str">
        <x:v>Parma ham</x:v>
      </x:c>
      <x:c r="H172" s="28" t="str">
        <x:v>Мясо и птица</x:v>
      </x:c>
      <x:c r="I172" s="28" t="str">
        <x:v>зелёный, фруктовый, цветочный, цитрусовый</x:v>
      </x:c>
      <x:c r="J172" s="28" t="str">
        <x:v>жареный, жирный, сернистый, умами</x:v>
      </x:c>
      <x:c r="K172" s="28" t="str">
        <x:v>C6-альдегиды, гераниол, линалоол, цитронеллол</x:v>
      </x:c>
      <x:c r="L172" s="28" t="str">
        <x:v>альдегиды, пиразины, сернистые соединения</x:v>
      </x:c>
      <x:c r="M172" s="28" t="str">
        <x:v>прямое совпадение семейств не установлено</x:v>
      </x:c>
      <x:c r="N172" s="28" t="str">
        <x:v>не подтверждены; механизм не сводится к одной общей молекуле</x:v>
      </x:c>
      <x:c r="O172" s="28" t="str">
        <x:v>контраст/комплементарность + матричный эффект</x:v>
      </x:c>
      <x:c r="P172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172" s="28" t="str">
        <x:v>Специфического тройничного эффекта обычно нет; кислотность усиливает слюноотделение.</x:v>
      </x:c>
      <x:c r="R172" s="28" t="str">
        <x:v>Жировая фаза удерживает гидрофобные одоранты и продлевает послевкусие; кислотность ягод повышает слюноотделение.</x:v>
      </x:c>
      <x:c r="S17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17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17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72" s="28" t="str">
        <x:v>красное вино или чёрный перец</x:v>
      </x:c>
      <x:c r="W172" s="28" t="str">
        <x:v>соус, глазировка, салат, сырная подача или горячее блюдо; маринад, гастрик, чатни, кетчуп или редукция</x:v>
      </x:c>
      <x:c r="X172" s="28" t="str">
        <x:v>еда; соусы/маринады</x:v>
      </x:c>
      <x:c r="Y172" s="28" t="str">
        <x:v>Средняя</x:v>
      </x:c>
      <x:c r="Z172" s="28" t="str">
        <x:v>The Art &amp; Science of Foodpairing</x:v>
      </x:c>
      <x:c r="AA172" s="28" t="str">
        <x:v>The Art &amp; Science of Foodpairing: 205</x:v>
      </x:c>
      <x:c r="AB172" s="28" t="str">
        <x:v>Ingredient pairings with Blueberry: Parma ham | Ingredient pairings with Blueberry: Parma ham</x:v>
      </x:c>
      <x:c r="AC172" s="28" t="n">
        <x:v>1</x:v>
      </x:c>
      <x:c r="AD172" s="28" t="n">
        <x:v>2</x:v>
      </x:c>
    </x:row>
    <x:row r="173" ht="58" customHeight="1">
      <x:c r="A173" s="28" t="str">
        <x:v>BER-0172</x:v>
      </x:c>
      <x:c r="B173" s="28" t="str">
        <x:v>Универсальные</x:v>
      </x:c>
      <x:c r="C173" s="28" t="str">
        <x:v>голубика</x:v>
      </x:c>
      <x:c r="D173" s="28" t="str">
        <x:v>Blueberry</x:v>
      </x:c>
      <x:c r="E173" s="28" t="str">
        <x:v>Ягоды и производные</x:v>
      </x:c>
      <x:c r="F173" s="28" t="str">
        <x:v>pickled sakura leaf drie</x:v>
      </x:c>
      <x:c r="G173" s="28" t="str">
        <x:v>pickled sakura leaf drie</x:v>
      </x:c>
      <x:c r="H173" s="28" t="str">
        <x:v>Травы и цветы</x:v>
      </x:c>
      <x:c r="I173" s="28" t="str">
        <x:v>зелёный, фруктовый, цветочный, цитрусовый</x:v>
      </x:c>
      <x:c r="J173" s="28" t="str">
        <x:v>зелёный, травянистый, цветочный</x:v>
      </x:c>
      <x:c r="K173" s="28" t="str">
        <x:v>C6-альдегиды, гераниол, линалоол, цитронеллол</x:v>
      </x:c>
      <x:c r="L173" s="28" t="str">
        <x:v>гераниол, линалоол, терпены, эвгенол</x:v>
      </x:c>
      <x:c r="M173" s="28" t="str">
        <x:v>зелёный, цветочный</x:v>
      </x:c>
      <x:c r="N173" s="28" t="str">
        <x:v>гераниол, линалоол</x:v>
      </x:c>
      <x:c r="O173" s="28" t="str">
        <x:v>ароматическое сходство + вкусовой баланс</x:v>
      </x:c>
      <x:c r="P173" s="28" t="str">
        <x:v>Ягодная сладость смягчает горечь и пряность, а кислотность делает горьковатый, свежий профиль ярче.</x:v>
      </x:c>
      <x:c r="Q173" s="28" t="str">
        <x:v>Специфического тройничного эффекта обычно нет; кислотность усиливает слюноотделение.</x:v>
      </x:c>
      <x:c r="R173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17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73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7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73" s="28" t="str">
        <x:v>лимон или мёд</x:v>
      </x:c>
      <x:c r="W173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173" s="28" t="str">
        <x:v>напитки; еда; соусы/маринады</x:v>
      </x:c>
      <x:c r="Y173" s="28" t="str">
        <x:v>Средняя</x:v>
      </x:c>
      <x:c r="Z173" s="28" t="str">
        <x:v>The Art &amp; Science of Foodpairing</x:v>
      </x:c>
      <x:c r="AA173" s="28" t="str">
        <x:v>The Art &amp; Science of Foodpairing: 204</x:v>
      </x:c>
      <x:c r="AB173" s="28" t="str">
        <x:v>Ingredient pairings with Blueberry: pickled sakura leaf drie</x:v>
      </x:c>
      <x:c r="AC173" s="28" t="n">
        <x:v>1</x:v>
      </x:c>
      <x:c r="AD173" s="28" t="n">
        <x:v>1</x:v>
      </x:c>
    </x:row>
    <x:row r="174" ht="58" customHeight="1">
      <x:c r="A174" s="28" t="str">
        <x:v>BER-0173</x:v>
      </x:c>
      <x:c r="B174" s="28" t="str">
        <x:v>Универсальные</x:v>
      </x:c>
      <x:c r="C174" s="28" t="str">
        <x:v>голубика</x:v>
      </x:c>
      <x:c r="D174" s="28" t="str">
        <x:v>Blueberry</x:v>
      </x:c>
      <x:c r="E174" s="28" t="str">
        <x:v>Ягоды и производные</x:v>
      </x:c>
      <x:c r="F174" s="28" t="str">
        <x:v>ple sec</x:v>
      </x:c>
      <x:c r="G174" s="28" t="str">
        <x:v>ple sec</x:v>
      </x:c>
      <x:c r="H174" s="28" t="str">
        <x:v>Прочее</x:v>
      </x:c>
      <x:c r="I174" s="28" t="str">
        <x:v>зелёный, фруктовый, цветочный, цитрусовый</x:v>
      </x:c>
      <x:c r="J174" s="28" t="str">
        <x:v>комплексный</x:v>
      </x:c>
      <x:c r="K174" s="28" t="str">
        <x:v>C6-альдегиды, гераниол, линалоол, цитронеллол</x:v>
      </x:c>
      <x:c r="L174" s="28" t="str">
        <x:v>нет надёжной конкретизации</x:v>
      </x:c>
      <x:c r="M174" s="28" t="str">
        <x:v>прямое совпадение семейств не установлено</x:v>
      </x:c>
      <x:c r="N174" s="28" t="str">
        <x:v>не подтверждены; механизм не сводится к одной общей молекуле</x:v>
      </x:c>
      <x:c r="O174" s="28" t="str">
        <x:v>контраст/комплементарность + матричный эффект</x:v>
      </x:c>
      <x:c r="P174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74" s="28" t="str">
        <x:v>Специфического тройничного эффекта обычно нет; кислотность усиливает слюноотделение.</x:v>
      </x:c>
      <x:c r="R174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7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7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7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74" s="28" t="str">
        <x:v>лимон или ваниль</x:v>
      </x:c>
      <x:c r="W174" s="28" t="str">
        <x:v>сенсорная проба в малой дозировке</x:v>
      </x:c>
      <x:c r="X174" s="28" t="str">
        <x:v>универсально</x:v>
      </x:c>
      <x:c r="Y174" s="28" t="str">
        <x:v>Средняя</x:v>
      </x:c>
      <x:c r="Z174" s="28" t="str">
        <x:v>The Art &amp; Science of Foodpairing</x:v>
      </x:c>
      <x:c r="AA174" s="28" t="str">
        <x:v>The Art &amp; Science of Foodpairing: 204</x:v>
      </x:c>
      <x:c r="AB174" s="28" t="str">
        <x:v>Ingredient pairings with Blueberry: ple sec</x:v>
      </x:c>
      <x:c r="AC174" s="28" t="n">
        <x:v>1</x:v>
      </x:c>
      <x:c r="AD174" s="28" t="n">
        <x:v>1</x:v>
      </x:c>
    </x:row>
    <x:row r="175" ht="58" customHeight="1">
      <x:c r="A175" s="28" t="str">
        <x:v>BER-0174</x:v>
      </x:c>
      <x:c r="B175" s="28" t="str">
        <x:v>Десерты и выпечка</x:v>
      </x:c>
      <x:c r="C175" s="28" t="str">
        <x:v>голубика</x:v>
      </x:c>
      <x:c r="D175" s="28" t="str">
        <x:v>Blueberry</x:v>
      </x:c>
      <x:c r="E175" s="28" t="str">
        <x:v>Ягоды и производные</x:v>
      </x:c>
      <x:c r="F175" s="28" t="str">
        <x:v>polish blue cheese</x:v>
      </x:c>
      <x:c r="G175" s="28" t="str">
        <x:v>Polish blue cheese</x:v>
      </x:c>
      <x:c r="H175" s="28" t="str">
        <x:v>Молочные продукты и сыры</x:v>
      </x:c>
      <x:c r="I175" s="28" t="str">
        <x:v>зелёный, фруктовый, цветочный, цитрусовый</x:v>
      </x:c>
      <x:c r="J175" s="28" t="str">
        <x:v>масляный, молочный, сливочный, сырный</x:v>
      </x:c>
      <x:c r="K175" s="28" t="str">
        <x:v>C6-альдегиды, гераниол, линалоол, цитронеллол</x:v>
      </x:c>
      <x:c r="L175" s="28" t="str">
        <x:v>диацетил, жирные кислоты, лактоны</x:v>
      </x:c>
      <x:c r="M175" s="28" t="str">
        <x:v>прямое совпадение семейств не установлено</x:v>
      </x:c>
      <x:c r="N175" s="28" t="str">
        <x:v>не подтверждены; механизм не сводится к одной общей молекуле</x:v>
      </x:c>
      <x:c r="O175" s="28" t="str">
        <x:v>контраст/комплементарность + матричный эффект</x:v>
      </x:c>
      <x:c r="P175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175" s="28" t="str">
        <x:v>Специфического тройничного эффекта обычно нет; кислотность усиливает слюноотделение.</x:v>
      </x:c>
      <x:c r="R175" s="28" t="str">
        <x:v>Жировая фаза удерживает гидрофобные одоранты и продлевает послевкусие; кислотность ягод повышает слюноотделение.</x:v>
      </x:c>
      <x:c r="S17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17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175" s="28" t="str">
        <x:v>Высокая кислотность может свернуть молочный белок; смешивать при контролируемой температуре.</x:v>
      </x:c>
      <x:c r="V175" s="28" t="str">
        <x:v>мёд или миндаль</x:v>
      </x:c>
      <x:c r="W175" s="28" t="str">
        <x:v>сорбет, крем, ганаш, выпечка, джем или соус для десерта; соус, глазировка, салат, сырная подача или горячее блюдо</x:v>
      </x:c>
      <x:c r="X175" s="28" t="str">
        <x:v>десерты; еда</x:v>
      </x:c>
      <x:c r="Y175" s="28" t="str">
        <x:v>Средняя</x:v>
      </x:c>
      <x:c r="Z175" s="28" t="str">
        <x:v>The Art &amp; Science of Foodpairing</x:v>
      </x:c>
      <x:c r="AA175" s="28" t="str">
        <x:v>The Art &amp; Science of Foodpairing: 204</x:v>
      </x:c>
      <x:c r="AB175" s="28" t="str">
        <x:v>Ingredient pairings with Blueberry: Polish blue cheese</x:v>
      </x:c>
      <x:c r="AC175" s="28" t="n">
        <x:v>1</x:v>
      </x:c>
      <x:c r="AD175" s="28" t="n">
        <x:v>1</x:v>
      </x:c>
    </x:row>
    <x:row r="176" ht="58" customHeight="1">
      <x:c r="A176" s="28" t="str">
        <x:v>BER-0175</x:v>
      </x:c>
      <x:c r="B176" s="28" t="str">
        <x:v>Универсальные</x:v>
      </x:c>
      <x:c r="C176" s="28" t="str">
        <x:v>голубика</x:v>
      </x:c>
      <x:c r="D176" s="28" t="str">
        <x:v>Blueberry</x:v>
      </x:c>
      <x:c r="E176" s="28" t="str">
        <x:v>Ягоды и производные</x:v>
      </x:c>
      <x:c r="F176" s="28" t="str">
        <x:v>red bell pepper</x:v>
      </x:c>
      <x:c r="G176" s="28" t="str">
        <x:v>red bell pepper</x:v>
      </x:c>
      <x:c r="H176" s="28" t="str">
        <x:v>Специи</x:v>
      </x:c>
      <x:c r="I176" s="28" t="str">
        <x:v>зелёный, фруктовый, цветочный, цитрусовый</x:v>
      </x:c>
      <x:c r="J176" s="28" t="str">
        <x:v>древесный, пряный, тёплый</x:v>
      </x:c>
      <x:c r="K176" s="28" t="str">
        <x:v>C6-альдегиды, гераниол, линалоол, цитронеллол</x:v>
      </x:c>
      <x:c r="L176" s="28" t="str">
        <x:v>коричный альдегид, терпены, эвгенол</x:v>
      </x:c>
      <x:c r="M176" s="28" t="str">
        <x:v>прямое совпадение семейств не установлено</x:v>
      </x:c>
      <x:c r="N176" s="28" t="str">
        <x:v>не подтверждены; механизм не сводится к одной общей молекуле</x:v>
      </x:c>
      <x:c r="O176" s="28" t="str">
        <x:v>контраст/комплементарность + матричный эффект</x:v>
      </x:c>
      <x:c r="P176" s="28" t="str">
        <x:v>Ягодная сладость смягчает горечь и пряность, а кислотность делает пряный, иногда горький профиль ярче.</x:v>
      </x:c>
      <x:c r="Q176" s="28" t="str">
        <x:v>Кислотность ягоды усиливает слюноотделение, а капсаицин/пиперин/гингеролы дают тепло и покалывание; дозировка должна быть низкой.</x:v>
      </x:c>
      <x:c r="R176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17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7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76" s="28" t="str">
        <x:v>Пряность дозировать как акцент: она быстро перекрывает тонкие ягодные эфиры.</x:v>
      </x:c>
      <x:c r="V176" s="28" t="str">
        <x:v>мёд или цитрус</x:v>
      </x:c>
      <x:c r="W17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176" s="28" t="str">
        <x:v>напитки; десерты; еда; соусы/маринады</x:v>
      </x:c>
      <x:c r="Y176" s="28" t="str">
        <x:v>Средняя</x:v>
      </x:c>
      <x:c r="Z176" s="28" t="str">
        <x:v>The Art &amp; Science of Foodpairing</x:v>
      </x:c>
      <x:c r="AA176" s="28" t="str">
        <x:v>The Art &amp; Science of Foodpairing: 205</x:v>
      </x:c>
      <x:c r="AB176" s="28" t="str">
        <x:v>Ingredient pairings with Blueberry: red bell pepper</x:v>
      </x:c>
      <x:c r="AC176" s="28" t="n">
        <x:v>1</x:v>
      </x:c>
      <x:c r="AD176" s="28" t="n">
        <x:v>1</x:v>
      </x:c>
    </x:row>
    <x:row r="177" ht="58" customHeight="1">
      <x:c r="A177" s="28" t="str">
        <x:v>BER-0176</x:v>
      </x:c>
      <x:c r="B177" s="28" t="str">
        <x:v>Еда и соусы</x:v>
      </x:c>
      <x:c r="C177" s="28" t="str">
        <x:v>голубика</x:v>
      </x:c>
      <x:c r="D177" s="28" t="str">
        <x:v>Blueberry</x:v>
      </x:c>
      <x:c r="E177" s="28" t="str">
        <x:v>Ягоды и производные</x:v>
      </x:c>
      <x:c r="F177" s="28" t="str">
        <x:v>San Daniele ham</x:v>
      </x:c>
      <x:c r="G177" s="28" t="str">
        <x:v>San Daniele ham</x:v>
      </x:c>
      <x:c r="H177" s="28" t="str">
        <x:v>Мясо и птица</x:v>
      </x:c>
      <x:c r="I177" s="28" t="str">
        <x:v>зелёный, фруктовый, цветочный, цитрусовый</x:v>
      </x:c>
      <x:c r="J177" s="28" t="str">
        <x:v>жареный, жирный, сернистый, умами</x:v>
      </x:c>
      <x:c r="K177" s="28" t="str">
        <x:v>C6-альдегиды, гераниол, линалоол, цитронеллол</x:v>
      </x:c>
      <x:c r="L177" s="28" t="str">
        <x:v>альдегиды, пиразины, сернистые соединения</x:v>
      </x:c>
      <x:c r="M177" s="28" t="str">
        <x:v>прямое совпадение семейств не установлено</x:v>
      </x:c>
      <x:c r="N177" s="28" t="str">
        <x:v>не подтверждены; механизм не сводится к одной общей молекуле</x:v>
      </x:c>
      <x:c r="O177" s="28" t="str">
        <x:v>контраст/комплементарность + матричный эффект</x:v>
      </x:c>
      <x:c r="P177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177" s="28" t="str">
        <x:v>Специфического тройничного эффекта обычно нет; кислотность усиливает слюноотделение.</x:v>
      </x:c>
      <x:c r="R177" s="28" t="str">
        <x:v>Жировая фаза удерживает гидрофобные одоранты и продлевает послевкусие; кислотность ягод повышает слюноотделение.</x:v>
      </x:c>
      <x:c r="S17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17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17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77" s="28" t="str">
        <x:v>красное вино или чёрный перец</x:v>
      </x:c>
      <x:c r="W177" s="28" t="str">
        <x:v>соус, глазировка, салат, сырная подача или горячее блюдо; маринад, гастрик, чатни, кетчуп или редукция</x:v>
      </x:c>
      <x:c r="X177" s="28" t="str">
        <x:v>еда; соусы/маринады</x:v>
      </x:c>
      <x:c r="Y177" s="28" t="str">
        <x:v>Средняя</x:v>
      </x:c>
      <x:c r="Z177" s="28" t="str">
        <x:v>The Art &amp; Science of Foodpairing</x:v>
      </x:c>
      <x:c r="AA177" s="28" t="str">
        <x:v>The Art &amp; Science of Foodpairing: 204</x:v>
      </x:c>
      <x:c r="AB177" s="28" t="str">
        <x:v>Ingredient pairings with Blueberry: San Daniele ham</x:v>
      </x:c>
      <x:c r="AC177" s="28" t="n">
        <x:v>1</x:v>
      </x:c>
      <x:c r="AD177" s="28" t="n">
        <x:v>1</x:v>
      </x:c>
    </x:row>
    <x:row r="178" ht="58" customHeight="1">
      <x:c r="A178" s="28" t="str">
        <x:v>BER-0177</x:v>
      </x:c>
      <x:c r="B178" s="28" t="str">
        <x:v>Универсальные</x:v>
      </x:c>
      <x:c r="C178" s="28" t="str">
        <x:v>голубика</x:v>
      </x:c>
      <x:c r="D178" s="28" t="str">
        <x:v>Blueberry</x:v>
      </x:c>
      <x:c r="E178" s="28" t="str">
        <x:v>Ягоды и производные</x:v>
      </x:c>
      <x:c r="F178" s="28" t="str">
        <x:v>shu (Japanese plum liqueur)</x:v>
      </x:c>
      <x:c r="G178" s="28" t="str">
        <x:v>shu (Japanese plum liqueur)</x:v>
      </x:c>
      <x:c r="H178" s="28" t="str">
        <x:v>Прочее</x:v>
      </x:c>
      <x:c r="I178" s="28" t="str">
        <x:v>зелёный, фруктовый, цветочный, цитрусовый</x:v>
      </x:c>
      <x:c r="J178" s="28" t="str">
        <x:v>комплексный</x:v>
      </x:c>
      <x:c r="K178" s="28" t="str">
        <x:v>C6-альдегиды, гераниол, линалоол, цитронеллол</x:v>
      </x:c>
      <x:c r="L178" s="28" t="str">
        <x:v>нет надёжной конкретизации</x:v>
      </x:c>
      <x:c r="M178" s="28" t="str">
        <x:v>прямое совпадение семейств не установлено</x:v>
      </x:c>
      <x:c r="N178" s="28" t="str">
        <x:v>не подтверждены; механизм не сводится к одной общей молекуле</x:v>
      </x:c>
      <x:c r="O178" s="28" t="str">
        <x:v>контраст/комплементарность + матричный эффект</x:v>
      </x:c>
      <x:c r="P178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78" s="28" t="str">
        <x:v>Специфического тройничного эффекта обычно нет; кислотность усиливает слюноотделение.</x:v>
      </x:c>
      <x:c r="R178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7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7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7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78" s="28" t="str">
        <x:v>лимон или ваниль</x:v>
      </x:c>
      <x:c r="W178" s="28" t="str">
        <x:v>сенсорная проба в малой дозировке</x:v>
      </x:c>
      <x:c r="X178" s="28" t="str">
        <x:v>универсально</x:v>
      </x:c>
      <x:c r="Y178" s="28" t="str">
        <x:v>Средняя</x:v>
      </x:c>
      <x:c r="Z178" s="28" t="str">
        <x:v>The Art &amp; Science of Foodpairing</x:v>
      </x:c>
      <x:c r="AA178" s="28" t="str">
        <x:v>The Art &amp; Science of Foodpairing: 204</x:v>
      </x:c>
      <x:c r="AB178" s="28" t="str">
        <x:v>Ingredient pairings with Blueberry: shu (Japanese plum liqueur)</x:v>
      </x:c>
      <x:c r="AC178" s="28" t="n">
        <x:v>1</x:v>
      </x:c>
      <x:c r="AD178" s="28" t="n">
        <x:v>1</x:v>
      </x:c>
    </x:row>
    <x:row r="179" ht="58" customHeight="1">
      <x:c r="A179" s="28" t="str">
        <x:v>BER-0178</x:v>
      </x:c>
      <x:c r="B179" s="28" t="str">
        <x:v>Еда и соусы</x:v>
      </x:c>
      <x:c r="C179" s="28" t="str">
        <x:v>голубика</x:v>
      </x:c>
      <x:c r="D179" s="28" t="str">
        <x:v>Blueberry</x:v>
      </x:c>
      <x:c r="E179" s="28" t="str">
        <x:v>Ягоды и производные</x:v>
      </x:c>
      <x:c r="F179" s="28" t="str">
        <x:v>st chicken</x:v>
      </x:c>
      <x:c r="G179" s="28" t="str">
        <x:v>st chicken</x:v>
      </x:c>
      <x:c r="H179" s="28" t="str">
        <x:v>Мясо и птица</x:v>
      </x:c>
      <x:c r="I179" s="28" t="str">
        <x:v>зелёный, фруктовый, цветочный, цитрусовый</x:v>
      </x:c>
      <x:c r="J179" s="28" t="str">
        <x:v>жареный, жирный, сернистый, умами</x:v>
      </x:c>
      <x:c r="K179" s="28" t="str">
        <x:v>C6-альдегиды, гераниол, линалоол, цитронеллол</x:v>
      </x:c>
      <x:c r="L179" s="28" t="str">
        <x:v>альдегиды, пиразины, сернистые соединения</x:v>
      </x:c>
      <x:c r="M179" s="28" t="str">
        <x:v>прямое совпадение семейств не установлено</x:v>
      </x:c>
      <x:c r="N179" s="28" t="str">
        <x:v>не подтверждены; механизм не сводится к одной общей молекуле</x:v>
      </x:c>
      <x:c r="O179" s="28" t="str">
        <x:v>контраст/комплементарность + матричный эффект</x:v>
      </x:c>
      <x:c r="P179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179" s="28" t="str">
        <x:v>Специфического тройничного эффекта обычно нет; кислотность усиливает слюноотделение.</x:v>
      </x:c>
      <x:c r="R179" s="28" t="str">
        <x:v>Жировая фаза удерживает гидрофобные одоранты и продлевает послевкусие; кислотность ягод повышает слюноотделение.</x:v>
      </x:c>
      <x:c r="S17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17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17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79" s="28" t="str">
        <x:v>красное вино или чёрный перец</x:v>
      </x:c>
      <x:c r="W179" s="28" t="str">
        <x:v>соус, глазировка, салат, сырная подача или горячее блюдо; маринад, гастрик, чатни, кетчуп или редукция</x:v>
      </x:c>
      <x:c r="X179" s="28" t="str">
        <x:v>еда; соусы/маринады</x:v>
      </x:c>
      <x:c r="Y179" s="28" t="str">
        <x:v>Средняя</x:v>
      </x:c>
      <x:c r="Z179" s="28" t="str">
        <x:v>The Art &amp; Science of Foodpairing</x:v>
      </x:c>
      <x:c r="AA179" s="28" t="str">
        <x:v>The Art &amp; Science of Foodpairing: 204</x:v>
      </x:c>
      <x:c r="AB179" s="28" t="str">
        <x:v>Ingredient pairings with Blueberry: st chicken</x:v>
      </x:c>
      <x:c r="AC179" s="28" t="n">
        <x:v>1</x:v>
      </x:c>
      <x:c r="AD179" s="28" t="n">
        <x:v>1</x:v>
      </x:c>
    </x:row>
    <x:row r="180" ht="58" customHeight="1">
      <x:c r="A180" s="28" t="str">
        <x:v>BER-0179</x:v>
      </x:c>
      <x:c r="B180" s="28" t="str">
        <x:v>Универсальные</x:v>
      </x:c>
      <x:c r="C180" s="28" t="str">
        <x:v>голубика</x:v>
      </x:c>
      <x:c r="D180" s="28" t="str">
        <x:v>Blueberry</x:v>
      </x:c>
      <x:c r="E180" s="28" t="str">
        <x:v>Ягоды и производные</x:v>
      </x:c>
      <x:c r="F180" s="28" t="str">
        <x:v>t Peking duck</x:v>
      </x:c>
      <x:c r="G180" s="28" t="str">
        <x:v>t Peking duck</x:v>
      </x:c>
      <x:c r="H180" s="28" t="str">
        <x:v>Прочее</x:v>
      </x:c>
      <x:c r="I180" s="28" t="str">
        <x:v>зелёный, фруктовый, цветочный, цитрусовый</x:v>
      </x:c>
      <x:c r="J180" s="28" t="str">
        <x:v>комплексный</x:v>
      </x:c>
      <x:c r="K180" s="28" t="str">
        <x:v>C6-альдегиды, гераниол, линалоол, цитронеллол</x:v>
      </x:c>
      <x:c r="L180" s="28" t="str">
        <x:v>нет надёжной конкретизации</x:v>
      </x:c>
      <x:c r="M180" s="28" t="str">
        <x:v>прямое совпадение семейств не установлено</x:v>
      </x:c>
      <x:c r="N180" s="28" t="str">
        <x:v>не подтверждены; механизм не сводится к одной общей молекуле</x:v>
      </x:c>
      <x:c r="O180" s="28" t="str">
        <x:v>контраст/комплементарность + матричный эффект</x:v>
      </x:c>
      <x:c r="P180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80" s="28" t="str">
        <x:v>Специфического тройничного эффекта обычно нет; кислотность усиливает слюноотделение.</x:v>
      </x:c>
      <x:c r="R180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8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8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8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80" s="28" t="str">
        <x:v>лимон или ваниль</x:v>
      </x:c>
      <x:c r="W180" s="28" t="str">
        <x:v>сенсорная проба в малой дозировке</x:v>
      </x:c>
      <x:c r="X180" s="28" t="str">
        <x:v>универсально</x:v>
      </x:c>
      <x:c r="Y180" s="28" t="str">
        <x:v>Средняя</x:v>
      </x:c>
      <x:c r="Z180" s="28" t="str">
        <x:v>The Art &amp; Science of Foodpairing</x:v>
      </x:c>
      <x:c r="AA180" s="28" t="str">
        <x:v>The Art &amp; Science of Foodpairing: 204</x:v>
      </x:c>
      <x:c r="AB180" s="28" t="str">
        <x:v>Ingredient pairings with Blueberry: t Peking duck</x:v>
      </x:c>
      <x:c r="AC180" s="28" t="n">
        <x:v>1</x:v>
      </x:c>
      <x:c r="AD180" s="28" t="n">
        <x:v>1</x:v>
      </x:c>
    </x:row>
    <x:row r="181" ht="58" customHeight="1">
      <x:c r="A181" s="28" t="str">
        <x:v>BER-0180</x:v>
      </x:c>
      <x:c r="B181" s="28" t="str">
        <x:v>Еда и соусы</x:v>
      </x:c>
      <x:c r="C181" s="28" t="str">
        <x:v>голубика</x:v>
      </x:c>
      <x:c r="D181" s="28" t="str">
        <x:v>Blueberry</x:v>
      </x:c>
      <x:c r="E181" s="28" t="str">
        <x:v>Ягоды и производные</x:v>
      </x:c>
      <x:c r="F181" s="28" t="str">
        <x:v>table broth</x:v>
      </x:c>
      <x:c r="G181" s="28" t="str">
        <x:v>table broth</x:v>
      </x:c>
      <x:c r="H181" s="28" t="str">
        <x:v>Ферментированные продукты, соусы и уксусы</x:v>
      </x:c>
      <x:c r="I181" s="28" t="str">
        <x:v>зелёный, фруктовый, цветочный, цитрусовый</x:v>
      </x:c>
      <x:c r="J181" s="28" t="str">
        <x:v>кислый, умами, ферментированный</x:v>
      </x:c>
      <x:c r="K181" s="28" t="str">
        <x:v>C6-альдегиды, гераниол, линалоол, цитронеллол</x:v>
      </x:c>
      <x:c r="L181" s="28" t="str">
        <x:v>аминокислоты, органические кислоты, эфиры</x:v>
      </x:c>
      <x:c r="M181" s="28" t="str">
        <x:v>прямое совпадение семейств не установлено</x:v>
      </x:c>
      <x:c r="N181" s="28" t="str">
        <x:v>не подтверждены; механизм не сводится к одной общей молекуле</x:v>
      </x:c>
      <x:c r="O181" s="28" t="str">
        <x:v>контраст/комплементарность + матричный эффект</x:v>
      </x:c>
      <x:c r="P181" s="28" t="str">
        <x:v>Оба компонента формируют сладко-кислый, мягкий и кислый/солёный/умами контур; сахар, кислота и горечь должны быть выровнены дегустацией.</x:v>
      </x:c>
      <x:c r="Q181" s="28" t="str">
        <x:v>Специфического тройничного эффекта обычно нет; кислотность усиливает слюноотделение.</x:v>
      </x:c>
      <x:c r="R181" s="28" t="str">
        <x:v>Ягода: нежный аромат легко теряется на фоне сильной сладости. Партнёр: вода, соль и продукты ферментации. В воде аромат раскрывается быстрее, в жире и этаноле — дольше удерживается.</x:v>
      </x:c>
      <x:c r="S18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8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кислый, умами, ферментированный. Оба компонента формируют сладко-кислый, мягкий и кислый/солёный/умами контур; сахар, кислота и горечь должны быть выровнены дегустацией. Ягода: нежный аромат легко теряется на фоне сильной сладости.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8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81" s="28" t="str">
        <x:v>мёд или соевый соус</x:v>
      </x:c>
      <x:c r="W181" s="28" t="str">
        <x:v>соус, глазировка, салат, сырная подача или горячее блюдо; маринад, гастрик, чатни, кетчуп или редукция</x:v>
      </x:c>
      <x:c r="X181" s="28" t="str">
        <x:v>еда; соусы/маринады</x:v>
      </x:c>
      <x:c r="Y181" s="28" t="str">
        <x:v>Средняя</x:v>
      </x:c>
      <x:c r="Z181" s="28" t="str">
        <x:v>The Art &amp; Science of Foodpairing</x:v>
      </x:c>
      <x:c r="AA181" s="28" t="str">
        <x:v>The Art &amp; Science of Foodpairing: 204</x:v>
      </x:c>
      <x:c r="AB181" s="28" t="str">
        <x:v>Ingredient pairings with Blueberry: table broth</x:v>
      </x:c>
      <x:c r="AC181" s="28" t="n">
        <x:v>1</x:v>
      </x:c>
      <x:c r="AD181" s="28" t="n">
        <x:v>1</x:v>
      </x:c>
    </x:row>
    <x:row r="182" ht="58" customHeight="1">
      <x:c r="A182" s="28" t="str">
        <x:v>BER-0181</x:v>
      </x:c>
      <x:c r="B182" s="28" t="str">
        <x:v>Напитки</x:v>
      </x:c>
      <x:c r="C182" s="28" t="str">
        <x:v>голубика</x:v>
      </x:c>
      <x:c r="D182" s="28" t="str">
        <x:v>Blueberry</x:v>
      </x:c>
      <x:c r="E182" s="28" t="str">
        <x:v>Ягоды и производные</x:v>
      </x:c>
      <x:c r="F182" s="28" t="str">
        <x:v>tarocco blood orange</x:v>
      </x:c>
      <x:c r="G182" s="28" t="str">
        <x:v>Tarocco blood orange</x:v>
      </x:c>
      <x:c r="H182" s="28" t="str">
        <x:v>Цитрусовые</x:v>
      </x:c>
      <x:c r="I182" s="28" t="str">
        <x:v>зелёный, фруктовый, цветочный, цитрусовый</x:v>
      </x:c>
      <x:c r="J182" s="28" t="str">
        <x:v>зелёный, цветочный, цитрусовый</x:v>
      </x:c>
      <x:c r="K182" s="28" t="str">
        <x:v>C6-альдегиды, гераниол, линалоол, цитронеллол</x:v>
      </x:c>
      <x:c r="L182" s="28" t="str">
        <x:v>лимонен, линалоол, цитраль</x:v>
      </x:c>
      <x:c r="M182" s="28" t="str">
        <x:v>зелёный, цветочный, цитрусовый</x:v>
      </x:c>
      <x:c r="N182" s="28" t="str">
        <x:v>линалоол</x:v>
      </x:c>
      <x:c r="O182" s="28" t="str">
        <x:v>ароматическое сходство + вкусовой баланс</x:v>
      </x:c>
      <x:c r="P182" s="28" t="str">
        <x:v>Оба компонента формируют сладко-кислый, мягкий и кислый, свежий контур; сахар, кислота и горечь должны быть выровнены дегустацией.</x:v>
      </x:c>
      <x:c r="Q182" s="28" t="str">
        <x:v>Специфического тройничного эффекта обычно нет; кислотность усиливает слюноотделение.</x:v>
      </x:c>
      <x:c r="R182" s="28" t="str">
        <x:v>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</x:v>
      </x:c>
      <x:c r="S18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82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8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82" s="28" t="str">
        <x:v>мёд или базилик</x:v>
      </x:c>
      <x:c r="W182" s="28" t="str">
        <x:v>кордиал, лимонад, чай, коктейль, настой или ферментированный напиток; маринад, гастрик, чатни, кетчуп или редукция</x:v>
      </x:c>
      <x:c r="X182" s="28" t="str">
        <x:v>напитки; соусы/маринады</x:v>
      </x:c>
      <x:c r="Y182" s="28" t="str">
        <x:v>Средняя</x:v>
      </x:c>
      <x:c r="Z182" s="28" t="str">
        <x:v>The Art &amp; Science of Foodpairing</x:v>
      </x:c>
      <x:c r="AA182" s="28" t="str">
        <x:v>The Art &amp; Science of Foodpairing: 205</x:v>
      </x:c>
      <x:c r="AB182" s="28" t="str">
        <x:v>Ingredient pairings with Blueberry: Tarocco blood orange</x:v>
      </x:c>
      <x:c r="AC182" s="28" t="n">
        <x:v>1</x:v>
      </x:c>
      <x:c r="AD182" s="28" t="n">
        <x:v>1</x:v>
      </x:c>
    </x:row>
    <x:row r="183" ht="58" customHeight="1">
      <x:c r="A183" s="28" t="str">
        <x:v>BER-0182</x:v>
      </x:c>
      <x:c r="B183" s="28" t="str">
        <x:v>Еда и соусы</x:v>
      </x:c>
      <x:c r="C183" s="28" t="str">
        <x:v>голубика</x:v>
      </x:c>
      <x:c r="D183" s="28" t="str">
        <x:v>Blueberry</x:v>
      </x:c>
      <x:c r="E183" s="28" t="str">
        <x:v>Ягоды и производные</x:v>
      </x:c>
      <x:c r="F183" s="28" t="str">
        <x:v>te button mushroom</x:v>
      </x:c>
      <x:c r="G183" s="28" t="str">
        <x:v>te button mushroom</x:v>
      </x:c>
      <x:c r="H183" s="28" t="str">
        <x:v>Овощи и грибы</x:v>
      </x:c>
      <x:c r="I183" s="28" t="str">
        <x:v>зелёный, фруктовый, цветочный, цитрусовый</x:v>
      </x:c>
      <x:c r="J183" s="28" t="str">
        <x:v>зелёный, землистый, сернистый</x:v>
      </x:c>
      <x:c r="K183" s="28" t="str">
        <x:v>C6-альдегиды, гераниол, линалоол, цитронеллол</x:v>
      </x:c>
      <x:c r="L183" s="28" t="str">
        <x:v>C6-альдегиды, пиразины, сернистые соединения</x:v>
      </x:c>
      <x:c r="M183" s="28" t="str">
        <x:v>зелёный</x:v>
      </x:c>
      <x:c r="N183" s="28" t="str">
        <x:v>C6-альдегиды</x:v>
      </x:c>
      <x:c r="O183" s="28" t="str">
        <x:v>ароматическое сходство + вкусовой баланс</x:v>
      </x:c>
      <x:c r="P183" s="28" t="str">
        <x:v>Оба компонента формируют сладко-кислый, мягкий и растительный, иногда умами контур; сахар, кислота и горечь должны быть выровнены дегустацией.</x:v>
      </x:c>
      <x:c r="Q183" s="28" t="str">
        <x:v>Специфического тройничного эффекта обычно нет; кислотность усиливает слюноотделение.</x:v>
      </x:c>
      <x:c r="R183" s="28" t="str">
        <x:v>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18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183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18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83" s="28" t="str">
        <x:v>уксус или мягкий сыр</x:v>
      </x:c>
      <x:c r="W183" s="28" t="str">
        <x:v>соус, глазировка, салат, сырная подача или горячее блюдо; маринад, гастрик, чатни, кетчуп или редукция</x:v>
      </x:c>
      <x:c r="X183" s="28" t="str">
        <x:v>еда; соусы/маринады</x:v>
      </x:c>
      <x:c r="Y183" s="28" t="str">
        <x:v>Средняя</x:v>
      </x:c>
      <x:c r="Z183" s="28" t="str">
        <x:v>The Art &amp; Science of Foodpairing</x:v>
      </x:c>
      <x:c r="AA183" s="28" t="str">
        <x:v>The Art &amp; Science of Foodpairing: 204</x:v>
      </x:c>
      <x:c r="AB183" s="28" t="str">
        <x:v>Ingredient pairings with Blueberry: te button mushroom</x:v>
      </x:c>
      <x:c r="AC183" s="28" t="n">
        <x:v>1</x:v>
      </x:c>
      <x:c r="AD183" s="28" t="n">
        <x:v>1</x:v>
      </x:c>
    </x:row>
    <x:row r="184" ht="58" customHeight="1">
      <x:c r="A184" s="28" t="str">
        <x:v>BER-0183</x:v>
      </x:c>
      <x:c r="B184" s="28" t="str">
        <x:v>Еда и соусы</x:v>
      </x:c>
      <x:c r="C184" s="28" t="str">
        <x:v>голубика</x:v>
      </x:c>
      <x:c r="D184" s="28" t="str">
        <x:v>Blueberry</x:v>
      </x:c>
      <x:c r="E184" s="28" t="str">
        <x:v>Ягоды и производные</x:v>
      </x:c>
      <x:c r="F184" s="28" t="str">
        <x:v>tikka masala paste dri</x:v>
      </x:c>
      <x:c r="G184" s="28" t="str">
        <x:v>tikka masala paste dri</x:v>
      </x:c>
      <x:c r="H184" s="28" t="str">
        <x:v>Ферментированные продукты, соусы и уксусы</x:v>
      </x:c>
      <x:c r="I184" s="28" t="str">
        <x:v>зелёный, фруктовый, цветочный, цитрусовый</x:v>
      </x:c>
      <x:c r="J184" s="28" t="str">
        <x:v>кислый, умами, ферментированный</x:v>
      </x:c>
      <x:c r="K184" s="28" t="str">
        <x:v>C6-альдегиды, гераниол, линалоол, цитронеллол</x:v>
      </x:c>
      <x:c r="L184" s="28" t="str">
        <x:v>аминокислоты, органические кислоты, эфиры</x:v>
      </x:c>
      <x:c r="M184" s="28" t="str">
        <x:v>прямое совпадение семейств не установлено</x:v>
      </x:c>
      <x:c r="N184" s="28" t="str">
        <x:v>не подтверждены; механизм не сводится к одной общей молекуле</x:v>
      </x:c>
      <x:c r="O184" s="28" t="str">
        <x:v>контраст/комплементарность + матричный эффект</x:v>
      </x:c>
      <x:c r="P184" s="28" t="str">
        <x:v>Оба компонента формируют сладко-кислый, мягкий и кислый/солёный/умами контур; сахар, кислота и горечь должны быть выровнены дегустацией.</x:v>
      </x:c>
      <x:c r="Q184" s="28" t="str">
        <x:v>Специфического тройничного эффекта обычно нет; кислотность усиливает слюноотделение.</x:v>
      </x:c>
      <x:c r="R184" s="28" t="str">
        <x:v>Ягода: нежный аромат легко теряется на фоне сильной сладости. Партнёр: вода, соль и продукты ферментации. В воде аромат раскрывается быстрее, в жире и этаноле — дольше удерживается.</x:v>
      </x:c>
      <x:c r="S18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8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кислый, умами, ферментированный. Оба компонента формируют сладко-кислый, мягкий и кислый/солёный/умами контур; сахар, кислота и горечь должны быть выровнены дегустацией. Ягода: нежный аромат легко теряется на фоне сильной сладости.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8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84" s="28" t="str">
        <x:v>мёд или соевый соус</x:v>
      </x:c>
      <x:c r="W184" s="28" t="str">
        <x:v>соус, глазировка, салат, сырная подача или горячее блюдо; маринад, гастрик, чатни, кетчуп или редукция</x:v>
      </x:c>
      <x:c r="X184" s="28" t="str">
        <x:v>еда; соусы/маринады</x:v>
      </x:c>
      <x:c r="Y184" s="28" t="str">
        <x:v>Средняя</x:v>
      </x:c>
      <x:c r="Z184" s="28" t="str">
        <x:v>The Art &amp; Science of Foodpairing</x:v>
      </x:c>
      <x:c r="AA184" s="28" t="str">
        <x:v>The Art &amp; Science of Foodpairing: 204</x:v>
      </x:c>
      <x:c r="AB184" s="28" t="str">
        <x:v>Ingredient pairings with Blueberry: tikka masala paste dri</x:v>
      </x:c>
      <x:c r="AC184" s="28" t="n">
        <x:v>1</x:v>
      </x:c>
      <x:c r="AD184" s="28" t="n">
        <x:v>1</x:v>
      </x:c>
    </x:row>
    <x:row r="185" ht="58" customHeight="1">
      <x:c r="A185" s="28" t="str">
        <x:v>BER-0184</x:v>
      </x:c>
      <x:c r="B185" s="28" t="str">
        <x:v>Еда и соусы</x:v>
      </x:c>
      <x:c r="C185" s="28" t="str">
        <x:v>голубика</x:v>
      </x:c>
      <x:c r="D185" s="28" t="str">
        <x:v>Blueberry</x:v>
      </x:c>
      <x:c r="E185" s="28" t="str">
        <x:v>Ягоды и производные</x:v>
      </x:c>
      <x:c r="F185" s="28" t="str">
        <x:v>turnip-rooted chervil</x:v>
      </x:c>
      <x:c r="G185" s="28" t="str">
        <x:v>turnip-rooted chervil</x:v>
      </x:c>
      <x:c r="H185" s="28" t="str">
        <x:v>Овощи и грибы</x:v>
      </x:c>
      <x:c r="I185" s="28" t="str">
        <x:v>зелёный, фруктовый, цветочный, цитрусовый</x:v>
      </x:c>
      <x:c r="J185" s="28" t="str">
        <x:v>зелёный, землистый, сернистый</x:v>
      </x:c>
      <x:c r="K185" s="28" t="str">
        <x:v>C6-альдегиды, гераниол, линалоол, цитронеллол</x:v>
      </x:c>
      <x:c r="L185" s="28" t="str">
        <x:v>C6-альдегиды, пиразины, сернистые соединения</x:v>
      </x:c>
      <x:c r="M185" s="28" t="str">
        <x:v>зелёный</x:v>
      </x:c>
      <x:c r="N185" s="28" t="str">
        <x:v>C6-альдегиды</x:v>
      </x:c>
      <x:c r="O185" s="28" t="str">
        <x:v>ароматическое сходство + вкусовой баланс</x:v>
      </x:c>
      <x:c r="P185" s="28" t="str">
        <x:v>Оба компонента формируют сладко-кислый, мягкий и растительный, иногда умами контур; сахар, кислота и горечь должны быть выровнены дегустацией.</x:v>
      </x:c>
      <x:c r="Q185" s="28" t="str">
        <x:v>Специфического тройничного эффекта обычно нет; кислотность усиливает слюноотделение.</x:v>
      </x:c>
      <x:c r="R185" s="28" t="str">
        <x:v>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18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185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18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85" s="28" t="str">
        <x:v>уксус или мягкий сыр</x:v>
      </x:c>
      <x:c r="W185" s="28" t="str">
        <x:v>соус, глазировка, салат, сырная подача или горячее блюдо; маринад, гастрик, чатни, кетчуп или редукция</x:v>
      </x:c>
      <x:c r="X185" s="28" t="str">
        <x:v>еда; соусы/маринады</x:v>
      </x:c>
      <x:c r="Y185" s="28" t="str">
        <x:v>Средняя</x:v>
      </x:c>
      <x:c r="Z185" s="28" t="str">
        <x:v>The Art &amp; Science of Foodpairing</x:v>
      </x:c>
      <x:c r="AA185" s="28" t="str">
        <x:v>The Art &amp; Science of Foodpairing: 204</x:v>
      </x:c>
      <x:c r="AB185" s="28" t="str">
        <x:v>Ingredient pairings with Blueberry: turnip-rooted chervil</x:v>
      </x:c>
      <x:c r="AC185" s="28" t="n">
        <x:v>1</x:v>
      </x:c>
      <x:c r="AD185" s="28" t="n">
        <x:v>1</x:v>
      </x:c>
    </x:row>
    <x:row r="186" ht="58" customHeight="1">
      <x:c r="A186" s="28" t="str">
        <x:v>BER-0185</x:v>
      </x:c>
      <x:c r="B186" s="28" t="str">
        <x:v>Универсальные</x:v>
      </x:c>
      <x:c r="C186" s="28" t="str">
        <x:v>голубика</x:v>
      </x:c>
      <x:c r="D186" s="28" t="str">
        <x:v>Blueberry</x:v>
      </x:c>
      <x:c r="E186" s="28" t="str">
        <x:v>Ягоды и производные</x:v>
      </x:c>
      <x:c r="F186" s="28" t="str">
        <x:v>uan pepper</x:v>
      </x:c>
      <x:c r="G186" s="28" t="str">
        <x:v>uan pepper</x:v>
      </x:c>
      <x:c r="H186" s="28" t="str">
        <x:v>Специи</x:v>
      </x:c>
      <x:c r="I186" s="28" t="str">
        <x:v>зелёный, фруктовый, цветочный, цитрусовый</x:v>
      </x:c>
      <x:c r="J186" s="28" t="str">
        <x:v>древесный, пряный, тёплый</x:v>
      </x:c>
      <x:c r="K186" s="28" t="str">
        <x:v>C6-альдегиды, гераниол, линалоол, цитронеллол</x:v>
      </x:c>
      <x:c r="L186" s="28" t="str">
        <x:v>коричный альдегид, терпены, эвгенол</x:v>
      </x:c>
      <x:c r="M186" s="28" t="str">
        <x:v>прямое совпадение семейств не установлено</x:v>
      </x:c>
      <x:c r="N186" s="28" t="str">
        <x:v>не подтверждены; механизм не сводится к одной общей молекуле</x:v>
      </x:c>
      <x:c r="O186" s="28" t="str">
        <x:v>контраст/комплементарность + матричный эффект</x:v>
      </x:c>
      <x:c r="P186" s="28" t="str">
        <x:v>Ягодная сладость смягчает горечь и пряность, а кислотность делает пряный, иногда горький профиль ярче.</x:v>
      </x:c>
      <x:c r="Q186" s="28" t="str">
        <x:v>Кислотность ягоды усиливает слюноотделение, а капсаицин/пиперин/гингеролы дают тепло и покалывание; дозировка должна быть низкой.</x:v>
      </x:c>
      <x:c r="R186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18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8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86" s="28" t="str">
        <x:v>Пряность дозировать как акцент: она быстро перекрывает тонкие ягодные эфиры.</x:v>
      </x:c>
      <x:c r="V186" s="28" t="str">
        <x:v>мёд или цитрус</x:v>
      </x:c>
      <x:c r="W18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186" s="28" t="str">
        <x:v>напитки; десерты; еда; соусы/маринады</x:v>
      </x:c>
      <x:c r="Y186" s="28" t="str">
        <x:v>Средняя</x:v>
      </x:c>
      <x:c r="Z186" s="28" t="str">
        <x:v>The Art &amp; Science of Foodpairing</x:v>
      </x:c>
      <x:c r="AA186" s="28" t="str">
        <x:v>The Art &amp; Science of Foodpairing: 204</x:v>
      </x:c>
      <x:c r="AB186" s="28" t="str">
        <x:v>Ingredient pairings with Blueberry: uan pepper</x:v>
      </x:c>
      <x:c r="AC186" s="28" t="n">
        <x:v>1</x:v>
      </x:c>
      <x:c r="AD186" s="28" t="n">
        <x:v>1</x:v>
      </x:c>
    </x:row>
    <x:row r="187" ht="58" customHeight="1">
      <x:c r="A187" s="28" t="str">
        <x:v>BER-0186</x:v>
      </x:c>
      <x:c r="B187" s="28" t="str">
        <x:v>Еда и соусы</x:v>
      </x:c>
      <x:c r="C187" s="28" t="str">
        <x:v>голубика</x:v>
      </x:c>
      <x:c r="D187" s="28" t="str">
        <x:v>Blueberry</x:v>
      </x:c>
      <x:c r="E187" s="28" t="str">
        <x:v>Ягоды и производные</x:v>
      </x:c>
      <x:c r="F187" s="28" t="str">
        <x:v>wagyu beef hua</x:v>
      </x:c>
      <x:c r="G187" s="28" t="str">
        <x:v>Wagyu beef hua</x:v>
      </x:c>
      <x:c r="H187" s="28" t="str">
        <x:v>Мясо и птица</x:v>
      </x:c>
      <x:c r="I187" s="28" t="str">
        <x:v>зелёный, фруктовый, цветочный, цитрусовый</x:v>
      </x:c>
      <x:c r="J187" s="28" t="str">
        <x:v>жареный, жирный, сернистый, умами</x:v>
      </x:c>
      <x:c r="K187" s="28" t="str">
        <x:v>C6-альдегиды, гераниол, линалоол, цитронеллол</x:v>
      </x:c>
      <x:c r="L187" s="28" t="str">
        <x:v>альдегиды, пиразины, сернистые соединения</x:v>
      </x:c>
      <x:c r="M187" s="28" t="str">
        <x:v>прямое совпадение семейств не установлено</x:v>
      </x:c>
      <x:c r="N187" s="28" t="str">
        <x:v>не подтверждены; механизм не сводится к одной общей молекуле</x:v>
      </x:c>
      <x:c r="O187" s="28" t="str">
        <x:v>контраст/комплементарность + матричный эффект</x:v>
      </x:c>
      <x:c r="P187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187" s="28" t="str">
        <x:v>Специфического тройничного эффекта обычно нет; кислотность усиливает слюноотделение.</x:v>
      </x:c>
      <x:c r="R187" s="28" t="str">
        <x:v>Жировая фаза удерживает гидрофобные одоранты и продлевает послевкусие; кислотность ягод повышает слюноотделение.</x:v>
      </x:c>
      <x:c r="S18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18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18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87" s="28" t="str">
        <x:v>красное вино или чёрный перец</x:v>
      </x:c>
      <x:c r="W187" s="28" t="str">
        <x:v>соус, глазировка, салат, сырная подача или горячее блюдо; маринад, гастрик, чатни, кетчуп или редукция</x:v>
      </x:c>
      <x:c r="X187" s="28" t="str">
        <x:v>еда; соусы/маринады</x:v>
      </x:c>
      <x:c r="Y187" s="28" t="str">
        <x:v>Средняя</x:v>
      </x:c>
      <x:c r="Z187" s="28" t="str">
        <x:v>The Art &amp; Science of Foodpairing</x:v>
      </x:c>
      <x:c r="AA187" s="28" t="str">
        <x:v>The Art &amp; Science of Foodpairing: 204</x:v>
      </x:c>
      <x:c r="AB187" s="28" t="str">
        <x:v>Ingredient pairings with Blueberry: Wagyu beef hua</x:v>
      </x:c>
      <x:c r="AC187" s="28" t="n">
        <x:v>1</x:v>
      </x:c>
      <x:c r="AD187" s="28" t="n">
        <x:v>1</x:v>
      </x:c>
    </x:row>
    <x:row r="188" ht="58" customHeight="1">
      <x:c r="A188" s="28" t="str">
        <x:v>BER-0187</x:v>
      </x:c>
      <x:c r="B188" s="28" t="str">
        <x:v>Универсальные</x:v>
      </x:c>
      <x:c r="C188" s="28" t="str">
        <x:v>голубика</x:v>
      </x:c>
      <x:c r="D188" s="28" t="str">
        <x:v>Blueberry</x:v>
      </x:c>
      <x:c r="E188" s="28" t="str">
        <x:v>Ягоды и производные</x:v>
      </x:c>
      <x:c r="F188" s="28" t="str">
        <x:v>wberry</x:v>
      </x:c>
      <x:c r="G188" s="28" t="str">
        <x:v>wberry</x:v>
      </x:c>
      <x:c r="H188" s="28" t="str">
        <x:v>Ягоды и производные</x:v>
      </x:c>
      <x:c r="I188" s="28" t="str">
        <x:v>зелёный, фруктовый, цветочный, цитрусовый</x:v>
      </x:c>
      <x:c r="J188" s="28" t="str">
        <x:v>комплексный</x:v>
      </x:c>
      <x:c r="K188" s="28" t="str">
        <x:v>C6-альдегиды, гераниол, линалоол, цитронеллол</x:v>
      </x:c>
      <x:c r="L188" s="28" t="str">
        <x:v>нет надёжной конкретизации</x:v>
      </x:c>
      <x:c r="M188" s="28" t="str">
        <x:v>прямое совпадение семейств не установлено</x:v>
      </x:c>
      <x:c r="N188" s="28" t="str">
        <x:v>не подтверждены; механизм не сводится к одной общей молекуле</x:v>
      </x:c>
      <x:c r="O188" s="28" t="str">
        <x:v>контраст/комплементарность + матричный эффект</x:v>
      </x:c>
      <x:c r="P188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88" s="28" t="str">
        <x:v>Специфического тройничного эффекта обычно нет; кислотность усиливает слюноотделение.</x:v>
      </x:c>
      <x:c r="R188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8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8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8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88" s="28" t="str">
        <x:v>ваниль или роза</x:v>
      </x:c>
      <x:c r="W18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188" s="28" t="str">
        <x:v>напитки; десерты</x:v>
      </x:c>
      <x:c r="Y188" s="28" t="str">
        <x:v>Средняя</x:v>
      </x:c>
      <x:c r="Z188" s="28" t="str">
        <x:v>The Art &amp; Science of Foodpairing</x:v>
      </x:c>
      <x:c r="AA188" s="28" t="str">
        <x:v>The Art &amp; Science of Foodpairing: 204</x:v>
      </x:c>
      <x:c r="AB188" s="28" t="str">
        <x:v>Ingredient pairings with Blueberry: wberry</x:v>
      </x:c>
      <x:c r="AC188" s="28" t="n">
        <x:v>1</x:v>
      </x:c>
      <x:c r="AD188" s="28" t="n">
        <x:v>1</x:v>
      </x:c>
    </x:row>
    <x:row r="189" ht="58" customHeight="1">
      <x:c r="A189" s="28" t="str">
        <x:v>BER-0188</x:v>
      </x:c>
      <x:c r="B189" s="28" t="str">
        <x:v>Универсальные</x:v>
      </x:c>
      <x:c r="C189" s="28" t="str">
        <x:v>голубика</x:v>
      </x:c>
      <x:c r="D189" s="28" t="str">
        <x:v>Blueberry | Голубика</x:v>
      </x:c>
      <x:c r="E189" s="28" t="str">
        <x:v>Ягоды и производные</x:v>
      </x:c>
      <x:c r="F189" s="28" t="str">
        <x:v>абрикос</x:v>
      </x:c>
      <x:c r="G189" s="28" t="str">
        <x:v>apricot | абрикос</x:v>
      </x:c>
      <x:c r="H189" s="28" t="str">
        <x:v>Фрукты</x:v>
      </x:c>
      <x:c r="I189" s="28" t="str">
        <x:v>зелёный, фруктовый, цветочный, цитрусовый</x:v>
      </x:c>
      <x:c r="J189" s="28" t="str">
        <x:v>зелёный, фруктовый, цветочный</x:v>
      </x:c>
      <x:c r="K189" s="28" t="str">
        <x:v>C6-альдегиды, гераниол, линалоол, цитронеллол</x:v>
      </x:c>
      <x:c r="L189" s="28" t="str">
        <x:v>лактоны, терпены, эфиры</x:v>
      </x:c>
      <x:c r="M189" s="28" t="str">
        <x:v>зелёный, фруктовый, цветочный</x:v>
      </x:c>
      <x:c r="N189" s="28" t="str">
        <x:v>не подтверждены; механизм не сводится к одной общей молекуле</x:v>
      </x:c>
      <x:c r="O189" s="28" t="str">
        <x:v>сходство ароматических семейств + комплементарность</x:v>
      </x:c>
      <x:c r="P189" s="28" t="str">
        <x:v>Оба компонента формируют сладко-кислый, мягкий и сладко-кислый контур; сахар, кислота и горечь должны быть выровнены дегустацией.</x:v>
      </x:c>
      <x:c r="Q189" s="28" t="str">
        <x:v>Специфического тройничного эффекта обычно нет; кислотность усиливает слюноотделение.</x:v>
      </x:c>
      <x:c r="R189" s="28" t="str">
        <x:v>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</x:v>
      </x:c>
      <x:c r="S18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89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8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89" s="28" t="str">
        <x:v>ваниль или лимон</x:v>
      </x:c>
      <x:c r="W18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189" s="28" t="str">
        <x:v>напитки; десерты</x:v>
      </x:c>
      <x:c r="Y189" s="28" t="str">
        <x:v>Высокая</x:v>
      </x:c>
      <x:c r="Z189" s="28" t="str">
        <x:v>The Art &amp; Science of Foodpairing; Таблица сочетаний</x:v>
      </x:c>
      <x:c r="AA189" s="28" t="str">
        <x:v>The Art &amp; Science of Foodpairing: 205; Таблица сочетаний: 3</x:v>
      </x:c>
      <x:c r="AB189" s="28" t="str">
        <x:v>Голубика: абрикос | Ingredient pairings with Blueberry: apricot</x:v>
      </x:c>
      <x:c r="AC189" s="28" t="n">
        <x:v>2</x:v>
      </x:c>
      <x:c r="AD189" s="28" t="n">
        <x:v>2</x:v>
      </x:c>
    </x:row>
    <x:row r="190" ht="58" customHeight="1">
      <x:c r="A190" s="28" t="str">
        <x:v>BER-0189</x:v>
      </x:c>
      <x:c r="B190" s="28" t="str">
        <x:v>Универсальные</x:v>
      </x:c>
      <x:c r="C190" s="28" t="str">
        <x:v>голубика</x:v>
      </x:c>
      <x:c r="D190" s="28" t="str">
        <x:v>blueberry</x:v>
      </x:c>
      <x:c r="E190" s="28" t="str">
        <x:v>Ягоды и производные</x:v>
      </x:c>
      <x:c r="F190" s="28" t="str">
        <x:v>ананас</x:v>
      </x:c>
      <x:c r="G190" s="28" t="str">
        <x:v>Pineapple</x:v>
      </x:c>
      <x:c r="H190" s="28" t="str">
        <x:v>Фрукты</x:v>
      </x:c>
      <x:c r="I190" s="28" t="str">
        <x:v>зелёный, фруктовый, цветочный, цитрусовый</x:v>
      </x:c>
      <x:c r="J190" s="28" t="str">
        <x:v>зелёный, фруктовый, цветочный</x:v>
      </x:c>
      <x:c r="K190" s="28" t="str">
        <x:v>C6-альдегиды, гераниол, линалоол, цитронеллол</x:v>
      </x:c>
      <x:c r="L190" s="28" t="str">
        <x:v>лактоны, терпены, эфиры</x:v>
      </x:c>
      <x:c r="M190" s="28" t="str">
        <x:v>зелёный, фруктовый, цветочный</x:v>
      </x:c>
      <x:c r="N190" s="28" t="str">
        <x:v>не подтверждены; механизм не сводится к одной общей молекуле</x:v>
      </x:c>
      <x:c r="O190" s="28" t="str">
        <x:v>сходство ароматических семейств + комплементарность</x:v>
      </x:c>
      <x:c r="P190" s="28" t="str">
        <x:v>Оба компонента формируют сладко-кислый, мягкий и сладко-кислый контур; сахар, кислота и горечь должны быть выровнены дегустацией.</x:v>
      </x:c>
      <x:c r="Q190" s="28" t="str">
        <x:v>Специфического тройничного эффекта обычно нет; кислотность усиливает слюноотделение.</x:v>
      </x:c>
      <x:c r="R190" s="28" t="str">
        <x:v>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</x:v>
      </x:c>
      <x:c r="S19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90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9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90" s="28" t="str">
        <x:v>ваниль или лимон</x:v>
      </x:c>
      <x:c r="W19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190" s="28" t="str">
        <x:v>напитки; десерты</x:v>
      </x:c>
      <x:c r="Y190" s="28" t="str">
        <x:v>Средняя</x:v>
      </x:c>
      <x:c r="Z190" s="28" t="str">
        <x:v>The Art &amp; Science of Foodpairing</x:v>
      </x:c>
      <x:c r="AA190" s="28" t="str">
        <x:v>The Art &amp; Science of Foodpairing: 242</x:v>
      </x:c>
      <x:c r="AB190" s="28" t="str">
        <x:v>Ingredient pairings with Pineapple: blueberry</x:v>
      </x:c>
      <x:c r="AC190" s="28" t="n">
        <x:v>1</x:v>
      </x:c>
      <x:c r="AD190" s="28" t="n">
        <x:v>1</x:v>
      </x:c>
    </x:row>
    <x:row r="191" ht="58" customHeight="1">
      <x:c r="A191" s="28" t="str">
        <x:v>BER-0190</x:v>
      </x:c>
      <x:c r="B191" s="28" t="str">
        <x:v>Напитки</x:v>
      </x:c>
      <x:c r="C191" s="28" t="str">
        <x:v>голубика</x:v>
      </x:c>
      <x:c r="D191" s="28" t="str">
        <x:v>Blueberry</x:v>
      </x:c>
      <x:c r="E191" s="28" t="str">
        <x:v>Ягоды и производные</x:v>
      </x:c>
      <x:c r="F191" s="28" t="str">
        <x:v>апельсин</x:v>
      </x:c>
      <x:c r="G191" s="28" t="str">
        <x:v>orange</x:v>
      </x:c>
      <x:c r="H191" s="28" t="str">
        <x:v>Цитрусовые</x:v>
      </x:c>
      <x:c r="I191" s="28" t="str">
        <x:v>зелёный, фруктовый, цветочный, цитрусовый</x:v>
      </x:c>
      <x:c r="J191" s="28" t="str">
        <x:v>зелёный, цветочный, цитрусовый</x:v>
      </x:c>
      <x:c r="K191" s="28" t="str">
        <x:v>C6-альдегиды, гераниол, линалоол, цитронеллол</x:v>
      </x:c>
      <x:c r="L191" s="28" t="str">
        <x:v>лимонен, линалоол, цитраль</x:v>
      </x:c>
      <x:c r="M191" s="28" t="str">
        <x:v>зелёный, цветочный, цитрусовый</x:v>
      </x:c>
      <x:c r="N191" s="28" t="str">
        <x:v>линалоол</x:v>
      </x:c>
      <x:c r="O191" s="28" t="str">
        <x:v>ароматическое сходство + вкусовой баланс</x:v>
      </x:c>
      <x:c r="P191" s="28" t="str">
        <x:v>Оба компонента формируют сладко-кислый, мягкий и кислый, свежий контур; сахар, кислота и горечь должны быть выровнены дегустацией.</x:v>
      </x:c>
      <x:c r="Q191" s="28" t="str">
        <x:v>Специфического тройничного эффекта обычно нет; кислотность усиливает слюноотделение.</x:v>
      </x:c>
      <x:c r="R191" s="28" t="str">
        <x:v>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</x:v>
      </x:c>
      <x:c r="S19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91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9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91" s="28" t="str">
        <x:v>мёд или базилик</x:v>
      </x:c>
      <x:c r="W191" s="28" t="str">
        <x:v>кордиал, лимонад, чай, коктейль, настой или ферментированный напиток; маринад, гастрик, чатни, кетчуп или редукция</x:v>
      </x:c>
      <x:c r="X191" s="28" t="str">
        <x:v>напитки; соусы/маринады</x:v>
      </x:c>
      <x:c r="Y191" s="28" t="str">
        <x:v>Средняя</x:v>
      </x:c>
      <x:c r="Z191" s="28" t="str">
        <x:v>The Art &amp; Science of Foodpairing</x:v>
      </x:c>
      <x:c r="AA191" s="28" t="str">
        <x:v>The Art &amp; Science of Foodpairing: 205</x:v>
      </x:c>
      <x:c r="AB191" s="28" t="str">
        <x:v>Ingredient pairings with Blueberry: orange</x:v>
      </x:c>
      <x:c r="AC191" s="28" t="n">
        <x:v>1</x:v>
      </x:c>
      <x:c r="AD191" s="28" t="n">
        <x:v>1</x:v>
      </x:c>
    </x:row>
    <x:row r="192" ht="58" customHeight="1">
      <x:c r="A192" s="28" t="str">
        <x:v>BER-0191</x:v>
      </x:c>
      <x:c r="B192" s="28" t="str">
        <x:v>Напитки</x:v>
      </x:c>
      <x:c r="C192" s="28" t="str">
        <x:v>голубика</x:v>
      </x:c>
      <x:c r="D192" s="28" t="str">
        <x:v>Голубика</x:v>
      </x:c>
      <x:c r="E192" s="28" t="str">
        <x:v>Ягоды и производные</x:v>
      </x:c>
      <x:c r="F192" s="28" t="str">
        <x:v>апельсиновая</x:v>
      </x:c>
      <x:c r="G192" s="28" t="str">
        <x:v>апельсиновая</x:v>
      </x:c>
      <x:c r="H192" s="28" t="str">
        <x:v>Цитрусовые</x:v>
      </x:c>
      <x:c r="I192" s="28" t="str">
        <x:v>зелёный, фруктовый, цветочный, цитрусовый</x:v>
      </x:c>
      <x:c r="J192" s="28" t="str">
        <x:v>зелёный, цветочный, цитрусовый</x:v>
      </x:c>
      <x:c r="K192" s="28" t="str">
        <x:v>C6-альдегиды, гераниол, линалоол, цитронеллол</x:v>
      </x:c>
      <x:c r="L192" s="28" t="str">
        <x:v>лимонен, линалоол, цитраль</x:v>
      </x:c>
      <x:c r="M192" s="28" t="str">
        <x:v>зелёный, цветочный, цитрусовый</x:v>
      </x:c>
      <x:c r="N192" s="28" t="str">
        <x:v>линалоол</x:v>
      </x:c>
      <x:c r="O192" s="28" t="str">
        <x:v>ароматическое сходство + вкусовой баланс</x:v>
      </x:c>
      <x:c r="P192" s="28" t="str">
        <x:v>Оба компонента формируют сладко-кислый, мягкий и кислый, свежий контур; сахар, кислота и горечь должны быть выровнены дегустацией.</x:v>
      </x:c>
      <x:c r="Q192" s="28" t="str">
        <x:v>Специфического тройничного эффекта обычно нет; кислотность усиливает слюноотделение.</x:v>
      </x:c>
      <x:c r="R192" s="28" t="str">
        <x:v>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</x:v>
      </x:c>
      <x:c r="S19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92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9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92" s="28" t="str">
        <x:v>мёд или базилик</x:v>
      </x:c>
      <x:c r="W192" s="28" t="str">
        <x:v>кордиал, лимонад, чай, коктейль, настой или ферментированный напиток; маринад, гастрик, чатни, кетчуп или редукция</x:v>
      </x:c>
      <x:c r="X192" s="28" t="str">
        <x:v>напитки; соусы/маринады</x:v>
      </x:c>
      <x:c r="Y192" s="28" t="str">
        <x:v>Средняя</x:v>
      </x:c>
      <x:c r="Z192" s="28" t="str">
        <x:v>Таблица сочетаний</x:v>
      </x:c>
      <x:c r="AA192" s="28" t="str">
        <x:v>Таблица сочетаний: 3</x:v>
      </x:c>
      <x:c r="AB192" s="28" t="str">
        <x:v>Голубика: апельсиновая</x:v>
      </x:c>
      <x:c r="AC192" s="28" t="n">
        <x:v>1</x:v>
      </x:c>
      <x:c r="AD192" s="28" t="n">
        <x:v>1</x:v>
      </x:c>
    </x:row>
    <x:row r="193" ht="58" customHeight="1">
      <x:c r="A193" s="28" t="str">
        <x:v>BER-0192</x:v>
      </x:c>
      <x:c r="B193" s="28" t="str">
        <x:v>Еда и соусы</x:v>
      </x:c>
      <x:c r="C193" s="28" t="str">
        <x:v>голубика</x:v>
      </x:c>
      <x:c r="D193" s="28" t="str">
        <x:v>Blueberry</x:v>
      </x:c>
      <x:c r="E193" s="28" t="str">
        <x:v>Ягоды и производные</x:v>
      </x:c>
      <x:c r="F193" s="28" t="str">
        <x:v>баранина на гриле</x:v>
      </x:c>
      <x:c r="G193" s="28" t="str">
        <x:v>grilled lamb</x:v>
      </x:c>
      <x:c r="H193" s="28" t="str">
        <x:v>Мясо и птица</x:v>
      </x:c>
      <x:c r="I193" s="28" t="str">
        <x:v>зелёный, фруктовый, цветочный, цитрусовый</x:v>
      </x:c>
      <x:c r="J193" s="28" t="str">
        <x:v>жареный, жирный, сернистый, умами</x:v>
      </x:c>
      <x:c r="K193" s="28" t="str">
        <x:v>C6-альдегиды, гераниол, линалоол, цитронеллол</x:v>
      </x:c>
      <x:c r="L193" s="28" t="str">
        <x:v>альдегиды, пиразины, сернистые соединения</x:v>
      </x:c>
      <x:c r="M193" s="28" t="str">
        <x:v>прямое совпадение семейств не установлено</x:v>
      </x:c>
      <x:c r="N193" s="28" t="str">
        <x:v>не подтверждены; механизм не сводится к одной общей молекуле</x:v>
      </x:c>
      <x:c r="O193" s="28" t="str">
        <x:v>контраст/комплементарность + матричный эффект</x:v>
      </x:c>
      <x:c r="P193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193" s="28" t="str">
        <x:v>Специфического тройничного эффекта обычно нет; кислотность усиливает слюноотделение.</x:v>
      </x:c>
      <x:c r="R193" s="28" t="str">
        <x:v>Жировая фаза удерживает гидрофобные одоранты и продлевает послевкусие; кислотность ягод повышает слюноотделение.</x:v>
      </x:c>
      <x:c r="S19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19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19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93" s="28" t="str">
        <x:v>красное вино или чёрный перец</x:v>
      </x:c>
      <x:c r="W193" s="28" t="str">
        <x:v>соус, глазировка, салат, сырная подача или горячее блюдо; маринад, гастрик, чатни, кетчуп или редукция</x:v>
      </x:c>
      <x:c r="X193" s="28" t="str">
        <x:v>еда; соусы/маринады</x:v>
      </x:c>
      <x:c r="Y193" s="28" t="str">
        <x:v>Средняя</x:v>
      </x:c>
      <x:c r="Z193" s="28" t="str">
        <x:v>The Art &amp; Science of Foodpairing</x:v>
      </x:c>
      <x:c r="AA193" s="28" t="str">
        <x:v>The Art &amp; Science of Foodpairing: 205</x:v>
      </x:c>
      <x:c r="AB193" s="28" t="str">
        <x:v>Ingredient pairings with Blueberry: grilled lamb</x:v>
      </x:c>
      <x:c r="AC193" s="28" t="n">
        <x:v>1</x:v>
      </x:c>
      <x:c r="AD193" s="28" t="n">
        <x:v>1</x:v>
      </x:c>
    </x:row>
    <x:row r="194" ht="58" customHeight="1">
      <x:c r="A194" s="28" t="str">
        <x:v>BER-0193</x:v>
      </x:c>
      <x:c r="B194" s="28" t="str">
        <x:v>Десерты и выпечка</x:v>
      </x:c>
      <x:c r="C194" s="28" t="str">
        <x:v>голубика</x:v>
      </x:c>
      <x:c r="D194" s="28" t="str">
        <x:v>Blueberry | Голубика</x:v>
      </x:c>
      <x:c r="E194" s="28" t="str">
        <x:v>Ягоды и производные</x:v>
      </x:c>
      <x:c r="F194" s="28" t="str">
        <x:v>белый шоколад</x:v>
      </x:c>
      <x:c r="G194" s="28" t="str">
        <x:v>white chocolate | белый шоколад</x:v>
      </x:c>
      <x:c r="H194" s="28" t="str">
        <x:v>Шоколад, кофе и жареные продукты</x:v>
      </x:c>
      <x:c r="I194" s="28" t="str">
        <x:v>зелёный, фруктовый, цветочный, цитрусовый</x:v>
      </x:c>
      <x:c r="J194" s="28" t="str">
        <x:v>горький, жареный, карамельный, ореховый</x:v>
      </x:c>
      <x:c r="K194" s="28" t="str">
        <x:v>C6-альдегиды, гераниол, линалоол, цитронеллол</x:v>
      </x:c>
      <x:c r="L194" s="28" t="str">
        <x:v>ванилин, пиразины, фураны</x:v>
      </x:c>
      <x:c r="M194" s="28" t="str">
        <x:v>прямое совпадение семейств не установлено</x:v>
      </x:c>
      <x:c r="N194" s="28" t="str">
        <x:v>не подтверждены; механизм не сводится к одной общей молекуле</x:v>
      </x:c>
      <x:c r="O194" s="28" t="str">
        <x:v>контраст/комплементарность + матричный эффект</x:v>
      </x:c>
      <x:c r="P194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194" s="28" t="str">
        <x:v>Специфического тройничного эффекта обычно нет; кислотность усиливает слюноотделение.</x:v>
      </x:c>
      <x:c r="R194" s="28" t="str">
        <x:v>Жировая фаза удерживает гидрофобные одоранты и продлевает послевкусие; кислотность ягод повышает слюноотделение.</x:v>
      </x:c>
      <x:c r="S19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9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9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94" s="28" t="str">
        <x:v>ваниль или орехи</x:v>
      </x:c>
      <x:c r="W194" s="28" t="str">
        <x:v>сорбет, крем, ганаш, выпечка, джем или соус для десерта</x:v>
      </x:c>
      <x:c r="X194" s="28" t="str">
        <x:v>десерты</x:v>
      </x:c>
      <x:c r="Y194" s="28" t="str">
        <x:v>Высокая</x:v>
      </x:c>
      <x:c r="Z194" s="28" t="str">
        <x:v>The Art &amp; Science of Foodpairing; Таблица сочетаний</x:v>
      </x:c>
      <x:c r="AA194" s="28" t="str">
        <x:v>The Art &amp; Science of Foodpairing: 205; Таблица сочетаний: 3</x:v>
      </x:c>
      <x:c r="AB194" s="28" t="str">
        <x:v>Голубика: белый шоколад | Ingredient pairings with Blueberry: white chocolate</x:v>
      </x:c>
      <x:c r="AC194" s="28" t="n">
        <x:v>2</x:v>
      </x:c>
      <x:c r="AD194" s="28" t="n">
        <x:v>2</x:v>
      </x:c>
    </x:row>
    <x:row r="195" ht="58" customHeight="1">
      <x:c r="A195" s="28" t="str">
        <x:v>BER-0194</x:v>
      </x:c>
      <x:c r="B195" s="28" t="str">
        <x:v>Напитки</x:v>
      </x:c>
      <x:c r="C195" s="28" t="str">
        <x:v>голубика</x:v>
      </x:c>
      <x:c r="D195" s="28" t="str">
        <x:v>blueberry</x:v>
      </x:c>
      <x:c r="E195" s="28" t="str">
        <x:v>Ягоды и производные</x:v>
      </x:c>
      <x:c r="F195" s="28" t="str">
        <x:v>бергамот</x:v>
      </x:c>
      <x:c r="G195" s="28" t="str">
        <x:v>Bergamot</x:v>
      </x:c>
      <x:c r="H195" s="28" t="str">
        <x:v>Цитрусовые</x:v>
      </x:c>
      <x:c r="I195" s="28" t="str">
        <x:v>зелёный, фруктовый, цветочный, цитрусовый</x:v>
      </x:c>
      <x:c r="J195" s="28" t="str">
        <x:v>зелёный, цветочный, цитрусовый</x:v>
      </x:c>
      <x:c r="K195" s="28" t="str">
        <x:v>C6-альдегиды, гераниол, линалоол, цитронеллол</x:v>
      </x:c>
      <x:c r="L195" s="28" t="str">
        <x:v>лимонен, линалоол, цитраль</x:v>
      </x:c>
      <x:c r="M195" s="28" t="str">
        <x:v>зелёный, цветочный, цитрусовый</x:v>
      </x:c>
      <x:c r="N195" s="28" t="str">
        <x:v>линалоол</x:v>
      </x:c>
      <x:c r="O195" s="28" t="str">
        <x:v>ароматическое сходство + вкусовой баланс</x:v>
      </x:c>
      <x:c r="P195" s="28" t="str">
        <x:v>Оба компонента формируют сладко-кислый, мягкий и кислый, свежий контур; сахар, кислота и горечь должны быть выровнены дегустацией.</x:v>
      </x:c>
      <x:c r="Q195" s="28" t="str">
        <x:v>Специфического тройничного эффекта обычно нет; кислотность усиливает слюноотделение.</x:v>
      </x:c>
      <x:c r="R195" s="28" t="str">
        <x:v>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</x:v>
      </x:c>
      <x:c r="S19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95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9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95" s="28" t="str">
        <x:v>мёд или базилик</x:v>
      </x:c>
      <x:c r="W195" s="28" t="str">
        <x:v>кордиал, лимонад, чай, коктейль, настой или ферментированный напиток; маринад, гастрик, чатни, кетчуп или редукция</x:v>
      </x:c>
      <x:c r="X195" s="28" t="str">
        <x:v>напитки; соусы/маринады</x:v>
      </x:c>
      <x:c r="Y195" s="28" t="str">
        <x:v>Средняя</x:v>
      </x:c>
      <x:c r="Z195" s="28" t="str">
        <x:v>The Art &amp; Science of Foodpairing</x:v>
      </x:c>
      <x:c r="AA195" s="28" t="str">
        <x:v>The Art &amp; Science of Foodpairing: 218</x:v>
      </x:c>
      <x:c r="AB195" s="28" t="str">
        <x:v>Ingredient pairings with Bergamot: blueberry</x:v>
      </x:c>
      <x:c r="AC195" s="28" t="n">
        <x:v>1</x:v>
      </x:c>
      <x:c r="AD195" s="28" t="n">
        <x:v>1</x:v>
      </x:c>
    </x:row>
    <x:row r="196" ht="58" customHeight="1">
      <x:c r="A196" s="28" t="str">
        <x:v>BER-0195</x:v>
      </x:c>
      <x:c r="B196" s="28" t="str">
        <x:v>Универсальные</x:v>
      </x:c>
      <x:c r="C196" s="28" t="str">
        <x:v>голубика</x:v>
      </x:c>
      <x:c r="D196" s="28" t="str">
        <x:v>Голубика</x:v>
      </x:c>
      <x:c r="E196" s="28" t="str">
        <x:v>Ягоды и производные</x:v>
      </x:c>
      <x:c r="F196" s="28" t="str">
        <x:v>вода/флёрдоранж</x:v>
      </x:c>
      <x:c r="G196" s="28" t="str">
        <x:v>вода/флёрдоранж</x:v>
      </x:c>
      <x:c r="H196" s="28" t="str">
        <x:v>Прочее</x:v>
      </x:c>
      <x:c r="I196" s="28" t="str">
        <x:v>зелёный, фруктовый, цветочный, цитрусовый</x:v>
      </x:c>
      <x:c r="J196" s="28" t="str">
        <x:v>комплексный</x:v>
      </x:c>
      <x:c r="K196" s="28" t="str">
        <x:v>C6-альдегиды, гераниол, линалоол, цитронеллол</x:v>
      </x:c>
      <x:c r="L196" s="28" t="str">
        <x:v>нет надёжной конкретизации</x:v>
      </x:c>
      <x:c r="M196" s="28" t="str">
        <x:v>прямое совпадение семейств не установлено</x:v>
      </x:c>
      <x:c r="N196" s="28" t="str">
        <x:v>не подтверждены; механизм не сводится к одной общей молекуле</x:v>
      </x:c>
      <x:c r="O196" s="28" t="str">
        <x:v>контраст/комплементарность + матричный эффект</x:v>
      </x:c>
      <x:c r="P196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196" s="28" t="str">
        <x:v>Специфического тройничного эффекта обычно нет; кислотность усиливает слюноотделение.</x:v>
      </x:c>
      <x:c r="R196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19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9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9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96" s="28" t="str">
        <x:v>лимон или ваниль</x:v>
      </x:c>
      <x:c r="W196" s="28" t="str">
        <x:v>сенсорная проба в малой дозировке</x:v>
      </x:c>
      <x:c r="X196" s="28" t="str">
        <x:v>универсально</x:v>
      </x:c>
      <x:c r="Y196" s="28" t="str">
        <x:v>Средняя</x:v>
      </x:c>
      <x:c r="Z196" s="28" t="str">
        <x:v>Таблица сочетаний</x:v>
      </x:c>
      <x:c r="AA196" s="28" t="str">
        <x:v>Таблица сочетаний: 3</x:v>
      </x:c>
      <x:c r="AB196" s="28" t="str">
        <x:v>Голубика: вода/флёрдоранж</x:v>
      </x:c>
      <x:c r="AC196" s="28" t="n">
        <x:v>1</x:v>
      </x:c>
      <x:c r="AD196" s="28" t="n">
        <x:v>1</x:v>
      </x:c>
    </x:row>
    <x:row r="197" ht="58" customHeight="1">
      <x:c r="A197" s="28" t="str">
        <x:v>BER-0196</x:v>
      </x:c>
      <x:c r="B197" s="28" t="str">
        <x:v>Универсальные</x:v>
      </x:c>
      <x:c r="C197" s="28" t="str">
        <x:v>голубика</x:v>
      </x:c>
      <x:c r="D197" s="28" t="str">
        <x:v>голубика</x:v>
      </x:c>
      <x:c r="E197" s="28" t="str">
        <x:v>Ягоды и производные</x:v>
      </x:c>
      <x:c r="F197" s="28" t="str">
        <x:v>гранат</x:v>
      </x:c>
      <x:c r="G197" s="28" t="str">
        <x:v>Гранат</x:v>
      </x:c>
      <x:c r="H197" s="28" t="str">
        <x:v>Фрукты</x:v>
      </x:c>
      <x:c r="I197" s="28" t="str">
        <x:v>зелёный, фруктовый, цветочный, цитрусовый</x:v>
      </x:c>
      <x:c r="J197" s="28" t="str">
        <x:v>зелёный, фруктовый, цветочный</x:v>
      </x:c>
      <x:c r="K197" s="28" t="str">
        <x:v>C6-альдегиды, гераниол, линалоол, цитронеллол</x:v>
      </x:c>
      <x:c r="L197" s="28" t="str">
        <x:v>лактоны, терпены, эфиры</x:v>
      </x:c>
      <x:c r="M197" s="28" t="str">
        <x:v>зелёный, фруктовый, цветочный</x:v>
      </x:c>
      <x:c r="N197" s="28" t="str">
        <x:v>не подтверждены; механизм не сводится к одной общей молекуле</x:v>
      </x:c>
      <x:c r="O197" s="28" t="str">
        <x:v>сходство ароматических семейств + комплементарность</x:v>
      </x:c>
      <x:c r="P197" s="28" t="str">
        <x:v>Оба компонента формируют сладко-кислый, мягкий и сладко-кислый контур; сахар, кислота и горечь должны быть выровнены дегустацией.</x:v>
      </x:c>
      <x:c r="Q197" s="28" t="str">
        <x:v>Специфического тройничного эффекта обычно нет; кислотность усиливает слюноотделение.</x:v>
      </x:c>
      <x:c r="R197" s="28" t="str">
        <x:v>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</x:v>
      </x:c>
      <x:c r="S19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97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9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97" s="28" t="str">
        <x:v>ваниль или лимон</x:v>
      </x:c>
      <x:c r="W19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197" s="28" t="str">
        <x:v>напитки; десерты</x:v>
      </x:c>
      <x:c r="Y197" s="28" t="str">
        <x:v>Средняя</x:v>
      </x:c>
      <x:c r="Z197" s="28" t="str">
        <x:v>Таблица сочетаний</x:v>
      </x:c>
      <x:c r="AA197" s="28" t="str">
        <x:v>Таблица сочетаний: 17</x:v>
      </x:c>
      <x:c r="AB197" s="28" t="str">
        <x:v>Гранат: голубика</x:v>
      </x:c>
      <x:c r="AC197" s="28" t="n">
        <x:v>1</x:v>
      </x:c>
      <x:c r="AD197" s="28" t="n">
        <x:v>1</x:v>
      </x:c>
    </x:row>
    <x:row r="198" ht="58" customHeight="1">
      <x:c r="A198" s="28" t="str">
        <x:v>BER-0197</x:v>
      </x:c>
      <x:c r="B198" s="28" t="str">
        <x:v>Напитки</x:v>
      </x:c>
      <x:c r="C198" s="28" t="str">
        <x:v>голубика</x:v>
      </x:c>
      <x:c r="D198" s="28" t="str">
        <x:v>Blueberry</x:v>
      </x:c>
      <x:c r="E198" s="28" t="str">
        <x:v>Ягоды и производные</x:v>
      </x:c>
      <x:c r="F198" s="28" t="str">
        <x:v>грейпфрут</x:v>
      </x:c>
      <x:c r="G198" s="28" t="str">
        <x:v>grapefruit</x:v>
      </x:c>
      <x:c r="H198" s="28" t="str">
        <x:v>Цитрусовые</x:v>
      </x:c>
      <x:c r="I198" s="28" t="str">
        <x:v>зелёный, фруктовый, цветочный, цитрусовый</x:v>
      </x:c>
      <x:c r="J198" s="28" t="str">
        <x:v>зелёный, цветочный, цитрусовый</x:v>
      </x:c>
      <x:c r="K198" s="28" t="str">
        <x:v>C6-альдегиды, гераниол, линалоол, цитронеллол</x:v>
      </x:c>
      <x:c r="L198" s="28" t="str">
        <x:v>лимонен, линалоол, цитраль</x:v>
      </x:c>
      <x:c r="M198" s="28" t="str">
        <x:v>зелёный, цветочный, цитрусовый</x:v>
      </x:c>
      <x:c r="N198" s="28" t="str">
        <x:v>линалоол</x:v>
      </x:c>
      <x:c r="O198" s="28" t="str">
        <x:v>ароматическое сходство + вкусовой баланс</x:v>
      </x:c>
      <x:c r="P198" s="28" t="str">
        <x:v>Оба компонента формируют сладко-кислый, мягкий и кислый, свежий контур; сахар, кислота и горечь должны быть выровнены дегустацией.</x:v>
      </x:c>
      <x:c r="Q198" s="28" t="str">
        <x:v>Специфического тройничного эффекта обычно нет; кислотность усиливает слюноотделение.</x:v>
      </x:c>
      <x:c r="R198" s="28" t="str">
        <x:v>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</x:v>
      </x:c>
      <x:c r="S19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98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9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98" s="28" t="str">
        <x:v>мёд или базилик</x:v>
      </x:c>
      <x:c r="W198" s="28" t="str">
        <x:v>кордиал, лимонад, чай, коктейль, настой или ферментированный напиток; маринад, гастрик, чатни, кетчуп или редукция</x:v>
      </x:c>
      <x:c r="X198" s="28" t="str">
        <x:v>напитки; соусы/маринады</x:v>
      </x:c>
      <x:c r="Y198" s="28" t="str">
        <x:v>Средняя</x:v>
      </x:c>
      <x:c r="Z198" s="28" t="str">
        <x:v>The Art &amp; Science of Foodpairing</x:v>
      </x:c>
      <x:c r="AA198" s="28" t="str">
        <x:v>The Art &amp; Science of Foodpairing: 205</x:v>
      </x:c>
      <x:c r="AB198" s="28" t="str">
        <x:v>Ingredient pairings with Blueberry: grapefruit</x:v>
      </x:c>
      <x:c r="AC198" s="28" t="n">
        <x:v>1</x:v>
      </x:c>
      <x:c r="AD198" s="28" t="n">
        <x:v>1</x:v>
      </x:c>
    </x:row>
    <x:row r="199" ht="58" customHeight="1">
      <x:c r="A199" s="28" t="str">
        <x:v>BER-0198</x:v>
      </x:c>
      <x:c r="B199" s="28" t="str">
        <x:v>Универсальные</x:v>
      </x:c>
      <x:c r="C199" s="28" t="str">
        <x:v>голубика</x:v>
      </x:c>
      <x:c r="D199" s="28" t="str">
        <x:v>blueberry</x:v>
      </x:c>
      <x:c r="E199" s="28" t="str">
        <x:v>Ягоды и производные</x:v>
      </x:c>
      <x:c r="F199" s="28" t="str">
        <x:v>груша</x:v>
      </x:c>
      <x:c r="G199" s="28" t="str">
        <x:v>Pear</x:v>
      </x:c>
      <x:c r="H199" s="28" t="str">
        <x:v>Фрукты</x:v>
      </x:c>
      <x:c r="I199" s="28" t="str">
        <x:v>зелёный, фруктовый, цветочный, цитрусовый</x:v>
      </x:c>
      <x:c r="J199" s="28" t="str">
        <x:v>зелёный, фруктовый, цветочный</x:v>
      </x:c>
      <x:c r="K199" s="28" t="str">
        <x:v>C6-альдегиды, гераниол, линалоол, цитронеллол</x:v>
      </x:c>
      <x:c r="L199" s="28" t="str">
        <x:v>лактоны, терпены, эфиры</x:v>
      </x:c>
      <x:c r="M199" s="28" t="str">
        <x:v>зелёный, фруктовый, цветочный</x:v>
      </x:c>
      <x:c r="N199" s="28" t="str">
        <x:v>не подтверждены; механизм не сводится к одной общей молекуле</x:v>
      </x:c>
      <x:c r="O199" s="28" t="str">
        <x:v>сходство ароматических семейств + комплементарность</x:v>
      </x:c>
      <x:c r="P199" s="28" t="str">
        <x:v>Оба компонента формируют сладко-кислый, мягкий и сладко-кислый контур; сахар, кислота и горечь должны быть выровнены дегустацией.</x:v>
      </x:c>
      <x:c r="Q199" s="28" t="str">
        <x:v>Специфического тройничного эффекта обычно нет; кислотность усиливает слюноотделение.</x:v>
      </x:c>
      <x:c r="R199" s="28" t="str">
        <x:v>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</x:v>
      </x:c>
      <x:c r="S19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199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19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199" s="28" t="str">
        <x:v>ваниль или лимон</x:v>
      </x:c>
      <x:c r="W19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199" s="28" t="str">
        <x:v>напитки; десерты</x:v>
      </x:c>
      <x:c r="Y199" s="28" t="str">
        <x:v>Средняя</x:v>
      </x:c>
      <x:c r="Z199" s="28" t="str">
        <x:v>The Art &amp; Science of Foodpairing</x:v>
      </x:c>
      <x:c r="AA199" s="28" t="str">
        <x:v>The Art &amp; Science of Foodpairing: 351</x:v>
      </x:c>
      <x:c r="AB199" s="28" t="str">
        <x:v>Ingredient pairings with Pear: blueberry</x:v>
      </x:c>
      <x:c r="AC199" s="28" t="n">
        <x:v>1</x:v>
      </x:c>
      <x:c r="AD199" s="28" t="n">
        <x:v>1</x:v>
      </x:c>
    </x:row>
    <x:row r="200" ht="58" customHeight="1">
      <x:c r="A200" s="28" t="str">
        <x:v>BER-0199</x:v>
      </x:c>
      <x:c r="B200" s="28" t="str">
        <x:v>Универсальные</x:v>
      </x:c>
      <x:c r="C200" s="28" t="str">
        <x:v>голубика</x:v>
      </x:c>
      <x:c r="D200" s="28" t="str">
        <x:v>Blueberry</x:v>
      </x:c>
      <x:c r="E200" s="28" t="str">
        <x:v>Ягоды и производные</x:v>
      </x:c>
      <x:c r="F200" s="28" t="str">
        <x:v>груша Conference</x:v>
      </x:c>
      <x:c r="G200" s="28" t="str">
        <x:v>Conference pear</x:v>
      </x:c>
      <x:c r="H200" s="28" t="str">
        <x:v>Фрукты</x:v>
      </x:c>
      <x:c r="I200" s="28" t="str">
        <x:v>зелёный, фруктовый, цветочный, цитрусовый</x:v>
      </x:c>
      <x:c r="J200" s="28" t="str">
        <x:v>зелёный, фруктовый, цветочный</x:v>
      </x:c>
      <x:c r="K200" s="28" t="str">
        <x:v>C6-альдегиды, гераниол, линалоол, цитронеллол</x:v>
      </x:c>
      <x:c r="L200" s="28" t="str">
        <x:v>лактоны, терпены, эфиры</x:v>
      </x:c>
      <x:c r="M200" s="28" t="str">
        <x:v>зелёный, фруктовый, цветочный</x:v>
      </x:c>
      <x:c r="N200" s="28" t="str">
        <x:v>не подтверждены; механизм не сводится к одной общей молекуле</x:v>
      </x:c>
      <x:c r="O200" s="28" t="str">
        <x:v>сходство ароматических семейств + комплементарность</x:v>
      </x:c>
      <x:c r="P200" s="28" t="str">
        <x:v>Оба компонента формируют сладко-кислый, мягкий и сладко-кислый контур; сахар, кислота и горечь должны быть выровнены дегустацией.</x:v>
      </x:c>
      <x:c r="Q200" s="28" t="str">
        <x:v>Специфического тройничного эффекта обычно нет; кислотность усиливает слюноотделение.</x:v>
      </x:c>
      <x:c r="R200" s="28" t="str">
        <x:v>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</x:v>
      </x:c>
      <x:c r="S20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00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0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00" s="28" t="str">
        <x:v>ваниль или лимон</x:v>
      </x:c>
      <x:c r="W20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200" s="28" t="str">
        <x:v>напитки; десерты</x:v>
      </x:c>
      <x:c r="Y200" s="28" t="str">
        <x:v>Средняя</x:v>
      </x:c>
      <x:c r="Z200" s="28" t="str">
        <x:v>The Art &amp; Science of Foodpairing</x:v>
      </x:c>
      <x:c r="AA200" s="28" t="str">
        <x:v>The Art &amp; Science of Foodpairing: 205</x:v>
      </x:c>
      <x:c r="AB200" s="28" t="str">
        <x:v>Ingredient pairings with Blueberry: Conference pear</x:v>
      </x:c>
      <x:c r="AC200" s="28" t="n">
        <x:v>1</x:v>
      </x:c>
      <x:c r="AD200" s="28" t="n">
        <x:v>1</x:v>
      </x:c>
    </x:row>
    <x:row r="201" ht="58" customHeight="1">
      <x:c r="A201" s="28" t="str">
        <x:v>BER-0200</x:v>
      </x:c>
      <x:c r="B201" s="28" t="str">
        <x:v>Еда и соусы</x:v>
      </x:c>
      <x:c r="C201" s="28" t="str">
        <x:v>голубика</x:v>
      </x:c>
      <x:c r="D201" s="28" t="str">
        <x:v>blueberry</x:v>
      </x:c>
      <x:c r="E201" s="28" t="str">
        <x:v>Ягоды и производные</x:v>
      </x:c>
      <x:c r="F201" s="28" t="str">
        <x:v>доджанг</x:v>
      </x:c>
      <x:c r="G201" s="28" t="str">
        <x:v>Doenjang</x:v>
      </x:c>
      <x:c r="H201" s="28" t="str">
        <x:v>Ферментированные продукты, соусы и уксусы</x:v>
      </x:c>
      <x:c r="I201" s="28" t="str">
        <x:v>зелёный, фруктовый, цветочный, цитрусовый</x:v>
      </x:c>
      <x:c r="J201" s="28" t="str">
        <x:v>кислый, умами, ферментированный</x:v>
      </x:c>
      <x:c r="K201" s="28" t="str">
        <x:v>C6-альдегиды, гераниол, линалоол, цитронеллол</x:v>
      </x:c>
      <x:c r="L201" s="28" t="str">
        <x:v>аминокислоты, органические кислоты, эфиры</x:v>
      </x:c>
      <x:c r="M201" s="28" t="str">
        <x:v>прямое совпадение семейств не установлено</x:v>
      </x:c>
      <x:c r="N201" s="28" t="str">
        <x:v>не подтверждены; механизм не сводится к одной общей молекуле</x:v>
      </x:c>
      <x:c r="O201" s="28" t="str">
        <x:v>контраст/комплементарность + матричный эффект</x:v>
      </x:c>
      <x:c r="P201" s="28" t="str">
        <x:v>Оба компонента формируют сладко-кислый, мягкий и кислый/солёный/умами контур; сахар, кислота и горечь должны быть выровнены дегустацией.</x:v>
      </x:c>
      <x:c r="Q201" s="28" t="str">
        <x:v>Специфического тройничного эффекта обычно нет; кислотность усиливает слюноотделение.</x:v>
      </x:c>
      <x:c r="R201" s="28" t="str">
        <x:v>Ягода: нежный аромат легко теряется на фоне сильной сладости. Партнёр: вода, соль и продукты ферментации. В воде аромат раскрывается быстрее, в жире и этаноле — дольше удерживается.</x:v>
      </x:c>
      <x:c r="S20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0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кислый, умами, ферментированный. Оба компонента формируют сладко-кислый, мягкий и кислый/солёный/умами контур; сахар, кислота и горечь должны быть выровнены дегустацией. Ягода: нежный аромат легко теряется на фоне сильной сладости.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0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01" s="28" t="str">
        <x:v>мёд или соевый соус</x:v>
      </x:c>
      <x:c r="W201" s="28" t="str">
        <x:v>соус, глазировка, салат, сырная подача или горячее блюдо; маринад, гастрик, чатни, кетчуп или редукция</x:v>
      </x:c>
      <x:c r="X201" s="28" t="str">
        <x:v>еда; соусы/маринады</x:v>
      </x:c>
      <x:c r="Y201" s="28" t="str">
        <x:v>Средняя</x:v>
      </x:c>
      <x:c r="Z201" s="28" t="str">
        <x:v>The Art &amp; Science of Foodpairing</x:v>
      </x:c>
      <x:c r="AA201" s="28" t="str">
        <x:v>The Art &amp; Science of Foodpairing: 246</x:v>
      </x:c>
      <x:c r="AB201" s="28" t="str">
        <x:v>Ingredient pairings with Doenjang: blueberry</x:v>
      </x:c>
      <x:c r="AC201" s="28" t="n">
        <x:v>1</x:v>
      </x:c>
      <x:c r="AD201" s="28" t="n">
        <x:v>1</x:v>
      </x:c>
    </x:row>
    <x:row r="202" ht="58" customHeight="1">
      <x:c r="A202" s="28" t="str">
        <x:v>BER-0201</x:v>
      </x:c>
      <x:c r="B202" s="28" t="str">
        <x:v>Еда и соусы</x:v>
      </x:c>
      <x:c r="C202" s="28" t="str">
        <x:v>голубика</x:v>
      </x:c>
      <x:c r="D202" s="28" t="str">
        <x:v>Blueberry</x:v>
      </x:c>
      <x:c r="E202" s="28" t="str">
        <x:v>Ягоды и производные</x:v>
      </x:c>
      <x:c r="F202" s="28" t="str">
        <x:v>жареные телячьи зобные железы</x:v>
      </x:c>
      <x:c r="G202" s="28" t="str">
        <x:v>roasted veal sweetbreads</x:v>
      </x:c>
      <x:c r="H202" s="28" t="str">
        <x:v>Мясо и птица</x:v>
      </x:c>
      <x:c r="I202" s="28" t="str">
        <x:v>зелёный, фруктовый, цветочный, цитрусовый</x:v>
      </x:c>
      <x:c r="J202" s="28" t="str">
        <x:v>жареный, жирный, сернистый, умами</x:v>
      </x:c>
      <x:c r="K202" s="28" t="str">
        <x:v>C6-альдегиды, гераниол, линалоол, цитронеллол</x:v>
      </x:c>
      <x:c r="L202" s="28" t="str">
        <x:v>альдегиды, пиразины, сернистые соединения</x:v>
      </x:c>
      <x:c r="M202" s="28" t="str">
        <x:v>прямое совпадение семейств не установлено</x:v>
      </x:c>
      <x:c r="N202" s="28" t="str">
        <x:v>не подтверждены; механизм не сводится к одной общей молекуле</x:v>
      </x:c>
      <x:c r="O202" s="28" t="str">
        <x:v>контраст/комплементарность + матричный эффект</x:v>
      </x:c>
      <x:c r="P202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202" s="28" t="str">
        <x:v>Специфического тройничного эффекта обычно нет; кислотность усиливает слюноотделение.</x:v>
      </x:c>
      <x:c r="R202" s="28" t="str">
        <x:v>Жировая фаза удерживает гидрофобные одоранты и продлевает послевкусие; кислотность ягод повышает слюноотделение.</x:v>
      </x:c>
      <x:c r="S20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0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0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02" s="28" t="str">
        <x:v>красное вино или чёрный перец</x:v>
      </x:c>
      <x:c r="W202" s="28" t="str">
        <x:v>соус, глазировка, салат, сырная подача или горячее блюдо; маринад, гастрик, чатни, кетчуп или редукция</x:v>
      </x:c>
      <x:c r="X202" s="28" t="str">
        <x:v>еда; соусы/маринады</x:v>
      </x:c>
      <x:c r="Y202" s="28" t="str">
        <x:v>Средняя</x:v>
      </x:c>
      <x:c r="Z202" s="28" t="str">
        <x:v>The Art &amp; Science of Foodpairing</x:v>
      </x:c>
      <x:c r="AA202" s="28" t="str">
        <x:v>The Art &amp; Science of Foodpairing: 205</x:v>
      </x:c>
      <x:c r="AB202" s="28" t="str">
        <x:v>Ingredient pairings with Blueberry: roasted veal sweetbreads</x:v>
      </x:c>
      <x:c r="AC202" s="28" t="n">
        <x:v>1</x:v>
      </x:c>
      <x:c r="AD202" s="28" t="n">
        <x:v>1</x:v>
      </x:c>
    </x:row>
    <x:row r="203" ht="58" customHeight="1">
      <x:c r="A203" s="28" t="str">
        <x:v>BER-0202</x:v>
      </x:c>
      <x:c r="B203" s="28" t="str">
        <x:v>Десерты и выпечка</x:v>
      </x:c>
      <x:c r="C203" s="28" t="str">
        <x:v>голубика</x:v>
      </x:c>
      <x:c r="D203" s="28" t="str">
        <x:v>Blueberry</x:v>
      </x:c>
      <x:c r="E203" s="28" t="str">
        <x:v>Ягоды и производные</x:v>
      </x:c>
      <x:c r="F203" s="28" t="str">
        <x:v>жареный фундук</x:v>
      </x:c>
      <x:c r="G203" s="28" t="str">
        <x:v>roasted hazelnut</x:v>
      </x:c>
      <x:c r="H203" s="28" t="str">
        <x:v>Орехи и семена</x:v>
      </x:c>
      <x:c r="I203" s="28" t="str">
        <x:v>зелёный, фруктовый, цветочный, цитрусовый</x:v>
      </x:c>
      <x:c r="J203" s="28" t="str">
        <x:v>жареный, миндальный, ореховый</x:v>
      </x:c>
      <x:c r="K203" s="28" t="str">
        <x:v>C6-альдегиды, гераниол, линалоол, цитронеллол</x:v>
      </x:c>
      <x:c r="L203" s="28" t="str">
        <x:v>бензальдегид, пиразины, фураны</x:v>
      </x:c>
      <x:c r="M203" s="28" t="str">
        <x:v>прямое совпадение семейств не установлено</x:v>
      </x:c>
      <x:c r="N203" s="28" t="str">
        <x:v>не подтверждены; механизм не сводится к одной общей молекуле</x:v>
      </x:c>
      <x:c r="O203" s="28" t="str">
        <x:v>контраст/комплементарность + матричный эффект</x:v>
      </x:c>
      <x:c r="P203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203" s="28" t="str">
        <x:v>Специфического тройничного эффекта обычно нет; кислотность усиливает слюноотделение.</x:v>
      </x:c>
      <x:c r="R203" s="28" t="str">
        <x:v>Жировая фаза удерживает гидрофобные одоранты и продлевает послевкусие; кислотность ягод повышает слюноотделение.</x:v>
      </x:c>
      <x:c r="S20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0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0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03" s="28" t="str">
        <x:v>ваниль или сливки</x:v>
      </x:c>
      <x:c r="W203" s="28" t="str">
        <x:v>сорбет, крем, ганаш, выпечка, джем или соус для десерта</x:v>
      </x:c>
      <x:c r="X203" s="28" t="str">
        <x:v>десерты</x:v>
      </x:c>
      <x:c r="Y203" s="28" t="str">
        <x:v>Средняя</x:v>
      </x:c>
      <x:c r="Z203" s="28" t="str">
        <x:v>The Art &amp; Science of Foodpairing</x:v>
      </x:c>
      <x:c r="AA203" s="28" t="str">
        <x:v>The Art &amp; Science of Foodpairing: 204</x:v>
      </x:c>
      <x:c r="AB203" s="28" t="str">
        <x:v>Ingredient pairings with Blueberry: roasted hazelnut</x:v>
      </x:c>
      <x:c r="AC203" s="28" t="n">
        <x:v>1</x:v>
      </x:c>
      <x:c r="AD203" s="28" t="n">
        <x:v>1</x:v>
      </x:c>
    </x:row>
    <x:row r="204" ht="58" customHeight="1">
      <x:c r="A204" s="28" t="str">
        <x:v>BER-0203</x:v>
      </x:c>
      <x:c r="B204" s="28" t="str">
        <x:v>Универсальные</x:v>
      </x:c>
      <x:c r="C204" s="28" t="str">
        <x:v>голубика</x:v>
      </x:c>
      <x:c r="D204" s="28" t="str">
        <x:v>Голубика</x:v>
      </x:c>
      <x:c r="E204" s="28" t="str">
        <x:v>Ягоды и производные</x:v>
      </x:c>
      <x:c r="F204" s="28" t="str">
        <x:v>жасмин</x:v>
      </x:c>
      <x:c r="G204" s="28" t="str">
        <x:v>жасмин</x:v>
      </x:c>
      <x:c r="H204" s="28" t="str">
        <x:v>Травы и цветы</x:v>
      </x:c>
      <x:c r="I204" s="28" t="str">
        <x:v>зелёный, фруктовый, цветочный, цитрусовый</x:v>
      </x:c>
      <x:c r="J204" s="28" t="str">
        <x:v>зелёный, травянистый, цветочный</x:v>
      </x:c>
      <x:c r="K204" s="28" t="str">
        <x:v>C6-альдегиды, гераниол, линалоол, цитронеллол</x:v>
      </x:c>
      <x:c r="L204" s="28" t="str">
        <x:v>гераниол, линалоол, терпены, эвгенол</x:v>
      </x:c>
      <x:c r="M204" s="28" t="str">
        <x:v>зелёный, цветочный</x:v>
      </x:c>
      <x:c r="N204" s="28" t="str">
        <x:v>гераниол, линалоол</x:v>
      </x:c>
      <x:c r="O204" s="28" t="str">
        <x:v>ароматическое сходство + вкусовой баланс</x:v>
      </x:c>
      <x:c r="P204" s="28" t="str">
        <x:v>Ягодная сладость смягчает горечь и пряность, а кислотность делает горьковатый, свежий профиль ярче.</x:v>
      </x:c>
      <x:c r="Q204" s="28" t="str">
        <x:v>Специфического тройничного эффекта обычно нет; кислотность усиливает слюноотделение.</x:v>
      </x:c>
      <x:c r="R204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0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04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0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04" s="28" t="str">
        <x:v>лимон или мёд</x:v>
      </x:c>
      <x:c r="W20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204" s="28" t="str">
        <x:v>напитки; еда; соусы/маринады</x:v>
      </x:c>
      <x:c r="Y204" s="28" t="str">
        <x:v>Средняя</x:v>
      </x:c>
      <x:c r="Z204" s="28" t="str">
        <x:v>Таблица сочетаний</x:v>
      </x:c>
      <x:c r="AA204" s="28" t="str">
        <x:v>Таблица сочетаний: 3</x:v>
      </x:c>
      <x:c r="AB204" s="28" t="str">
        <x:v>Голубика: жасмин</x:v>
      </x:c>
      <x:c r="AC204" s="28" t="n">
        <x:v>1</x:v>
      </x:c>
      <x:c r="AD204" s="28" t="n">
        <x:v>1</x:v>
      </x:c>
    </x:row>
    <x:row r="205" ht="58" customHeight="1">
      <x:c r="A205" s="28" t="str">
        <x:v>BER-0204</x:v>
      </x:c>
      <x:c r="B205" s="28" t="str">
        <x:v>Универсальные</x:v>
      </x:c>
      <x:c r="C205" s="28" t="str">
        <x:v>голубика</x:v>
      </x:c>
      <x:c r="D205" s="28" t="str">
        <x:v>Blueberry</x:v>
      </x:c>
      <x:c r="E205" s="28" t="str">
        <x:v>Ягоды и производные</x:v>
      </x:c>
      <x:c r="F205" s="28" t="str">
        <x:v>запечённый langoustine</x:v>
      </x:c>
      <x:c r="G205" s="28" t="str">
        <x:v>baked langoustine</x:v>
      </x:c>
      <x:c r="H205" s="28" t="str">
        <x:v>Прочее</x:v>
      </x:c>
      <x:c r="I205" s="28" t="str">
        <x:v>зелёный, фруктовый, цветочный, цитрусовый</x:v>
      </x:c>
      <x:c r="J205" s="28" t="str">
        <x:v>комплексный</x:v>
      </x:c>
      <x:c r="K205" s="28" t="str">
        <x:v>C6-альдегиды, гераниол, линалоол, цитронеллол</x:v>
      </x:c>
      <x:c r="L205" s="28" t="str">
        <x:v>нет надёжной конкретизации</x:v>
      </x:c>
      <x:c r="M205" s="28" t="str">
        <x:v>прямое совпадение семейств не установлено</x:v>
      </x:c>
      <x:c r="N205" s="28" t="str">
        <x:v>не подтверждены; механизм не сводится к одной общей молекуле</x:v>
      </x:c>
      <x:c r="O205" s="28" t="str">
        <x:v>контраст/комплементарность + матричный эффект</x:v>
      </x:c>
      <x:c r="P205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205" s="28" t="str">
        <x:v>Специфического тройничного эффекта обычно нет; кислотность усиливает слюноотделение.</x:v>
      </x:c>
      <x:c r="R205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20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0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0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05" s="28" t="str">
        <x:v>лимон или ваниль</x:v>
      </x:c>
      <x:c r="W205" s="28" t="str">
        <x:v>сенсорная проба в малой дозировке</x:v>
      </x:c>
      <x:c r="X205" s="28" t="str">
        <x:v>универсально</x:v>
      </x:c>
      <x:c r="Y205" s="28" t="str">
        <x:v>Средняя</x:v>
      </x:c>
      <x:c r="Z205" s="28" t="str">
        <x:v>The Art &amp; Science of Foodpairing</x:v>
      </x:c>
      <x:c r="AA205" s="28" t="str">
        <x:v>The Art &amp; Science of Foodpairing: 205</x:v>
      </x:c>
      <x:c r="AB205" s="28" t="str">
        <x:v>Ingredient pairings with Blueberry: baked langoustine</x:v>
      </x:c>
      <x:c r="AC205" s="28" t="n">
        <x:v>1</x:v>
      </x:c>
      <x:c r="AD205" s="28" t="n">
        <x:v>1</x:v>
      </x:c>
    </x:row>
    <x:row r="206" ht="58" customHeight="1">
      <x:c r="A206" s="28" t="str">
        <x:v>BER-0205</x:v>
      </x:c>
      <x:c r="B206" s="28" t="str">
        <x:v>Универсальные</x:v>
      </x:c>
      <x:c r="C206" s="28" t="str">
        <x:v>голубика</x:v>
      </x:c>
      <x:c r="D206" s="28" t="str">
        <x:v>Голубика</x:v>
      </x:c>
      <x:c r="E206" s="28" t="str">
        <x:v>Ягоды и производные</x:v>
      </x:c>
      <x:c r="F206" s="28" t="str">
        <x:v>имбирь</x:v>
      </x:c>
      <x:c r="G206" s="28" t="str">
        <x:v>имбирь</x:v>
      </x:c>
      <x:c r="H206" s="28" t="str">
        <x:v>Специи</x:v>
      </x:c>
      <x:c r="I206" s="28" t="str">
        <x:v>зелёный, фруктовый, цветочный, цитрусовый</x:v>
      </x:c>
      <x:c r="J206" s="28" t="str">
        <x:v>древесный, пряный, тёплый</x:v>
      </x:c>
      <x:c r="K206" s="28" t="str">
        <x:v>C6-альдегиды, гераниол, линалоол, цитронеллол</x:v>
      </x:c>
      <x:c r="L206" s="28" t="str">
        <x:v>коричный альдегид, терпены, эвгенол</x:v>
      </x:c>
      <x:c r="M206" s="28" t="str">
        <x:v>прямое совпадение семейств не установлено</x:v>
      </x:c>
      <x:c r="N206" s="28" t="str">
        <x:v>не подтверждены; механизм не сводится к одной общей молекуле</x:v>
      </x:c>
      <x:c r="O206" s="28" t="str">
        <x:v>контраст/комплементарность + матричный эффект</x:v>
      </x:c>
      <x:c r="P206" s="28" t="str">
        <x:v>Ягодная сладость смягчает горечь и пряность, а кислотность делает пряный, иногда горький профиль ярче.</x:v>
      </x:c>
      <x:c r="Q206" s="28" t="str">
        <x:v>Кислотность ягоды усиливает слюноотделение, а капсаицин/пиперин/гингеролы дают тепло и покалывание; дозировка должна быть низкой.</x:v>
      </x:c>
      <x:c r="R206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0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0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06" s="28" t="str">
        <x:v>Пряность дозировать как акцент: она быстро перекрывает тонкие ягодные эфиры.</x:v>
      </x:c>
      <x:c r="V206" s="28" t="str">
        <x:v>мёд или цитрус</x:v>
      </x:c>
      <x:c r="W20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206" s="28" t="str">
        <x:v>напитки; десерты; еда; соусы/маринады</x:v>
      </x:c>
      <x:c r="Y206" s="28" t="str">
        <x:v>Средняя</x:v>
      </x:c>
      <x:c r="Z206" s="28" t="str">
        <x:v>Таблица сочетаний</x:v>
      </x:c>
      <x:c r="AA206" s="28" t="str">
        <x:v>Таблица сочетаний: 3</x:v>
      </x:c>
      <x:c r="AB206" s="28" t="str">
        <x:v>Голубика: имбирь</x:v>
      </x:c>
      <x:c r="AC206" s="28" t="n">
        <x:v>1</x:v>
      </x:c>
      <x:c r="AD206" s="28" t="n">
        <x:v>1</x:v>
      </x:c>
    </x:row>
    <x:row r="207" ht="58" customHeight="1">
      <x:c r="A207" s="28" t="str">
        <x:v>BER-0206</x:v>
      </x:c>
      <x:c r="B207" s="28" t="str">
        <x:v>Универсальные</x:v>
      </x:c>
      <x:c r="C207" s="28" t="str">
        <x:v>голубика</x:v>
      </x:c>
      <x:c r="D207" s="28" t="str">
        <x:v>Голубика</x:v>
      </x:c>
      <x:c r="E207" s="28" t="str">
        <x:v>Ягоды и производные</x:v>
      </x:c>
      <x:c r="F207" s="28" t="str">
        <x:v>инжир</x:v>
      </x:c>
      <x:c r="G207" s="28" t="str">
        <x:v>инжир</x:v>
      </x:c>
      <x:c r="H207" s="28" t="str">
        <x:v>Фрукты</x:v>
      </x:c>
      <x:c r="I207" s="28" t="str">
        <x:v>зелёный, фруктовый, цветочный, цитрусовый</x:v>
      </x:c>
      <x:c r="J207" s="28" t="str">
        <x:v>зелёный, фруктовый, цветочный</x:v>
      </x:c>
      <x:c r="K207" s="28" t="str">
        <x:v>C6-альдегиды, гераниол, линалоол, цитронеллол</x:v>
      </x:c>
      <x:c r="L207" s="28" t="str">
        <x:v>лактоны, терпены, эфиры</x:v>
      </x:c>
      <x:c r="M207" s="28" t="str">
        <x:v>зелёный, фруктовый, цветочный</x:v>
      </x:c>
      <x:c r="N207" s="28" t="str">
        <x:v>не подтверждены; механизм не сводится к одной общей молекуле</x:v>
      </x:c>
      <x:c r="O207" s="28" t="str">
        <x:v>сходство ароматических семейств + комплементарность</x:v>
      </x:c>
      <x:c r="P207" s="28" t="str">
        <x:v>Оба компонента формируют сладко-кислый, мягкий и сладко-кислый контур; сахар, кислота и горечь должны быть выровнены дегустацией.</x:v>
      </x:c>
      <x:c r="Q207" s="28" t="str">
        <x:v>Специфического тройничного эффекта обычно нет; кислотность усиливает слюноотделение.</x:v>
      </x:c>
      <x:c r="R207" s="28" t="str">
        <x:v>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</x:v>
      </x:c>
      <x:c r="S20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07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0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07" s="28" t="str">
        <x:v>ваниль или лимон</x:v>
      </x:c>
      <x:c r="W20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207" s="28" t="str">
        <x:v>напитки; десерты</x:v>
      </x:c>
      <x:c r="Y207" s="28" t="str">
        <x:v>Средняя</x:v>
      </x:c>
      <x:c r="Z207" s="28" t="str">
        <x:v>Таблица сочетаний</x:v>
      </x:c>
      <x:c r="AA207" s="28" t="str">
        <x:v>Таблица сочетаний: 3</x:v>
      </x:c>
      <x:c r="AB207" s="28" t="str">
        <x:v>Голубика: инжир</x:v>
      </x:c>
      <x:c r="AC207" s="28" t="n">
        <x:v>1</x:v>
      </x:c>
      <x:c r="AD207" s="28" t="n">
        <x:v>1</x:v>
      </x:c>
    </x:row>
    <x:row r="208" ht="58" customHeight="1">
      <x:c r="A208" s="28" t="str">
        <x:v>BER-0207</x:v>
      </x:c>
      <x:c r="B208" s="28" t="str">
        <x:v>Десерты и выпечка</x:v>
      </x:c>
      <x:c r="C208" s="28" t="str">
        <x:v>голубика</x:v>
      </x:c>
      <x:c r="D208" s="28" t="str">
        <x:v>Blueberry</x:v>
      </x:c>
      <x:c r="E208" s="28" t="str">
        <x:v>Ягоды и производные</x:v>
      </x:c>
      <x:c r="F208" s="28" t="str">
        <x:v>камамбер</x:v>
      </x:c>
      <x:c r="G208" s="28" t="str">
        <x:v>Camembert</x:v>
      </x:c>
      <x:c r="H208" s="28" t="str">
        <x:v>Молочные продукты и сыры</x:v>
      </x:c>
      <x:c r="I208" s="28" t="str">
        <x:v>зелёный, фруктовый, цветочный, цитрусовый</x:v>
      </x:c>
      <x:c r="J208" s="28" t="str">
        <x:v>масляный, молочный, сливочный, сырный</x:v>
      </x:c>
      <x:c r="K208" s="28" t="str">
        <x:v>C6-альдегиды, гераниол, линалоол, цитронеллол</x:v>
      </x:c>
      <x:c r="L208" s="28" t="str">
        <x:v>диацетил, жирные кислоты, лактоны</x:v>
      </x:c>
      <x:c r="M208" s="28" t="str">
        <x:v>прямое совпадение семейств не установлено</x:v>
      </x:c>
      <x:c r="N208" s="28" t="str">
        <x:v>не подтверждены; механизм не сводится к одной общей молекуле</x:v>
      </x:c>
      <x:c r="O208" s="28" t="str">
        <x:v>контраст/комплементарность + матричный эффект</x:v>
      </x:c>
      <x:c r="P208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208" s="28" t="str">
        <x:v>Специфического тройничного эффекта обычно нет; кислотность усиливает слюноотделение.</x:v>
      </x:c>
      <x:c r="R208" s="28" t="str">
        <x:v>Жировая фаза удерживает гидрофобные одоранты и продлевает послевкусие; кислотность ягод повышает слюноотделение.</x:v>
      </x:c>
      <x:c r="S20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20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208" s="28" t="str">
        <x:v>Высокая кислотность может свернуть молочный белок; смешивать при контролируемой температуре.</x:v>
      </x:c>
      <x:c r="V208" s="28" t="str">
        <x:v>мёд или миндаль</x:v>
      </x:c>
      <x:c r="W208" s="28" t="str">
        <x:v>сорбет, крем, ганаш, выпечка, джем или соус для десерта; соус, глазировка, салат, сырная подача или горячее блюдо</x:v>
      </x:c>
      <x:c r="X208" s="28" t="str">
        <x:v>десерты; еда</x:v>
      </x:c>
      <x:c r="Y208" s="28" t="str">
        <x:v>Средняя</x:v>
      </x:c>
      <x:c r="Z208" s="28" t="str">
        <x:v>The Art &amp; Science of Foodpairing</x:v>
      </x:c>
      <x:c r="AA208" s="28" t="str">
        <x:v>The Art &amp; Science of Foodpairing: 205</x:v>
      </x:c>
      <x:c r="AB208" s="28" t="str">
        <x:v>Ingredient pairings with Blueberry: Camembert</x:v>
      </x:c>
      <x:c r="AC208" s="28" t="n">
        <x:v>1</x:v>
      </x:c>
      <x:c r="AD208" s="28" t="n">
        <x:v>1</x:v>
      </x:c>
    </x:row>
    <x:row r="209" ht="58" customHeight="1">
      <x:c r="A209" s="28" t="str">
        <x:v>BER-0208</x:v>
      </x:c>
      <x:c r="B209" s="28" t="str">
        <x:v>Универсальные</x:v>
      </x:c>
      <x:c r="C209" s="28" t="str">
        <x:v>голубика</x:v>
      </x:c>
      <x:c r="D209" s="28" t="str">
        <x:v>Голубика</x:v>
      </x:c>
      <x:c r="E209" s="28" t="str">
        <x:v>Ягоды и производные</x:v>
      </x:c>
      <x:c r="F209" s="28" t="str">
        <x:v>кардамон</x:v>
      </x:c>
      <x:c r="G209" s="28" t="str">
        <x:v>кардамон</x:v>
      </x:c>
      <x:c r="H209" s="28" t="str">
        <x:v>Специи</x:v>
      </x:c>
      <x:c r="I209" s="28" t="str">
        <x:v>зелёный, фруктовый, цветочный, цитрусовый</x:v>
      </x:c>
      <x:c r="J209" s="28" t="str">
        <x:v>древесный, пряный, тёплый</x:v>
      </x:c>
      <x:c r="K209" s="28" t="str">
        <x:v>C6-альдегиды, гераниол, линалоол, цитронеллол</x:v>
      </x:c>
      <x:c r="L209" s="28" t="str">
        <x:v>коричный альдегид, терпены, эвгенол</x:v>
      </x:c>
      <x:c r="M209" s="28" t="str">
        <x:v>прямое совпадение семейств не установлено</x:v>
      </x:c>
      <x:c r="N209" s="28" t="str">
        <x:v>не подтверждены; механизм не сводится к одной общей молекуле</x:v>
      </x:c>
      <x:c r="O209" s="28" t="str">
        <x:v>контраст/комплементарность + матричный эффект</x:v>
      </x:c>
      <x:c r="P209" s="28" t="str">
        <x:v>Ягодная сладость смягчает горечь и пряность, а кислотность делает пряный, иногда горький профиль ярче.</x:v>
      </x:c>
      <x:c r="Q209" s="28" t="str">
        <x:v>Специфического тройничного эффекта обычно нет; кислотность усиливает слюноотделение.</x:v>
      </x:c>
      <x:c r="R209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0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0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09" s="28" t="str">
        <x:v>Пряность дозировать как акцент: она быстро перекрывает тонкие ягодные эфиры.</x:v>
      </x:c>
      <x:c r="V209" s="28" t="str">
        <x:v>мёд или цитрус</x:v>
      </x:c>
      <x:c r="W20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209" s="28" t="str">
        <x:v>напитки; десерты; еда; соусы/маринады</x:v>
      </x:c>
      <x:c r="Y209" s="28" t="str">
        <x:v>Средняя</x:v>
      </x:c>
      <x:c r="Z209" s="28" t="str">
        <x:v>Таблица сочетаний</x:v>
      </x:c>
      <x:c r="AA209" s="28" t="str">
        <x:v>Таблица сочетаний: 3</x:v>
      </x:c>
      <x:c r="AB209" s="28" t="str">
        <x:v>Голубика: кардамон</x:v>
      </x:c>
      <x:c r="AC209" s="28" t="n">
        <x:v>1</x:v>
      </x:c>
      <x:c r="AD209" s="28" t="n">
        <x:v>1</x:v>
      </x:c>
    </x:row>
    <x:row r="210" ht="58" customHeight="1">
      <x:c r="A210" s="28" t="str">
        <x:v>BER-0209</x:v>
      </x:c>
      <x:c r="B210" s="28" t="str">
        <x:v>Еда и соусы</x:v>
      </x:c>
      <x:c r="C210" s="28" t="str">
        <x:v>голубика</x:v>
      </x:c>
      <x:c r="D210" s="28" t="str">
        <x:v>blueberry</x:v>
      </x:c>
      <x:c r="E210" s="28" t="str">
        <x:v>Ягоды и производные</x:v>
      </x:c>
      <x:c r="F210" s="28" t="str">
        <x:v>кимчи</x:v>
      </x:c>
      <x:c r="G210" s="28" t="str">
        <x:v>Kimchi</x:v>
      </x:c>
      <x:c r="H210" s="28" t="str">
        <x:v>Ферментированные продукты, соусы и уксусы</x:v>
      </x:c>
      <x:c r="I210" s="28" t="str">
        <x:v>зелёный, фруктовый, цветочный, цитрусовый</x:v>
      </x:c>
      <x:c r="J210" s="28" t="str">
        <x:v>кислый, умами, ферментированный</x:v>
      </x:c>
      <x:c r="K210" s="28" t="str">
        <x:v>C6-альдегиды, гераниол, линалоол, цитронеллол</x:v>
      </x:c>
      <x:c r="L210" s="28" t="str">
        <x:v>аминокислоты, органические кислоты, эфиры</x:v>
      </x:c>
      <x:c r="M210" s="28" t="str">
        <x:v>прямое совпадение семейств не установлено</x:v>
      </x:c>
      <x:c r="N210" s="28" t="str">
        <x:v>не подтверждены; механизм не сводится к одной общей молекуле</x:v>
      </x:c>
      <x:c r="O210" s="28" t="str">
        <x:v>контраст/комплементарность + матричный эффект</x:v>
      </x:c>
      <x:c r="P210" s="28" t="str">
        <x:v>Оба компонента формируют сладко-кислый, мягкий и кислый/солёный/умами контур; сахар, кислота и горечь должны быть выровнены дегустацией.</x:v>
      </x:c>
      <x:c r="Q210" s="28" t="str">
        <x:v>Специфического тройничного эффекта обычно нет; кислотность усиливает слюноотделение.</x:v>
      </x:c>
      <x:c r="R210" s="28" t="str">
        <x:v>Ягода: нежный аромат легко теряется на фоне сильной сладости. Партнёр: вода, соль и продукты ферментации. В воде аромат раскрывается быстрее, в жире и этаноле — дольше удерживается.</x:v>
      </x:c>
      <x:c r="S2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1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кислый, умами, ферментированный. Оба компонента формируют сладко-кислый, мягкий и кислый/солёный/умами контур; сахар, кислота и горечь должны быть выровнены дегустацией. Ягода: нежный аромат легко теряется на фоне сильной сладости.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1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10" s="28" t="str">
        <x:v>мёд или соевый соус</x:v>
      </x:c>
      <x:c r="W210" s="28" t="str">
        <x:v>соус, глазировка, салат, сырная подача или горячее блюдо; маринад, гастрик, чатни, кетчуп или редукция</x:v>
      </x:c>
      <x:c r="X210" s="28" t="str">
        <x:v>еда; соусы/маринады</x:v>
      </x:c>
      <x:c r="Y210" s="28" t="str">
        <x:v>Средняя</x:v>
      </x:c>
      <x:c r="Z210" s="28" t="str">
        <x:v>The Art &amp; Science of Foodpairing</x:v>
      </x:c>
      <x:c r="AA210" s="28" t="str">
        <x:v>The Art &amp; Science of Foodpairing: 304, 305</x:v>
      </x:c>
      <x:c r="AB210" s="28" t="str">
        <x:v>Ingredient pairings with Kimchi: blueberry | Ingredient pairings with Kimchi: blueberry</x:v>
      </x:c>
      <x:c r="AC210" s="28" t="n">
        <x:v>1</x:v>
      </x:c>
      <x:c r="AD210" s="28" t="n">
        <x:v>2</x:v>
      </x:c>
    </x:row>
    <x:row r="211" ht="58" customHeight="1">
      <x:c r="A211" s="28" t="str">
        <x:v>BER-0210</x:v>
      </x:c>
      <x:c r="B211" s="28" t="str">
        <x:v>Еда и соусы</x:v>
      </x:c>
      <x:c r="C211" s="28" t="str">
        <x:v>голубика</x:v>
      </x:c>
      <x:c r="D211" s="28" t="str">
        <x:v>Blueberry</x:v>
      </x:c>
      <x:c r="E211" s="28" t="str">
        <x:v>Ягоды и производные</x:v>
      </x:c>
      <x:c r="F211" s="28" t="str">
        <x:v>копчёный Atlantic salmon</x:v>
      </x:c>
      <x:c r="G211" s="28" t="str">
        <x:v>smoked Atlantic salmon</x:v>
      </x:c>
      <x:c r="H211" s="28" t="str">
        <x:v>Рыба и морепродукты</x:v>
      </x:c>
      <x:c r="I211" s="28" t="str">
        <x:v>зелёный, фруктовый, цветочный, цитрусовый</x:v>
      </x:c>
      <x:c r="J211" s="28" t="str">
        <x:v>жирный, морской, умами</x:v>
      </x:c>
      <x:c r="K211" s="28" t="str">
        <x:v>C6-альдегиды, гераниол, линалоол, цитронеллол</x:v>
      </x:c>
      <x:c r="L211" s="28" t="str">
        <x:v>альдегиды, амины, сернистые соединения</x:v>
      </x:c>
      <x:c r="M211" s="28" t="str">
        <x:v>прямое совпадение семейств не установлено</x:v>
      </x:c>
      <x:c r="N211" s="28" t="str">
        <x:v>не подтверждены; механизм не сводится к одной общей молекуле</x:v>
      </x:c>
      <x:c r="O211" s="28" t="str">
        <x:v>контраст/комплементарность + матричный эффект</x:v>
      </x:c>
      <x:c r="P211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211" s="28" t="str">
        <x:v>Специфического тройничного эффекта обычно нет; кислотность усиливает слюноотделение.</x:v>
      </x:c>
      <x:c r="R211" s="28" t="str">
        <x:v>Белок и жир смягчают кислоту; ягодный соус должен сохранять достаточную концентрацию и соль.</x:v>
      </x:c>
      <x:c r="S2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1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1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11" s="28" t="str">
        <x:v>цитрус или огурец</x:v>
      </x:c>
      <x:c r="W211" s="28" t="str">
        <x:v>соус, глазировка, салат, сырная подача или горячее блюдо; маринад, гастрик, чатни, кетчуп или редукция</x:v>
      </x:c>
      <x:c r="X211" s="28" t="str">
        <x:v>еда; соусы/маринады</x:v>
      </x:c>
      <x:c r="Y211" s="28" t="str">
        <x:v>Средняя</x:v>
      </x:c>
      <x:c r="Z211" s="28" t="str">
        <x:v>The Art &amp; Science of Foodpairing</x:v>
      </x:c>
      <x:c r="AA211" s="28" t="str">
        <x:v>The Art &amp; Science of Foodpairing: 204</x:v>
      </x:c>
      <x:c r="AB211" s="28" t="str">
        <x:v>Ingredient pairings with Blueberry: smoked Atlantic salmon</x:v>
      </x:c>
      <x:c r="AC211" s="28" t="n">
        <x:v>1</x:v>
      </x:c>
      <x:c r="AD211" s="28" t="n">
        <x:v>1</x:v>
      </x:c>
    </x:row>
    <x:row r="212" ht="58" customHeight="1">
      <x:c r="A212" s="28" t="str">
        <x:v>BER-0211</x:v>
      </x:c>
      <x:c r="B212" s="28" t="str">
        <x:v>Универсальные</x:v>
      </x:c>
      <x:c r="C212" s="28" t="str">
        <x:v>голубика</x:v>
      </x:c>
      <x:c r="D212" s="28" t="str">
        <x:v>Blueberry</x:v>
      </x:c>
      <x:c r="E212" s="28" t="str">
        <x:v>Ягоды и производные</x:v>
      </x:c>
      <x:c r="F212" s="28" t="str">
        <x:v>копчёный bacon</x:v>
      </x:c>
      <x:c r="G212" s="28" t="str">
        <x:v>smoked bacon</x:v>
      </x:c>
      <x:c r="H212" s="28" t="str">
        <x:v>Прочее</x:v>
      </x:c>
      <x:c r="I212" s="28" t="str">
        <x:v>зелёный, фруктовый, цветочный, цитрусовый</x:v>
      </x:c>
      <x:c r="J212" s="28" t="str">
        <x:v>комплексный</x:v>
      </x:c>
      <x:c r="K212" s="28" t="str">
        <x:v>C6-альдегиды, гераниол, линалоол, цитронеллол</x:v>
      </x:c>
      <x:c r="L212" s="28" t="str">
        <x:v>нет надёжной конкретизации</x:v>
      </x:c>
      <x:c r="M212" s="28" t="str">
        <x:v>прямое совпадение семейств не установлено</x:v>
      </x:c>
      <x:c r="N212" s="28" t="str">
        <x:v>не подтверждены; механизм не сводится к одной общей молекуле</x:v>
      </x:c>
      <x:c r="O212" s="28" t="str">
        <x:v>контраст/комплементарность + матричный эффект</x:v>
      </x:c>
      <x:c r="P212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212" s="28" t="str">
        <x:v>Специфического тройничного эффекта обычно нет; кислотность усиливает слюноотделение.</x:v>
      </x:c>
      <x:c r="R212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21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1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1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12" s="28" t="str">
        <x:v>лимон или ваниль</x:v>
      </x:c>
      <x:c r="W212" s="28" t="str">
        <x:v>сенсорная проба в малой дозировке</x:v>
      </x:c>
      <x:c r="X212" s="28" t="str">
        <x:v>универсально</x:v>
      </x:c>
      <x:c r="Y212" s="28" t="str">
        <x:v>Средняя</x:v>
      </x:c>
      <x:c r="Z212" s="28" t="str">
        <x:v>The Art &amp; Science of Foodpairing</x:v>
      </x:c>
      <x:c r="AA212" s="28" t="str">
        <x:v>The Art &amp; Science of Foodpairing: 205</x:v>
      </x:c>
      <x:c r="AB212" s="28" t="str">
        <x:v>Ingredient pairings with Blueberry: smoked bacon</x:v>
      </x:c>
      <x:c r="AC212" s="28" t="n">
        <x:v>1</x:v>
      </x:c>
      <x:c r="AD212" s="28" t="n">
        <x:v>1</x:v>
      </x:c>
    </x:row>
    <x:row r="213" ht="58" customHeight="1">
      <x:c r="A213" s="28" t="str">
        <x:v>BER-0212</x:v>
      </x:c>
      <x:c r="B213" s="28" t="str">
        <x:v>Универсальные</x:v>
      </x:c>
      <x:c r="C213" s="28" t="str">
        <x:v>голубика</x:v>
      </x:c>
      <x:c r="D213" s="28" t="str">
        <x:v>blueberry</x:v>
      </x:c>
      <x:c r="E213" s="28" t="str">
        <x:v>Ягоды и производные</x:v>
      </x:c>
      <x:c r="F213" s="28" t="str">
        <x:v>корица</x:v>
      </x:c>
      <x:c r="G213" s="28" t="str">
        <x:v>Cinnamon</x:v>
      </x:c>
      <x:c r="H213" s="28" t="str">
        <x:v>Специи</x:v>
      </x:c>
      <x:c r="I213" s="28" t="str">
        <x:v>зелёный, фруктовый, цветочный, цитрусовый</x:v>
      </x:c>
      <x:c r="J213" s="28" t="str">
        <x:v>древесный, пряный, тёплый</x:v>
      </x:c>
      <x:c r="K213" s="28" t="str">
        <x:v>C6-альдегиды, гераниол, линалоол, цитронеллол</x:v>
      </x:c>
      <x:c r="L213" s="28" t="str">
        <x:v>коричный альдегид, терпены, эвгенол</x:v>
      </x:c>
      <x:c r="M213" s="28" t="str">
        <x:v>прямое совпадение семейств не установлено</x:v>
      </x:c>
      <x:c r="N213" s="28" t="str">
        <x:v>не подтверждены; механизм не сводится к одной общей молекуле</x:v>
      </x:c>
      <x:c r="O213" s="28" t="str">
        <x:v>контраст/комплементарность + матричный эффект</x:v>
      </x:c>
      <x:c r="P213" s="28" t="str">
        <x:v>Ягодная сладость смягчает горечь и пряность, а кислотность делает пряный, иногда горький профиль ярче.</x:v>
      </x:c>
      <x:c r="Q213" s="28" t="str">
        <x:v>Специфического тройничного эффекта обычно нет; кислотность усиливает слюноотделение.</x:v>
      </x:c>
      <x:c r="R213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1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1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13" s="28" t="str">
        <x:v>Пряность дозировать как акцент: она быстро перекрывает тонкие ягодные эфиры.</x:v>
      </x:c>
      <x:c r="V213" s="28" t="str">
        <x:v>мёд или цитрус</x:v>
      </x:c>
      <x:c r="W21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213" s="28" t="str">
        <x:v>напитки; десерты; еда; соусы/маринады</x:v>
      </x:c>
      <x:c r="Y213" s="28" t="str">
        <x:v>Средняя</x:v>
      </x:c>
      <x:c r="Z213" s="28" t="str">
        <x:v>The Art &amp; Science of Foodpairing</x:v>
      </x:c>
      <x:c r="AA213" s="28" t="str">
        <x:v>The Art &amp; Science of Foodpairing: 130</x:v>
      </x:c>
      <x:c r="AB213" s="28" t="str">
        <x:v>Ingredient pairings with Cinnamon: blueberry</x:v>
      </x:c>
      <x:c r="AC213" s="28" t="n">
        <x:v>1</x:v>
      </x:c>
      <x:c r="AD213" s="28" t="n">
        <x:v>1</x:v>
      </x:c>
    </x:row>
    <x:row r="214" ht="58" customHeight="1">
      <x:c r="A214" s="28" t="str">
        <x:v>BER-0213</x:v>
      </x:c>
      <x:c r="B214" s="28" t="str">
        <x:v>Еда и соусы</x:v>
      </x:c>
      <x:c r="C214" s="28" t="str">
        <x:v>голубика</x:v>
      </x:c>
      <x:c r="D214" s="28" t="str">
        <x:v>blueberry</x:v>
      </x:c>
      <x:c r="E214" s="28" t="str">
        <x:v>Ягоды и производные</x:v>
      </x:c>
      <x:c r="F214" s="28" t="str">
        <x:v>корневой сельдерей</x:v>
      </x:c>
      <x:c r="G214" s="28" t="str">
        <x:v>Celeriac</x:v>
      </x:c>
      <x:c r="H214" s="28" t="str">
        <x:v>Овощи и грибы</x:v>
      </x:c>
      <x:c r="I214" s="28" t="str">
        <x:v>зелёный, фруктовый, цветочный, цитрусовый</x:v>
      </x:c>
      <x:c r="J214" s="28" t="str">
        <x:v>зелёный, землистый, сернистый</x:v>
      </x:c>
      <x:c r="K214" s="28" t="str">
        <x:v>C6-альдегиды, гераниол, линалоол, цитронеллол</x:v>
      </x:c>
      <x:c r="L214" s="28" t="str">
        <x:v>C6-альдегиды, пиразины, сернистые соединения</x:v>
      </x:c>
      <x:c r="M214" s="28" t="str">
        <x:v>зелёный</x:v>
      </x:c>
      <x:c r="N214" s="28" t="str">
        <x:v>C6-альдегиды</x:v>
      </x:c>
      <x:c r="O214" s="28" t="str">
        <x:v>ароматическое сходство + вкусовой баланс</x:v>
      </x:c>
      <x:c r="P214" s="28" t="str">
        <x:v>Оба компонента формируют сладко-кислый, мягкий и растительный, иногда умами контур; сахар, кислота и горечь должны быть выровнены дегустацией.</x:v>
      </x:c>
      <x:c r="Q214" s="28" t="str">
        <x:v>Специфического тройничного эффекта обычно нет; кислотность усиливает слюноотделение.</x:v>
      </x:c>
      <x:c r="R214" s="28" t="str">
        <x:v>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21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14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1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14" s="28" t="str">
        <x:v>уксус или мягкий сыр</x:v>
      </x:c>
      <x:c r="W214" s="28" t="str">
        <x:v>соус, глазировка, салат, сырная подача или горячее блюдо; маринад, гастрик, чатни, кетчуп или редукция</x:v>
      </x:c>
      <x:c r="X214" s="28" t="str">
        <x:v>еда; соусы/маринады</x:v>
      </x:c>
      <x:c r="Y214" s="28" t="str">
        <x:v>Средняя</x:v>
      </x:c>
      <x:c r="Z214" s="28" t="str">
        <x:v>The Art &amp; Science of Foodpairing</x:v>
      </x:c>
      <x:c r="AA214" s="28" t="str">
        <x:v>The Art &amp; Science of Foodpairing: 52, 53</x:v>
      </x:c>
      <x:c r="AB214" s="28" t="str">
        <x:v>Ingredient pairings with Celeriac: blueberry | Ingredient pairings with Celeriac: blueberry</x:v>
      </x:c>
      <x:c r="AC214" s="28" t="n">
        <x:v>1</x:v>
      </x:c>
      <x:c r="AD214" s="28" t="n">
        <x:v>2</x:v>
      </x:c>
    </x:row>
    <x:row r="215" ht="58" customHeight="1">
      <x:c r="A215" s="28" t="str">
        <x:v>BER-0214</x:v>
      </x:c>
      <x:c r="B215" s="28" t="str">
        <x:v>Универсальные</x:v>
      </x:c>
      <x:c r="C215" s="28" t="str">
        <x:v>голубика</x:v>
      </x:c>
      <x:c r="D215" s="28" t="str">
        <x:v>blueberry</x:v>
      </x:c>
      <x:c r="E215" s="28" t="str">
        <x:v>Ягоды и производные</x:v>
      </x:c>
      <x:c r="F215" s="28" t="str">
        <x:v>красный сладкий перец</x:v>
      </x:c>
      <x:c r="G215" s="28" t="str">
        <x:v>Red Bell Pepper</x:v>
      </x:c>
      <x:c r="H215" s="28" t="str">
        <x:v>Специи</x:v>
      </x:c>
      <x:c r="I215" s="28" t="str">
        <x:v>зелёный, фруктовый, цветочный, цитрусовый</x:v>
      </x:c>
      <x:c r="J215" s="28" t="str">
        <x:v>древесный, пряный, тёплый</x:v>
      </x:c>
      <x:c r="K215" s="28" t="str">
        <x:v>C6-альдегиды, гераниол, линалоол, цитронеллол</x:v>
      </x:c>
      <x:c r="L215" s="28" t="str">
        <x:v>коричный альдегид, терпены, эвгенол</x:v>
      </x:c>
      <x:c r="M215" s="28" t="str">
        <x:v>прямое совпадение семейств не установлено</x:v>
      </x:c>
      <x:c r="N215" s="28" t="str">
        <x:v>не подтверждены; механизм не сводится к одной общей молекуле</x:v>
      </x:c>
      <x:c r="O215" s="28" t="str">
        <x:v>контраст/комплементарность + матричный эффект</x:v>
      </x:c>
      <x:c r="P215" s="28" t="str">
        <x:v>Ягодная сладость смягчает горечь и пряность, а кислотность делает пряный, иногда горький профиль ярче.</x:v>
      </x:c>
      <x:c r="Q215" s="28" t="str">
        <x:v>Специфического тройничного эффекта обычно нет; кислотность усиливает слюноотделение.</x:v>
      </x:c>
      <x:c r="R215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1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1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15" s="28" t="str">
        <x:v>Пряность дозировать как акцент: она быстро перекрывает тонкие ягодные эфиры.</x:v>
      </x:c>
      <x:c r="V215" s="28" t="str">
        <x:v>мёд или цитрус</x:v>
      </x:c>
      <x:c r="W21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215" s="28" t="str">
        <x:v>напитки; десерты; еда; соусы/маринады</x:v>
      </x:c>
      <x:c r="Y215" s="28" t="str">
        <x:v>Средняя</x:v>
      </x:c>
      <x:c r="Z215" s="28" t="str">
        <x:v>The Art &amp; Science of Foodpairing</x:v>
      </x:c>
      <x:c r="AA215" s="28" t="str">
        <x:v>The Art &amp; Science of Foodpairing: 109</x:v>
      </x:c>
      <x:c r="AB215" s="28" t="str">
        <x:v>Ingredient pairings with Red Bell Pepper: blueberry</x:v>
      </x:c>
      <x:c r="AC215" s="28" t="n">
        <x:v>1</x:v>
      </x:c>
      <x:c r="AD215" s="28" t="n">
        <x:v>1</x:v>
      </x:c>
    </x:row>
    <x:row r="216" ht="58" customHeight="1">
      <x:c r="A216" s="28" t="str">
        <x:v>BER-0215</x:v>
      </x:c>
      <x:c r="B216" s="28" t="str">
        <x:v>Универсальные</x:v>
      </x:c>
      <x:c r="C216" s="28" t="str">
        <x:v>голубика</x:v>
      </x:c>
      <x:c r="D216" s="28" t="str">
        <x:v>Голубика</x:v>
      </x:c>
      <x:c r="E216" s="28" t="str">
        <x:v>Ягоды и производные</x:v>
      </x:c>
      <x:c r="F216" s="28" t="str">
        <x:v>лаванда</x:v>
      </x:c>
      <x:c r="G216" s="28" t="str">
        <x:v>лаванда</x:v>
      </x:c>
      <x:c r="H216" s="28" t="str">
        <x:v>Травы и цветы</x:v>
      </x:c>
      <x:c r="I216" s="28" t="str">
        <x:v>зелёный, фруктовый, цветочный, цитрусовый</x:v>
      </x:c>
      <x:c r="J216" s="28" t="str">
        <x:v>зелёный, травянистый, цветочный</x:v>
      </x:c>
      <x:c r="K216" s="28" t="str">
        <x:v>C6-альдегиды, гераниол, линалоол, цитронеллол</x:v>
      </x:c>
      <x:c r="L216" s="28" t="str">
        <x:v>гераниол, линалоол, терпены, эвгенол</x:v>
      </x:c>
      <x:c r="M216" s="28" t="str">
        <x:v>зелёный, цветочный</x:v>
      </x:c>
      <x:c r="N216" s="28" t="str">
        <x:v>гераниол, линалоол</x:v>
      </x:c>
      <x:c r="O216" s="28" t="str">
        <x:v>ароматическое сходство + вкусовой баланс</x:v>
      </x:c>
      <x:c r="P216" s="28" t="str">
        <x:v>Ягодная сладость смягчает горечь и пряность, а кислотность делает горьковатый, свежий профиль ярче.</x:v>
      </x:c>
      <x:c r="Q216" s="28" t="str">
        <x:v>Специфического тройничного эффекта обычно нет; кислотность усиливает слюноотделение.</x:v>
      </x:c>
      <x:c r="R216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1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16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1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16" s="28" t="str">
        <x:v>лимон или мёд</x:v>
      </x:c>
      <x:c r="W21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216" s="28" t="str">
        <x:v>напитки; еда; соусы/маринады</x:v>
      </x:c>
      <x:c r="Y216" s="28" t="str">
        <x:v>Средняя</x:v>
      </x:c>
      <x:c r="Z216" s="28" t="str">
        <x:v>Таблица сочетаний</x:v>
      </x:c>
      <x:c r="AA216" s="28" t="str">
        <x:v>Таблица сочетаний: 3</x:v>
      </x:c>
      <x:c r="AB216" s="28" t="str">
        <x:v>Голубика: лаванда</x:v>
      </x:c>
      <x:c r="AC216" s="28" t="n">
        <x:v>1</x:v>
      </x:c>
      <x:c r="AD216" s="28" t="n">
        <x:v>1</x:v>
      </x:c>
    </x:row>
    <x:row r="217" ht="58" customHeight="1">
      <x:c r="A217" s="28" t="str">
        <x:v>BER-0216</x:v>
      </x:c>
      <x:c r="B217" s="28" t="str">
        <x:v>Универсальные</x:v>
      </x:c>
      <x:c r="C217" s="28" t="str">
        <x:v>голубика</x:v>
      </x:c>
      <x:c r="D217" s="28" t="str">
        <x:v>blueberry | Голубика</x:v>
      </x:c>
      <x:c r="E217" s="28" t="str">
        <x:v>Ягоды и производные</x:v>
      </x:c>
      <x:c r="F217" s="28" t="str">
        <x:v>лемонграсс</x:v>
      </x:c>
      <x:c r="G217" s="28" t="str">
        <x:v>Lemongrass | лемонграсс</x:v>
      </x:c>
      <x:c r="H217" s="28" t="str">
        <x:v>Прочее</x:v>
      </x:c>
      <x:c r="I217" s="28" t="str">
        <x:v>зелёный, фруктовый, цветочный, цитрусовый</x:v>
      </x:c>
      <x:c r="J217" s="28" t="str">
        <x:v>комплексный</x:v>
      </x:c>
      <x:c r="K217" s="28" t="str">
        <x:v>C6-альдегиды, гераниол, линалоол, цитронеллол</x:v>
      </x:c>
      <x:c r="L217" s="28" t="str">
        <x:v>нет надёжной конкретизации</x:v>
      </x:c>
      <x:c r="M217" s="28" t="str">
        <x:v>прямое совпадение семейств не установлено</x:v>
      </x:c>
      <x:c r="N217" s="28" t="str">
        <x:v>не подтверждены; механизм не сводится к одной общей молекуле</x:v>
      </x:c>
      <x:c r="O217" s="28" t="str">
        <x:v>контраст/комплементарность + матричный эффект</x:v>
      </x:c>
      <x:c r="P217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217" s="28" t="str">
        <x:v>Специфического тройничного эффекта обычно нет; кислотность усиливает слюноотделение.</x:v>
      </x:c>
      <x:c r="R217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21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1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1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17" s="28" t="str">
        <x:v>лимон или ваниль</x:v>
      </x:c>
      <x:c r="W217" s="28" t="str">
        <x:v>сенсорная проба в малой дозировке</x:v>
      </x:c>
      <x:c r="X217" s="28" t="str">
        <x:v>универсально</x:v>
      </x:c>
      <x:c r="Y217" s="28" t="str">
        <x:v>Высокая</x:v>
      </x:c>
      <x:c r="Z217" s="28" t="str">
        <x:v>The Art &amp; Science of Foodpairing; Таблица сочетаний</x:v>
      </x:c>
      <x:c r="AA217" s="28" t="str">
        <x:v>The Art &amp; Science of Foodpairing: 146; Таблица сочетаний: 3</x:v>
      </x:c>
      <x:c r="AB217" s="28" t="str">
        <x:v>Голубика: лемонграсс | Ingredient pairings with Lemongrass: blueberry</x:v>
      </x:c>
      <x:c r="AC217" s="28" t="n">
        <x:v>2</x:v>
      </x:c>
      <x:c r="AD217" s="28" t="n">
        <x:v>2</x:v>
      </x:c>
    </x:row>
    <x:row r="218" ht="58" customHeight="1">
      <x:c r="A218" s="28" t="str">
        <x:v>BER-0217</x:v>
      </x:c>
      <x:c r="B218" s="28" t="str">
        <x:v>Напитки</x:v>
      </x:c>
      <x:c r="C218" s="28" t="str">
        <x:v>голубика</x:v>
      </x:c>
      <x:c r="D218" s="28" t="str">
        <x:v>Голубика</x:v>
      </x:c>
      <x:c r="E218" s="28" t="str">
        <x:v>Ягоды и производные</x:v>
      </x:c>
      <x:c r="F218" s="28" t="str">
        <x:v>лимон</x:v>
      </x:c>
      <x:c r="G218" s="28" t="str">
        <x:v>лимон</x:v>
      </x:c>
      <x:c r="H218" s="28" t="str">
        <x:v>Цитрусовые</x:v>
      </x:c>
      <x:c r="I218" s="28" t="str">
        <x:v>зелёный, фруктовый, цветочный, цитрусовый</x:v>
      </x:c>
      <x:c r="J218" s="28" t="str">
        <x:v>зелёный, цветочный, цитрусовый</x:v>
      </x:c>
      <x:c r="K218" s="28" t="str">
        <x:v>C6-альдегиды, гераниол, линалоол, цитронеллол</x:v>
      </x:c>
      <x:c r="L218" s="28" t="str">
        <x:v>лимонен, линалоол, цитраль</x:v>
      </x:c>
      <x:c r="M218" s="28" t="str">
        <x:v>зелёный, цветочный, цитрусовый</x:v>
      </x:c>
      <x:c r="N218" s="28" t="str">
        <x:v>линалоол</x:v>
      </x:c>
      <x:c r="O218" s="28" t="str">
        <x:v>ароматическое сходство + вкусовой баланс</x:v>
      </x:c>
      <x:c r="P218" s="28" t="str">
        <x:v>Оба компонента формируют сладко-кислый, мягкий и кислый, свежий контур; сахар, кислота и горечь должны быть выровнены дегустацией.</x:v>
      </x:c>
      <x:c r="Q218" s="28" t="str">
        <x:v>Специфического тройничного эффекта обычно нет; кислотность усиливает слюноотделение.</x:v>
      </x:c>
      <x:c r="R218" s="28" t="str">
        <x:v>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</x:v>
      </x:c>
      <x:c r="S21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18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1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18" s="28" t="str">
        <x:v>мёд или базилик</x:v>
      </x:c>
      <x:c r="W218" s="28" t="str">
        <x:v>кордиал, лимонад, чай, коктейль, настой или ферментированный напиток; маринад, гастрик, чатни, кетчуп или редукция</x:v>
      </x:c>
      <x:c r="X218" s="28" t="str">
        <x:v>напитки; соусы/маринады</x:v>
      </x:c>
      <x:c r="Y218" s="28" t="str">
        <x:v>Средняя</x:v>
      </x:c>
      <x:c r="Z218" s="28" t="str">
        <x:v>Таблица сочетаний</x:v>
      </x:c>
      <x:c r="AA218" s="28" t="str">
        <x:v>Таблица сочетаний: 3</x:v>
      </x:c>
      <x:c r="AB218" s="28" t="str">
        <x:v>Голубика: лимон</x:v>
      </x:c>
      <x:c r="AC218" s="28" t="n">
        <x:v>1</x:v>
      </x:c>
      <x:c r="AD218" s="28" t="n">
        <x:v>1</x:v>
      </x:c>
    </x:row>
    <x:row r="219" ht="58" customHeight="1">
      <x:c r="A219" s="28" t="str">
        <x:v>BER-0218</x:v>
      </x:c>
      <x:c r="B219" s="28" t="str">
        <x:v>Универсальные</x:v>
      </x:c>
      <x:c r="C219" s="28" t="str">
        <x:v>голубика</x:v>
      </x:c>
      <x:c r="D219" s="28" t="str">
        <x:v>Голубика</x:v>
      </x:c>
      <x:c r="E219" s="28" t="str">
        <x:v>Ягоды и производные</x:v>
      </x:c>
      <x:c r="F219" s="28" t="str">
        <x:v>манго</x:v>
      </x:c>
      <x:c r="G219" s="28" t="str">
        <x:v>манго</x:v>
      </x:c>
      <x:c r="H219" s="28" t="str">
        <x:v>Фрукты</x:v>
      </x:c>
      <x:c r="I219" s="28" t="str">
        <x:v>зелёный, фруктовый, цветочный, цитрусовый</x:v>
      </x:c>
      <x:c r="J219" s="28" t="str">
        <x:v>зелёный, фруктовый, цветочный</x:v>
      </x:c>
      <x:c r="K219" s="28" t="str">
        <x:v>C6-альдегиды, гераниол, линалоол, цитронеллол</x:v>
      </x:c>
      <x:c r="L219" s="28" t="str">
        <x:v>лактоны, терпены, эфиры</x:v>
      </x:c>
      <x:c r="M219" s="28" t="str">
        <x:v>зелёный, фруктовый, цветочный</x:v>
      </x:c>
      <x:c r="N219" s="28" t="str">
        <x:v>не подтверждены; механизм не сводится к одной общей молекуле</x:v>
      </x:c>
      <x:c r="O219" s="28" t="str">
        <x:v>сходство ароматических семейств + комплементарность</x:v>
      </x:c>
      <x:c r="P219" s="28" t="str">
        <x:v>Оба компонента формируют сладко-кислый, мягкий и сладко-кислый контур; сахар, кислота и горечь должны быть выровнены дегустацией.</x:v>
      </x:c>
      <x:c r="Q219" s="28" t="str">
        <x:v>Специфического тройничного эффекта обычно нет; кислотность усиливает слюноотделение.</x:v>
      </x:c>
      <x:c r="R219" s="28" t="str">
        <x:v>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</x:v>
      </x:c>
      <x:c r="S21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19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1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19" s="28" t="str">
        <x:v>ваниль или лимон</x:v>
      </x:c>
      <x:c r="W21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219" s="28" t="str">
        <x:v>напитки; десерты</x:v>
      </x:c>
      <x:c r="Y219" s="28" t="str">
        <x:v>Средняя</x:v>
      </x:c>
      <x:c r="Z219" s="28" t="str">
        <x:v>Таблица сочетаний</x:v>
      </x:c>
      <x:c r="AA219" s="28" t="str">
        <x:v>Таблица сочетаний: 3</x:v>
      </x:c>
      <x:c r="AB219" s="28" t="str">
        <x:v>Голубика: манго</x:v>
      </x:c>
      <x:c r="AC219" s="28" t="n">
        <x:v>1</x:v>
      </x:c>
      <x:c r="AD219" s="28" t="n">
        <x:v>1</x:v>
      </x:c>
    </x:row>
    <x:row r="220" ht="58" customHeight="1">
      <x:c r="A220" s="28" t="str">
        <x:v>BER-0219</x:v>
      </x:c>
      <x:c r="B220" s="28" t="str">
        <x:v>Универсальные</x:v>
      </x:c>
      <x:c r="C220" s="28" t="str">
        <x:v>голубика</x:v>
      </x:c>
      <x:c r="D220" s="28" t="str">
        <x:v>Blueberry</x:v>
      </x:c>
      <x:c r="E220" s="28" t="str">
        <x:v>Ягоды и производные</x:v>
      </x:c>
      <x:c r="F220" s="28" t="str">
        <x:v>манго Alphonso</x:v>
      </x:c>
      <x:c r="G220" s="28" t="str">
        <x:v>Alphonso mango</x:v>
      </x:c>
      <x:c r="H220" s="28" t="str">
        <x:v>Фрукты</x:v>
      </x:c>
      <x:c r="I220" s="28" t="str">
        <x:v>зелёный, фруктовый, цветочный, цитрусовый</x:v>
      </x:c>
      <x:c r="J220" s="28" t="str">
        <x:v>зелёный, фруктовый, цветочный</x:v>
      </x:c>
      <x:c r="K220" s="28" t="str">
        <x:v>C6-альдегиды, гераниол, линалоол, цитронеллол</x:v>
      </x:c>
      <x:c r="L220" s="28" t="str">
        <x:v>лактоны, терпены, эфиры</x:v>
      </x:c>
      <x:c r="M220" s="28" t="str">
        <x:v>зелёный, фруктовый, цветочный</x:v>
      </x:c>
      <x:c r="N220" s="28" t="str">
        <x:v>не подтверждены; механизм не сводится к одной общей молекуле</x:v>
      </x:c>
      <x:c r="O220" s="28" t="str">
        <x:v>сходство ароматических семейств + комплементарность</x:v>
      </x:c>
      <x:c r="P220" s="28" t="str">
        <x:v>Оба компонента формируют сладко-кислый, мягкий и сладко-кислый контур; сахар, кислота и горечь должны быть выровнены дегустацией.</x:v>
      </x:c>
      <x:c r="Q220" s="28" t="str">
        <x:v>Специфического тройничного эффекта обычно нет; кислотность усиливает слюноотделение.</x:v>
      </x:c>
      <x:c r="R220" s="28" t="str">
        <x:v>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</x:v>
      </x:c>
      <x:c r="S22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20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2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20" s="28" t="str">
        <x:v>ваниль или лимон</x:v>
      </x:c>
      <x:c r="W22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220" s="28" t="str">
        <x:v>напитки; десерты</x:v>
      </x:c>
      <x:c r="Y220" s="28" t="str">
        <x:v>Средняя</x:v>
      </x:c>
      <x:c r="Z220" s="28" t="str">
        <x:v>The Art &amp; Science of Foodpairing</x:v>
      </x:c>
      <x:c r="AA220" s="28" t="str">
        <x:v>The Art &amp; Science of Foodpairing: 205</x:v>
      </x:c>
      <x:c r="AB220" s="28" t="str">
        <x:v>Ingredient pairings with Blueberry: Alphonso mango</x:v>
      </x:c>
      <x:c r="AC220" s="28" t="n">
        <x:v>1</x:v>
      </x:c>
      <x:c r="AD220" s="28" t="n">
        <x:v>1</x:v>
      </x:c>
    </x:row>
    <x:row r="221" ht="58" customHeight="1">
      <x:c r="A221" s="28" t="str">
        <x:v>BER-0220</x:v>
      </x:c>
      <x:c r="B221" s="28" t="str">
        <x:v>Универсальные</x:v>
      </x:c>
      <x:c r="C221" s="28" t="str">
        <x:v>голубика</x:v>
      </x:c>
      <x:c r="D221" s="28" t="str">
        <x:v>Blueberry</x:v>
      </x:c>
      <x:c r="E221" s="28" t="str">
        <x:v>Ягоды и производные</x:v>
      </x:c>
      <x:c r="F221" s="28" t="str">
        <x:v>мелисса</x:v>
      </x:c>
      <x:c r="G221" s="28" t="str">
        <x:v>lemon balm</x:v>
      </x:c>
      <x:c r="H221" s="28" t="str">
        <x:v>Травы и цветы</x:v>
      </x:c>
      <x:c r="I221" s="28" t="str">
        <x:v>зелёный, фруктовый, цветочный, цитрусовый</x:v>
      </x:c>
      <x:c r="J221" s="28" t="str">
        <x:v>зелёный, травянистый, цветочный</x:v>
      </x:c>
      <x:c r="K221" s="28" t="str">
        <x:v>C6-альдегиды, гераниол, линалоол, цитронеллол</x:v>
      </x:c>
      <x:c r="L221" s="28" t="str">
        <x:v>гераниол, линалоол, терпены, эвгенол</x:v>
      </x:c>
      <x:c r="M221" s="28" t="str">
        <x:v>зелёный, цветочный</x:v>
      </x:c>
      <x:c r="N221" s="28" t="str">
        <x:v>гераниол, линалоол</x:v>
      </x:c>
      <x:c r="O221" s="28" t="str">
        <x:v>ароматическое сходство + вкусовой баланс</x:v>
      </x:c>
      <x:c r="P221" s="28" t="str">
        <x:v>Ягодная сладость смягчает горечь и пряность, а кислотность делает горьковатый, свежий профиль ярче.</x:v>
      </x:c>
      <x:c r="Q221" s="28" t="str">
        <x:v>Специфического тройничного эффекта обычно нет; кислотность усиливает слюноотделение.</x:v>
      </x:c>
      <x:c r="R221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2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21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2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21" s="28" t="str">
        <x:v>лимон или мёд</x:v>
      </x:c>
      <x:c r="W22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221" s="28" t="str">
        <x:v>напитки; еда; соусы/маринады</x:v>
      </x:c>
      <x:c r="Y221" s="28" t="str">
        <x:v>Средняя</x:v>
      </x:c>
      <x:c r="Z221" s="28" t="str">
        <x:v>The Art &amp; Science of Foodpairing</x:v>
      </x:c>
      <x:c r="AA221" s="28" t="str">
        <x:v>The Art &amp; Science of Foodpairing: 205</x:v>
      </x:c>
      <x:c r="AB221" s="28" t="str">
        <x:v>Ingredient pairings with Blueberry: lemon balm</x:v>
      </x:c>
      <x:c r="AC221" s="28" t="n">
        <x:v>1</x:v>
      </x:c>
      <x:c r="AD221" s="28" t="n">
        <x:v>1</x:v>
      </x:c>
    </x:row>
    <x:row r="222" ht="58" customHeight="1">
      <x:c r="A222" s="28" t="str">
        <x:v>BER-0221</x:v>
      </x:c>
      <x:c r="B222" s="28" t="str">
        <x:v>Десерты и выпечка</x:v>
      </x:c>
      <x:c r="C222" s="28" t="str">
        <x:v>голубика</x:v>
      </x:c>
      <x:c r="D222" s="28" t="str">
        <x:v>Голубика</x:v>
      </x:c>
      <x:c r="E222" s="28" t="str">
        <x:v>Ягоды и производные</x:v>
      </x:c>
      <x:c r="F222" s="28" t="str">
        <x:v>миндаль</x:v>
      </x:c>
      <x:c r="G222" s="28" t="str">
        <x:v>миндаль</x:v>
      </x:c>
      <x:c r="H222" s="28" t="str">
        <x:v>Орехи и семена</x:v>
      </x:c>
      <x:c r="I222" s="28" t="str">
        <x:v>зелёный, фруктовый, цветочный, цитрусовый</x:v>
      </x:c>
      <x:c r="J222" s="28" t="str">
        <x:v>жареный, миндальный, ореховый</x:v>
      </x:c>
      <x:c r="K222" s="28" t="str">
        <x:v>C6-альдегиды, гераниол, линалоол, цитронеллол</x:v>
      </x:c>
      <x:c r="L222" s="28" t="str">
        <x:v>бензальдегид, пиразины, фураны</x:v>
      </x:c>
      <x:c r="M222" s="28" t="str">
        <x:v>прямое совпадение семейств не установлено</x:v>
      </x:c>
      <x:c r="N222" s="28" t="str">
        <x:v>не подтверждены; механизм не сводится к одной общей молекуле</x:v>
      </x:c>
      <x:c r="O222" s="28" t="str">
        <x:v>контраст/комплементарность + матричный эффект</x:v>
      </x:c>
      <x:c r="P222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222" s="28" t="str">
        <x:v>Специфического тройничного эффекта обычно нет; кислотность усиливает слюноотделение.</x:v>
      </x:c>
      <x:c r="R222" s="28" t="str">
        <x:v>Жировая фаза удерживает гидрофобные одоранты и продлевает послевкусие; кислотность ягод повышает слюноотделение.</x:v>
      </x:c>
      <x:c r="S22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2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2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22" s="28" t="str">
        <x:v>ваниль или сливки</x:v>
      </x:c>
      <x:c r="W222" s="28" t="str">
        <x:v>сорбет, крем, ганаш, выпечка, джем или соус для десерта</x:v>
      </x:c>
      <x:c r="X222" s="28" t="str">
        <x:v>десерты</x:v>
      </x:c>
      <x:c r="Y222" s="28" t="str">
        <x:v>Средняя</x:v>
      </x:c>
      <x:c r="Z222" s="28" t="str">
        <x:v>Таблица сочетаний</x:v>
      </x:c>
      <x:c r="AA222" s="28" t="str">
        <x:v>Таблица сочетаний: 3</x:v>
      </x:c>
      <x:c r="AB222" s="28" t="str">
        <x:v>Голубика: миндаль</x:v>
      </x:c>
      <x:c r="AC222" s="28" t="n">
        <x:v>1</x:v>
      </x:c>
      <x:c r="AD222" s="28" t="n">
        <x:v>1</x:v>
      </x:c>
    </x:row>
    <x:row r="223" ht="58" customHeight="1">
      <x:c r="A223" s="28" t="str">
        <x:v>BER-0222</x:v>
      </x:c>
      <x:c r="B223" s="28" t="str">
        <x:v>Еда и соусы</x:v>
      </x:c>
      <x:c r="C223" s="28" t="str">
        <x:v>голубика</x:v>
      </x:c>
      <x:c r="D223" s="28" t="str">
        <x:v>blueberry</x:v>
      </x:c>
      <x:c r="E223" s="28" t="str">
        <x:v>Ягоды и производные</x:v>
      </x:c>
      <x:c r="F223" s="28" t="str">
        <x:v>мясо</x:v>
      </x:c>
      <x:c r="G223" s="28" t="str">
        <x:v>Meat</x:v>
      </x:c>
      <x:c r="H223" s="28" t="str">
        <x:v>Мясо и птица</x:v>
      </x:c>
      <x:c r="I223" s="28" t="str">
        <x:v>зелёный, фруктовый, цветочный, цитрусовый</x:v>
      </x:c>
      <x:c r="J223" s="28" t="str">
        <x:v>жареный, жирный, сернистый, умами</x:v>
      </x:c>
      <x:c r="K223" s="28" t="str">
        <x:v>C6-альдегиды, гераниол, линалоол, цитронеллол</x:v>
      </x:c>
      <x:c r="L223" s="28" t="str">
        <x:v>альдегиды, пиразины, сернистые соединения</x:v>
      </x:c>
      <x:c r="M223" s="28" t="str">
        <x:v>прямое совпадение семейств не установлено</x:v>
      </x:c>
      <x:c r="N223" s="28" t="str">
        <x:v>не подтверждены; механизм не сводится к одной общей молекуле</x:v>
      </x:c>
      <x:c r="O223" s="28" t="str">
        <x:v>контраст/комплементарность + матричный эффект</x:v>
      </x:c>
      <x:c r="P223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223" s="28" t="str">
        <x:v>Специфического тройничного эффекта обычно нет; кислотность усиливает слюноотделение.</x:v>
      </x:c>
      <x:c r="R223" s="28" t="str">
        <x:v>Жировая фаза удерживает гидрофобные одоранты и продлевает послевкусие; кислотность ягод повышает слюноотделение.</x:v>
      </x:c>
      <x:c r="S22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2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2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23" s="28" t="str">
        <x:v>красное вино или чёрный перец</x:v>
      </x:c>
      <x:c r="W223" s="28" t="str">
        <x:v>соус, глазировка, салат, сырная подача или горячее блюдо; маринад, гастрик, чатни, кетчуп или редукция</x:v>
      </x:c>
      <x:c r="X223" s="28" t="str">
        <x:v>еда; соусы/маринады</x:v>
      </x:c>
      <x:c r="Y223" s="28" t="str">
        <x:v>Средняя</x:v>
      </x:c>
      <x:c r="Z223" s="28" t="str">
        <x:v>The Art &amp; Science of Foodpairing</x:v>
      </x:c>
      <x:c r="AA223" s="28" t="str">
        <x:v>The Art &amp; Science of Foodpairing: 188</x:v>
      </x:c>
      <x:c r="AB223" s="28" t="str">
        <x:v>Ingredient pairings with Meat: blueberry</x:v>
      </x:c>
      <x:c r="AC223" s="28" t="n">
        <x:v>1</x:v>
      </x:c>
      <x:c r="AD223" s="28" t="n">
        <x:v>1</x:v>
      </x:c>
    </x:row>
    <x:row r="224" ht="58" customHeight="1">
      <x:c r="A224" s="28" t="str">
        <x:v>BER-0223</x:v>
      </x:c>
      <x:c r="B224" s="28" t="str">
        <x:v>Еда и соусы</x:v>
      </x:c>
      <x:c r="C224" s="28" t="str">
        <x:v>голубика</x:v>
      </x:c>
      <x:c r="D224" s="28" t="str">
        <x:v>Blueberry</x:v>
      </x:c>
      <x:c r="E224" s="28" t="str">
        <x:v>Ягоды и производные</x:v>
      </x:c>
      <x:c r="F224" s="28" t="str">
        <x:v>на гриле beef</x:v>
      </x:c>
      <x:c r="G224" s="28" t="str">
        <x:v>grilled beef</x:v>
      </x:c>
      <x:c r="H224" s="28" t="str">
        <x:v>Мясо и птица</x:v>
      </x:c>
      <x:c r="I224" s="28" t="str">
        <x:v>зелёный, фруктовый, цветочный, цитрусовый</x:v>
      </x:c>
      <x:c r="J224" s="28" t="str">
        <x:v>жареный, жирный, сернистый, умами</x:v>
      </x:c>
      <x:c r="K224" s="28" t="str">
        <x:v>C6-альдегиды, гераниол, линалоол, цитронеллол</x:v>
      </x:c>
      <x:c r="L224" s="28" t="str">
        <x:v>альдегиды, пиразины, сернистые соединения</x:v>
      </x:c>
      <x:c r="M224" s="28" t="str">
        <x:v>прямое совпадение семейств не установлено</x:v>
      </x:c>
      <x:c r="N224" s="28" t="str">
        <x:v>не подтверждены; механизм не сводится к одной общей молекуле</x:v>
      </x:c>
      <x:c r="O224" s="28" t="str">
        <x:v>контраст/комплементарность + матричный эффект</x:v>
      </x:c>
      <x:c r="P224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224" s="28" t="str">
        <x:v>Специфического тройничного эффекта обычно нет; кислотность усиливает слюноотделение.</x:v>
      </x:c>
      <x:c r="R224" s="28" t="str">
        <x:v>Жировая фаза удерживает гидрофобные одоранты и продлевает послевкусие; кислотность ягод повышает слюноотделение.</x:v>
      </x:c>
      <x:c r="S22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2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2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24" s="28" t="str">
        <x:v>красное вино или чёрный перец</x:v>
      </x:c>
      <x:c r="W224" s="28" t="str">
        <x:v>соус, глазировка, салат, сырная подача или горячее блюдо; маринад, гастрик, чатни, кетчуп или редукция</x:v>
      </x:c>
      <x:c r="X224" s="28" t="str">
        <x:v>еда; соусы/маринады</x:v>
      </x:c>
      <x:c r="Y224" s="28" t="str">
        <x:v>Средняя</x:v>
      </x:c>
      <x:c r="Z224" s="28" t="str">
        <x:v>The Art &amp; Science of Foodpairing</x:v>
      </x:c>
      <x:c r="AA224" s="28" t="str">
        <x:v>The Art &amp; Science of Foodpairing: 205</x:v>
      </x:c>
      <x:c r="AB224" s="28" t="str">
        <x:v>Ingredient pairings with Blueberry: grilled beef</x:v>
      </x:c>
      <x:c r="AC224" s="28" t="n">
        <x:v>1</x:v>
      </x:c>
      <x:c r="AD224" s="28" t="n">
        <x:v>1</x:v>
      </x:c>
    </x:row>
    <x:row r="225" ht="58" customHeight="1">
      <x:c r="A225" s="28" t="str">
        <x:v>BER-0224</x:v>
      </x:c>
      <x:c r="B225" s="28" t="str">
        <x:v>Еда и соусы</x:v>
      </x:c>
      <x:c r="C225" s="28" t="str">
        <x:v>голубика</x:v>
      </x:c>
      <x:c r="D225" s="28" t="str">
        <x:v>Blueberry</x:v>
      </x:c>
      <x:c r="E225" s="28" t="str">
        <x:v>Ягоды и производные</x:v>
      </x:c>
      <x:c r="F225" s="28" t="str">
        <x:v>на гриле courgette boi</x:v>
      </x:c>
      <x:c r="G225" s="28" t="str">
        <x:v>grilled courgette boi</x:v>
      </x:c>
      <x:c r="H225" s="28" t="str">
        <x:v>Овощи и грибы</x:v>
      </x:c>
      <x:c r="I225" s="28" t="str">
        <x:v>зелёный, фруктовый, цветочный, цитрусовый</x:v>
      </x:c>
      <x:c r="J225" s="28" t="str">
        <x:v>зелёный, землистый, сернистый</x:v>
      </x:c>
      <x:c r="K225" s="28" t="str">
        <x:v>C6-альдегиды, гераниол, линалоол, цитронеллол</x:v>
      </x:c>
      <x:c r="L225" s="28" t="str">
        <x:v>C6-альдегиды, пиразины, сернистые соединения</x:v>
      </x:c>
      <x:c r="M225" s="28" t="str">
        <x:v>зелёный</x:v>
      </x:c>
      <x:c r="N225" s="28" t="str">
        <x:v>C6-альдегиды</x:v>
      </x:c>
      <x:c r="O225" s="28" t="str">
        <x:v>ароматическое сходство + вкусовой баланс</x:v>
      </x:c>
      <x:c r="P225" s="28" t="str">
        <x:v>Оба компонента формируют сладко-кислый, мягкий и растительный, иногда умами контур; сахар, кислота и горечь должны быть выровнены дегустацией.</x:v>
      </x:c>
      <x:c r="Q225" s="28" t="str">
        <x:v>Специфического тройничного эффекта обычно нет; кислотность усиливает слюноотделение.</x:v>
      </x:c>
      <x:c r="R225" s="28" t="str">
        <x:v>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22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25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2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25" s="28" t="str">
        <x:v>уксус или мягкий сыр</x:v>
      </x:c>
      <x:c r="W225" s="28" t="str">
        <x:v>соус, глазировка, салат, сырная подача или горячее блюдо; маринад, гастрик, чатни, кетчуп или редукция</x:v>
      </x:c>
      <x:c r="X225" s="28" t="str">
        <x:v>еда; соусы/маринады</x:v>
      </x:c>
      <x:c r="Y225" s="28" t="str">
        <x:v>Средняя</x:v>
      </x:c>
      <x:c r="Z225" s="28" t="str">
        <x:v>The Art &amp; Science of Foodpairing</x:v>
      </x:c>
      <x:c r="AA225" s="28" t="str">
        <x:v>The Art &amp; Science of Foodpairing: 204</x:v>
      </x:c>
      <x:c r="AB225" s="28" t="str">
        <x:v>Ingredient pairings with Blueberry: grilled courgette boi</x:v>
      </x:c>
      <x:c r="AC225" s="28" t="n">
        <x:v>1</x:v>
      </x:c>
      <x:c r="AD225" s="28" t="n">
        <x:v>1</x:v>
      </x:c>
    </x:row>
    <x:row r="226" ht="58" customHeight="1">
      <x:c r="A226" s="28" t="str">
        <x:v>BER-0225</x:v>
      </x:c>
      <x:c r="B226" s="28" t="str">
        <x:v>Еда и соусы</x:v>
      </x:c>
      <x:c r="C226" s="28" t="str">
        <x:v>голубика</x:v>
      </x:c>
      <x:c r="D226" s="28" t="str">
        <x:v>Blueberry</x:v>
      </x:c>
      <x:c r="E226" s="28" t="str">
        <x:v>Ягоды и производные</x:v>
      </x:c>
      <x:c r="F226" s="28" t="str">
        <x:v>на гриле turbot dri</x:v>
      </x:c>
      <x:c r="G226" s="28" t="str">
        <x:v>grilled turbot dri</x:v>
      </x:c>
      <x:c r="H226" s="28" t="str">
        <x:v>Рыба и морепродукты</x:v>
      </x:c>
      <x:c r="I226" s="28" t="str">
        <x:v>зелёный, фруктовый, цветочный, цитрусовый</x:v>
      </x:c>
      <x:c r="J226" s="28" t="str">
        <x:v>жирный, морской, умами</x:v>
      </x:c>
      <x:c r="K226" s="28" t="str">
        <x:v>C6-альдегиды, гераниол, линалоол, цитронеллол</x:v>
      </x:c>
      <x:c r="L226" s="28" t="str">
        <x:v>альдегиды, амины, сернистые соединения</x:v>
      </x:c>
      <x:c r="M226" s="28" t="str">
        <x:v>прямое совпадение семейств не установлено</x:v>
      </x:c>
      <x:c r="N226" s="28" t="str">
        <x:v>не подтверждены; механизм не сводится к одной общей молекуле</x:v>
      </x:c>
      <x:c r="O226" s="28" t="str">
        <x:v>контраст/комплементарность + матричный эффект</x:v>
      </x:c>
      <x:c r="P226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226" s="28" t="str">
        <x:v>Специфического тройничного эффекта обычно нет; кислотность усиливает слюноотделение.</x:v>
      </x:c>
      <x:c r="R226" s="28" t="str">
        <x:v>Белок и жир смягчают кислоту; ягодный соус должен сохранять достаточную концентрацию и соль.</x:v>
      </x:c>
      <x:c r="S22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2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2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26" s="28" t="str">
        <x:v>цитрус или огурец</x:v>
      </x:c>
      <x:c r="W226" s="28" t="str">
        <x:v>соус, глазировка, салат, сырная подача или горячее блюдо; маринад, гастрик, чатни, кетчуп или редукция</x:v>
      </x:c>
      <x:c r="X226" s="28" t="str">
        <x:v>еда; соусы/маринады</x:v>
      </x:c>
      <x:c r="Y226" s="28" t="str">
        <x:v>Средняя</x:v>
      </x:c>
      <x:c r="Z226" s="28" t="str">
        <x:v>The Art &amp; Science of Foodpairing</x:v>
      </x:c>
      <x:c r="AA226" s="28" t="str">
        <x:v>The Art &amp; Science of Foodpairing: 204</x:v>
      </x:c>
      <x:c r="AB226" s="28" t="str">
        <x:v>Ingredient pairings with Blueberry: grilled turbot dri</x:v>
      </x:c>
      <x:c r="AC226" s="28" t="n">
        <x:v>1</x:v>
      </x:c>
      <x:c r="AD226" s="28" t="n">
        <x:v>1</x:v>
      </x:c>
    </x:row>
    <x:row r="227" ht="58" customHeight="1">
      <x:c r="A227" s="28" t="str">
        <x:v>BER-0226</x:v>
      </x:c>
      <x:c r="B227" s="28" t="str">
        <x:v>Универсальные</x:v>
      </x:c>
      <x:c r="C227" s="28" t="str">
        <x:v>голубика</x:v>
      </x:c>
      <x:c r="D227" s="28" t="str">
        <x:v>голубика</x:v>
      </x:c>
      <x:c r="E227" s="28" t="str">
        <x:v>Ягоды и производные</x:v>
      </x:c>
      <x:c r="F227" s="28" t="str">
        <x:v>нектарин</x:v>
      </x:c>
      <x:c r="G227" s="28" t="str">
        <x:v>Нектарин</x:v>
      </x:c>
      <x:c r="H227" s="28" t="str">
        <x:v>Прочее</x:v>
      </x:c>
      <x:c r="I227" s="28" t="str">
        <x:v>зелёный, фруктовый, цветочный, цитрусовый</x:v>
      </x:c>
      <x:c r="J227" s="28" t="str">
        <x:v>комплексный</x:v>
      </x:c>
      <x:c r="K227" s="28" t="str">
        <x:v>C6-альдегиды, гераниол, линалоол, цитронеллол</x:v>
      </x:c>
      <x:c r="L227" s="28" t="str">
        <x:v>нет надёжной конкретизации</x:v>
      </x:c>
      <x:c r="M227" s="28" t="str">
        <x:v>прямое совпадение семейств не установлено</x:v>
      </x:c>
      <x:c r="N227" s="28" t="str">
        <x:v>не подтверждены; механизм не сводится к одной общей молекуле</x:v>
      </x:c>
      <x:c r="O227" s="28" t="str">
        <x:v>контраст/комплементарность + матричный эффект</x:v>
      </x:c>
      <x:c r="P227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227" s="28" t="str">
        <x:v>Специфического тройничного эффекта обычно нет; кислотность усиливает слюноотделение.</x:v>
      </x:c>
      <x:c r="R227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22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2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2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27" s="28" t="str">
        <x:v>лимон или ваниль</x:v>
      </x:c>
      <x:c r="W227" s="28" t="str">
        <x:v>сенсорная проба в малой дозировке</x:v>
      </x:c>
      <x:c r="X227" s="28" t="str">
        <x:v>универсально</x:v>
      </x:c>
      <x:c r="Y227" s="28" t="str">
        <x:v>Средняя</x:v>
      </x:c>
      <x:c r="Z227" s="28" t="str">
        <x:v>Таблица сочетаний</x:v>
      </x:c>
      <x:c r="AA227" s="28" t="str">
        <x:v>Таблица сочетаний: 14</x:v>
      </x:c>
      <x:c r="AB227" s="28" t="str">
        <x:v>Нектарин: голубика</x:v>
      </x:c>
      <x:c r="AC227" s="28" t="n">
        <x:v>1</x:v>
      </x:c>
      <x:c r="AD227" s="28" t="n">
        <x:v>1</x:v>
      </x:c>
    </x:row>
    <x:row r="228" ht="58" customHeight="1">
      <x:c r="A228" s="28" t="str">
        <x:v>BER-0227</x:v>
      </x:c>
      <x:c r="B228" s="28" t="str">
        <x:v>Универсальные</x:v>
      </x:c>
      <x:c r="C228" s="28" t="str">
        <x:v>голубика</x:v>
      </x:c>
      <x:c r="D228" s="28" t="str">
        <x:v>Blueberry</x:v>
      </x:c>
      <x:c r="E228" s="28" t="str">
        <x:v>Ягоды и производные</x:v>
      </x:c>
      <x:c r="F228" s="28" t="str">
        <x:v>обжаренный bacon</x:v>
      </x:c>
      <x:c r="G228" s="28" t="str">
        <x:v>pan-fried bacon</x:v>
      </x:c>
      <x:c r="H228" s="28" t="str">
        <x:v>Прочее</x:v>
      </x:c>
      <x:c r="I228" s="28" t="str">
        <x:v>зелёный, фруктовый, цветочный, цитрусовый</x:v>
      </x:c>
      <x:c r="J228" s="28" t="str">
        <x:v>комплексный</x:v>
      </x:c>
      <x:c r="K228" s="28" t="str">
        <x:v>C6-альдегиды, гераниол, линалоол, цитронеллол</x:v>
      </x:c>
      <x:c r="L228" s="28" t="str">
        <x:v>нет надёжной конкретизации</x:v>
      </x:c>
      <x:c r="M228" s="28" t="str">
        <x:v>прямое совпадение семейств не установлено</x:v>
      </x:c>
      <x:c r="N228" s="28" t="str">
        <x:v>не подтверждены; механизм не сводится к одной общей молекуле</x:v>
      </x:c>
      <x:c r="O228" s="28" t="str">
        <x:v>контраст/комплементарность + матричный эффект</x:v>
      </x:c>
      <x:c r="P228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228" s="28" t="str">
        <x:v>Специфического тройничного эффекта обычно нет; кислотность усиливает слюноотделение.</x:v>
      </x:c>
      <x:c r="R228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22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2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2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28" s="28" t="str">
        <x:v>лимон или ваниль</x:v>
      </x:c>
      <x:c r="W228" s="28" t="str">
        <x:v>сенсорная проба в малой дозировке</x:v>
      </x:c>
      <x:c r="X228" s="28" t="str">
        <x:v>универсально</x:v>
      </x:c>
      <x:c r="Y228" s="28" t="str">
        <x:v>Средняя</x:v>
      </x:c>
      <x:c r="Z228" s="28" t="str">
        <x:v>The Art &amp; Science of Foodpairing</x:v>
      </x:c>
      <x:c r="AA228" s="28" t="str">
        <x:v>The Art &amp; Science of Foodpairing: 205</x:v>
      </x:c>
      <x:c r="AB228" s="28" t="str">
        <x:v>Ingredient pairings with Blueberry: pan-fried bacon</x:v>
      </x:c>
      <x:c r="AC228" s="28" t="n">
        <x:v>1</x:v>
      </x:c>
      <x:c r="AD228" s="28" t="n">
        <x:v>1</x:v>
      </x:c>
    </x:row>
    <x:row r="229" ht="58" customHeight="1">
      <x:c r="A229" s="28" t="str">
        <x:v>BER-0228</x:v>
      </x:c>
      <x:c r="B229" s="28" t="str">
        <x:v>Универсальные</x:v>
      </x:c>
      <x:c r="C229" s="28" t="str">
        <x:v>голубика</x:v>
      </x:c>
      <x:c r="D229" s="28" t="str">
        <x:v>Blueberry</x:v>
      </x:c>
      <x:c r="E229" s="28" t="str">
        <x:v>Ягоды и производные</x:v>
      </x:c>
      <x:c r="F229" s="28" t="str">
        <x:v>обжаренный duck foie gras cann</x:v>
      </x:c>
      <x:c r="G229" s="28" t="str">
        <x:v>pan-fried duck foie gras cann</x:v>
      </x:c>
      <x:c r="H229" s="28" t="str">
        <x:v>Прочее</x:v>
      </x:c>
      <x:c r="I229" s="28" t="str">
        <x:v>зелёный, фруктовый, цветочный, цитрусовый</x:v>
      </x:c>
      <x:c r="J229" s="28" t="str">
        <x:v>комплексный</x:v>
      </x:c>
      <x:c r="K229" s="28" t="str">
        <x:v>C6-альдегиды, гераниол, линалоол, цитронеллол</x:v>
      </x:c>
      <x:c r="L229" s="28" t="str">
        <x:v>нет надёжной конкретизации</x:v>
      </x:c>
      <x:c r="M229" s="28" t="str">
        <x:v>прямое совпадение семейств не установлено</x:v>
      </x:c>
      <x:c r="N229" s="28" t="str">
        <x:v>не подтверждены; механизм не сводится к одной общей молекуле</x:v>
      </x:c>
      <x:c r="O229" s="28" t="str">
        <x:v>контраст/комплементарность + матричный эффект</x:v>
      </x:c>
      <x:c r="P229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229" s="28" t="str">
        <x:v>Специфического тройничного эффекта обычно нет; кислотность усиливает слюноотделение.</x:v>
      </x:c>
      <x:c r="R229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22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2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2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29" s="28" t="str">
        <x:v>лимон или ваниль</x:v>
      </x:c>
      <x:c r="W229" s="28" t="str">
        <x:v>сенсорная проба в малой дозировке</x:v>
      </x:c>
      <x:c r="X229" s="28" t="str">
        <x:v>универсально</x:v>
      </x:c>
      <x:c r="Y229" s="28" t="str">
        <x:v>Средняя</x:v>
      </x:c>
      <x:c r="Z229" s="28" t="str">
        <x:v>The Art &amp; Science of Foodpairing</x:v>
      </x:c>
      <x:c r="AA229" s="28" t="str">
        <x:v>The Art &amp; Science of Foodpairing: 204</x:v>
      </x:c>
      <x:c r="AB229" s="28" t="str">
        <x:v>Ingredient pairings with Blueberry: pan-fried duck foie gras cann</x:v>
      </x:c>
      <x:c r="AC229" s="28" t="n">
        <x:v>1</x:v>
      </x:c>
      <x:c r="AD229" s="28" t="n">
        <x:v>1</x:v>
      </x:c>
    </x:row>
    <x:row r="230" ht="58" customHeight="1">
      <x:c r="A230" s="28" t="str">
        <x:v>BER-0229</x:v>
      </x:c>
      <x:c r="B230" s="28" t="str">
        <x:v>Универсальные</x:v>
      </x:c>
      <x:c r="C230" s="28" t="str">
        <x:v>голубика</x:v>
      </x:c>
      <x:c r="D230" s="28" t="str">
        <x:v>Blueberry</x:v>
      </x:c>
      <x:c r="E230" s="28" t="str">
        <x:v>Ягоды и производные</x:v>
      </x:c>
      <x:c r="F230" s="28" t="str">
        <x:v>обжаренный wild wood pigeon boi</x:v>
      </x:c>
      <x:c r="G230" s="28" t="str">
        <x:v>pan-fried wild wood pigeon boi</x:v>
      </x:c>
      <x:c r="H230" s="28" t="str">
        <x:v>Прочее</x:v>
      </x:c>
      <x:c r="I230" s="28" t="str">
        <x:v>зелёный, фруктовый, цветочный, цитрусовый</x:v>
      </x:c>
      <x:c r="J230" s="28" t="str">
        <x:v>комплексный</x:v>
      </x:c>
      <x:c r="K230" s="28" t="str">
        <x:v>C6-альдегиды, гераниол, линалоол, цитронеллол</x:v>
      </x:c>
      <x:c r="L230" s="28" t="str">
        <x:v>нет надёжной конкретизации</x:v>
      </x:c>
      <x:c r="M230" s="28" t="str">
        <x:v>прямое совпадение семейств не установлено</x:v>
      </x:c>
      <x:c r="N230" s="28" t="str">
        <x:v>не подтверждены; механизм не сводится к одной общей молекуле</x:v>
      </x:c>
      <x:c r="O230" s="28" t="str">
        <x:v>контраст/комплементарность + матричный эффект</x:v>
      </x:c>
      <x:c r="P230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230" s="28" t="str">
        <x:v>Специфического тройничного эффекта обычно нет; кислотность усиливает слюноотделение.</x:v>
      </x:c>
      <x:c r="R230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23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3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3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30" s="28" t="str">
        <x:v>лимон или ваниль</x:v>
      </x:c>
      <x:c r="W230" s="28" t="str">
        <x:v>сенсорная проба в малой дозировке</x:v>
      </x:c>
      <x:c r="X230" s="28" t="str">
        <x:v>универсально</x:v>
      </x:c>
      <x:c r="Y230" s="28" t="str">
        <x:v>Средняя</x:v>
      </x:c>
      <x:c r="Z230" s="28" t="str">
        <x:v>The Art &amp; Science of Foodpairing</x:v>
      </x:c>
      <x:c r="AA230" s="28" t="str">
        <x:v>The Art &amp; Science of Foodpairing: 204</x:v>
      </x:c>
      <x:c r="AB230" s="28" t="str">
        <x:v>Ingredient pairings with Blueberry: pan-fried wild wood pigeon boi</x:v>
      </x:c>
      <x:c r="AC230" s="28" t="n">
        <x:v>1</x:v>
      </x:c>
      <x:c r="AD230" s="28" t="n">
        <x:v>1</x:v>
      </x:c>
    </x:row>
    <x:row r="231" ht="58" customHeight="1">
      <x:c r="A231" s="28" t="str">
        <x:v>BER-0230</x:v>
      </x:c>
      <x:c r="B231" s="28" t="str">
        <x:v>Еда и соусы</x:v>
      </x:c>
      <x:c r="C231" s="28" t="str">
        <x:v>голубика</x:v>
      </x:c>
      <x:c r="D231" s="28" t="str">
        <x:v>Blueberry</x:v>
      </x:c>
      <x:c r="E231" s="28" t="str">
        <x:v>Ягоды и производные</x:v>
      </x:c>
      <x:c r="F231" s="28" t="str">
        <x:v>огурец</x:v>
      </x:c>
      <x:c r="G231" s="28" t="str">
        <x:v>cucumber</x:v>
      </x:c>
      <x:c r="H231" s="28" t="str">
        <x:v>Овощи и грибы</x:v>
      </x:c>
      <x:c r="I231" s="28" t="str">
        <x:v>зелёный, фруктовый, цветочный, цитрусовый</x:v>
      </x:c>
      <x:c r="J231" s="28" t="str">
        <x:v>зелёный, землистый, сернистый</x:v>
      </x:c>
      <x:c r="K231" s="28" t="str">
        <x:v>C6-альдегиды, гераниол, линалоол, цитронеллол</x:v>
      </x:c>
      <x:c r="L231" s="28" t="str">
        <x:v>C6-альдегиды, пиразины, сернистые соединения</x:v>
      </x:c>
      <x:c r="M231" s="28" t="str">
        <x:v>зелёный</x:v>
      </x:c>
      <x:c r="N231" s="28" t="str">
        <x:v>C6-альдегиды</x:v>
      </x:c>
      <x:c r="O231" s="28" t="str">
        <x:v>ароматическое сходство + вкусовой баланс</x:v>
      </x:c>
      <x:c r="P231" s="28" t="str">
        <x:v>Оба компонента формируют сладко-кислый, мягкий и растительный, иногда умами контур; сахар, кислота и горечь должны быть выровнены дегустацией.</x:v>
      </x:c>
      <x:c r="Q231" s="28" t="str">
        <x:v>Специфического тройничного эффекта обычно нет; кислотность усиливает слюноотделение.</x:v>
      </x:c>
      <x:c r="R231" s="28" t="str">
        <x:v>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23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31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3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31" s="28" t="str">
        <x:v>уксус или мягкий сыр</x:v>
      </x:c>
      <x:c r="W231" s="28" t="str">
        <x:v>соус, глазировка, салат, сырная подача или горячее блюдо; маринад, гастрик, чатни, кетчуп или редукция</x:v>
      </x:c>
      <x:c r="X231" s="28" t="str">
        <x:v>еда; соусы/маринады</x:v>
      </x:c>
      <x:c r="Y231" s="28" t="str">
        <x:v>Средняя</x:v>
      </x:c>
      <x:c r="Z231" s="28" t="str">
        <x:v>The Art &amp; Science of Foodpairing</x:v>
      </x:c>
      <x:c r="AA231" s="28" t="str">
        <x:v>The Art &amp; Science of Foodpairing: 205</x:v>
      </x:c>
      <x:c r="AB231" s="28" t="str">
        <x:v>Ingredient pairings with Blueberry: cucumber</x:v>
      </x:c>
      <x:c r="AC231" s="28" t="n">
        <x:v>1</x:v>
      </x:c>
      <x:c r="AD231" s="28" t="n">
        <x:v>1</x:v>
      </x:c>
    </x:row>
    <x:row r="232" ht="58" customHeight="1">
      <x:c r="A232" s="28" t="str">
        <x:v>BER-0231</x:v>
      </x:c>
      <x:c r="B232" s="28" t="str">
        <x:v>Еда и соусы</x:v>
      </x:c>
      <x:c r="C232" s="28" t="str">
        <x:v>голубика</x:v>
      </x:c>
      <x:c r="D232" s="28" t="str">
        <x:v>Blueberry</x:v>
      </x:c>
      <x:c r="E232" s="28" t="str">
        <x:v>Ягоды и производные</x:v>
      </x:c>
      <x:c r="F232" s="28" t="str">
        <x:v>отварной artichoke</x:v>
      </x:c>
      <x:c r="G232" s="28" t="str">
        <x:v>boiled artichoke</x:v>
      </x:c>
      <x:c r="H232" s="28" t="str">
        <x:v>Овощи и грибы</x:v>
      </x:c>
      <x:c r="I232" s="28" t="str">
        <x:v>зелёный, фруктовый, цветочный, цитрусовый</x:v>
      </x:c>
      <x:c r="J232" s="28" t="str">
        <x:v>зелёный, землистый, сернистый</x:v>
      </x:c>
      <x:c r="K232" s="28" t="str">
        <x:v>C6-альдегиды, гераниол, линалоол, цитронеллол</x:v>
      </x:c>
      <x:c r="L232" s="28" t="str">
        <x:v>C6-альдегиды, пиразины, сернистые соединения</x:v>
      </x:c>
      <x:c r="M232" s="28" t="str">
        <x:v>зелёный</x:v>
      </x:c>
      <x:c r="N232" s="28" t="str">
        <x:v>C6-альдегиды</x:v>
      </x:c>
      <x:c r="O232" s="28" t="str">
        <x:v>ароматическое сходство + вкусовой баланс</x:v>
      </x:c>
      <x:c r="P232" s="28" t="str">
        <x:v>Оба компонента формируют сладко-кислый, мягкий и растительный, иногда умами контур; сахар, кислота и горечь должны быть выровнены дегустацией.</x:v>
      </x:c>
      <x:c r="Q232" s="28" t="str">
        <x:v>Специфического тройничного эффекта обычно нет; кислотность усиливает слюноотделение.</x:v>
      </x:c>
      <x:c r="R232" s="28" t="str">
        <x:v>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23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32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3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32" s="28" t="str">
        <x:v>уксус или мягкий сыр</x:v>
      </x:c>
      <x:c r="W232" s="28" t="str">
        <x:v>соус, глазировка, салат, сырная подача или горячее блюдо; маринад, гастрик, чатни, кетчуп или редукция</x:v>
      </x:c>
      <x:c r="X232" s="28" t="str">
        <x:v>еда; соусы/маринады</x:v>
      </x:c>
      <x:c r="Y232" s="28" t="str">
        <x:v>Средняя</x:v>
      </x:c>
      <x:c r="Z232" s="28" t="str">
        <x:v>The Art &amp; Science of Foodpairing</x:v>
      </x:c>
      <x:c r="AA232" s="28" t="str">
        <x:v>The Art &amp; Science of Foodpairing: 205</x:v>
      </x:c>
      <x:c r="AB232" s="28" t="str">
        <x:v>Ingredient pairings with Blueberry: boiled artichoke</x:v>
      </x:c>
      <x:c r="AC232" s="28" t="n">
        <x:v>1</x:v>
      </x:c>
      <x:c r="AD232" s="28" t="n">
        <x:v>1</x:v>
      </x:c>
    </x:row>
    <x:row r="233" ht="58" customHeight="1">
      <x:c r="A233" s="28" t="str">
        <x:v>BER-0232</x:v>
      </x:c>
      <x:c r="B233" s="28" t="str">
        <x:v>Универсальные</x:v>
      </x:c>
      <x:c r="C233" s="28" t="str">
        <x:v>голубика</x:v>
      </x:c>
      <x:c r="D233" s="28" t="str">
        <x:v>Blueberry</x:v>
      </x:c>
      <x:c r="E233" s="28" t="str">
        <x:v>Ягоды и производные</x:v>
      </x:c>
      <x:c r="F233" s="28" t="str">
        <x:v>отварной broccoli</x:v>
      </x:c>
      <x:c r="G233" s="28" t="str">
        <x:v>boiled broccoli</x:v>
      </x:c>
      <x:c r="H233" s="28" t="str">
        <x:v>Прочее</x:v>
      </x:c>
      <x:c r="I233" s="28" t="str">
        <x:v>зелёный, фруктовый, цветочный, цитрусовый</x:v>
      </x:c>
      <x:c r="J233" s="28" t="str">
        <x:v>комплексный</x:v>
      </x:c>
      <x:c r="K233" s="28" t="str">
        <x:v>C6-альдегиды, гераниол, линалоол, цитронеллол</x:v>
      </x:c>
      <x:c r="L233" s="28" t="str">
        <x:v>нет надёжной конкретизации</x:v>
      </x:c>
      <x:c r="M233" s="28" t="str">
        <x:v>прямое совпадение семейств не установлено</x:v>
      </x:c>
      <x:c r="N233" s="28" t="str">
        <x:v>не подтверждены; механизм не сводится к одной общей молекуле</x:v>
      </x:c>
      <x:c r="O233" s="28" t="str">
        <x:v>контраст/комплементарность + матричный эффект</x:v>
      </x:c>
      <x:c r="P233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233" s="28" t="str">
        <x:v>Специфического тройничного эффекта обычно нет; кислотность усиливает слюноотделение.</x:v>
      </x:c>
      <x:c r="R233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23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3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3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33" s="28" t="str">
        <x:v>лимон или ваниль</x:v>
      </x:c>
      <x:c r="W233" s="28" t="str">
        <x:v>сенсорная проба в малой дозировке</x:v>
      </x:c>
      <x:c r="X233" s="28" t="str">
        <x:v>универсально</x:v>
      </x:c>
      <x:c r="Y233" s="28" t="str">
        <x:v>Средняя</x:v>
      </x:c>
      <x:c r="Z233" s="28" t="str">
        <x:v>The Art &amp; Science of Foodpairing</x:v>
      </x:c>
      <x:c r="AA233" s="28" t="str">
        <x:v>The Art &amp; Science of Foodpairing: 205</x:v>
      </x:c>
      <x:c r="AB233" s="28" t="str">
        <x:v>Ingredient pairings with Blueberry: boiled broccoli</x:v>
      </x:c>
      <x:c r="AC233" s="28" t="n">
        <x:v>1</x:v>
      </x:c>
      <x:c r="AD233" s="28" t="n">
        <x:v>1</x:v>
      </x:c>
    </x:row>
    <x:row r="234" ht="58" customHeight="1">
      <x:c r="A234" s="28" t="str">
        <x:v>BER-0233</x:v>
      </x:c>
      <x:c r="B234" s="28" t="str">
        <x:v>Еда и соусы</x:v>
      </x:c>
      <x:c r="C234" s="28" t="str">
        <x:v>голубика</x:v>
      </x:c>
      <x:c r="D234" s="28" t="str">
        <x:v>Blueberry</x:v>
      </x:c>
      <x:c r="E234" s="28" t="str">
        <x:v>Ягоды и производные</x:v>
      </x:c>
      <x:c r="F234" s="28" t="str">
        <x:v>отварной brown crab meat blue</x:v>
      </x:c>
      <x:c r="G234" s="28" t="str">
        <x:v>boiled brown crab meat blue</x:v>
      </x:c>
      <x:c r="H234" s="28" t="str">
        <x:v>Мясо и птица</x:v>
      </x:c>
      <x:c r="I234" s="28" t="str">
        <x:v>зелёный, фруктовый, цветочный, цитрусовый</x:v>
      </x:c>
      <x:c r="J234" s="28" t="str">
        <x:v>жареный, жирный, сернистый, умами</x:v>
      </x:c>
      <x:c r="K234" s="28" t="str">
        <x:v>C6-альдегиды, гераниол, линалоол, цитронеллол</x:v>
      </x:c>
      <x:c r="L234" s="28" t="str">
        <x:v>альдегиды, пиразины, сернистые соединения</x:v>
      </x:c>
      <x:c r="M234" s="28" t="str">
        <x:v>прямое совпадение семейств не установлено</x:v>
      </x:c>
      <x:c r="N234" s="28" t="str">
        <x:v>не подтверждены; механизм не сводится к одной общей молекуле</x:v>
      </x:c>
      <x:c r="O234" s="28" t="str">
        <x:v>контраст/комплементарность + матричный эффект</x:v>
      </x:c>
      <x:c r="P234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234" s="28" t="str">
        <x:v>Специфического тройничного эффекта обычно нет; кислотность усиливает слюноотделение.</x:v>
      </x:c>
      <x:c r="R234" s="28" t="str">
        <x:v>Жировая фаза удерживает гидрофобные одоранты и продлевает послевкусие; кислотность ягод повышает слюноотделение.</x:v>
      </x:c>
      <x:c r="S23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3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3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34" s="28" t="str">
        <x:v>красное вино или чёрный перец</x:v>
      </x:c>
      <x:c r="W234" s="28" t="str">
        <x:v>соус, глазировка, салат, сырная подача или горячее блюдо; маринад, гастрик, чатни, кетчуп или редукция</x:v>
      </x:c>
      <x:c r="X234" s="28" t="str">
        <x:v>еда; соусы/маринады</x:v>
      </x:c>
      <x:c r="Y234" s="28" t="str">
        <x:v>Средняя</x:v>
      </x:c>
      <x:c r="Z234" s="28" t="str">
        <x:v>The Art &amp; Science of Foodpairing</x:v>
      </x:c>
      <x:c r="AA234" s="28" t="str">
        <x:v>The Art &amp; Science of Foodpairing: 204</x:v>
      </x:c>
      <x:c r="AB234" s="28" t="str">
        <x:v>Ingredient pairings with Blueberry: boiled brown crab meat blue</x:v>
      </x:c>
      <x:c r="AC234" s="28" t="n">
        <x:v>1</x:v>
      </x:c>
      <x:c r="AD234" s="28" t="n">
        <x:v>1</x:v>
      </x:c>
    </x:row>
    <x:row r="235" ht="58" customHeight="1">
      <x:c r="A235" s="28" t="str">
        <x:v>BER-0234</x:v>
      </x:c>
      <x:c r="B235" s="28" t="str">
        <x:v>Еда и соусы</x:v>
      </x:c>
      <x:c r="C235" s="28" t="str">
        <x:v>голубика</x:v>
      </x:c>
      <x:c r="D235" s="28" t="str">
        <x:v>Blueberry</x:v>
      </x:c>
      <x:c r="E235" s="28" t="str">
        <x:v>Ягоды и производные</x:v>
      </x:c>
      <x:c r="F235" s="28" t="str">
        <x:v>отварной brown shrimp</x:v>
      </x:c>
      <x:c r="G235" s="28" t="str">
        <x:v>boiled brown shrimp</x:v>
      </x:c>
      <x:c r="H235" s="28" t="str">
        <x:v>Рыба и морепродукты</x:v>
      </x:c>
      <x:c r="I235" s="28" t="str">
        <x:v>зелёный, фруктовый, цветочный, цитрусовый</x:v>
      </x:c>
      <x:c r="J235" s="28" t="str">
        <x:v>жирный, морской, умами</x:v>
      </x:c>
      <x:c r="K235" s="28" t="str">
        <x:v>C6-альдегиды, гераниол, линалоол, цитронеллол</x:v>
      </x:c>
      <x:c r="L235" s="28" t="str">
        <x:v>альдегиды, амины, сернистые соединения</x:v>
      </x:c>
      <x:c r="M235" s="28" t="str">
        <x:v>прямое совпадение семейств не установлено</x:v>
      </x:c>
      <x:c r="N235" s="28" t="str">
        <x:v>не подтверждены; механизм не сводится к одной общей молекуле</x:v>
      </x:c>
      <x:c r="O235" s="28" t="str">
        <x:v>контраст/комплементарность + матричный эффект</x:v>
      </x:c>
      <x:c r="P235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235" s="28" t="str">
        <x:v>Специфического тройничного эффекта обычно нет; кислотность усиливает слюноотделение.</x:v>
      </x:c>
      <x:c r="R235" s="28" t="str">
        <x:v>Белок и жир смягчают кислоту; ягодный соус должен сохранять достаточную концентрацию и соль.</x:v>
      </x:c>
      <x:c r="S23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3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3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35" s="28" t="str">
        <x:v>цитрус или огурец</x:v>
      </x:c>
      <x:c r="W235" s="28" t="str">
        <x:v>соус, глазировка, салат, сырная подача или горячее блюдо; маринад, гастрик, чатни, кетчуп или редукция</x:v>
      </x:c>
      <x:c r="X235" s="28" t="str">
        <x:v>еда; соусы/маринады</x:v>
      </x:c>
      <x:c r="Y235" s="28" t="str">
        <x:v>Средняя</x:v>
      </x:c>
      <x:c r="Z235" s="28" t="str">
        <x:v>The Art &amp; Science of Foodpairing</x:v>
      </x:c>
      <x:c r="AA235" s="28" t="str">
        <x:v>The Art &amp; Science of Foodpairing: 205</x:v>
      </x:c>
      <x:c r="AB235" s="28" t="str">
        <x:v>Ingredient pairings with Blueberry: boiled brown shrimp</x:v>
      </x:c>
      <x:c r="AC235" s="28" t="n">
        <x:v>1</x:v>
      </x:c>
      <x:c r="AD235" s="28" t="n">
        <x:v>1</x:v>
      </x:c>
    </x:row>
    <x:row r="236" ht="58" customHeight="1">
      <x:c r="A236" s="28" t="str">
        <x:v>BER-0235</x:v>
      </x:c>
      <x:c r="B236" s="28" t="str">
        <x:v>Десерты и выпечка</x:v>
      </x:c>
      <x:c r="C236" s="28" t="str">
        <x:v>голубика</x:v>
      </x:c>
      <x:c r="D236" s="28" t="str">
        <x:v>Blueberry</x:v>
      </x:c>
      <x:c r="E236" s="28" t="str">
        <x:v>Ягоды и производные</x:v>
      </x:c>
      <x:c r="F236" s="28" t="str">
        <x:v>отварной butternut squash</x:v>
      </x:c>
      <x:c r="G236" s="28" t="str">
        <x:v>boiled butternut squash</x:v>
      </x:c>
      <x:c r="H236" s="28" t="str">
        <x:v>Орехи и семена</x:v>
      </x:c>
      <x:c r="I236" s="28" t="str">
        <x:v>зелёный, фруктовый, цветочный, цитрусовый</x:v>
      </x:c>
      <x:c r="J236" s="28" t="str">
        <x:v>жареный, миндальный, ореховый</x:v>
      </x:c>
      <x:c r="K236" s="28" t="str">
        <x:v>C6-альдегиды, гераниол, линалоол, цитронеллол</x:v>
      </x:c>
      <x:c r="L236" s="28" t="str">
        <x:v>бензальдегид, пиразины, фураны</x:v>
      </x:c>
      <x:c r="M236" s="28" t="str">
        <x:v>прямое совпадение семейств не установлено</x:v>
      </x:c>
      <x:c r="N236" s="28" t="str">
        <x:v>не подтверждены; механизм не сводится к одной общей молекуле</x:v>
      </x:c>
      <x:c r="O236" s="28" t="str">
        <x:v>контраст/комплементарность + матричный эффект</x:v>
      </x:c>
      <x:c r="P236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236" s="28" t="str">
        <x:v>Специфического тройничного эффекта обычно нет; кислотность усиливает слюноотделение.</x:v>
      </x:c>
      <x:c r="R236" s="28" t="str">
        <x:v>Жировая фаза удерживает гидрофобные одоранты и продлевает послевкусие; кислотность ягод повышает слюноотделение.</x:v>
      </x:c>
      <x:c r="S23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3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3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36" s="28" t="str">
        <x:v>ваниль или сливки</x:v>
      </x:c>
      <x:c r="W236" s="28" t="str">
        <x:v>сорбет, крем, ганаш, выпечка, джем или соус для десерта</x:v>
      </x:c>
      <x:c r="X236" s="28" t="str">
        <x:v>десерты</x:v>
      </x:c>
      <x:c r="Y236" s="28" t="str">
        <x:v>Средняя</x:v>
      </x:c>
      <x:c r="Z236" s="28" t="str">
        <x:v>The Art &amp; Science of Foodpairing</x:v>
      </x:c>
      <x:c r="AA236" s="28" t="str">
        <x:v>The Art &amp; Science of Foodpairing: 205</x:v>
      </x:c>
      <x:c r="AB236" s="28" t="str">
        <x:v>Ingredient pairings with Blueberry: boiled butternut squash</x:v>
      </x:c>
      <x:c r="AC236" s="28" t="n">
        <x:v>1</x:v>
      </x:c>
      <x:c r="AD236" s="28" t="n">
        <x:v>1</x:v>
      </x:c>
    </x:row>
    <x:row r="237" ht="58" customHeight="1">
      <x:c r="A237" s="28" t="str">
        <x:v>BER-0236</x:v>
      </x:c>
      <x:c r="B237" s="28" t="str">
        <x:v>Универсальные</x:v>
      </x:c>
      <x:c r="C237" s="28" t="str">
        <x:v>голубика</x:v>
      </x:c>
      <x:c r="D237" s="28" t="str">
        <x:v>Blueberry</x:v>
      </x:c>
      <x:c r="E237" s="28" t="str">
        <x:v>Ягоды и производные</x:v>
      </x:c>
      <x:c r="F237" s="28" t="str">
        <x:v>отварной mutton</x:v>
      </x:c>
      <x:c r="G237" s="28" t="str">
        <x:v>boiled mutton</x:v>
      </x:c>
      <x:c r="H237" s="28" t="str">
        <x:v>Прочее</x:v>
      </x:c>
      <x:c r="I237" s="28" t="str">
        <x:v>зелёный, фруктовый, цветочный, цитрусовый</x:v>
      </x:c>
      <x:c r="J237" s="28" t="str">
        <x:v>комплексный</x:v>
      </x:c>
      <x:c r="K237" s="28" t="str">
        <x:v>C6-альдегиды, гераниол, линалоол, цитронеллол</x:v>
      </x:c>
      <x:c r="L237" s="28" t="str">
        <x:v>нет надёжной конкретизации</x:v>
      </x:c>
      <x:c r="M237" s="28" t="str">
        <x:v>прямое совпадение семейств не установлено</x:v>
      </x:c>
      <x:c r="N237" s="28" t="str">
        <x:v>не подтверждены; механизм не сводится к одной общей молекуле</x:v>
      </x:c>
      <x:c r="O237" s="28" t="str">
        <x:v>контраст/комплементарность + матричный эффект</x:v>
      </x:c>
      <x:c r="P237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237" s="28" t="str">
        <x:v>Специфического тройничного эффекта обычно нет; кислотность усиливает слюноотделение.</x:v>
      </x:c>
      <x:c r="R237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23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3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3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37" s="28" t="str">
        <x:v>лимон или ваниль</x:v>
      </x:c>
      <x:c r="W237" s="28" t="str">
        <x:v>сенсорная проба в малой дозировке</x:v>
      </x:c>
      <x:c r="X237" s="28" t="str">
        <x:v>универсально</x:v>
      </x:c>
      <x:c r="Y237" s="28" t="str">
        <x:v>Средняя</x:v>
      </x:c>
      <x:c r="Z237" s="28" t="str">
        <x:v>The Art &amp; Science of Foodpairing</x:v>
      </x:c>
      <x:c r="AA237" s="28" t="str">
        <x:v>The Art &amp; Science of Foodpairing: 205</x:v>
      </x:c>
      <x:c r="AB237" s="28" t="str">
        <x:v>Ingredient pairings with Blueberry: boiled mutton</x:v>
      </x:c>
      <x:c r="AC237" s="28" t="n">
        <x:v>1</x:v>
      </x:c>
      <x:c r="AD237" s="28" t="n">
        <x:v>1</x:v>
      </x:c>
    </x:row>
    <x:row r="238" ht="58" customHeight="1">
      <x:c r="A238" s="28" t="str">
        <x:v>BER-0237</x:v>
      </x:c>
      <x:c r="B238" s="28" t="str">
        <x:v>Универсальные</x:v>
      </x:c>
      <x:c r="C238" s="28" t="str">
        <x:v>голубика</x:v>
      </x:c>
      <x:c r="D238" s="28" t="str">
        <x:v>Blueberry</x:v>
      </x:c>
      <x:c r="E238" s="28" t="str">
        <x:v>Ягоды и производные</x:v>
      </x:c>
      <x:c r="F238" s="28" t="str">
        <x:v>отварной tomatillo</x:v>
      </x:c>
      <x:c r="G238" s="28" t="str">
        <x:v>boiled tomatillo</x:v>
      </x:c>
      <x:c r="H238" s="28" t="str">
        <x:v>Прочее</x:v>
      </x:c>
      <x:c r="I238" s="28" t="str">
        <x:v>зелёный, фруктовый, цветочный, цитрусовый</x:v>
      </x:c>
      <x:c r="J238" s="28" t="str">
        <x:v>комплексный</x:v>
      </x:c>
      <x:c r="K238" s="28" t="str">
        <x:v>C6-альдегиды, гераниол, линалоол, цитронеллол</x:v>
      </x:c>
      <x:c r="L238" s="28" t="str">
        <x:v>нет надёжной конкретизации</x:v>
      </x:c>
      <x:c r="M238" s="28" t="str">
        <x:v>прямое совпадение семейств не установлено</x:v>
      </x:c>
      <x:c r="N238" s="28" t="str">
        <x:v>не подтверждены; механизм не сводится к одной общей молекуле</x:v>
      </x:c>
      <x:c r="O238" s="28" t="str">
        <x:v>контраст/комплементарность + матричный эффект</x:v>
      </x:c>
      <x:c r="P238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238" s="28" t="str">
        <x:v>Специфического тройничного эффекта обычно нет; кислотность усиливает слюноотделение.</x:v>
      </x:c>
      <x:c r="R238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23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3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3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38" s="28" t="str">
        <x:v>лимон или ваниль</x:v>
      </x:c>
      <x:c r="W238" s="28" t="str">
        <x:v>сенсорная проба в малой дозировке</x:v>
      </x:c>
      <x:c r="X238" s="28" t="str">
        <x:v>универсально</x:v>
      </x:c>
      <x:c r="Y238" s="28" t="str">
        <x:v>Средняя</x:v>
      </x:c>
      <x:c r="Z238" s="28" t="str">
        <x:v>The Art &amp; Science of Foodpairing</x:v>
      </x:c>
      <x:c r="AA238" s="28" t="str">
        <x:v>The Art &amp; Science of Foodpairing: 205</x:v>
      </x:c>
      <x:c r="AB238" s="28" t="str">
        <x:v>Ingredient pairings with Blueberry: boiled tomatillo</x:v>
      </x:c>
      <x:c r="AC238" s="28" t="n">
        <x:v>1</x:v>
      </x:c>
      <x:c r="AD238" s="28" t="n">
        <x:v>1</x:v>
      </x:c>
    </x:row>
    <x:row r="239" ht="58" customHeight="1">
      <x:c r="A239" s="28" t="str">
        <x:v>BER-0238</x:v>
      </x:c>
      <x:c r="B239" s="28" t="str">
        <x:v>Еда и соусы</x:v>
      </x:c>
      <x:c r="C239" s="28" t="str">
        <x:v>голубика</x:v>
      </x:c>
      <x:c r="D239" s="28" t="str">
        <x:v>blueberry</x:v>
      </x:c>
      <x:c r="E239" s="28" t="str">
        <x:v>Ягоды и производные</x:v>
      </x:c>
      <x:c r="F239" s="28" t="str">
        <x:v>пармиджано-реджано</x:v>
      </x:c>
      <x:c r="G239" s="28" t="str">
        <x:v>Parmigiano-Reggiano</x:v>
      </x:c>
      <x:c r="H239" s="28" t="str">
        <x:v>Рыба и морепродукты</x:v>
      </x:c>
      <x:c r="I239" s="28" t="str">
        <x:v>зелёный, фруктовый, цветочный, цитрусовый</x:v>
      </x:c>
      <x:c r="J239" s="28" t="str">
        <x:v>жирный, морской, умами</x:v>
      </x:c>
      <x:c r="K239" s="28" t="str">
        <x:v>C6-альдегиды, гераниол, линалоол, цитронеллол</x:v>
      </x:c>
      <x:c r="L239" s="28" t="str">
        <x:v>альдегиды, амины, сернистые соединения</x:v>
      </x:c>
      <x:c r="M239" s="28" t="str">
        <x:v>прямое совпадение семейств не установлено</x:v>
      </x:c>
      <x:c r="N239" s="28" t="str">
        <x:v>не подтверждены; механизм не сводится к одной общей молекуле</x:v>
      </x:c>
      <x:c r="O239" s="28" t="str">
        <x:v>контраст/комплементарность + матричный эффект</x:v>
      </x:c>
      <x:c r="P239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239" s="28" t="str">
        <x:v>Специфического тройничного эффекта обычно нет; кислотность усиливает слюноотделение.</x:v>
      </x:c>
      <x:c r="R239" s="28" t="str">
        <x:v>Белок и жир смягчают кислоту; ягодный соус должен сохранять достаточную концентрацию и соль.</x:v>
      </x:c>
      <x:c r="S23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3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3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39" s="28" t="str">
        <x:v>цитрус или огурец</x:v>
      </x:c>
      <x:c r="W239" s="28" t="str">
        <x:v>соус, глазировка, салат, сырная подача или горячее блюдо; маринад, гастрик, чатни, кетчуп или редукция</x:v>
      </x:c>
      <x:c r="X239" s="28" t="str">
        <x:v>еда; соусы/маринады</x:v>
      </x:c>
      <x:c r="Y239" s="28" t="str">
        <x:v>Средняя</x:v>
      </x:c>
      <x:c r="Z239" s="28" t="str">
        <x:v>The Art &amp; Science of Foodpairing</x:v>
      </x:c>
      <x:c r="AA239" s="28" t="str">
        <x:v>The Art &amp; Science of Foodpairing: 283</x:v>
      </x:c>
      <x:c r="AB239" s="28" t="str">
        <x:v>Ingredient pairings with Parmigiano-Reggiano: blueberry</x:v>
      </x:c>
      <x:c r="AC239" s="28" t="n">
        <x:v>1</x:v>
      </x:c>
      <x:c r="AD239" s="28" t="n">
        <x:v>1</x:v>
      </x:c>
    </x:row>
    <x:row r="240" ht="58" customHeight="1">
      <x:c r="A240" s="28" t="str">
        <x:v>BER-0239</x:v>
      </x:c>
      <x:c r="B240" s="28" t="str">
        <x:v>Универсальные</x:v>
      </x:c>
      <x:c r="C240" s="28" t="str">
        <x:v>голубика</x:v>
      </x:c>
      <x:c r="D240" s="28" t="str">
        <x:v>blueberry</x:v>
      </x:c>
      <x:c r="E240" s="28" t="str">
        <x:v>Ягоды и производные</x:v>
      </x:c>
      <x:c r="F240" s="28" t="str">
        <x:v>перец чили</x:v>
      </x:c>
      <x:c r="G240" s="28" t="str">
        <x:v>Chilli Pepper</x:v>
      </x:c>
      <x:c r="H240" s="28" t="str">
        <x:v>Специи</x:v>
      </x:c>
      <x:c r="I240" s="28" t="str">
        <x:v>зелёный, фруктовый, цветочный, цитрусовый</x:v>
      </x:c>
      <x:c r="J240" s="28" t="str">
        <x:v>древесный, пряный, тёплый</x:v>
      </x:c>
      <x:c r="K240" s="28" t="str">
        <x:v>C6-альдегиды, гераниол, линалоол, цитронеллол</x:v>
      </x:c>
      <x:c r="L240" s="28" t="str">
        <x:v>коричный альдегид, терпены, эвгенол</x:v>
      </x:c>
      <x:c r="M240" s="28" t="str">
        <x:v>прямое совпадение семейств не установлено</x:v>
      </x:c>
      <x:c r="N240" s="28" t="str">
        <x:v>не подтверждены; механизм не сводится к одной общей молекуле</x:v>
      </x:c>
      <x:c r="O240" s="28" t="str">
        <x:v>контраст/комплементарность + матричный эффект</x:v>
      </x:c>
      <x:c r="P240" s="28" t="str">
        <x:v>Ягодная сладость смягчает горечь и пряность, а кислотность делает пряный, иногда горький профиль ярче.</x:v>
      </x:c>
      <x:c r="Q240" s="28" t="str">
        <x:v>Кислотность ягоды усиливает слюноотделение, а капсаицин/пиперин/гингеролы дают тепло и покалывание; дозировка должна быть низкой.</x:v>
      </x:c>
      <x:c r="R240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4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4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40" s="28" t="str">
        <x:v>Пряность дозировать как акцент: она быстро перекрывает тонкие ягодные эфиры.</x:v>
      </x:c>
      <x:c r="V240" s="28" t="str">
        <x:v>мёд или цитрус</x:v>
      </x:c>
      <x:c r="W24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240" s="28" t="str">
        <x:v>напитки; десерты; еда; соусы/маринады</x:v>
      </x:c>
      <x:c r="Y240" s="28" t="str">
        <x:v>Средняя</x:v>
      </x:c>
      <x:c r="Z240" s="28" t="str">
        <x:v>The Art &amp; Science of Foodpairing</x:v>
      </x:c>
      <x:c r="AA240" s="28" t="str">
        <x:v>The Art &amp; Science of Foodpairing: 94</x:v>
      </x:c>
      <x:c r="AB240" s="28" t="str">
        <x:v>Ingredient pairings with Chilli Pepper: blueberry</x:v>
      </x:c>
      <x:c r="AC240" s="28" t="n">
        <x:v>1</x:v>
      </x:c>
      <x:c r="AD240" s="28" t="n">
        <x:v>1</x:v>
      </x:c>
    </x:row>
    <x:row r="241" ht="58" customHeight="1">
      <x:c r="A241" s="28" t="str">
        <x:v>BER-0240</x:v>
      </x:c>
      <x:c r="B241" s="28" t="str">
        <x:v>Универсальные</x:v>
      </x:c>
      <x:c r="C241" s="28" t="str">
        <x:v>голубика</x:v>
      </x:c>
      <x:c r="D241" s="28" t="str">
        <x:v>голубика</x:v>
      </x:c>
      <x:c r="E241" s="28" t="str">
        <x:v>Ягоды и производные</x:v>
      </x:c>
      <x:c r="F241" s="28" t="str">
        <x:v>персик</x:v>
      </x:c>
      <x:c r="G241" s="28" t="str">
        <x:v>Персик</x:v>
      </x:c>
      <x:c r="H241" s="28" t="str">
        <x:v>Фрукты</x:v>
      </x:c>
      <x:c r="I241" s="28" t="str">
        <x:v>зелёный, фруктовый, цветочный, цитрусовый</x:v>
      </x:c>
      <x:c r="J241" s="28" t="str">
        <x:v>зелёный, фруктовый, цветочный</x:v>
      </x:c>
      <x:c r="K241" s="28" t="str">
        <x:v>C6-альдегиды, гераниол, линалоол, цитронеллол</x:v>
      </x:c>
      <x:c r="L241" s="28" t="str">
        <x:v>лактоны, терпены, эфиры</x:v>
      </x:c>
      <x:c r="M241" s="28" t="str">
        <x:v>зелёный, фруктовый, цветочный</x:v>
      </x:c>
      <x:c r="N241" s="28" t="str">
        <x:v>не подтверждены; механизм не сводится к одной общей молекуле</x:v>
      </x:c>
      <x:c r="O241" s="28" t="str">
        <x:v>сходство ароматических семейств + комплементарность</x:v>
      </x:c>
      <x:c r="P241" s="28" t="str">
        <x:v>Оба компонента формируют сладко-кислый, мягкий и сладко-кислый контур; сахар, кислота и горечь должны быть выровнены дегустацией.</x:v>
      </x:c>
      <x:c r="Q241" s="28" t="str">
        <x:v>Специфического тройничного эффекта обычно нет; кислотность усиливает слюноотделение.</x:v>
      </x:c>
      <x:c r="R241" s="28" t="str">
        <x:v>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</x:v>
      </x:c>
      <x:c r="S24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41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4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41" s="28" t="str">
        <x:v>ваниль или лимон</x:v>
      </x:c>
      <x:c r="W24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241" s="28" t="str">
        <x:v>напитки; десерты</x:v>
      </x:c>
      <x:c r="Y241" s="28" t="str">
        <x:v>Средняя</x:v>
      </x:c>
      <x:c r="Z241" s="28" t="str">
        <x:v>Таблица сочетаний</x:v>
      </x:c>
      <x:c r="AA241" s="28" t="str">
        <x:v>Таблица сочетаний: 15</x:v>
      </x:c>
      <x:c r="AB241" s="28" t="str">
        <x:v>Персик: голубика</x:v>
      </x:c>
      <x:c r="AC241" s="28" t="n">
        <x:v>1</x:v>
      </x:c>
      <x:c r="AD241" s="28" t="n">
        <x:v>1</x:v>
      </x:c>
    </x:row>
    <x:row r="242" ht="58" customHeight="1">
      <x:c r="A242" s="28" t="str">
        <x:v>BER-0241</x:v>
      </x:c>
      <x:c r="B242" s="28" t="str">
        <x:v>Еда и соусы</x:v>
      </x:c>
      <x:c r="C242" s="28" t="str">
        <x:v>голубика</x:v>
      </x:c>
      <x:c r="D242" s="28" t="str">
        <x:v>Blueberry</x:v>
      </x:c>
      <x:c r="E242" s="28" t="str">
        <x:v>Ягоды и производные</x:v>
      </x:c>
      <x:c r="F242" s="28" t="str">
        <x:v>приготовленный black-eyed beans</x:v>
      </x:c>
      <x:c r="G242" s="28" t="str">
        <x:v>cooked black-eyed beans</x:v>
      </x:c>
      <x:c r="H242" s="28" t="str">
        <x:v>Овощи и грибы</x:v>
      </x:c>
      <x:c r="I242" s="28" t="str">
        <x:v>зелёный, фруктовый, цветочный, цитрусовый</x:v>
      </x:c>
      <x:c r="J242" s="28" t="str">
        <x:v>зелёный, землистый, сернистый</x:v>
      </x:c>
      <x:c r="K242" s="28" t="str">
        <x:v>C6-альдегиды, гераниол, линалоол, цитронеллол</x:v>
      </x:c>
      <x:c r="L242" s="28" t="str">
        <x:v>C6-альдегиды, пиразины, сернистые соединения</x:v>
      </x:c>
      <x:c r="M242" s="28" t="str">
        <x:v>зелёный</x:v>
      </x:c>
      <x:c r="N242" s="28" t="str">
        <x:v>C6-альдегиды</x:v>
      </x:c>
      <x:c r="O242" s="28" t="str">
        <x:v>ароматическое сходство + вкусовой баланс</x:v>
      </x:c>
      <x:c r="P242" s="28" t="str">
        <x:v>Оба компонента формируют сладко-кислый, мягкий и растительный, иногда умами контур; сахар, кислота и горечь должны быть выровнены дегустацией.</x:v>
      </x:c>
      <x:c r="Q242" s="28" t="str">
        <x:v>Специфического тройничного эффекта обычно нет; кислотность усиливает слюноотделение.</x:v>
      </x:c>
      <x:c r="R242" s="28" t="str">
        <x:v>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24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42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4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42" s="28" t="str">
        <x:v>уксус или мягкий сыр</x:v>
      </x:c>
      <x:c r="W242" s="28" t="str">
        <x:v>соус, глазировка, салат, сырная подача или горячее блюдо; маринад, гастрик, чатни, кетчуп или редукция</x:v>
      </x:c>
      <x:c r="X242" s="28" t="str">
        <x:v>еда; соусы/маринады</x:v>
      </x:c>
      <x:c r="Y242" s="28" t="str">
        <x:v>Средняя</x:v>
      </x:c>
      <x:c r="Z242" s="28" t="str">
        <x:v>The Art &amp; Science of Foodpairing</x:v>
      </x:c>
      <x:c r="AA242" s="28" t="str">
        <x:v>The Art &amp; Science of Foodpairing: 204</x:v>
      </x:c>
      <x:c r="AB242" s="28" t="str">
        <x:v>Ingredient pairings with Blueberry: cooked black-eyed beans</x:v>
      </x:c>
      <x:c r="AC242" s="28" t="n">
        <x:v>1</x:v>
      </x:c>
      <x:c r="AD242" s="28" t="n">
        <x:v>1</x:v>
      </x:c>
    </x:row>
    <x:row r="243" ht="58" customHeight="1">
      <x:c r="A243" s="28" t="str">
        <x:v>BER-0242</x:v>
      </x:c>
      <x:c r="B243" s="28" t="str">
        <x:v>Универсальные</x:v>
      </x:c>
      <x:c r="C243" s="28" t="str">
        <x:v>голубика</x:v>
      </x:c>
      <x:c r="D243" s="28" t="str">
        <x:v>Blueberry</x:v>
      </x:c>
      <x:c r="E243" s="28" t="str">
        <x:v>Ягоды и производные</x:v>
      </x:c>
      <x:c r="F243" s="28" t="str">
        <x:v>приготовленный black salsify</x:v>
      </x:c>
      <x:c r="G243" s="28" t="str">
        <x:v>cooked black salsify</x:v>
      </x:c>
      <x:c r="H243" s="28" t="str">
        <x:v>Прочее</x:v>
      </x:c>
      <x:c r="I243" s="28" t="str">
        <x:v>зелёный, фруктовый, цветочный, цитрусовый</x:v>
      </x:c>
      <x:c r="J243" s="28" t="str">
        <x:v>комплексный</x:v>
      </x:c>
      <x:c r="K243" s="28" t="str">
        <x:v>C6-альдегиды, гераниол, линалоол, цитронеллол</x:v>
      </x:c>
      <x:c r="L243" s="28" t="str">
        <x:v>нет надёжной конкретизации</x:v>
      </x:c>
      <x:c r="M243" s="28" t="str">
        <x:v>прямое совпадение семейств не установлено</x:v>
      </x:c>
      <x:c r="N243" s="28" t="str">
        <x:v>не подтверждены; механизм не сводится к одной общей молекуле</x:v>
      </x:c>
      <x:c r="O243" s="28" t="str">
        <x:v>контраст/комплементарность + матричный эффект</x:v>
      </x:c>
      <x:c r="P243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243" s="28" t="str">
        <x:v>Специфического тройничного эффекта обычно нет; кислотность усиливает слюноотделение.</x:v>
      </x:c>
      <x:c r="R243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24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4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4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43" s="28" t="str">
        <x:v>лимон или ваниль</x:v>
      </x:c>
      <x:c r="W243" s="28" t="str">
        <x:v>сенсорная проба в малой дозировке</x:v>
      </x:c>
      <x:c r="X243" s="28" t="str">
        <x:v>универсально</x:v>
      </x:c>
      <x:c r="Y243" s="28" t="str">
        <x:v>Средняя</x:v>
      </x:c>
      <x:c r="Z243" s="28" t="str">
        <x:v>The Art &amp; Science of Foodpairing</x:v>
      </x:c>
      <x:c r="AA243" s="28" t="str">
        <x:v>The Art &amp; Science of Foodpairing: 204</x:v>
      </x:c>
      <x:c r="AB243" s="28" t="str">
        <x:v>Ingredient pairings with Blueberry: cooked black salsify</x:v>
      </x:c>
      <x:c r="AC243" s="28" t="n">
        <x:v>1</x:v>
      </x:c>
      <x:c r="AD243" s="28" t="n">
        <x:v>1</x:v>
      </x:c>
    </x:row>
    <x:row r="244" ht="58" customHeight="1">
      <x:c r="A244" s="28" t="str">
        <x:v>BER-0243</x:v>
      </x:c>
      <x:c r="B244" s="28" t="str">
        <x:v>Еда и соусы</x:v>
      </x:c>
      <x:c r="C244" s="28" t="str">
        <x:v>голубика</x:v>
      </x:c>
      <x:c r="D244" s="28" t="str">
        <x:v>Blueberry</x:v>
      </x:c>
      <x:c r="E244" s="28" t="str">
        <x:v>Ягоды и производные</x:v>
      </x:c>
      <x:c r="F244" s="28" t="str">
        <x:v>приготовленный mussels swe</x:v>
      </x:c>
      <x:c r="G244" s="28" t="str">
        <x:v>cooked mussels swe</x:v>
      </x:c>
      <x:c r="H244" s="28" t="str">
        <x:v>Рыба и морепродукты</x:v>
      </x:c>
      <x:c r="I244" s="28" t="str">
        <x:v>зелёный, фруктовый, цветочный, цитрусовый</x:v>
      </x:c>
      <x:c r="J244" s="28" t="str">
        <x:v>жирный, морской, умами</x:v>
      </x:c>
      <x:c r="K244" s="28" t="str">
        <x:v>C6-альдегиды, гераниол, линалоол, цитронеллол</x:v>
      </x:c>
      <x:c r="L244" s="28" t="str">
        <x:v>альдегиды, амины, сернистые соединения</x:v>
      </x:c>
      <x:c r="M244" s="28" t="str">
        <x:v>прямое совпадение семейств не установлено</x:v>
      </x:c>
      <x:c r="N244" s="28" t="str">
        <x:v>не подтверждены; механизм не сводится к одной общей молекуле</x:v>
      </x:c>
      <x:c r="O244" s="28" t="str">
        <x:v>контраст/комплементарность + матричный эффект</x:v>
      </x:c>
      <x:c r="P244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244" s="28" t="str">
        <x:v>Специфического тройничного эффекта обычно нет; кислотность усиливает слюноотделение.</x:v>
      </x:c>
      <x:c r="R244" s="28" t="str">
        <x:v>Белок и жир смягчают кислоту; ягодный соус должен сохранять достаточную концентрацию и соль.</x:v>
      </x:c>
      <x:c r="S24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4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4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44" s="28" t="str">
        <x:v>цитрус или огурец</x:v>
      </x:c>
      <x:c r="W244" s="28" t="str">
        <x:v>соус, глазировка, салат, сырная подача или горячее блюдо; маринад, гастрик, чатни, кетчуп или редукция</x:v>
      </x:c>
      <x:c r="X244" s="28" t="str">
        <x:v>еда; соусы/маринады</x:v>
      </x:c>
      <x:c r="Y244" s="28" t="str">
        <x:v>Средняя</x:v>
      </x:c>
      <x:c r="Z244" s="28" t="str">
        <x:v>The Art &amp; Science of Foodpairing</x:v>
      </x:c>
      <x:c r="AA244" s="28" t="str">
        <x:v>The Art &amp; Science of Foodpairing: 204</x:v>
      </x:c>
      <x:c r="AB244" s="28" t="str">
        <x:v>Ingredient pairings with Blueberry: cooked mussels swe</x:v>
      </x:c>
      <x:c r="AC244" s="28" t="n">
        <x:v>1</x:v>
      </x:c>
      <x:c r="AD244" s="28" t="n">
        <x:v>1</x:v>
      </x:c>
    </x:row>
    <x:row r="245" ht="58" customHeight="1">
      <x:c r="A245" s="28" t="str">
        <x:v>BER-0244</x:v>
      </x:c>
      <x:c r="B245" s="28" t="str">
        <x:v>Еда и соусы</x:v>
      </x:c>
      <x:c r="C245" s="28" t="str">
        <x:v>голубика</x:v>
      </x:c>
      <x:c r="D245" s="28" t="str">
        <x:v>Blueberry</x:v>
      </x:c>
      <x:c r="E245" s="28" t="str">
        <x:v>Ягоды и производные</x:v>
      </x:c>
      <x:c r="F245" s="28" t="str">
        <x:v>припущенный chicken whi</x:v>
      </x:c>
      <x:c r="G245" s="28" t="str">
        <x:v>poached chicken whi</x:v>
      </x:c>
      <x:c r="H245" s="28" t="str">
        <x:v>Мясо и птица</x:v>
      </x:c>
      <x:c r="I245" s="28" t="str">
        <x:v>зелёный, фруктовый, цветочный, цитрусовый</x:v>
      </x:c>
      <x:c r="J245" s="28" t="str">
        <x:v>жареный, жирный, сернистый, умами</x:v>
      </x:c>
      <x:c r="K245" s="28" t="str">
        <x:v>C6-альдегиды, гераниол, линалоол, цитронеллол</x:v>
      </x:c>
      <x:c r="L245" s="28" t="str">
        <x:v>альдегиды, пиразины, сернистые соединения</x:v>
      </x:c>
      <x:c r="M245" s="28" t="str">
        <x:v>прямое совпадение семейств не установлено</x:v>
      </x:c>
      <x:c r="N245" s="28" t="str">
        <x:v>не подтверждены; механизм не сводится к одной общей молекуле</x:v>
      </x:c>
      <x:c r="O245" s="28" t="str">
        <x:v>контраст/комплементарность + матричный эффект</x:v>
      </x:c>
      <x:c r="P245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245" s="28" t="str">
        <x:v>Специфического тройничного эффекта обычно нет; кислотность усиливает слюноотделение.</x:v>
      </x:c>
      <x:c r="R245" s="28" t="str">
        <x:v>Жировая фаза удерживает гидрофобные одоранты и продлевает послевкусие; кислотность ягод повышает слюноотделение.</x:v>
      </x:c>
      <x:c r="S24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4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4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45" s="28" t="str">
        <x:v>красное вино или чёрный перец</x:v>
      </x:c>
      <x:c r="W245" s="28" t="str">
        <x:v>соус, глазировка, салат, сырная подача или горячее блюдо; маринад, гастрик, чатни, кетчуп или редукция</x:v>
      </x:c>
      <x:c r="X245" s="28" t="str">
        <x:v>еда; соусы/маринады</x:v>
      </x:c>
      <x:c r="Y245" s="28" t="str">
        <x:v>Средняя</x:v>
      </x:c>
      <x:c r="Z245" s="28" t="str">
        <x:v>The Art &amp; Science of Foodpairing</x:v>
      </x:c>
      <x:c r="AA245" s="28" t="str">
        <x:v>The Art &amp; Science of Foodpairing: 204</x:v>
      </x:c>
      <x:c r="AB245" s="28" t="str">
        <x:v>Ingredient pairings with Blueberry: poached chicken whi</x:v>
      </x:c>
      <x:c r="AC245" s="28" t="n">
        <x:v>1</x:v>
      </x:c>
      <x:c r="AD245" s="28" t="n">
        <x:v>1</x:v>
      </x:c>
    </x:row>
    <x:row r="246" ht="58" customHeight="1">
      <x:c r="A246" s="28" t="str">
        <x:v>BER-0245</x:v>
      </x:c>
      <x:c r="B246" s="28" t="str">
        <x:v>Еда и соусы</x:v>
      </x:c>
      <x:c r="C246" s="28" t="str">
        <x:v>голубика</x:v>
      </x:c>
      <x:c r="D246" s="28" t="str">
        <x:v>Blueberry</x:v>
      </x:c>
      <x:c r="E246" s="28" t="str">
        <x:v>Ягоды и производные</x:v>
      </x:c>
      <x:c r="F246" s="28" t="str">
        <x:v>припущенный лосось</x:v>
      </x:c>
      <x:c r="G246" s="28" t="str">
        <x:v>poached salmon</x:v>
      </x:c>
      <x:c r="H246" s="28" t="str">
        <x:v>Рыба и морепродукты</x:v>
      </x:c>
      <x:c r="I246" s="28" t="str">
        <x:v>зелёный, фруктовый, цветочный, цитрусовый</x:v>
      </x:c>
      <x:c r="J246" s="28" t="str">
        <x:v>жирный, морской, умами</x:v>
      </x:c>
      <x:c r="K246" s="28" t="str">
        <x:v>C6-альдегиды, гераниол, линалоол, цитронеллол</x:v>
      </x:c>
      <x:c r="L246" s="28" t="str">
        <x:v>альдегиды, амины, сернистые соединения</x:v>
      </x:c>
      <x:c r="M246" s="28" t="str">
        <x:v>прямое совпадение семейств не установлено</x:v>
      </x:c>
      <x:c r="N246" s="28" t="str">
        <x:v>не подтверждены; механизм не сводится к одной общей молекуле</x:v>
      </x:c>
      <x:c r="O246" s="28" t="str">
        <x:v>контраст/комплементарность + матричный эффект</x:v>
      </x:c>
      <x:c r="P246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246" s="28" t="str">
        <x:v>Специфического тройничного эффекта обычно нет; кислотность усиливает слюноотделение.</x:v>
      </x:c>
      <x:c r="R246" s="28" t="str">
        <x:v>Белок и жир смягчают кислоту; ягодный соус должен сохранять достаточную концентрацию и соль.</x:v>
      </x:c>
      <x:c r="S24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4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4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46" s="28" t="str">
        <x:v>цитрус или огурец</x:v>
      </x:c>
      <x:c r="W246" s="28" t="str">
        <x:v>соус, глазировка, салат, сырная подача или горячее блюдо; маринад, гастрик, чатни, кетчуп или редукция</x:v>
      </x:c>
      <x:c r="X246" s="28" t="str">
        <x:v>еда; соусы/маринады</x:v>
      </x:c>
      <x:c r="Y246" s="28" t="str">
        <x:v>Средняя</x:v>
      </x:c>
      <x:c r="Z246" s="28" t="str">
        <x:v>The Art &amp; Science of Foodpairing</x:v>
      </x:c>
      <x:c r="AA246" s="28" t="str">
        <x:v>The Art &amp; Science of Foodpairing: 204, 205</x:v>
      </x:c>
      <x:c r="AB246" s="28" t="str">
        <x:v>Ingredient pairings with Blueberry: poached salmon | Ingredient pairings with Blueberry: poached salmon</x:v>
      </x:c>
      <x:c r="AC246" s="28" t="n">
        <x:v>1</x:v>
      </x:c>
      <x:c r="AD246" s="28" t="n">
        <x:v>2</x:v>
      </x:c>
    </x:row>
    <x:row r="247" ht="58" customHeight="1">
      <x:c r="A247" s="28" t="str">
        <x:v>BER-0246</x:v>
      </x:c>
      <x:c r="B247" s="28" t="str">
        <x:v>Универсальные</x:v>
      </x:c>
      <x:c r="C247" s="28" t="str">
        <x:v>голубика</x:v>
      </x:c>
      <x:c r="D247" s="28" t="str">
        <x:v>Голубика</x:v>
      </x:c>
      <x:c r="E247" s="28" t="str">
        <x:v>Ягоды и производные</x:v>
      </x:c>
      <x:c r="F247" s="28" t="str">
        <x:v>розмарин</x:v>
      </x:c>
      <x:c r="G247" s="28" t="str">
        <x:v>розмарин</x:v>
      </x:c>
      <x:c r="H247" s="28" t="str">
        <x:v>Травы и цветы</x:v>
      </x:c>
      <x:c r="I247" s="28" t="str">
        <x:v>зелёный, фруктовый, цветочный, цитрусовый</x:v>
      </x:c>
      <x:c r="J247" s="28" t="str">
        <x:v>зелёный, травянистый, цветочный</x:v>
      </x:c>
      <x:c r="K247" s="28" t="str">
        <x:v>C6-альдегиды, гераниол, линалоол, цитронеллол</x:v>
      </x:c>
      <x:c r="L247" s="28" t="str">
        <x:v>гераниол, линалоол, терпены, эвгенол</x:v>
      </x:c>
      <x:c r="M247" s="28" t="str">
        <x:v>зелёный, цветочный</x:v>
      </x:c>
      <x:c r="N247" s="28" t="str">
        <x:v>гераниол, линалоол</x:v>
      </x:c>
      <x:c r="O247" s="28" t="str">
        <x:v>ароматическое сходство + вкусовой баланс</x:v>
      </x:c>
      <x:c r="P247" s="28" t="str">
        <x:v>Ягодная сладость смягчает горечь и пряность, а кислотность делает горьковатый, свежий профиль ярче.</x:v>
      </x:c>
      <x:c r="Q247" s="28" t="str">
        <x:v>Специфического тройничного эффекта обычно нет; кислотность усиливает слюноотделение.</x:v>
      </x:c>
      <x:c r="R247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4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47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4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47" s="28" t="str">
        <x:v>лимон или мёд</x:v>
      </x:c>
      <x:c r="W24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247" s="28" t="str">
        <x:v>напитки; еда; соусы/маринады</x:v>
      </x:c>
      <x:c r="Y247" s="28" t="str">
        <x:v>Средняя</x:v>
      </x:c>
      <x:c r="Z247" s="28" t="str">
        <x:v>Таблица сочетаний</x:v>
      </x:c>
      <x:c r="AA247" s="28" t="str">
        <x:v>Таблица сочетаний: 3</x:v>
      </x:c>
      <x:c r="AB247" s="28" t="str">
        <x:v>Голубика: розмарин</x:v>
      </x:c>
      <x:c r="AC247" s="28" t="n">
        <x:v>1</x:v>
      </x:c>
      <x:c r="AD247" s="28" t="n">
        <x:v>1</x:v>
      </x:c>
    </x:row>
    <x:row r="248" ht="58" customHeight="1">
      <x:c r="A248" s="28" t="str">
        <x:v>BER-0247</x:v>
      </x:c>
      <x:c r="B248" s="28" t="str">
        <x:v>Универсальные</x:v>
      </x:c>
      <x:c r="C248" s="28" t="str">
        <x:v>голубика</x:v>
      </x:c>
      <x:c r="D248" s="28" t="str">
        <x:v>Blueberry</x:v>
      </x:c>
      <x:c r="E248" s="28" t="str">
        <x:v>Ягоды и производные</x:v>
      </x:c>
      <x:c r="F248" s="28" t="str">
        <x:v>свежие съедобные лепестки розы</x:v>
      </x:c>
      <x:c r="G248" s="28" t="str">
        <x:v>fresh edible rose petals</x:v>
      </x:c>
      <x:c r="H248" s="28" t="str">
        <x:v>Травы и цветы</x:v>
      </x:c>
      <x:c r="I248" s="28" t="str">
        <x:v>зелёный, фруктовый, цветочный, цитрусовый</x:v>
      </x:c>
      <x:c r="J248" s="28" t="str">
        <x:v>зелёный, травянистый, цветочный</x:v>
      </x:c>
      <x:c r="K248" s="28" t="str">
        <x:v>C6-альдегиды, гераниол, линалоол, цитронеллол</x:v>
      </x:c>
      <x:c r="L248" s="28" t="str">
        <x:v>гераниол, линалоол, терпены, эвгенол</x:v>
      </x:c>
      <x:c r="M248" s="28" t="str">
        <x:v>зелёный, цветочный</x:v>
      </x:c>
      <x:c r="N248" s="28" t="str">
        <x:v>гераниол, линалоол</x:v>
      </x:c>
      <x:c r="O248" s="28" t="str">
        <x:v>ароматическое сходство + вкусовой баланс</x:v>
      </x:c>
      <x:c r="P248" s="28" t="str">
        <x:v>Ягодная сладость смягчает горечь и пряность, а кислотность делает горьковатый, свежий профиль ярче.</x:v>
      </x:c>
      <x:c r="Q248" s="28" t="str">
        <x:v>Специфического тройничного эффекта обычно нет; кислотность усиливает слюноотделение.</x:v>
      </x:c>
      <x:c r="R248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4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48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4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48" s="28" t="str">
        <x:v>лимон или мёд</x:v>
      </x:c>
      <x:c r="W24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248" s="28" t="str">
        <x:v>напитки; еда; соусы/маринады</x:v>
      </x:c>
      <x:c r="Y248" s="28" t="str">
        <x:v>Средняя</x:v>
      </x:c>
      <x:c r="Z248" s="28" t="str">
        <x:v>The Art &amp; Science of Foodpairing</x:v>
      </x:c>
      <x:c r="AA248" s="28" t="str">
        <x:v>The Art &amp; Science of Foodpairing: 205</x:v>
      </x:c>
      <x:c r="AB248" s="28" t="str">
        <x:v>Ingredient pairings with Blueberry: fresh edible rose petals</x:v>
      </x:c>
      <x:c r="AC248" s="28" t="n">
        <x:v>1</x:v>
      </x:c>
      <x:c r="AD248" s="28" t="n">
        <x:v>1</x:v>
      </x:c>
    </x:row>
    <x:row r="249" ht="58" customHeight="1">
      <x:c r="A249" s="28" t="str">
        <x:v>BER-0248</x:v>
      </x:c>
      <x:c r="B249" s="28" t="str">
        <x:v>Универсальные</x:v>
      </x:c>
      <x:c r="C249" s="28" t="str">
        <x:v>голубика</x:v>
      </x:c>
      <x:c r="D249" s="28" t="str">
        <x:v>Blueberry</x:v>
      </x:c>
      <x:c r="E249" s="28" t="str">
        <x:v>Ягоды и производные</x:v>
      </x:c>
      <x:c r="F249" s="28" t="str">
        <x:v>сушёный chipotle chilli</x:v>
      </x:c>
      <x:c r="G249" s="28" t="str">
        <x:v>dried chipotle chilli</x:v>
      </x:c>
      <x:c r="H249" s="28" t="str">
        <x:v>Специи</x:v>
      </x:c>
      <x:c r="I249" s="28" t="str">
        <x:v>зелёный, фруктовый, цветочный, цитрусовый</x:v>
      </x:c>
      <x:c r="J249" s="28" t="str">
        <x:v>древесный, пряный, тёплый</x:v>
      </x:c>
      <x:c r="K249" s="28" t="str">
        <x:v>C6-альдегиды, гераниол, линалоол, цитронеллол</x:v>
      </x:c>
      <x:c r="L249" s="28" t="str">
        <x:v>коричный альдегид, терпены, эвгенол</x:v>
      </x:c>
      <x:c r="M249" s="28" t="str">
        <x:v>прямое совпадение семейств не установлено</x:v>
      </x:c>
      <x:c r="N249" s="28" t="str">
        <x:v>не подтверждены; механизм не сводится к одной общей молекуле</x:v>
      </x:c>
      <x:c r="O249" s="28" t="str">
        <x:v>контраст/комплементарность + матричный эффект</x:v>
      </x:c>
      <x:c r="P249" s="28" t="str">
        <x:v>Ягодная сладость смягчает горечь и пряность, а кислотность делает пряный, иногда горький профиль ярче.</x:v>
      </x:c>
      <x:c r="Q249" s="28" t="str">
        <x:v>Специфического тройничного эффекта обычно нет; кислотность усиливает слюноотделение.</x:v>
      </x:c>
      <x:c r="R249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4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4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49" s="28" t="str">
        <x:v>Пряность дозировать как акцент: она быстро перекрывает тонкие ягодные эфиры.</x:v>
      </x:c>
      <x:c r="V249" s="28" t="str">
        <x:v>мёд или цитрус</x:v>
      </x:c>
      <x:c r="W24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249" s="28" t="str">
        <x:v>напитки; десерты; еда; соусы/маринады</x:v>
      </x:c>
      <x:c r="Y249" s="28" t="str">
        <x:v>Средняя</x:v>
      </x:c>
      <x:c r="Z249" s="28" t="str">
        <x:v>The Art &amp; Science of Foodpairing</x:v>
      </x:c>
      <x:c r="AA249" s="28" t="str">
        <x:v>The Art &amp; Science of Foodpairing: 205</x:v>
      </x:c>
      <x:c r="AB249" s="28" t="str">
        <x:v>Ingredient pairings with Blueberry: dried chipotle chilli</x:v>
      </x:c>
      <x:c r="AC249" s="28" t="n">
        <x:v>1</x:v>
      </x:c>
      <x:c r="AD249" s="28" t="n">
        <x:v>1</x:v>
      </x:c>
    </x:row>
    <x:row r="250" ht="58" customHeight="1">
      <x:c r="A250" s="28" t="str">
        <x:v>BER-0249</x:v>
      </x:c>
      <x:c r="B250" s="28" t="str">
        <x:v>Десерты и выпечка</x:v>
      </x:c>
      <x:c r="C250" s="28" t="str">
        <x:v>голубика</x:v>
      </x:c>
      <x:c r="D250" s="28" t="str">
        <x:v>Blueberry</x:v>
      </x:c>
      <x:c r="E250" s="28" t="str">
        <x:v>Ягоды и производные</x:v>
      </x:c>
      <x:c r="F250" s="28" t="str">
        <x:v>тёмный шоколад</x:v>
      </x:c>
      <x:c r="G250" s="28" t="str">
        <x:v>dark chocolate</x:v>
      </x:c>
      <x:c r="H250" s="28" t="str">
        <x:v>Шоколад, кофе и жареные продукты</x:v>
      </x:c>
      <x:c r="I250" s="28" t="str">
        <x:v>зелёный, фруктовый, цветочный, цитрусовый</x:v>
      </x:c>
      <x:c r="J250" s="28" t="str">
        <x:v>горький, жареный, карамельный, ореховый</x:v>
      </x:c>
      <x:c r="K250" s="28" t="str">
        <x:v>C6-альдегиды, гераниол, линалоол, цитронеллол</x:v>
      </x:c>
      <x:c r="L250" s="28" t="str">
        <x:v>ванилин, пиразины, фураны</x:v>
      </x:c>
      <x:c r="M250" s="28" t="str">
        <x:v>прямое совпадение семейств не установлено</x:v>
      </x:c>
      <x:c r="N250" s="28" t="str">
        <x:v>не подтверждены; механизм не сводится к одной общей молекуле</x:v>
      </x:c>
      <x:c r="O250" s="28" t="str">
        <x:v>контраст/комплементарность + матричный эффект</x:v>
      </x:c>
      <x:c r="P250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250" s="28" t="str">
        <x:v>Специфического тройничного эффекта обычно нет; кислотность усиливает слюноотделение.</x:v>
      </x:c>
      <x:c r="R250" s="28" t="str">
        <x:v>Жировая фаза удерживает гидрофобные одоранты и продлевает послевкусие; кислотность ягод повышает слюноотделение.</x:v>
      </x:c>
      <x:c r="S25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5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5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50" s="28" t="str">
        <x:v>ваниль или орехи</x:v>
      </x:c>
      <x:c r="W250" s="28" t="str">
        <x:v>сорбет, крем, ганаш, выпечка, джем или соус для десерта</x:v>
      </x:c>
      <x:c r="X250" s="28" t="str">
        <x:v>десерты</x:v>
      </x:c>
      <x:c r="Y250" s="28" t="str">
        <x:v>Средняя</x:v>
      </x:c>
      <x:c r="Z250" s="28" t="str">
        <x:v>The Art &amp; Science of Foodpairing</x:v>
      </x:c>
      <x:c r="AA250" s="28" t="str">
        <x:v>The Art &amp; Science of Foodpairing: 204</x:v>
      </x:c>
      <x:c r="AB250" s="28" t="str">
        <x:v>Ingredient pairings with Blueberry: dark chocolate</x:v>
      </x:c>
      <x:c r="AC250" s="28" t="n">
        <x:v>1</x:v>
      </x:c>
      <x:c r="AD250" s="28" t="n">
        <x:v>1</x:v>
      </x:c>
    </x:row>
    <x:row r="251" ht="58" customHeight="1">
      <x:c r="A251" s="28" t="str">
        <x:v>BER-0250</x:v>
      </x:c>
      <x:c r="B251" s="28" t="str">
        <x:v>Еда и соусы</x:v>
      </x:c>
      <x:c r="C251" s="28" t="str">
        <x:v>голубика</x:v>
      </x:c>
      <x:c r="D251" s="28" t="str">
        <x:v>blueberry</x:v>
      </x:c>
      <x:c r="E251" s="28" t="str">
        <x:v>Ягоды и производные</x:v>
      </x:c>
      <x:c r="F251" s="28" t="str">
        <x:v>трюфель</x:v>
      </x:c>
      <x:c r="G251" s="28" t="str">
        <x:v>Truffle</x:v>
      </x:c>
      <x:c r="H251" s="28" t="str">
        <x:v>Овощи и грибы</x:v>
      </x:c>
      <x:c r="I251" s="28" t="str">
        <x:v>зелёный, фруктовый, цветочный, цитрусовый</x:v>
      </x:c>
      <x:c r="J251" s="28" t="str">
        <x:v>зелёный, землистый, сернистый</x:v>
      </x:c>
      <x:c r="K251" s="28" t="str">
        <x:v>C6-альдегиды, гераниол, линалоол, цитронеллол</x:v>
      </x:c>
      <x:c r="L251" s="28" t="str">
        <x:v>C6-альдегиды, пиразины, сернистые соединения</x:v>
      </x:c>
      <x:c r="M251" s="28" t="str">
        <x:v>зелёный</x:v>
      </x:c>
      <x:c r="N251" s="28" t="str">
        <x:v>C6-альдегиды</x:v>
      </x:c>
      <x:c r="O251" s="28" t="str">
        <x:v>ароматическое сходство + вкусовой баланс</x:v>
      </x:c>
      <x:c r="P251" s="28" t="str">
        <x:v>Оба компонента формируют сладко-кислый, мягкий и растительный, иногда умами контур; сахар, кислота и горечь должны быть выровнены дегустацией.</x:v>
      </x:c>
      <x:c r="Q251" s="28" t="str">
        <x:v>Специфического тройничного эффекта обычно нет; кислотность усиливает слюноотделение.</x:v>
      </x:c>
      <x:c r="R251" s="28" t="str">
        <x:v>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25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51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5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51" s="28" t="str">
        <x:v>уксус или мягкий сыр</x:v>
      </x:c>
      <x:c r="W251" s="28" t="str">
        <x:v>соус, глазировка, салат, сырная подача или горячее блюдо; маринад, гастрик, чатни, кетчуп или редукция</x:v>
      </x:c>
      <x:c r="X251" s="28" t="str">
        <x:v>еда; соусы/маринады</x:v>
      </x:c>
      <x:c r="Y251" s="28" t="str">
        <x:v>Средняя</x:v>
      </x:c>
      <x:c r="Z251" s="28" t="str">
        <x:v>The Art &amp; Science of Foodpairing</x:v>
      </x:c>
      <x:c r="AA251" s="28" t="str">
        <x:v>The Art &amp; Science of Foodpairing: 193</x:v>
      </x:c>
      <x:c r="AB251" s="28" t="str">
        <x:v>Ingredient pairings with Truffle: blueberry</x:v>
      </x:c>
      <x:c r="AC251" s="28" t="n">
        <x:v>1</x:v>
      </x:c>
      <x:c r="AD251" s="28" t="n">
        <x:v>1</x:v>
      </x:c>
    </x:row>
    <x:row r="252" ht="58" customHeight="1">
      <x:c r="A252" s="28" t="str">
        <x:v>BER-0251</x:v>
      </x:c>
      <x:c r="B252" s="28" t="str">
        <x:v>Универсальные</x:v>
      </x:c>
      <x:c r="C252" s="28" t="str">
        <x:v>голубика</x:v>
      </x:c>
      <x:c r="D252" s="28" t="str">
        <x:v>Blueberry</x:v>
      </x:c>
      <x:c r="E252" s="28" t="str">
        <x:v>Ягоды и производные</x:v>
      </x:c>
      <x:c r="F252" s="28" t="str">
        <x:v>тушёный ling</x:v>
      </x:c>
      <x:c r="G252" s="28" t="str">
        <x:v>braised ling</x:v>
      </x:c>
      <x:c r="H252" s="28" t="str">
        <x:v>Прочее</x:v>
      </x:c>
      <x:c r="I252" s="28" t="str">
        <x:v>зелёный, фруктовый, цветочный, цитрусовый</x:v>
      </x:c>
      <x:c r="J252" s="28" t="str">
        <x:v>комплексный</x:v>
      </x:c>
      <x:c r="K252" s="28" t="str">
        <x:v>C6-альдегиды, гераниол, линалоол, цитронеллол</x:v>
      </x:c>
      <x:c r="L252" s="28" t="str">
        <x:v>нет надёжной конкретизации</x:v>
      </x:c>
      <x:c r="M252" s="28" t="str">
        <x:v>прямое совпадение семейств не установлено</x:v>
      </x:c>
      <x:c r="N252" s="28" t="str">
        <x:v>не подтверждены; механизм не сводится к одной общей молекуле</x:v>
      </x:c>
      <x:c r="O252" s="28" t="str">
        <x:v>контраст/комплементарность + матричный эффект</x:v>
      </x:c>
      <x:c r="P252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252" s="28" t="str">
        <x:v>Специфического тройничного эффекта обычно нет; кислотность усиливает слюноотделение.</x:v>
      </x:c>
      <x:c r="R252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25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5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5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52" s="28" t="str">
        <x:v>лимон или ваниль</x:v>
      </x:c>
      <x:c r="W252" s="28" t="str">
        <x:v>сенсорная проба в малой дозировке</x:v>
      </x:c>
      <x:c r="X252" s="28" t="str">
        <x:v>универсально</x:v>
      </x:c>
      <x:c r="Y252" s="28" t="str">
        <x:v>Средняя</x:v>
      </x:c>
      <x:c r="Z252" s="28" t="str">
        <x:v>The Art &amp; Science of Foodpairing</x:v>
      </x:c>
      <x:c r="AA252" s="28" t="str">
        <x:v>The Art &amp; Science of Foodpairing: 205</x:v>
      </x:c>
      <x:c r="AB252" s="28" t="str">
        <x:v>Ingredient pairings with Blueberry: braised ling</x:v>
      </x:c>
      <x:c r="AC252" s="28" t="n">
        <x:v>1</x:v>
      </x:c>
      <x:c r="AD252" s="28" t="n">
        <x:v>1</x:v>
      </x:c>
    </x:row>
    <x:row r="253" ht="58" customHeight="1">
      <x:c r="A253" s="28" t="str">
        <x:v>BER-0252</x:v>
      </x:c>
      <x:c r="B253" s="28" t="str">
        <x:v>Универсальные</x:v>
      </x:c>
      <x:c r="C253" s="28" t="str">
        <x:v>голубика</x:v>
      </x:c>
      <x:c r="D253" s="28" t="str">
        <x:v>Blueberry</x:v>
      </x:c>
      <x:c r="E253" s="28" t="str">
        <x:v>Ягоды и производные</x:v>
      </x:c>
      <x:c r="F253" s="28" t="str">
        <x:v>укроп</x:v>
      </x:c>
      <x:c r="G253" s="28" t="str">
        <x:v>dill</x:v>
      </x:c>
      <x:c r="H253" s="28" t="str">
        <x:v>Травы и цветы</x:v>
      </x:c>
      <x:c r="I253" s="28" t="str">
        <x:v>зелёный, фруктовый, цветочный, цитрусовый</x:v>
      </x:c>
      <x:c r="J253" s="28" t="str">
        <x:v>зелёный, травянистый, цветочный</x:v>
      </x:c>
      <x:c r="K253" s="28" t="str">
        <x:v>C6-альдегиды, гераниол, линалоол, цитронеллол</x:v>
      </x:c>
      <x:c r="L253" s="28" t="str">
        <x:v>гераниол, линалоол, терпены, эвгенол</x:v>
      </x:c>
      <x:c r="M253" s="28" t="str">
        <x:v>зелёный, цветочный</x:v>
      </x:c>
      <x:c r="N253" s="28" t="str">
        <x:v>гераниол, линалоол</x:v>
      </x:c>
      <x:c r="O253" s="28" t="str">
        <x:v>ароматическое сходство + вкусовой баланс</x:v>
      </x:c>
      <x:c r="P253" s="28" t="str">
        <x:v>Ягодная сладость смягчает горечь и пряность, а кислотность делает горьковатый, свежий профиль ярче.</x:v>
      </x:c>
      <x:c r="Q253" s="28" t="str">
        <x:v>Специфического тройничного эффекта обычно нет; кислотность усиливает слюноотделение.</x:v>
      </x:c>
      <x:c r="R253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5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53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5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53" s="28" t="str">
        <x:v>лимон или мёд</x:v>
      </x:c>
      <x:c r="W253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253" s="28" t="str">
        <x:v>напитки; еда; соусы/маринады</x:v>
      </x:c>
      <x:c r="Y253" s="28" t="str">
        <x:v>Средняя</x:v>
      </x:c>
      <x:c r="Z253" s="28" t="str">
        <x:v>The Art &amp; Science of Foodpairing</x:v>
      </x:c>
      <x:c r="AA253" s="28" t="str">
        <x:v>The Art &amp; Science of Foodpairing: 205</x:v>
      </x:c>
      <x:c r="AB253" s="28" t="str">
        <x:v>Ingredient pairings with Blueberry: dill</x:v>
      </x:c>
      <x:c r="AC253" s="28" t="n">
        <x:v>1</x:v>
      </x:c>
      <x:c r="AD253" s="28" t="n">
        <x:v>1</x:v>
      </x:c>
    </x:row>
    <x:row r="254" ht="58" customHeight="1">
      <x:c r="A254" s="28" t="str">
        <x:v>BER-0253</x:v>
      </x:c>
      <x:c r="B254" s="28" t="str">
        <x:v>Десерты и выпечка</x:v>
      </x:c>
      <x:c r="C254" s="28" t="str">
        <x:v>голубика</x:v>
      </x:c>
      <x:c r="D254" s="28" t="str">
        <x:v>Голубика</x:v>
      </x:c>
      <x:c r="E254" s="28" t="str">
        <x:v>Ягоды и производные</x:v>
      </x:c>
      <x:c r="F254" s="28" t="str">
        <x:v>фундук</x:v>
      </x:c>
      <x:c r="G254" s="28" t="str">
        <x:v>фундук</x:v>
      </x:c>
      <x:c r="H254" s="28" t="str">
        <x:v>Орехи и семена</x:v>
      </x:c>
      <x:c r="I254" s="28" t="str">
        <x:v>зелёный, фруктовый, цветочный, цитрусовый</x:v>
      </x:c>
      <x:c r="J254" s="28" t="str">
        <x:v>жареный, миндальный, ореховый</x:v>
      </x:c>
      <x:c r="K254" s="28" t="str">
        <x:v>C6-альдегиды, гераниол, линалоол, цитронеллол</x:v>
      </x:c>
      <x:c r="L254" s="28" t="str">
        <x:v>бензальдегид, пиразины, фураны</x:v>
      </x:c>
      <x:c r="M254" s="28" t="str">
        <x:v>прямое совпадение семейств не установлено</x:v>
      </x:c>
      <x:c r="N254" s="28" t="str">
        <x:v>не подтверждены; механизм не сводится к одной общей молекуле</x:v>
      </x:c>
      <x:c r="O254" s="28" t="str">
        <x:v>контраст/комплементарность + матричный эффект</x:v>
      </x:c>
      <x:c r="P254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254" s="28" t="str">
        <x:v>Специфического тройничного эффекта обычно нет; кислотность усиливает слюноотделение.</x:v>
      </x:c>
      <x:c r="R254" s="28" t="str">
        <x:v>Жировая фаза удерживает гидрофобные одоранты и продлевает послевкусие; кислотность ягод повышает слюноотделение.</x:v>
      </x:c>
      <x:c r="S25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5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5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54" s="28" t="str">
        <x:v>ваниль или сливки</x:v>
      </x:c>
      <x:c r="W254" s="28" t="str">
        <x:v>сорбет, крем, ганаш, выпечка, джем или соус для десерта</x:v>
      </x:c>
      <x:c r="X254" s="28" t="str">
        <x:v>десерты</x:v>
      </x:c>
      <x:c r="Y254" s="28" t="str">
        <x:v>Средняя</x:v>
      </x:c>
      <x:c r="Z254" s="28" t="str">
        <x:v>Таблица сочетаний</x:v>
      </x:c>
      <x:c r="AA254" s="28" t="str">
        <x:v>Таблица сочетаний: 3</x:v>
      </x:c>
      <x:c r="AB254" s="28" t="str">
        <x:v>Голубика: фундук</x:v>
      </x:c>
      <x:c r="AC254" s="28" t="n">
        <x:v>1</x:v>
      </x:c>
      <x:c r="AD254" s="28" t="n">
        <x:v>1</x:v>
      </x:c>
    </x:row>
    <x:row r="255" ht="58" customHeight="1">
      <x:c r="A255" s="28" t="str">
        <x:v>BER-0254</x:v>
      </x:c>
      <x:c r="B255" s="28" t="str">
        <x:v>Еда и соусы</x:v>
      </x:c>
      <x:c r="C255" s="28" t="str">
        <x:v>голубика</x:v>
      </x:c>
      <x:c r="D255" s="28" t="str">
        <x:v>blueberry</x:v>
      </x:c>
      <x:c r="E255" s="28" t="str">
        <x:v>Ягоды и производные</x:v>
      </x:c>
      <x:c r="F255" s="28" t="str">
        <x:v>хамон иберико</x:v>
      </x:c>
      <x:c r="G255" s="28" t="str">
        <x:v>Iberico Ham</x:v>
      </x:c>
      <x:c r="H255" s="28" t="str">
        <x:v>Мясо и птица</x:v>
      </x:c>
      <x:c r="I255" s="28" t="str">
        <x:v>зелёный, фруктовый, цветочный, цитрусовый</x:v>
      </x:c>
      <x:c r="J255" s="28" t="str">
        <x:v>жареный, жирный, сернистый, умами</x:v>
      </x:c>
      <x:c r="K255" s="28" t="str">
        <x:v>C6-альдегиды, гераниол, линалоол, цитронеллол</x:v>
      </x:c>
      <x:c r="L255" s="28" t="str">
        <x:v>альдегиды, пиразины, сернистые соединения</x:v>
      </x:c>
      <x:c r="M255" s="28" t="str">
        <x:v>прямое совпадение семейств не установлено</x:v>
      </x:c>
      <x:c r="N255" s="28" t="str">
        <x:v>не подтверждены; механизм не сводится к одной общей молекуле</x:v>
      </x:c>
      <x:c r="O255" s="28" t="str">
        <x:v>контраст/комплементарность + матричный эффект</x:v>
      </x:c>
      <x:c r="P255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255" s="28" t="str">
        <x:v>Специфического тройничного эффекта обычно нет; кислотность усиливает слюноотделение.</x:v>
      </x:c>
      <x:c r="R255" s="28" t="str">
        <x:v>Жировая фаза удерживает гидрофобные одоранты и продлевает послевкусие; кислотность ягод повышает слюноотделение.</x:v>
      </x:c>
      <x:c r="S25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5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5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55" s="28" t="str">
        <x:v>красное вино или чёрный перец</x:v>
      </x:c>
      <x:c r="W255" s="28" t="str">
        <x:v>соус, глазировка, салат, сырная подача или горячее блюдо; маринад, гастрик, чатни, кетчуп или редукция</x:v>
      </x:c>
      <x:c r="X255" s="28" t="str">
        <x:v>еда; соусы/маринады</x:v>
      </x:c>
      <x:c r="Y255" s="28" t="str">
        <x:v>Средняя</x:v>
      </x:c>
      <x:c r="Z255" s="28" t="str">
        <x:v>The Art &amp; Science of Foodpairing</x:v>
      </x:c>
      <x:c r="AA255" s="28" t="str">
        <x:v>The Art &amp; Science of Foodpairing: 278</x:v>
      </x:c>
      <x:c r="AB255" s="28" t="str">
        <x:v>Ingredient pairings with Iberico Ham: blueberry</x:v>
      </x:c>
      <x:c r="AC255" s="28" t="n">
        <x:v>1</x:v>
      </x:c>
      <x:c r="AD255" s="28" t="n">
        <x:v>1</x:v>
      </x:c>
    </x:row>
    <x:row r="256" ht="58" customHeight="1">
      <x:c r="A256" s="28" t="str">
        <x:v>BER-0255</x:v>
      </x:c>
      <x:c r="B256" s="28" t="str">
        <x:v>Универсальные</x:v>
      </x:c>
      <x:c r="C256" s="28" t="str">
        <x:v>голубика</x:v>
      </x:c>
      <x:c r="D256" s="28" t="str">
        <x:v>blueberry</x:v>
      </x:c>
      <x:c r="E256" s="28" t="str">
        <x:v>Ягоды и производные</x:v>
      </x:c>
      <x:c r="F256" s="28" t="str">
        <x:v>цветы жасмина</x:v>
      </x:c>
      <x:c r="G256" s="28" t="str">
        <x:v>Jasmine Blossom</x:v>
      </x:c>
      <x:c r="H256" s="28" t="str">
        <x:v>Травы и цветы</x:v>
      </x:c>
      <x:c r="I256" s="28" t="str">
        <x:v>зелёный, фруктовый, цветочный, цитрусовый</x:v>
      </x:c>
      <x:c r="J256" s="28" t="str">
        <x:v>зелёный, травянистый, цветочный</x:v>
      </x:c>
      <x:c r="K256" s="28" t="str">
        <x:v>C6-альдегиды, гераниол, линалоол, цитронеллол</x:v>
      </x:c>
      <x:c r="L256" s="28" t="str">
        <x:v>гераниол, линалоол, терпены, эвгенол</x:v>
      </x:c>
      <x:c r="M256" s="28" t="str">
        <x:v>зелёный, цветочный</x:v>
      </x:c>
      <x:c r="N256" s="28" t="str">
        <x:v>гераниол, линалоол</x:v>
      </x:c>
      <x:c r="O256" s="28" t="str">
        <x:v>ароматическое сходство + вкусовой баланс</x:v>
      </x:c>
      <x:c r="P256" s="28" t="str">
        <x:v>Ягодная сладость смягчает горечь и пряность, а кислотность делает горьковатый, свежий профиль ярче.</x:v>
      </x:c>
      <x:c r="Q256" s="28" t="str">
        <x:v>Специфического тройничного эффекта обычно нет; кислотность усиливает слюноотделение.</x:v>
      </x:c>
      <x:c r="R256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5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56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5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56" s="28" t="str">
        <x:v>лимон или мёд</x:v>
      </x:c>
      <x:c r="W25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256" s="28" t="str">
        <x:v>напитки; еда; соусы/маринады</x:v>
      </x:c>
      <x:c r="Y256" s="28" t="str">
        <x:v>Средняя</x:v>
      </x:c>
      <x:c r="Z256" s="28" t="str">
        <x:v>The Art &amp; Science of Foodpairing</x:v>
      </x:c>
      <x:c r="AA256" s="28" t="str">
        <x:v>The Art &amp; Science of Foodpairing: 211</x:v>
      </x:c>
      <x:c r="AB256" s="28" t="str">
        <x:v>Ingredient pairings with Jasmine Blossom: blueberry | Ingredient pairings with Jasmine Blossom: blueberry</x:v>
      </x:c>
      <x:c r="AC256" s="28" t="n">
        <x:v>1</x:v>
      </x:c>
      <x:c r="AD256" s="28" t="n">
        <x:v>2</x:v>
      </x:c>
    </x:row>
    <x:row r="257" ht="58" customHeight="1">
      <x:c r="A257" s="28" t="str">
        <x:v>BER-0256</x:v>
      </x:c>
      <x:c r="B257" s="28" t="str">
        <x:v>Напитки</x:v>
      </x:c>
      <x:c r="C257" s="28" t="str">
        <x:v>голубика</x:v>
      </x:c>
      <x:c r="D257" s="28" t="str">
        <x:v>blueberry</x:v>
      </x:c>
      <x:c r="E257" s="28" t="str">
        <x:v>Ягоды и производные</x:v>
      </x:c>
      <x:c r="F257" s="28" t="str">
        <x:v>чай</x:v>
      </x:c>
      <x:c r="G257" s="28" t="str">
        <x:v>Tea</x:v>
      </x:c>
      <x:c r="H257" s="28" t="str">
        <x:v>Чай и безалкогольные напитки</x:v>
      </x:c>
      <x:c r="I257" s="28" t="str">
        <x:v>зелёный, фруктовый, цветочный, цитрусовый</x:v>
      </x:c>
      <x:c r="J257" s="28" t="str">
        <x:v>терпкий, травянистый, цветочный</x:v>
      </x:c>
      <x:c r="K257" s="28" t="str">
        <x:v>C6-альдегиды, гераниол, линалоол, цитронеллол</x:v>
      </x:c>
      <x:c r="L257" s="28" t="str">
        <x:v>гераниол, линалоол, полифенолы</x:v>
      </x:c>
      <x:c r="M257" s="28" t="str">
        <x:v>цветочный</x:v>
      </x:c>
      <x:c r="N257" s="28" t="str">
        <x:v>гераниол, линалоол</x:v>
      </x:c>
      <x:c r="O257" s="28" t="str">
        <x:v>ароматическое сходство + вкусовой баланс</x:v>
      </x:c>
      <x:c r="P257" s="28" t="str">
        <x:v>Оба компонента формируют сладко-кислый, мягкий и горьковатый, терпкий контур; сахар, кислота и горечь должны быть выровнены дегустацией.</x:v>
      </x:c>
      <x:c r="Q257" s="28" t="str">
        <x:v>Специфического тройничного эффекта обычно нет; кислотность усиливает слюноотделение.</x:v>
      </x:c>
      <x:c r="R257" s="28" t="str">
        <x:v>Ягода: нежный аромат легко теряется на фоне сильной сладости. Партнёр: водная матрица; температура определяет экстракцию. В воде аромат раскрывается быстрее, в жире и этаноле — дольше удерживается.</x:v>
      </x:c>
      <x:c r="S25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57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терпкий, травянистый, цветочный. Оба компонента формируют сладко-кислый, мягкий и горьковатый, терпкий контур; сахар, кислота и горечь должны быть выровнены дегустацией. Ягода: нежный аромат легко теряется на фоне сильной сладости. Партнёр: водная матрица; температура определяет экстракцию.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5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57" s="28" t="str">
        <x:v>мёд или лимон</x:v>
      </x:c>
      <x:c r="W257" s="28" t="str">
        <x:v>кордиал, лимонад, чай, коктейль, настой или ферментированный напиток</x:v>
      </x:c>
      <x:c r="X257" s="28" t="str">
        <x:v>напитки</x:v>
      </x:c>
      <x:c r="Y257" s="28" t="str">
        <x:v>Средняя</x:v>
      </x:c>
      <x:c r="Z257" s="28" t="str">
        <x:v>The Art &amp; Science of Foodpairing</x:v>
      </x:c>
      <x:c r="AA257" s="28" t="str">
        <x:v>The Art &amp; Science of Foodpairing: 365</x:v>
      </x:c>
      <x:c r="AB257" s="28" t="str">
        <x:v>Ingredient pairings with Tea: blueberry</x:v>
      </x:c>
      <x:c r="AC257" s="28" t="n">
        <x:v>1</x:v>
      </x:c>
      <x:c r="AD257" s="28" t="n">
        <x:v>1</x:v>
      </x:c>
    </x:row>
    <x:row r="258" ht="58" customHeight="1">
      <x:c r="A258" s="28" t="str">
        <x:v>BER-0257</x:v>
      </x:c>
      <x:c r="B258" s="28" t="str">
        <x:v>Универсальные</x:v>
      </x:c>
      <x:c r="C258" s="28" t="str">
        <x:v>голубика</x:v>
      </x:c>
      <x:c r="D258" s="28" t="str">
        <x:v>Blueberry</x:v>
      </x:c>
      <x:c r="E258" s="28" t="str">
        <x:v>Ягоды и производные</x:v>
      </x:c>
      <x:c r="F258" s="28" t="str">
        <x:v>черешня</x:v>
      </x:c>
      <x:c r="G258" s="28" t="str">
        <x:v>sweet cherry | sweet cherry Moro</x:v>
      </x:c>
      <x:c r="H258" s="28" t="str">
        <x:v>Ягоды и производные</x:v>
      </x:c>
      <x:c r="I258" s="28" t="str">
        <x:v>зелёный, фруктовый, цветочный, цитрусовый</x:v>
      </x:c>
      <x:c r="J258" s="28" t="str">
        <x:v>миндальный, сладко-фруктовый, цветочный</x:v>
      </x:c>
      <x:c r="K258" s="28" t="str">
        <x:v>C6-альдегиды, гераниол, линалоол, цитронеллол</x:v>
      </x:c>
      <x:c r="L258" s="28" t="str">
        <x:v>бензальдегид, бета-дамасценон, эфиры</x:v>
      </x:c>
      <x:c r="M258" s="28" t="str">
        <x:v>цветочный</x:v>
      </x:c>
      <x:c r="N258" s="28" t="str">
        <x:v>не подтверждены; механизм не сводится к одной общей молекуле</x:v>
      </x:c>
      <x:c r="O258" s="28" t="str">
        <x:v>сходство ароматических семейств + комплементарность</x:v>
      </x:c>
      <x:c r="P258" s="28" t="str">
        <x:v>Оба компонента формируют сладко-кислый, мягкий и сладкий, умеренно кислый контур; сахар, кислота и горечь должны быть выровнены дегустацией.</x:v>
      </x:c>
      <x:c r="Q258" s="28" t="str">
        <x:v>Специфического тройничного эффекта обычно нет; кислотность усиливает слюноотделение.</x:v>
      </x:c>
      <x:c r="R258" s="28" t="str">
        <x:v>Ягода: нежный аромат легко теряется на фоне сильной сладости. Партнёр: нежнее кислой вишни; легко становится приторной. В воде аромат раскрывается быстрее, в жире и этаноле — дольше удерживается.</x:v>
      </x:c>
      <x:c r="S25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58" s="28" t="str">
        <x:v>Общие ароматические семейства: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миндальный, сладко-фруктовый, цветочный. Оба компонента формируют сладко-кислый, мягкий и сладкий, умеренно кислый контур; сахар, кислота и горечь должны быть выровнены дегустацией. Ягода: нежный аромат легко теряется на фоне сильной сладости. Партнёр: нежнее кислой вишни; легко становится приторной.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5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58" s="28" t="str">
        <x:v>ваниль или роза</x:v>
      </x:c>
      <x:c r="W25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258" s="28" t="str">
        <x:v>напитки; десерты</x:v>
      </x:c>
      <x:c r="Y258" s="28" t="str">
        <x:v>Средняя</x:v>
      </x:c>
      <x:c r="Z258" s="28" t="str">
        <x:v>The Art &amp; Science of Foodpairing</x:v>
      </x:c>
      <x:c r="AA258" s="28" t="str">
        <x:v>The Art &amp; Science of Foodpairing: 204, 205</x:v>
      </x:c>
      <x:c r="AB258" s="28" t="str">
        <x:v>Ingredient pairings with Blueberry: sweet cherry Moro | Ingredient pairings with Blueberry: sweet cherry</x:v>
      </x:c>
      <x:c r="AC258" s="28" t="n">
        <x:v>1</x:v>
      </x:c>
      <x:c r="AD258" s="28" t="n">
        <x:v>2</x:v>
      </x:c>
    </x:row>
    <x:row r="259" ht="58" customHeight="1">
      <x:c r="A259" s="28" t="str">
        <x:v>BER-0258</x:v>
      </x:c>
      <x:c r="B259" s="28" t="str">
        <x:v>Универсальные</x:v>
      </x:c>
      <x:c r="C259" s="28" t="str">
        <x:v>голубика</x:v>
      </x:c>
      <x:c r="D259" s="28" t="str">
        <x:v>blueberry</x:v>
      </x:c>
      <x:c r="E259" s="28" t="str">
        <x:v>Ягоды и производные</x:v>
      </x:c>
      <x:c r="F259" s="28" t="str">
        <x:v>чёрный перец</x:v>
      </x:c>
      <x:c r="G259" s="28" t="str">
        <x:v>Black Peppercorns</x:v>
      </x:c>
      <x:c r="H259" s="28" t="str">
        <x:v>Специи</x:v>
      </x:c>
      <x:c r="I259" s="28" t="str">
        <x:v>зелёный, фруктовый, цветочный, цитрусовый</x:v>
      </x:c>
      <x:c r="J259" s="28" t="str">
        <x:v>древесный, пряный, тёплый</x:v>
      </x:c>
      <x:c r="K259" s="28" t="str">
        <x:v>C6-альдегиды, гераниол, линалоол, цитронеллол</x:v>
      </x:c>
      <x:c r="L259" s="28" t="str">
        <x:v>коричный альдегид, терпены, эвгенол</x:v>
      </x:c>
      <x:c r="M259" s="28" t="str">
        <x:v>прямое совпадение семейств не установлено</x:v>
      </x:c>
      <x:c r="N259" s="28" t="str">
        <x:v>не подтверждены; механизм не сводится к одной общей молекуле</x:v>
      </x:c>
      <x:c r="O259" s="28" t="str">
        <x:v>контраст/комплементарность + матричный эффект</x:v>
      </x:c>
      <x:c r="P259" s="28" t="str">
        <x:v>Ягодная сладость смягчает горечь и пряность, а кислотность делает пряный, иногда горький профиль ярче.</x:v>
      </x:c>
      <x:c r="Q259" s="28" t="str">
        <x:v>Специфического тройничного эффекта обычно нет; кислотность усиливает слюноотделение.</x:v>
      </x:c>
      <x:c r="R259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5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5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59" s="28" t="str">
        <x:v>Пряность дозировать как акцент: она быстро перекрывает тонкие ягодные эфиры.</x:v>
      </x:c>
      <x:c r="V259" s="28" t="str">
        <x:v>мёд или цитрус</x:v>
      </x:c>
      <x:c r="W25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259" s="28" t="str">
        <x:v>напитки; десерты; еда; соусы/маринады</x:v>
      </x:c>
      <x:c r="Y259" s="28" t="str">
        <x:v>Средняя</x:v>
      </x:c>
      <x:c r="Z259" s="28" t="str">
        <x:v>The Art &amp; Science of Foodpairing</x:v>
      </x:c>
      <x:c r="AA259" s="28" t="str">
        <x:v>The Art &amp; Science of Foodpairing: 275</x:v>
      </x:c>
      <x:c r="AB259" s="28" t="str">
        <x:v>Ingredient pairings with Black Peppercorns: blueberry</x:v>
      </x:c>
      <x:c r="AC259" s="28" t="n">
        <x:v>1</x:v>
      </x:c>
      <x:c r="AD259" s="28" t="n">
        <x:v>1</x:v>
      </x:c>
    </x:row>
    <x:row r="260" ht="58" customHeight="1">
      <x:c r="A260" s="28" t="str">
        <x:v>BER-0259</x:v>
      </x:c>
      <x:c r="B260" s="28" t="str">
        <x:v>Универсальные</x:v>
      </x:c>
      <x:c r="C260" s="28" t="str">
        <x:v>голубика</x:v>
      </x:c>
      <x:c r="D260" s="28" t="str">
        <x:v>blueberry</x:v>
      </x:c>
      <x:c r="E260" s="28" t="str">
        <x:v>Ягоды и производные</x:v>
      </x:c>
      <x:c r="F260" s="28" t="str">
        <x:v>чеснок</x:v>
      </x:c>
      <x:c r="G260" s="28" t="str">
        <x:v>Garlic</x:v>
      </x:c>
      <x:c r="H260" s="28" t="str">
        <x:v>Прочее</x:v>
      </x:c>
      <x:c r="I260" s="28" t="str">
        <x:v>зелёный, фруктовый, цветочный, цитрусовый</x:v>
      </x:c>
      <x:c r="J260" s="28" t="str">
        <x:v>комплексный</x:v>
      </x:c>
      <x:c r="K260" s="28" t="str">
        <x:v>C6-альдегиды, гераниол, линалоол, цитронеллол</x:v>
      </x:c>
      <x:c r="L260" s="28" t="str">
        <x:v>нет надёжной конкретизации</x:v>
      </x:c>
      <x:c r="M260" s="28" t="str">
        <x:v>прямое совпадение семейств не установлено</x:v>
      </x:c>
      <x:c r="N260" s="28" t="str">
        <x:v>не подтверждены; механизм не сводится к одной общей молекуле</x:v>
      </x:c>
      <x:c r="O260" s="28" t="str">
        <x:v>контраст/комплементарность + матричный эффект</x:v>
      </x:c>
      <x:c r="P260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260" s="28" t="str">
        <x:v>Специфического тройничного эффекта обычно нет; кислотность усиливает слюноотделение.</x:v>
      </x:c>
      <x:c r="R260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26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6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6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60" s="28" t="str">
        <x:v>лимон или ваниль</x:v>
      </x:c>
      <x:c r="W260" s="28" t="str">
        <x:v>сенсорная проба в малой дозировке</x:v>
      </x:c>
      <x:c r="X260" s="28" t="str">
        <x:v>универсально</x:v>
      </x:c>
      <x:c r="Y260" s="28" t="str">
        <x:v>Средняя</x:v>
      </x:c>
      <x:c r="Z260" s="28" t="str">
        <x:v>The Art &amp; Science of Foodpairing</x:v>
      </x:c>
      <x:c r="AA260" s="28" t="str">
        <x:v>The Art &amp; Science of Foodpairing: 115</x:v>
      </x:c>
      <x:c r="AB260" s="28" t="str">
        <x:v>Ingredient pairings with Garlic: blueberry</x:v>
      </x:c>
      <x:c r="AC260" s="28" t="n">
        <x:v>1</x:v>
      </x:c>
      <x:c r="AD260" s="28" t="n">
        <x:v>1</x:v>
      </x:c>
    </x:row>
    <x:row r="261" ht="58" customHeight="1">
      <x:c r="A261" s="28" t="str">
        <x:v>BER-0260</x:v>
      </x:c>
      <x:c r="B261" s="28" t="str">
        <x:v>Универсальные</x:v>
      </x:c>
      <x:c r="C261" s="28" t="str">
        <x:v>голубика</x:v>
      </x:c>
      <x:c r="D261" s="28" t="str">
        <x:v>Голубика</x:v>
      </x:c>
      <x:c r="E261" s="28" t="str">
        <x:v>Ягоды и производные</x:v>
      </x:c>
      <x:c r="F261" s="28" t="str">
        <x:v>шалфей</x:v>
      </x:c>
      <x:c r="G261" s="28" t="str">
        <x:v>шалфей</x:v>
      </x:c>
      <x:c r="H261" s="28" t="str">
        <x:v>Травы и цветы</x:v>
      </x:c>
      <x:c r="I261" s="28" t="str">
        <x:v>зелёный, фруктовый, цветочный, цитрусовый</x:v>
      </x:c>
      <x:c r="J261" s="28" t="str">
        <x:v>зелёный, травянистый, цветочный</x:v>
      </x:c>
      <x:c r="K261" s="28" t="str">
        <x:v>C6-альдегиды, гераниол, линалоол, цитронеллол</x:v>
      </x:c>
      <x:c r="L261" s="28" t="str">
        <x:v>гераниол, линалоол, терпены, эвгенол</x:v>
      </x:c>
      <x:c r="M261" s="28" t="str">
        <x:v>зелёный, цветочный</x:v>
      </x:c>
      <x:c r="N261" s="28" t="str">
        <x:v>гераниол, линалоол</x:v>
      </x:c>
      <x:c r="O261" s="28" t="str">
        <x:v>ароматическое сходство + вкусовой баланс</x:v>
      </x:c>
      <x:c r="P261" s="28" t="str">
        <x:v>Ягодная сладость смягчает горечь и пряность, а кислотность делает горьковатый, свежий профиль ярче.</x:v>
      </x:c>
      <x:c r="Q261" s="28" t="str">
        <x:v>Специфического тройничного эффекта обычно нет; кислотность усиливает слюноотделение.</x:v>
      </x:c>
      <x:c r="R261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6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61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6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61" s="28" t="str">
        <x:v>лимон или мёд</x:v>
      </x:c>
      <x:c r="W26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261" s="28" t="str">
        <x:v>напитки; еда; соусы/маринады</x:v>
      </x:c>
      <x:c r="Y261" s="28" t="str">
        <x:v>Средняя</x:v>
      </x:c>
      <x:c r="Z261" s="28" t="str">
        <x:v>Таблица сочетаний</x:v>
      </x:c>
      <x:c r="AA261" s="28" t="str">
        <x:v>Таблица сочетаний: 3</x:v>
      </x:c>
      <x:c r="AB261" s="28" t="str">
        <x:v>Голубика: шалфей</x:v>
      </x:c>
      <x:c r="AC261" s="28" t="n">
        <x:v>1</x:v>
      </x:c>
      <x:c r="AD261" s="28" t="n">
        <x:v>1</x:v>
      </x:c>
    </x:row>
    <x:row r="262" ht="58" customHeight="1">
      <x:c r="A262" s="28" t="str">
        <x:v>BER-0261</x:v>
      </x:c>
      <x:c r="B262" s="28" t="str">
        <x:v>Десерты и выпечка</x:v>
      </x:c>
      <x:c r="C262" s="28" t="str">
        <x:v>голубика</x:v>
      </x:c>
      <x:c r="D262" s="28" t="str">
        <x:v>blueberry | голубика</x:v>
      </x:c>
      <x:c r="E262" s="28" t="str">
        <x:v>Ягоды и производные</x:v>
      </x:c>
      <x:c r="F262" s="28" t="str">
        <x:v>шоколад</x:v>
      </x:c>
      <x:c r="G262" s="28" t="str">
        <x:v>Chocolate | Шоколад</x:v>
      </x:c>
      <x:c r="H262" s="28" t="str">
        <x:v>Шоколад, кофе и жареные продукты</x:v>
      </x:c>
      <x:c r="I262" s="28" t="str">
        <x:v>зелёный, фруктовый, цветочный, цитрусовый</x:v>
      </x:c>
      <x:c r="J262" s="28" t="str">
        <x:v>горький, жареный, карамельный, ореховый</x:v>
      </x:c>
      <x:c r="K262" s="28" t="str">
        <x:v>C6-альдегиды, гераниол, линалоол, цитронеллол</x:v>
      </x:c>
      <x:c r="L262" s="28" t="str">
        <x:v>ванилин, пиразины, фураны</x:v>
      </x:c>
      <x:c r="M262" s="28" t="str">
        <x:v>прямое совпадение семейств не установлено</x:v>
      </x:c>
      <x:c r="N262" s="28" t="str">
        <x:v>не подтверждены; механизм не сводится к одной общей молекуле</x:v>
      </x:c>
      <x:c r="O262" s="28" t="str">
        <x:v>контраст/комплементарность + матричный эффект</x:v>
      </x:c>
      <x:c r="P262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262" s="28" t="str">
        <x:v>Специфического тройничного эффекта обычно нет; кислотность усиливает слюноотделение.</x:v>
      </x:c>
      <x:c r="R262" s="28" t="str">
        <x:v>Жировая фаза удерживает гидрофобные одоранты и продлевает послевкусие; кислотность ягод повышает слюноотделение.</x:v>
      </x:c>
      <x:c r="S26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6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6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62" s="28" t="str">
        <x:v>ваниль или орехи</x:v>
      </x:c>
      <x:c r="W262" s="28" t="str">
        <x:v>сорбет, крем, ганаш, выпечка, джем или соус для десерта</x:v>
      </x:c>
      <x:c r="X262" s="28" t="str">
        <x:v>десерты</x:v>
      </x:c>
      <x:c r="Y262" s="28" t="str">
        <x:v>Высокая</x:v>
      </x:c>
      <x:c r="Z262" s="28" t="str">
        <x:v>The Art &amp; Science of Foodpairing; Таблица сочетаний</x:v>
      </x:c>
      <x:c r="AA262" s="28" t="str">
        <x:v>The Art &amp; Science of Foodpairing: 62; Таблица сочетаний: 5</x:v>
      </x:c>
      <x:c r="AB262" s="28" t="str">
        <x:v>Шоколад: голубика | Ingredient pairings with Chocolate: blueberry</x:v>
      </x:c>
      <x:c r="AC262" s="28" t="n">
        <x:v>2</x:v>
      </x:c>
      <x:c r="AD262" s="28" t="n">
        <x:v>2</x:v>
      </x:c>
    </x:row>
    <x:row r="263" ht="58" customHeight="1">
      <x:c r="A263" s="28" t="str">
        <x:v>BER-0262</x:v>
      </x:c>
      <x:c r="B263" s="28" t="str">
        <x:v>Универсальные</x:v>
      </x:c>
      <x:c r="C263" s="28" t="str">
        <x:v>голубика</x:v>
      </x:c>
      <x:c r="D263" s="28" t="str">
        <x:v>Голубика</x:v>
      </x:c>
      <x:c r="E263" s="28" t="str">
        <x:v>Ягоды и производные</x:v>
      </x:c>
      <x:c r="F263" s="28" t="str">
        <x:v>яблоко</x:v>
      </x:c>
      <x:c r="G263" s="28" t="str">
        <x:v>яблоко</x:v>
      </x:c>
      <x:c r="H263" s="28" t="str">
        <x:v>Фрукты</x:v>
      </x:c>
      <x:c r="I263" s="28" t="str">
        <x:v>зелёный, фруктовый, цветочный, цитрусовый</x:v>
      </x:c>
      <x:c r="J263" s="28" t="str">
        <x:v>зелёный, фруктовый, цветочный</x:v>
      </x:c>
      <x:c r="K263" s="28" t="str">
        <x:v>C6-альдегиды, гераниол, линалоол, цитронеллол</x:v>
      </x:c>
      <x:c r="L263" s="28" t="str">
        <x:v>лактоны, терпены, эфиры</x:v>
      </x:c>
      <x:c r="M263" s="28" t="str">
        <x:v>зелёный, фруктовый, цветочный</x:v>
      </x:c>
      <x:c r="N263" s="28" t="str">
        <x:v>не подтверждены; механизм не сводится к одной общей молекуле</x:v>
      </x:c>
      <x:c r="O263" s="28" t="str">
        <x:v>сходство ароматических семейств + комплементарность</x:v>
      </x:c>
      <x:c r="P263" s="28" t="str">
        <x:v>Оба компонента формируют сладко-кислый, мягкий и сладко-кислый контур; сахар, кислота и горечь должны быть выровнены дегустацией.</x:v>
      </x:c>
      <x:c r="Q263" s="28" t="str">
        <x:v>Специфического тройничного эффекта обычно нет; кислотность усиливает слюноотделение.</x:v>
      </x:c>
      <x:c r="R263" s="28" t="str">
        <x:v>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</x:v>
      </x:c>
      <x:c r="S26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63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6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63" s="28" t="str">
        <x:v>ваниль или лимон</x:v>
      </x:c>
      <x:c r="W26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263" s="28" t="str">
        <x:v>напитки; десерты</x:v>
      </x:c>
      <x:c r="Y263" s="28" t="str">
        <x:v>Средняя</x:v>
      </x:c>
      <x:c r="Z263" s="28" t="str">
        <x:v>Таблица сочетаний</x:v>
      </x:c>
      <x:c r="AA263" s="28" t="str">
        <x:v>Таблица сочетаний: 3</x:v>
      </x:c>
      <x:c r="AB263" s="28" t="str">
        <x:v>Голубика: яблоко</x:v>
      </x:c>
      <x:c r="AC263" s="28" t="n">
        <x:v>1</x:v>
      </x:c>
      <x:c r="AD263" s="28" t="n">
        <x:v>1</x:v>
      </x:c>
    </x:row>
    <x:row r="264" ht="58" customHeight="1">
      <x:c r="A264" s="28" t="str">
        <x:v>BER-0263</x:v>
      </x:c>
      <x:c r="B264" s="28" t="str">
        <x:v>Универсальные</x:v>
      </x:c>
      <x:c r="C264" s="28" t="str">
        <x:v>голубика</x:v>
      </x:c>
      <x:c r="D264" s="28" t="str">
        <x:v>голубика</x:v>
      </x:c>
      <x:c r="E264" s="28" t="str">
        <x:v>Ягоды и производные</x:v>
      </x:c>
      <x:c r="F264" s="28" t="str">
        <x:v>ягоды годжи</x:v>
      </x:c>
      <x:c r="G264" s="28" t="str">
        <x:v>Ягоды годжи</x:v>
      </x:c>
      <x:c r="H264" s="28" t="str">
        <x:v>Ягоды и производные</x:v>
      </x:c>
      <x:c r="I264" s="28" t="str">
        <x:v>зелёный, фруктовый, цветочный, цитрусовый</x:v>
      </x:c>
      <x:c r="J264" s="28" t="str">
        <x:v>комплексный</x:v>
      </x:c>
      <x:c r="K264" s="28" t="str">
        <x:v>C6-альдегиды, гераниол, линалоол, цитронеллол</x:v>
      </x:c>
      <x:c r="L264" s="28" t="str">
        <x:v>нет надёжной конкретизации</x:v>
      </x:c>
      <x:c r="M264" s="28" t="str">
        <x:v>прямое совпадение семейств не установлено</x:v>
      </x:c>
      <x:c r="N264" s="28" t="str">
        <x:v>не подтверждены; механизм не сводится к одной общей молекуле</x:v>
      </x:c>
      <x:c r="O264" s="28" t="str">
        <x:v>контраст/комплементарность + матричный эффект</x:v>
      </x:c>
      <x:c r="P264" s="28" t="str">
        <x:v>Оба компонента формируют сладко-кислый, мягкий и зависит от ингредиента контур; сахар, кислота и горечь должны быть выровнены дегустацией.</x:v>
      </x:c>
      <x:c r="Q264" s="28" t="str">
        <x:v>Специфического тройничного эффекта обычно нет; кислотность усиливает слюноотделение.</x:v>
      </x:c>
      <x:c r="R264" s="28" t="str">
        <x:v>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</x:v>
      </x:c>
      <x:c r="S26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6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6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64" s="28" t="str">
        <x:v>лимон или ваниль</x:v>
      </x:c>
      <x:c r="W264" s="28" t="str">
        <x:v>сенсорная проба в малой дозировке</x:v>
      </x:c>
      <x:c r="X264" s="28" t="str">
        <x:v>универсально</x:v>
      </x:c>
      <x:c r="Y264" s="28" t="str">
        <x:v>Средняя</x:v>
      </x:c>
      <x:c r="Z264" s="28" t="str">
        <x:v>Таблица сочетаний</x:v>
      </x:c>
      <x:c r="AA264" s="28" t="str">
        <x:v>Таблица сочетаний: 8</x:v>
      </x:c>
      <x:c r="AB264" s="28" t="str">
        <x:v>Ягоды годжи: голубика</x:v>
      </x:c>
      <x:c r="AC264" s="28" t="n">
        <x:v>1</x:v>
      </x:c>
      <x:c r="AD264" s="28" t="n">
        <x:v>1</x:v>
      </x:c>
    </x:row>
    <x:row r="265" ht="58" customHeight="1">
      <x:c r="A265" s="28" t="str">
        <x:v>BER-0264</x:v>
      </x:c>
      <x:c r="B265" s="28" t="str">
        <x:v>Универсальные</x:v>
      </x:c>
      <x:c r="C265" s="28" t="str">
        <x:v>ежевика</x:v>
      </x:c>
      <x:c r="D265" s="28" t="str">
        <x:v>blackberry</x:v>
      </x:c>
      <x:c r="E265" s="28" t="str">
        <x:v>Ягоды и производные</x:v>
      </x:c>
      <x:c r="F265" s="28" t="str">
        <x:v>ананас</x:v>
      </x:c>
      <x:c r="G265" s="28" t="str">
        <x:v>Pineapple</x:v>
      </x:c>
      <x:c r="H265" s="28" t="str">
        <x:v>Фрукты</x:v>
      </x:c>
      <x:c r="I265" s="28" t="str">
        <x:v>древесный, зелёный, мускусный, тёмно-фруктовый, цветочный</x:v>
      </x:c>
      <x:c r="J265" s="28" t="str">
        <x:v>зелёный, фруктовый, цветочный</x:v>
      </x:c>
      <x:c r="K265" s="28" t="str">
        <x:v>C6-альдегиды, иононы, линалоол, эфиры</x:v>
      </x:c>
      <x:c r="L265" s="28" t="str">
        <x:v>лактоны, терпены, эфиры</x:v>
      </x:c>
      <x:c r="M265" s="28" t="str">
        <x:v>зелёный, цветочный</x:v>
      </x:c>
      <x:c r="N265" s="28" t="str">
        <x:v>эфиры</x:v>
      </x:c>
      <x:c r="O265" s="28" t="str">
        <x:v>ароматическое сходство + вкусовой баланс</x:v>
      </x:c>
      <x:c r="P265" s="28" t="str">
        <x:v>Оба компонента формируют кисло-сладкий, умеренно терпкий и сладко-кислый контур; сахар, кислота и горечь должны быть выровнены дегустацией.</x:v>
      </x:c>
      <x:c r="Q265" s="28" t="str">
        <x:v>Специфического тройничного эффекта обычно нет; кислотность усиливает слюноотделение.</x:v>
      </x:c>
      <x:c r="R265" s="28" t="str">
        <x:v>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</x:v>
      </x:c>
      <x:c r="S26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65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зелёный,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6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65" s="28" t="str">
        <x:v>ваниль или лимон</x:v>
      </x:c>
      <x:c r="W26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265" s="28" t="str">
        <x:v>напитки; десерты</x:v>
      </x:c>
      <x:c r="Y265" s="28" t="str">
        <x:v>Средняя</x:v>
      </x:c>
      <x:c r="Z265" s="28" t="str">
        <x:v>The Art &amp; Science of Foodpairing</x:v>
      </x:c>
      <x:c r="AA265" s="28" t="str">
        <x:v>The Art &amp; Science of Foodpairing: 242</x:v>
      </x:c>
      <x:c r="AB265" s="28" t="str">
        <x:v>Ingredient pairings with Pineapple: blackberry</x:v>
      </x:c>
      <x:c r="AC265" s="28" t="n">
        <x:v>1</x:v>
      </x:c>
      <x:c r="AD265" s="28" t="n">
        <x:v>1</x:v>
      </x:c>
    </x:row>
    <x:row r="266" ht="58" customHeight="1">
      <x:c r="A266" s="28" t="str">
        <x:v>BER-0265</x:v>
      </x:c>
      <x:c r="B266" s="28" t="str">
        <x:v>Напитки</x:v>
      </x:c>
      <x:c r="C266" s="28" t="str">
        <x:v>ежевика</x:v>
      </x:c>
      <x:c r="D266" s="28" t="str">
        <x:v>blackberry</x:v>
      </x:c>
      <x:c r="E266" s="28" t="str">
        <x:v>Ягоды и производные</x:v>
      </x:c>
      <x:c r="F266" s="28" t="str">
        <x:v>апельсин</x:v>
      </x:c>
      <x:c r="G266" s="28" t="str">
        <x:v>Orange</x:v>
      </x:c>
      <x:c r="H266" s="28" t="str">
        <x:v>Цитрусовые</x:v>
      </x:c>
      <x:c r="I266" s="28" t="str">
        <x:v>древесный, зелёный, мускусный, тёмно-фруктовый, цветочный</x:v>
      </x:c>
      <x:c r="J266" s="28" t="str">
        <x:v>зелёный, цветочный, цитрусовый</x:v>
      </x:c>
      <x:c r="K266" s="28" t="str">
        <x:v>C6-альдегиды, иононы, линалоол, эфиры</x:v>
      </x:c>
      <x:c r="L266" s="28" t="str">
        <x:v>лимонен, линалоол, цитраль</x:v>
      </x:c>
      <x:c r="M266" s="28" t="str">
        <x:v>зелёный, цветочный</x:v>
      </x:c>
      <x:c r="N266" s="28" t="str">
        <x:v>линалоол</x:v>
      </x:c>
      <x:c r="O266" s="28" t="str">
        <x:v>ароматическое сходство + вкусовой баланс</x:v>
      </x:c>
      <x:c r="P266" s="28" t="str">
        <x:v>Оба компонента формируют кисло-сладкий, умеренно терпкий и кислый, свежий контур; сахар, кислота и горечь должны быть выровнены дегустацией.</x:v>
      </x:c>
      <x:c r="Q266" s="28" t="str">
        <x:v>Специфического тройничного эффекта обычно нет; кислотность усиливает слюноотделение.</x:v>
      </x:c>
      <x:c r="R266" s="28" t="str">
        <x:v>Ягода: пигменты и полифенолы дают цвет и терпкость. Партнёр: вода и эфирные масла; цедра гидрофобна. В воде аромат раскрывается быстрее, в жире и этаноле — дольше удерживается.</x:v>
      </x:c>
      <x:c r="S26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66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цветочный, цитрусовый. Оба компонента формируют кисло-сладкий, умеренно терпкий и кислый, свежий контур; сахар, кислота и горечь должны быть выровнены дегустацией. Ягода: пигменты и полифенолы дают цвет и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6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66" s="28" t="str">
        <x:v>мёд или базилик</x:v>
      </x:c>
      <x:c r="W266" s="28" t="str">
        <x:v>кордиал, лимонад, чай, коктейль, настой или ферментированный напиток; маринад, гастрик, чатни, кетчуп или редукция</x:v>
      </x:c>
      <x:c r="X266" s="28" t="str">
        <x:v>напитки; соусы/маринады</x:v>
      </x:c>
      <x:c r="Y266" s="28" t="str">
        <x:v>Средняя</x:v>
      </x:c>
      <x:c r="Z266" s="28" t="str">
        <x:v>The Art &amp; Science of Foodpairing</x:v>
      </x:c>
      <x:c r="AA266" s="28" t="str">
        <x:v>The Art &amp; Science of Foodpairing: 237</x:v>
      </x:c>
      <x:c r="AB266" s="28" t="str">
        <x:v>Ingredient pairings with Orange: blackberry</x:v>
      </x:c>
      <x:c r="AC266" s="28" t="n">
        <x:v>1</x:v>
      </x:c>
      <x:c r="AD266" s="28" t="n">
        <x:v>1</x:v>
      </x:c>
    </x:row>
    <x:row r="267" ht="58" customHeight="1">
      <x:c r="A267" s="28" t="str">
        <x:v>BER-0266</x:v>
      </x:c>
      <x:c r="B267" s="28" t="str">
        <x:v>Еда и соусы</x:v>
      </x:c>
      <x:c r="C267" s="28" t="str">
        <x:v>ежевика</x:v>
      </x:c>
      <x:c r="D267" s="28" t="str">
        <x:v>blackberry</x:v>
      </x:c>
      <x:c r="E267" s="28" t="str">
        <x:v>Ягоды и производные</x:v>
      </x:c>
      <x:c r="F267" s="28" t="str">
        <x:v>артишок</x:v>
      </x:c>
      <x:c r="G267" s="28" t="str">
        <x:v>Artichoke</x:v>
      </x:c>
      <x:c r="H267" s="28" t="str">
        <x:v>Овощи и грибы</x:v>
      </x:c>
      <x:c r="I267" s="28" t="str">
        <x:v>древесный, зелёный, мускусный, тёмно-фруктовый, цветочный</x:v>
      </x:c>
      <x:c r="J267" s="28" t="str">
        <x:v>зелёный, землистый, сернистый</x:v>
      </x:c>
      <x:c r="K267" s="28" t="str">
        <x:v>C6-альдегиды, иононы, линалоол, эфиры</x:v>
      </x:c>
      <x:c r="L267" s="28" t="str">
        <x:v>C6-альдегиды, пиразины, сернистые соединения</x:v>
      </x:c>
      <x:c r="M267" s="28" t="str">
        <x:v>зелёный</x:v>
      </x:c>
      <x:c r="N267" s="28" t="str">
        <x:v>C6-альдегиды</x:v>
      </x:c>
      <x:c r="O267" s="28" t="str">
        <x:v>ароматическое сходство + вкусовой баланс</x:v>
      </x:c>
      <x:c r="P267" s="28" t="str">
        <x:v>Оба компонента формируют кисло-сладкий, умеренно терпкий и растительный, иногда умами контур; сахар, кислота и горечь должны быть выровнены дегустацией.</x:v>
      </x:c>
      <x:c r="Q267" s="28" t="str">
        <x:v>Специфического тройничного эффекта обычно нет; кислотность усиливает слюноотделение.</x:v>
      </x:c>
      <x:c r="R267" s="28" t="str">
        <x:v>Ягода: пигменты и полифенолы дают цвет и терпкость.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26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67" s="28" t="str">
        <x:v>Прямой вероятный молекулярный мост: C6-альдегиды. Ягодный компонент несёт семейства древесный, зелёный, мускусный, тёмно-фруктовый, цветочный; партнёр — зелёный, землистый, сернистый. Оба компонента формируют кисло-сладкий, умеренно терпкий и растительный, иногда умами контур; сахар, кислота и горечь должны быть выровнены дегустацией. Ягода: пигменты и полифенолы дают цвет и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6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67" s="28" t="str">
        <x:v>уксус или мягкий сыр</x:v>
      </x:c>
      <x:c r="W267" s="28" t="str">
        <x:v>соус, глазировка, салат, сырная подача или горячее блюдо; маринад, гастрик, чатни, кетчуп или редукция</x:v>
      </x:c>
      <x:c r="X267" s="28" t="str">
        <x:v>еда; соусы/маринады</x:v>
      </x:c>
      <x:c r="Y267" s="28" t="str">
        <x:v>Средняя</x:v>
      </x:c>
      <x:c r="Z267" s="28" t="str">
        <x:v>The Art &amp; Science of Foodpairing</x:v>
      </x:c>
      <x:c r="AA267" s="28" t="str">
        <x:v>The Art &amp; Science of Foodpairing: 328</x:v>
      </x:c>
      <x:c r="AB267" s="28" t="str">
        <x:v>Ingredient pairings with Artichoke: blackberry</x:v>
      </x:c>
      <x:c r="AC267" s="28" t="n">
        <x:v>1</x:v>
      </x:c>
      <x:c r="AD267" s="28" t="n">
        <x:v>1</x:v>
      </x:c>
    </x:row>
    <x:row r="268" ht="58" customHeight="1">
      <x:c r="A268" s="28" t="str">
        <x:v>BER-0267</x:v>
      </x:c>
      <x:c r="B268" s="28" t="str">
        <x:v>Десерты и выпечка</x:v>
      </x:c>
      <x:c r="C268" s="28" t="str">
        <x:v>ежевика</x:v>
      </x:c>
      <x:c r="D268" s="28" t="str">
        <x:v>Ежевика | ежевика</x:v>
      </x:c>
      <x:c r="E268" s="28" t="str">
        <x:v>Ягоды и производные</x:v>
      </x:c>
      <x:c r="F268" s="28" t="str">
        <x:v>белый шоколад</x:v>
      </x:c>
      <x:c r="G268" s="28" t="str">
        <x:v>Белый шоколад | белый шоколад</x:v>
      </x:c>
      <x:c r="H268" s="28" t="str">
        <x:v>Шоколад, кофе и жареные продукты</x:v>
      </x:c>
      <x:c r="I268" s="28" t="str">
        <x:v>древесный, зелёный, мускусный, тёмно-фруктовый, цветочный</x:v>
      </x:c>
      <x:c r="J268" s="28" t="str">
        <x:v>горький, жареный, карамельный, ореховый</x:v>
      </x:c>
      <x:c r="K268" s="28" t="str">
        <x:v>C6-альдегиды, иононы, линалоол, эфиры</x:v>
      </x:c>
      <x:c r="L268" s="28" t="str">
        <x:v>ванилин, пиразины, фураны</x:v>
      </x:c>
      <x:c r="M268" s="28" t="str">
        <x:v>прямое совпадение семейств не установлено</x:v>
      </x:c>
      <x:c r="N268" s="28" t="str">
        <x:v>не подтверждены; механизм не сводится к одной общей молекуле</x:v>
      </x:c>
      <x:c r="O268" s="28" t="str">
        <x:v>контраст/комплементарность + матричный эффект</x:v>
      </x:c>
      <x:c r="P268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268" s="28" t="str">
        <x:v>Специфического тройничного эффекта обычно нет; кислотность усиливает слюноотделение.</x:v>
      </x:c>
      <x:c r="R268" s="28" t="str">
        <x:v>Жировая фаза удерживает гидрофобные одоранты и продлевает послевкусие; кислотность ягод повышает слюноотделение.</x:v>
      </x:c>
      <x:c r="S26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6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6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68" s="28" t="str">
        <x:v>ваниль или орехи</x:v>
      </x:c>
      <x:c r="W268" s="28" t="str">
        <x:v>сорбет, крем, ганаш, выпечка, джем или соус для десерта</x:v>
      </x:c>
      <x:c r="X268" s="28" t="str">
        <x:v>десерты</x:v>
      </x:c>
      <x:c r="Y268" s="28" t="str">
        <x:v>Высокая</x:v>
      </x:c>
      <x:c r="Z268" s="28" t="str">
        <x:v>Тезариус вкусов</x:v>
      </x:c>
      <x:c r="AA268" s="28" t="str">
        <x:v>Тезариус вкусов: 880, 923</x:v>
      </x:c>
      <x:c r="AB268" s="28" t="str">
        <x:v>Ежевика и белый шоколад. Когда вы в следующий раз отправитесь в конце лета, в солнечный день, по- сле обеда за ежевикой, положите в карман неболь- шую плитку белого шоколада. Когда из вашего лукош- ка начнет просачиваться пурпурный сок, найдите теп- лую кочку и осторожно разверните на ней шоколад, чтобы он растаял. Выберите из собранных вами ягод горсть лучших, проверьте, нет ли на них насекомых, и опустите их в шоколад. При приготовлении этого де- серта важно быть уверенным в том, что даже если вы съедите целое лукошко ягод, то всегда сможете на- брать новых | Белый шоколад и ежевика. См. Ежевика и белый шоколад</x:v>
      </x:c>
      <x:c r="AC268" s="28" t="n">
        <x:v>1</x:v>
      </x:c>
      <x:c r="AD268" s="28" t="n">
        <x:v>2</x:v>
      </x:c>
    </x:row>
    <x:row r="269" ht="58" customHeight="1">
      <x:c r="A269" s="28" t="str">
        <x:v>BER-0268</x:v>
      </x:c>
      <x:c r="B269" s="28" t="str">
        <x:v>Универсальные</x:v>
      </x:c>
      <x:c r="C269" s="28" t="str">
        <x:v>ежевика</x:v>
      </x:c>
      <x:c r="D269" s="28" t="str">
        <x:v>Ежевика | ежевика</x:v>
      </x:c>
      <x:c r="E269" s="28" t="str">
        <x:v>Ягоды и производные</x:v>
      </x:c>
      <x:c r="F269" s="28" t="str">
        <x:v>ваниль</x:v>
      </x:c>
      <x:c r="G269" s="28" t="str">
        <x:v>Ваниль | ваниль</x:v>
      </x:c>
      <x:c r="H269" s="28" t="str">
        <x:v>Прочее</x:v>
      </x:c>
      <x:c r="I269" s="28" t="str">
        <x:v>древесный, зелёный, мускусный, тёмно-фруктовый, цветочный</x:v>
      </x:c>
      <x:c r="J269" s="28" t="str">
        <x:v>комплексный</x:v>
      </x:c>
      <x:c r="K269" s="28" t="str">
        <x:v>C6-альдегиды, иононы, линалоол, эфиры</x:v>
      </x:c>
      <x:c r="L269" s="28" t="str">
        <x:v>нет надёжной конкретизации</x:v>
      </x:c>
      <x:c r="M269" s="28" t="str">
        <x:v>прямое совпадение семейств не установлено</x:v>
      </x:c>
      <x:c r="N269" s="28" t="str">
        <x:v>не подтверждены; механизм не сводится к одной общей молекуле</x:v>
      </x:c>
      <x:c r="O269" s="28" t="str">
        <x:v>контраст/комплементарность + матричный эффект</x:v>
      </x:c>
      <x:c r="P269" s="28" t="str">
        <x:v>Оба компонента формируют кисло-сладкий, умеренно терпкий и зависит от ингредиента контур; сахар, кислота и горечь должны быть выровнены дегустацией.</x:v>
      </x:c>
      <x:c r="Q269" s="28" t="str">
        <x:v>Специфического тройничного эффекта обычно нет; кислотность усиливает слюноотделение.</x:v>
      </x:c>
      <x:c r="R269" s="28" t="str">
        <x:v>Ягода: пигменты и полифенолы дают цвет и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26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6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комплексный. Оба компонента формируют кисло-сладкий, умеренно терпкий и зависит от ингредиента контур; сахар, кислота и горечь должны быть выровнены дегустацией. Ягода: пигменты и полифенолы дают цвет и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6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69" s="28" t="str">
        <x:v>лимон или ваниль</x:v>
      </x:c>
      <x:c r="W269" s="28" t="str">
        <x:v>сенсорная проба в малой дозировке</x:v>
      </x:c>
      <x:c r="X269" s="28" t="str">
        <x:v>универсально</x:v>
      </x:c>
      <x:c r="Y269" s="28" t="str">
        <x:v>Высокая</x:v>
      </x:c>
      <x:c r="Z269" s="28" t="str">
        <x:v>Таблица сочетаний; Тезариус вкусов</x:v>
      </x:c>
      <x:c r="AA269" s="28" t="str">
        <x:v>Тезариус вкусов: 880, 916; Таблица сочетаний: 2</x:v>
      </x:c>
      <x:c r="AB269" s="28" t="str">
        <x:v>Ежевика и ваниль. См. Ваниль и ежевика | Ваниль и ежевика. Посвятите один из дней позд- него лета сбору ежевики. Вернувшись засветло до- мой, вымойте ежевику и осторожно мягко проварите свои ягоды с сахаром. Постарайтесь сделать так, что- бы их сладость оказалась в шаге от идеальной. Охла- дите, процедите и, когда воздух на закате станет си- ним, подавайте с ванильным мороженым. Лучшее до- полнение к такому десерту – немного меда в разло- манных сотах, выложенных в каждую чашку | Ежевика: ваниль</x:v>
      </x:c>
      <x:c r="AC269" s="28" t="n">
        <x:v>2</x:v>
      </x:c>
      <x:c r="AD269" s="28" t="n">
        <x:v>3</x:v>
      </x:c>
    </x:row>
    <x:row r="270" ht="58" customHeight="1">
      <x:c r="A270" s="28" t="str">
        <x:v>BER-0269</x:v>
      </x:c>
      <x:c r="B270" s="28" t="str">
        <x:v>Универсальные</x:v>
      </x:c>
      <x:c r="C270" s="28" t="str">
        <x:v>ежевика</x:v>
      </x:c>
      <x:c r="D270" s="28" t="str">
        <x:v>ежевика</x:v>
      </x:c>
      <x:c r="E270" s="28" t="str">
        <x:v>Ягоды и производные</x:v>
      </x:c>
      <x:c r="F270" s="28" t="str">
        <x:v>гибискус</x:v>
      </x:c>
      <x:c r="G270" s="28" t="str">
        <x:v>Гибискус</x:v>
      </x:c>
      <x:c r="H270" s="28" t="str">
        <x:v>Прочее</x:v>
      </x:c>
      <x:c r="I270" s="28" t="str">
        <x:v>древесный, зелёный, мускусный, тёмно-фруктовый, цветочный</x:v>
      </x:c>
      <x:c r="J270" s="28" t="str">
        <x:v>комплексный</x:v>
      </x:c>
      <x:c r="K270" s="28" t="str">
        <x:v>C6-альдегиды, иононы, линалоол, эфиры</x:v>
      </x:c>
      <x:c r="L270" s="28" t="str">
        <x:v>нет надёжной конкретизации</x:v>
      </x:c>
      <x:c r="M270" s="28" t="str">
        <x:v>прямое совпадение семейств не установлено</x:v>
      </x:c>
      <x:c r="N270" s="28" t="str">
        <x:v>не подтверждены; механизм не сводится к одной общей молекуле</x:v>
      </x:c>
      <x:c r="O270" s="28" t="str">
        <x:v>контраст/комплементарность + матричный эффект</x:v>
      </x:c>
      <x:c r="P270" s="28" t="str">
        <x:v>Оба компонента формируют кисло-сладкий, умеренно терпкий и зависит от ингредиента контур; сахар, кислота и горечь должны быть выровнены дегустацией.</x:v>
      </x:c>
      <x:c r="Q270" s="28" t="str">
        <x:v>Специфического тройничного эффекта обычно нет; кислотность усиливает слюноотделение.</x:v>
      </x:c>
      <x:c r="R270" s="28" t="str">
        <x:v>Ягода: пигменты и полифенолы дают цвет и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27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7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комплексный. Оба компонента формируют кисло-сладкий, умеренно терпкий и зависит от ингредиента контур; сахар, кислота и горечь должны быть выровнены дегустацией. Ягода: пигменты и полифенолы дают цвет и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7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70" s="28" t="str">
        <x:v>лимон или ваниль</x:v>
      </x:c>
      <x:c r="W270" s="28" t="str">
        <x:v>сенсорная проба в малой дозировке</x:v>
      </x:c>
      <x:c r="X270" s="28" t="str">
        <x:v>универсально</x:v>
      </x:c>
      <x:c r="Y270" s="28" t="str">
        <x:v>Средняя</x:v>
      </x:c>
      <x:c r="Z270" s="28" t="str">
        <x:v>Таблица сочетаний</x:v>
      </x:c>
      <x:c r="AA270" s="28" t="str">
        <x:v>Таблица сочетаний: 9</x:v>
      </x:c>
      <x:c r="AB270" s="28" t="str">
        <x:v>Гибискус: ежевика</x:v>
      </x:c>
      <x:c r="AC270" s="28" t="n">
        <x:v>1</x:v>
      </x:c>
      <x:c r="AD270" s="28" t="n">
        <x:v>1</x:v>
      </x:c>
    </x:row>
    <x:row r="271" ht="58" customHeight="1">
      <x:c r="A271" s="28" t="str">
        <x:v>BER-0270</x:v>
      </x:c>
      <x:c r="B271" s="28" t="str">
        <x:v>Еда и соусы</x:v>
      </x:c>
      <x:c r="C271" s="28" t="str">
        <x:v>ежевика</x:v>
      </x:c>
      <x:c r="D271" s="28" t="str">
        <x:v>Ежевика | ежевика</x:v>
      </x:c>
      <x:c r="E271" s="28" t="str">
        <x:v>Ягоды и производные</x:v>
      </x:c>
      <x:c r="F271" s="28" t="str">
        <x:v>говядина</x:v>
      </x:c>
      <x:c r="G271" s="28" t="str">
        <x:v>Говядина | говядина</x:v>
      </x:c>
      <x:c r="H271" s="28" t="str">
        <x:v>Мясо и птица</x:v>
      </x:c>
      <x:c r="I271" s="28" t="str">
        <x:v>древесный, зелёный, мускусный, тёмно-фруктовый, цветочный</x:v>
      </x:c>
      <x:c r="J271" s="28" t="str">
        <x:v>жареный, жирный, сернистый, умами</x:v>
      </x:c>
      <x:c r="K271" s="28" t="str">
        <x:v>C6-альдегиды, иононы, линалоол, эфиры</x:v>
      </x:c>
      <x:c r="L271" s="28" t="str">
        <x:v>альдегиды, пиразины, сернистые соединения</x:v>
      </x:c>
      <x:c r="M271" s="28" t="str">
        <x:v>прямое совпадение семейств не установлено</x:v>
      </x:c>
      <x:c r="N271" s="28" t="str">
        <x:v>не подтверждены; механизм не сводится к одной общей молекуле</x:v>
      </x:c>
      <x:c r="O271" s="28" t="str">
        <x:v>контраст/комплементарность + матричный эффект</x:v>
      </x:c>
      <x:c r="P271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271" s="28" t="str">
        <x:v>Специфического тройничного эффекта обычно нет; кислотность усиливает слюноотделение.</x:v>
      </x:c>
      <x:c r="R271" s="28" t="str">
        <x:v>Жировая фаза удерживает гидрофобные одоранты и продлевает послевкусие; кислотность ягод повышает слюноотделение.</x:v>
      </x:c>
      <x:c r="S27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7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7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71" s="28" t="str">
        <x:v>красное вино или чёрный перец</x:v>
      </x:c>
      <x:c r="W271" s="28" t="str">
        <x:v>соус, глазировка, салат, сырная подача или горячее блюдо; маринад, гастрик, чатни, кетчуп или редукция</x:v>
      </x:c>
      <x:c r="X271" s="28" t="str">
        <x:v>еда; соусы/маринады</x:v>
      </x:c>
      <x:c r="Y271" s="28" t="str">
        <x:v>Высокая</x:v>
      </x:c>
      <x:c r="Z271" s="28" t="str">
        <x:v>Тезариус вкусов</x:v>
      </x:c>
      <x:c r="AA271" s="28" t="str">
        <x:v>Тезариус вкусов: 110, 880</x:v>
      </x:c>
      <x:c r="AB271" s="28" t="str">
        <x:v>Говядина и ежевика. См. Ежевика и говядина | Ежевика и говядина. Соус из ежевики чаще все- го подают к столу с уткой и олениной, но его можно подать и к говядине, и к другим видам мяса. Поми- мо того, что он придает блюду приятные терпкость и травянистость, слегка пряный вкус ежевики дополня- ет естественную сладость мяса</x:v>
      </x:c>
      <x:c r="AC271" s="28" t="n">
        <x:v>1</x:v>
      </x:c>
      <x:c r="AD271" s="28" t="n">
        <x:v>2</x:v>
      </x:c>
    </x:row>
    <x:row r="272" ht="58" customHeight="1">
      <x:c r="A272" s="28" t="str">
        <x:v>BER-0271</x:v>
      </x:c>
      <x:c r="B272" s="28" t="str">
        <x:v>Напитки</x:v>
      </x:c>
      <x:c r="C272" s="28" t="str">
        <x:v>ежевика</x:v>
      </x:c>
      <x:c r="D272" s="28" t="str">
        <x:v>blackberry</x:v>
      </x:c>
      <x:c r="E272" s="28" t="str">
        <x:v>Ягоды и производные</x:v>
      </x:c>
      <x:c r="F272" s="28" t="str">
        <x:v>грейпфрут</x:v>
      </x:c>
      <x:c r="G272" s="28" t="str">
        <x:v>Grapefruit</x:v>
      </x:c>
      <x:c r="H272" s="28" t="str">
        <x:v>Цитрусовые</x:v>
      </x:c>
      <x:c r="I272" s="28" t="str">
        <x:v>древесный, зелёный, мускусный, тёмно-фруктовый, цветочный</x:v>
      </x:c>
      <x:c r="J272" s="28" t="str">
        <x:v>зелёный, цветочный, цитрусовый</x:v>
      </x:c>
      <x:c r="K272" s="28" t="str">
        <x:v>C6-альдегиды, иононы, линалоол, эфиры</x:v>
      </x:c>
      <x:c r="L272" s="28" t="str">
        <x:v>лимонен, линалоол, цитраль</x:v>
      </x:c>
      <x:c r="M272" s="28" t="str">
        <x:v>зелёный, цветочный</x:v>
      </x:c>
      <x:c r="N272" s="28" t="str">
        <x:v>линалоол</x:v>
      </x:c>
      <x:c r="O272" s="28" t="str">
        <x:v>ароматическое сходство + вкусовой баланс</x:v>
      </x:c>
      <x:c r="P272" s="28" t="str">
        <x:v>Оба компонента формируют кисло-сладкий, умеренно терпкий и кислый, свежий контур; сахар, кислота и горечь должны быть выровнены дегустацией.</x:v>
      </x:c>
      <x:c r="Q272" s="28" t="str">
        <x:v>Специфического тройничного эффекта обычно нет; кислотность усиливает слюноотделение.</x:v>
      </x:c>
      <x:c r="R272" s="28" t="str">
        <x:v>Ягода: пигменты и полифенолы дают цвет и терпкость. Партнёр: вода и эфирные масла; цедра гидрофобна. В воде аромат раскрывается быстрее, в жире и этаноле — дольше удерживается.</x:v>
      </x:c>
      <x:c r="S27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72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цветочный, цитрусовый. Оба компонента формируют кисло-сладкий, умеренно терпкий и кислый, свежий контур; сахар, кислота и горечь должны быть выровнены дегустацией. Ягода: пигменты и полифенолы дают цвет и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7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72" s="28" t="str">
        <x:v>мёд или базилик</x:v>
      </x:c>
      <x:c r="W272" s="28" t="str">
        <x:v>кордиал, лимонад, чай, коктейль, настой или ферментированный напиток; маринад, гастрик, чатни, кетчуп или редукция</x:v>
      </x:c>
      <x:c r="X272" s="28" t="str">
        <x:v>напитки; соусы/маринады</x:v>
      </x:c>
      <x:c r="Y272" s="28" t="str">
        <x:v>Средняя</x:v>
      </x:c>
      <x:c r="Z272" s="28" t="str">
        <x:v>The Art &amp; Science of Foodpairing</x:v>
      </x:c>
      <x:c r="AA272" s="28" t="str">
        <x:v>The Art &amp; Science of Foodpairing: 359</x:v>
      </x:c>
      <x:c r="AB272" s="28" t="str">
        <x:v>Ingredient pairings with Grapefruit: blackberry</x:v>
      </x:c>
      <x:c r="AC272" s="28" t="n">
        <x:v>1</x:v>
      </x:c>
      <x:c r="AD272" s="28" t="n">
        <x:v>1</x:v>
      </x:c>
    </x:row>
    <x:row r="273" ht="58" customHeight="1">
      <x:c r="A273" s="28" t="str">
        <x:v>BER-0272</x:v>
      </x:c>
      <x:c r="B273" s="28" t="str">
        <x:v>Универсальные</x:v>
      </x:c>
      <x:c r="C273" s="28" t="str">
        <x:v>ежевика</x:v>
      </x:c>
      <x:c r="D273" s="28" t="str">
        <x:v>blackberry | Ежевика | ежевика</x:v>
      </x:c>
      <x:c r="E273" s="28" t="str">
        <x:v>Ягоды и производные</x:v>
      </x:c>
      <x:c r="F273" s="28" t="str">
        <x:v>груша</x:v>
      </x:c>
      <x:c r="G273" s="28" t="str">
        <x:v>Pear | Груша | груша</x:v>
      </x:c>
      <x:c r="H273" s="28" t="str">
        <x:v>Фрукты</x:v>
      </x:c>
      <x:c r="I273" s="28" t="str">
        <x:v>древесный, зелёный, мускусный, тёмно-фруктовый, цветочный</x:v>
      </x:c>
      <x:c r="J273" s="28" t="str">
        <x:v>зелёный, фруктовый, цветочный</x:v>
      </x:c>
      <x:c r="K273" s="28" t="str">
        <x:v>C6-альдегиды, иононы, линалоол, эфиры</x:v>
      </x:c>
      <x:c r="L273" s="28" t="str">
        <x:v>лактоны, терпены, эфиры</x:v>
      </x:c>
      <x:c r="M273" s="28" t="str">
        <x:v>зелёный, цветочный</x:v>
      </x:c>
      <x:c r="N273" s="28" t="str">
        <x:v>эфиры</x:v>
      </x:c>
      <x:c r="O273" s="28" t="str">
        <x:v>ароматическое сходство + вкусовой баланс</x:v>
      </x:c>
      <x:c r="P273" s="28" t="str">
        <x:v>Оба компонента формируют кисло-сладкий, умеренно терпкий и сладко-кислый контур; сахар, кислота и горечь должны быть выровнены дегустацией.</x:v>
      </x:c>
      <x:c r="Q273" s="28" t="str">
        <x:v>Специфического тройничного эффекта обычно нет; кислотность усиливает слюноотделение.</x:v>
      </x:c>
      <x:c r="R273" s="28" t="str">
        <x:v>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</x:v>
      </x:c>
      <x:c r="S27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73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зелёный,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7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73" s="28" t="str">
        <x:v>ваниль или лимон</x:v>
      </x:c>
      <x:c r="W27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273" s="28" t="str">
        <x:v>напитки; десерты</x:v>
      </x:c>
      <x:c r="Y273" s="28" t="str">
        <x:v>Высокая</x:v>
      </x:c>
      <x:c r="Z273" s="28" t="str">
        <x:v>The Art &amp; Science of Foodpairing; Таблица сочетаний</x:v>
      </x:c>
      <x:c r="AA273" s="28" t="str">
        <x:v>The Art &amp; Science of Foodpairing: 351; Таблица сочетаний: 3, 16</x:v>
      </x:c>
      <x:c r="AB273" s="28" t="str">
        <x:v>Ежевика: груша | Груша: ежевика | Ingredient pairings with Pear: blackberry</x:v>
      </x:c>
      <x:c r="AC273" s="28" t="n">
        <x:v>2</x:v>
      </x:c>
      <x:c r="AD273" s="28" t="n">
        <x:v>3</x:v>
      </x:c>
    </x:row>
    <x:row r="274" ht="58" customHeight="1">
      <x:c r="A274" s="28" t="str">
        <x:v>BER-0273</x:v>
      </x:c>
      <x:c r="B274" s="28" t="str">
        <x:v>Напитки</x:v>
      </x:c>
      <x:c r="C274" s="28" t="str">
        <x:v>ежевика</x:v>
      </x:c>
      <x:c r="D274" s="28" t="str">
        <x:v>blackberry</x:v>
      </x:c>
      <x:c r="E274" s="28" t="str">
        <x:v>Ягоды и производные</x:v>
      </x:c>
      <x:c r="F274" s="28" t="str">
        <x:v>джин</x:v>
      </x:c>
      <x:c r="G274" s="28" t="str">
        <x:v>Gin</x:v>
      </x:c>
      <x:c r="H274" s="28" t="str">
        <x:v>Алкогольные напитки</x:v>
      </x:c>
      <x:c r="I274" s="28" t="str">
        <x:v>древесный, зелёный, мускусный, тёмно-фруктовый, цветочный</x:v>
      </x:c>
      <x:c r="J274" s="28" t="str">
        <x:v>древесный, фруктовый, эфирный</x:v>
      </x:c>
      <x:c r="K274" s="28" t="str">
        <x:v>C6-альдегиды, иононы, линалоол, эфиры</x:v>
      </x:c>
      <x:c r="L274" s="28" t="str">
        <x:v>ванилин, дубовые лактоны, этиловые эфиры</x:v>
      </x:c>
      <x:c r="M274" s="28" t="str">
        <x:v>древесный</x:v>
      </x:c>
      <x:c r="N274" s="28" t="str">
        <x:v>не подтверждены; механизм не сводится к одной общей молекуле</x:v>
      </x:c>
      <x:c r="O274" s="28" t="str">
        <x:v>сходство ароматических семейств + комплементарность</x:v>
      </x:c>
      <x:c r="P274" s="28" t="str">
        <x:v>Кисло-сладкий ягодный профиль балансирует крепость и возможную дубовую горечь напитка.</x:v>
      </x:c>
      <x:c r="Q274" s="28" t="str">
        <x:v>Специфического тройничного эффекта обычно нет; кислотность усиливает слюноотделение.</x:v>
      </x:c>
      <x:c r="R274" s="28" t="str">
        <x:v>Этанол усиливает извлечение гидрофобных терпенов, иононов и эфиров, но при высокой крепости может подчеркнуть резкость.</x:v>
      </x:c>
      <x:c r="S27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T274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U274" s="28" t="str">
        <x:v>Высокая крепость и избыток сахара маскируют свежесть и усиливают терпкость.</x:v>
      </x:c>
      <x:c r="V274" s="28" t="str">
        <x:v>цитрус или вермут</x:v>
      </x:c>
      <x:c r="W274" s="28" t="str">
        <x:v>кордиал, лимонад, чай, коктейль, настой или ферментированный напиток</x:v>
      </x:c>
      <x:c r="X274" s="28" t="str">
        <x:v>напитки</x:v>
      </x:c>
      <x:c r="Y274" s="28" t="str">
        <x:v>Средняя</x:v>
      </x:c>
      <x:c r="Z274" s="28" t="str">
        <x:v>The Art &amp; Science of Foodpairing</x:v>
      </x:c>
      <x:c r="AA274" s="28" t="str">
        <x:v>The Art &amp; Science of Foodpairing: 215</x:v>
      </x:c>
      <x:c r="AB274" s="28" t="str">
        <x:v>Ingredient pairings with Gin: blackberry</x:v>
      </x:c>
      <x:c r="AC274" s="28" t="n">
        <x:v>1</x:v>
      </x:c>
      <x:c r="AD274" s="28" t="n">
        <x:v>1</x:v>
      </x:c>
    </x:row>
    <x:row r="275" ht="58" customHeight="1">
      <x:c r="A275" s="28" t="str">
        <x:v>BER-0274</x:v>
      </x:c>
      <x:c r="B275" s="28" t="str">
        <x:v>Еда и соусы</x:v>
      </x:c>
      <x:c r="C275" s="28" t="str">
        <x:v>ежевика</x:v>
      </x:c>
      <x:c r="D275" s="28" t="str">
        <x:v>blackberry</x:v>
      </x:c>
      <x:c r="E275" s="28" t="str">
        <x:v>Ягоды и производные</x:v>
      </x:c>
      <x:c r="F275" s="28" t="str">
        <x:v>доджанг</x:v>
      </x:c>
      <x:c r="G275" s="28" t="str">
        <x:v>Doenjang</x:v>
      </x:c>
      <x:c r="H275" s="28" t="str">
        <x:v>Ферментированные продукты, соусы и уксусы</x:v>
      </x:c>
      <x:c r="I275" s="28" t="str">
        <x:v>древесный, зелёный, мускусный, тёмно-фруктовый, цветочный</x:v>
      </x:c>
      <x:c r="J275" s="28" t="str">
        <x:v>кислый, умами, ферментированный</x:v>
      </x:c>
      <x:c r="K275" s="28" t="str">
        <x:v>C6-альдегиды, иононы, линалоол, эфиры</x:v>
      </x:c>
      <x:c r="L275" s="28" t="str">
        <x:v>аминокислоты, органические кислоты, эфиры</x:v>
      </x:c>
      <x:c r="M275" s="28" t="str">
        <x:v>прямое совпадение семейств не установлено</x:v>
      </x:c>
      <x:c r="N275" s="28" t="str">
        <x:v>эфиры</x:v>
      </x:c>
      <x:c r="O275" s="28" t="str">
        <x:v>ароматическое сходство + вкусовой баланс</x:v>
      </x:c>
      <x:c r="P275" s="28" t="str">
        <x:v>Оба компонента формируют кисло-сладкий, умеренно терпкий и кислый/солёный/умами контур; сахар, кислота и горечь должны быть выровнены дегустацией.</x:v>
      </x:c>
      <x:c r="Q275" s="28" t="str">
        <x:v>Специфического тройничного эффекта обычно нет; кислотность усиливает слюноотделение.</x:v>
      </x:c>
      <x:c r="R275" s="28" t="str">
        <x:v>Ягода: пигменты и полифенолы дают цвет и терпкость. Партнёр: вода, соль и продукты ферментации. В воде аромат раскрывается быстрее, в жире и этаноле — дольше удерживается.</x:v>
      </x:c>
      <x:c r="S27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75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кислый, умами, ферментированный. Оба компонента формируют кисло-сладкий, умеренно терпкий и кислый/солёный/умами контур; сахар, кислота и горечь должны быть выровнены дегустацией. Ягода: пигменты и полифенолы дают цвет и терпкость.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7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75" s="28" t="str">
        <x:v>мёд или соевый соус</x:v>
      </x:c>
      <x:c r="W275" s="28" t="str">
        <x:v>соус, глазировка, салат, сырная подача или горячее блюдо; маринад, гастрик, чатни, кетчуп или редукция</x:v>
      </x:c>
      <x:c r="X275" s="28" t="str">
        <x:v>еда; соусы/маринады</x:v>
      </x:c>
      <x:c r="Y275" s="28" t="str">
        <x:v>Средняя</x:v>
      </x:c>
      <x:c r="Z275" s="28" t="str">
        <x:v>The Art &amp; Science of Foodpairing</x:v>
      </x:c>
      <x:c r="AA275" s="28" t="str">
        <x:v>The Art &amp; Science of Foodpairing: 246</x:v>
      </x:c>
      <x:c r="AB275" s="28" t="str">
        <x:v>Ingredient pairings with Doenjang: blackberry</x:v>
      </x:c>
      <x:c r="AC275" s="28" t="n">
        <x:v>1</x:v>
      </x:c>
      <x:c r="AD275" s="28" t="n">
        <x:v>1</x:v>
      </x:c>
    </x:row>
    <x:row r="276" ht="58" customHeight="1">
      <x:c r="A276" s="28" t="str">
        <x:v>BER-0275</x:v>
      </x:c>
      <x:c r="B276" s="28" t="str">
        <x:v>Еда и соусы</x:v>
      </x:c>
      <x:c r="C276" s="28" t="str">
        <x:v>ежевика</x:v>
      </x:c>
      <x:c r="D276" s="28" t="str">
        <x:v>blackberry</x:v>
      </x:c>
      <x:c r="E276" s="28" t="str">
        <x:v>Ягоды и производные</x:v>
      </x:c>
      <x:c r="F276" s="28" t="str">
        <x:v>зелёная фасоль</x:v>
      </x:c>
      <x:c r="G276" s="28" t="str">
        <x:v>Green Beans</x:v>
      </x:c>
      <x:c r="H276" s="28" t="str">
        <x:v>Овощи и грибы</x:v>
      </x:c>
      <x:c r="I276" s="28" t="str">
        <x:v>древесный, зелёный, мускусный, тёмно-фруктовый, цветочный</x:v>
      </x:c>
      <x:c r="J276" s="28" t="str">
        <x:v>зелёный, землистый, сернистый</x:v>
      </x:c>
      <x:c r="K276" s="28" t="str">
        <x:v>C6-альдегиды, иононы, линалоол, эфиры</x:v>
      </x:c>
      <x:c r="L276" s="28" t="str">
        <x:v>C6-альдегиды, пиразины, сернистые соединения</x:v>
      </x:c>
      <x:c r="M276" s="28" t="str">
        <x:v>зелёный</x:v>
      </x:c>
      <x:c r="N276" s="28" t="str">
        <x:v>C6-альдегиды</x:v>
      </x:c>
      <x:c r="O276" s="28" t="str">
        <x:v>ароматическое сходство + вкусовой баланс</x:v>
      </x:c>
      <x:c r="P276" s="28" t="str">
        <x:v>Оба компонента формируют кисло-сладкий, умеренно терпкий и растительный, иногда умами контур; сахар, кислота и горечь должны быть выровнены дегустацией.</x:v>
      </x:c>
      <x:c r="Q276" s="28" t="str">
        <x:v>Специфического тройничного эффекта обычно нет; кислотность усиливает слюноотделение.</x:v>
      </x:c>
      <x:c r="R276" s="28" t="str">
        <x:v>Ягода: пигменты и полифенолы дают цвет и терпкость.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27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76" s="28" t="str">
        <x:v>Прямой вероятный молекулярный мост: C6-альдегиды. Ягодный компонент несёт семейства древесный, зелёный, мускусный, тёмно-фруктовый, цветочный; партнёр — зелёный, землистый, сернистый. Оба компонента формируют кисло-сладкий, умеренно терпкий и растительный, иногда умами контур; сахар, кислота и горечь должны быть выровнены дегустацией. Ягода: пигменты и полифенолы дают цвет и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7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76" s="28" t="str">
        <x:v>уксус или мягкий сыр</x:v>
      </x:c>
      <x:c r="W276" s="28" t="str">
        <x:v>соус, глазировка, салат, сырная подача или горячее блюдо; маринад, гастрик, чатни, кетчуп или редукция</x:v>
      </x:c>
      <x:c r="X276" s="28" t="str">
        <x:v>еда; соусы/маринады</x:v>
      </x:c>
      <x:c r="Y276" s="28" t="str">
        <x:v>Средняя</x:v>
      </x:c>
      <x:c r="Z276" s="28" t="str">
        <x:v>The Art &amp; Science of Foodpairing</x:v>
      </x:c>
      <x:c r="AA276" s="28" t="str">
        <x:v>The Art &amp; Science of Foodpairing: 320</x:v>
      </x:c>
      <x:c r="AB276" s="28" t="str">
        <x:v>Ingredient pairings with Green Beans: blackberry</x:v>
      </x:c>
      <x:c r="AC276" s="28" t="n">
        <x:v>1</x:v>
      </x:c>
      <x:c r="AD276" s="28" t="n">
        <x:v>1</x:v>
      </x:c>
    </x:row>
    <x:row r="277" ht="58" customHeight="1">
      <x:c r="A277" s="28" t="str">
        <x:v>BER-0276</x:v>
      </x:c>
      <x:c r="B277" s="28" t="str">
        <x:v>Универсальные</x:v>
      </x:c>
      <x:c r="C277" s="28" t="str">
        <x:v>ежевика</x:v>
      </x:c>
      <x:c r="D277" s="28" t="str">
        <x:v>Ежевика</x:v>
      </x:c>
      <x:c r="E277" s="28" t="str">
        <x:v>Ягоды и производные</x:v>
      </x:c>
      <x:c r="F277" s="28" t="str">
        <x:v>имбирь</x:v>
      </x:c>
      <x:c r="G277" s="28" t="str">
        <x:v>имбирь</x:v>
      </x:c>
      <x:c r="H277" s="28" t="str">
        <x:v>Специи</x:v>
      </x:c>
      <x:c r="I277" s="28" t="str">
        <x:v>древесный, зелёный, мускусный, тёмно-фруктовый, цветочный</x:v>
      </x:c>
      <x:c r="J277" s="28" t="str">
        <x:v>древесный, пряный, тёплый</x:v>
      </x:c>
      <x:c r="K277" s="28" t="str">
        <x:v>C6-альдегиды, иононы, линалоол, эфиры</x:v>
      </x:c>
      <x:c r="L277" s="28" t="str">
        <x:v>коричный альдегид, терпены, эвгенол</x:v>
      </x:c>
      <x:c r="M277" s="28" t="str">
        <x:v>древесный</x:v>
      </x:c>
      <x:c r="N277" s="28" t="str">
        <x:v>не подтверждены; механизм не сводится к одной общей молекуле</x:v>
      </x:c>
      <x:c r="O277" s="28" t="str">
        <x:v>сходство ароматических семейств + комплементарность</x:v>
      </x:c>
      <x:c r="P277" s="28" t="str">
        <x:v>Ягодная сладость смягчает горечь и пряность, а кислотность делает пряный, иногда горький профиль ярче.</x:v>
      </x:c>
      <x:c r="Q277" s="28" t="str">
        <x:v>Кислотность ягоды усиливает слюноотделение, а капсаицин/пиперин/гингеролы дают тепло и покалывание; дозировка должна быть низкой.</x:v>
      </x:c>
      <x:c r="R277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7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77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77" s="28" t="str">
        <x:v>Пряность дозировать как акцент: она быстро перекрывает тонкие ягодные эфиры.</x:v>
      </x:c>
      <x:c r="V277" s="28" t="str">
        <x:v>мёд или цитрус</x:v>
      </x:c>
      <x:c r="W27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277" s="28" t="str">
        <x:v>напитки; десерты; еда; соусы/маринады</x:v>
      </x:c>
      <x:c r="Y277" s="28" t="str">
        <x:v>Средняя</x:v>
      </x:c>
      <x:c r="Z277" s="28" t="str">
        <x:v>Таблица сочетаний</x:v>
      </x:c>
      <x:c r="AA277" s="28" t="str">
        <x:v>Таблица сочетаний: 2</x:v>
      </x:c>
      <x:c r="AB277" s="28" t="str">
        <x:v>Ежевика: имбирь</x:v>
      </x:c>
      <x:c r="AC277" s="28" t="n">
        <x:v>1</x:v>
      </x:c>
      <x:c r="AD277" s="28" t="n">
        <x:v>1</x:v>
      </x:c>
    </x:row>
    <x:row r="278" ht="58" customHeight="1">
      <x:c r="A278" s="28" t="str">
        <x:v>BER-0277</x:v>
      </x:c>
      <x:c r="B278" s="28" t="str">
        <x:v>Универсальные</x:v>
      </x:c>
      <x:c r="C278" s="28" t="str">
        <x:v>ежевика</x:v>
      </x:c>
      <x:c r="D278" s="28" t="str">
        <x:v>blackberry</x:v>
      </x:c>
      <x:c r="E278" s="28" t="str">
        <x:v>Ягоды и производные</x:v>
      </x:c>
      <x:c r="F278" s="28" t="str">
        <x:v>киви</x:v>
      </x:c>
      <x:c r="G278" s="28" t="str">
        <x:v>Kiwi</x:v>
      </x:c>
      <x:c r="H278" s="28" t="str">
        <x:v>Фрукты</x:v>
      </x:c>
      <x:c r="I278" s="28" t="str">
        <x:v>древесный, зелёный, мускусный, тёмно-фруктовый, цветочный</x:v>
      </x:c>
      <x:c r="J278" s="28" t="str">
        <x:v>зелёный, фруктовый, цветочный</x:v>
      </x:c>
      <x:c r="K278" s="28" t="str">
        <x:v>C6-альдегиды, иононы, линалоол, эфиры</x:v>
      </x:c>
      <x:c r="L278" s="28" t="str">
        <x:v>лактоны, терпены, эфиры</x:v>
      </x:c>
      <x:c r="M278" s="28" t="str">
        <x:v>зелёный, цветочный</x:v>
      </x:c>
      <x:c r="N278" s="28" t="str">
        <x:v>эфиры</x:v>
      </x:c>
      <x:c r="O278" s="28" t="str">
        <x:v>ароматическое сходство + вкусовой баланс</x:v>
      </x:c>
      <x:c r="P278" s="28" t="str">
        <x:v>Оба компонента формируют кисло-сладкий, умеренно терпкий и сладко-кислый контур; сахар, кислота и горечь должны быть выровнены дегустацией.</x:v>
      </x:c>
      <x:c r="Q278" s="28" t="str">
        <x:v>Специфического тройничного эффекта обычно нет; кислотность усиливает слюноотделение.</x:v>
      </x:c>
      <x:c r="R278" s="28" t="str">
        <x:v>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</x:v>
      </x:c>
      <x:c r="S27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78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зелёный,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7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78" s="28" t="str">
        <x:v>ваниль или лимон</x:v>
      </x:c>
      <x:c r="W27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278" s="28" t="str">
        <x:v>напитки; десерты</x:v>
      </x:c>
      <x:c r="Y278" s="28" t="str">
        <x:v>Средняя</x:v>
      </x:c>
      <x:c r="Z278" s="28" t="str">
        <x:v>The Art &amp; Science of Foodpairing</x:v>
      </x:c>
      <x:c r="AA278" s="28" t="str">
        <x:v>The Art &amp; Science of Foodpairing: 42, 43</x:v>
      </x:c>
      <x:c r="AB278" s="28" t="str">
        <x:v>Ingredient pairings with Kiwi: blackberry | Ingredient pairings with Kiwi: blackberry</x:v>
      </x:c>
      <x:c r="AC278" s="28" t="n">
        <x:v>1</x:v>
      </x:c>
      <x:c r="AD278" s="28" t="n">
        <x:v>2</x:v>
      </x:c>
    </x:row>
    <x:row r="279" ht="58" customHeight="1">
      <x:c r="A279" s="28" t="str">
        <x:v>BER-0278</x:v>
      </x:c>
      <x:c r="B279" s="28" t="str">
        <x:v>Десерты и выпечка</x:v>
      </x:c>
      <x:c r="C279" s="28" t="str">
        <x:v>ежевика</x:v>
      </x:c>
      <x:c r="D279" s="28" t="str">
        <x:v>Ежевика</x:v>
      </x:c>
      <x:c r="E279" s="28" t="str">
        <x:v>Ягоды и производные</x:v>
      </x:c>
      <x:c r="F279" s="28" t="str">
        <x:v>кленовый сироп</x:v>
      </x:c>
      <x:c r="G279" s="28" t="str">
        <x:v>кленовый сироп</x:v>
      </x:c>
      <x:c r="H279" s="28" t="str">
        <x:v>Подсластители</x:v>
      </x:c>
      <x:c r="I279" s="28" t="str">
        <x:v>древесный, зелёный, мускусный, тёмно-фруктовый, цветочный</x:v>
      </x:c>
      <x:c r="J279" s="28" t="str">
        <x:v>карамельный, медовый, сладкий</x:v>
      </x:c>
      <x:c r="K279" s="28" t="str">
        <x:v>C6-альдегиды, иононы, линалоол, эфиры</x:v>
      </x:c>
      <x:c r="L279" s="28" t="str">
        <x:v>норизопреноиды, фураны, цветочные одоранты</x:v>
      </x:c>
      <x:c r="M279" s="28" t="str">
        <x:v>прямое совпадение семейств не установлено</x:v>
      </x:c>
      <x:c r="N279" s="28" t="str">
        <x:v>не подтверждены; механизм не сводится к одной общей молекуле</x:v>
      </x:c>
      <x:c r="O279" s="28" t="str">
        <x:v>контраст/комплементарность + матричный эффект</x:v>
      </x:c>
      <x:c r="P279" s="28" t="str">
        <x:v>Оба компонента формируют кисло-сладкий, умеренно терпкий и сладкий контур; сахар, кислота и горечь должны быть выровнены дегустацией.</x:v>
      </x:c>
      <x:c r="Q279" s="28" t="str">
        <x:v>Специфического тройничного эффекта обычно нет; кислотность усиливает слюноотделение.</x:v>
      </x:c>
      <x:c r="R279" s="28" t="str">
        <x:v>Ягода: пигменты и полифенолы дают цвет и терпкость. Партнёр: вязкая водная матрица снижает летучесть. В воде аромат раскрывается быстрее, в жире и этаноле — дольше удерживается.</x:v>
      </x:c>
      <x:c r="S27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7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карамельный, медовый, сладкий. Оба компонента формируют кисло-сладкий, умеренно терпкий и сладкий контур; сахар, кислота и горечь должны быть выровнены дегустацией. Ягода: пигменты и полифенолы дают цвет и терпкость. Партнёр: вязкая водная матрица снижает летучесть.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7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79" s="28" t="str">
        <x:v>цитрус или соль</x:v>
      </x:c>
      <x:c r="W27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279" s="28" t="str">
        <x:v>напитки; десерты</x:v>
      </x:c>
      <x:c r="Y279" s="28" t="str">
        <x:v>Средняя</x:v>
      </x:c>
      <x:c r="Z279" s="28" t="str">
        <x:v>Таблица сочетаний</x:v>
      </x:c>
      <x:c r="AA279" s="28" t="str">
        <x:v>Таблица сочетаний: 2</x:v>
      </x:c>
      <x:c r="AB279" s="28" t="str">
        <x:v>Ежевика: кленовый сироп</x:v>
      </x:c>
      <x:c r="AC279" s="28" t="n">
        <x:v>1</x:v>
      </x:c>
      <x:c r="AD279" s="28" t="n">
        <x:v>1</x:v>
      </x:c>
    </x:row>
    <x:row r="280" ht="58" customHeight="1">
      <x:c r="A280" s="28" t="str">
        <x:v>BER-0279</x:v>
      </x:c>
      <x:c r="B280" s="28" t="str">
        <x:v>Универсальные</x:v>
      </x:c>
      <x:c r="C280" s="28" t="str">
        <x:v>ежевика</x:v>
      </x:c>
      <x:c r="D280" s="28" t="str">
        <x:v>Ежевика</x:v>
      </x:c>
      <x:c r="E280" s="28" t="str">
        <x:v>Ягоды и производные</x:v>
      </x:c>
      <x:c r="F280" s="28" t="str">
        <x:v>клубника</x:v>
      </x:c>
      <x:c r="G280" s="28" t="str">
        <x:v>клубника</x:v>
      </x:c>
      <x:c r="H280" s="28" t="str">
        <x:v>Ягоды и производные</x:v>
      </x:c>
      <x:c r="I280" s="28" t="str">
        <x:v>древесный, зелёный, мускусный, тёмно-фруктовый, цветочный</x:v>
      </x:c>
      <x:c r="J280" s="28" t="str">
        <x:v>зелёный, карамельный, сливочный, фруктовый, цветочный</x:v>
      </x:c>
      <x:c r="K280" s="28" t="str">
        <x:v>C6-альдегиды, иононы, линалоол, эфиры</x:v>
      </x:c>
      <x:c r="L280" s="28" t="str">
        <x:v>линалоол, мезифуран, фуранеол, цис-3-гексеналь, этилбутират</x:v>
      </x:c>
      <x:c r="M280" s="28" t="str">
        <x:v>зелёный, цветочный</x:v>
      </x:c>
      <x:c r="N280" s="28" t="str">
        <x:v>линалоол</x:v>
      </x:c>
      <x:c r="O280" s="28" t="str">
        <x:v>ароматическое сходство + вкусовой баланс</x:v>
      </x:c>
      <x:c r="P280" s="28" t="str">
        <x:v>Оба компонента формируют кисло-сладкий, умеренно терпкий и сладко-кислый контур; сахар, кислота и горечь должны быть выровнены дегустацией.</x:v>
      </x:c>
      <x:c r="Q280" s="28" t="str">
        <x:v>Специфического тройничного эффекта обычно нет; кислотность усиливает слюноотделение.</x:v>
      </x:c>
      <x:c r="R280" s="28" t="str">
        <x:v>Ягода: пигменты и полифенолы дают цвет и терпкость. Партнёр: высокая доля воды; аромат чувствителен к перегреву. В воде аромат раскрывается быстрее, в жире и этаноле — дольше удерживается.</x:v>
      </x:c>
      <x:c r="S28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80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карамельный, сливочный,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высокая доля воды; аромат чувствителен к перегреву.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8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80" s="28" t="str">
        <x:v>ваниль или роза</x:v>
      </x:c>
      <x:c r="W28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280" s="28" t="str">
        <x:v>напитки; десерты</x:v>
      </x:c>
      <x:c r="Y280" s="28" t="str">
        <x:v>Средняя</x:v>
      </x:c>
      <x:c r="Z280" s="28" t="str">
        <x:v>Таблица сочетаний</x:v>
      </x:c>
      <x:c r="AA280" s="28" t="str">
        <x:v>Таблица сочетаний: 3</x:v>
      </x:c>
      <x:c r="AB280" s="28" t="str">
        <x:v>Ежевика: клубника</x:v>
      </x:c>
      <x:c r="AC280" s="28" t="n">
        <x:v>1</x:v>
      </x:c>
      <x:c r="AD280" s="28" t="n">
        <x:v>1</x:v>
      </x:c>
    </x:row>
    <x:row r="281" ht="58" customHeight="1">
      <x:c r="A281" s="28" t="str">
        <x:v>BER-0280</x:v>
      </x:c>
      <x:c r="B281" s="28" t="str">
        <x:v>Десерты и выпечка</x:v>
      </x:c>
      <x:c r="C281" s="28" t="str">
        <x:v>ежевика</x:v>
      </x:c>
      <x:c r="D281" s="28" t="str">
        <x:v>Ежевика | ежевика</x:v>
      </x:c>
      <x:c r="E281" s="28" t="str">
        <x:v>Ягоды и производные</x:v>
      </x:c>
      <x:c r="F281" s="28" t="str">
        <x:v>козий сыр</x:v>
      </x:c>
      <x:c r="G281" s="28" t="str">
        <x:v>Козий сыр | козий сыр</x:v>
      </x:c>
      <x:c r="H281" s="28" t="str">
        <x:v>Молочные продукты и сыры</x:v>
      </x:c>
      <x:c r="I281" s="28" t="str">
        <x:v>древесный, зелёный, мускусный, тёмно-фруктовый, цветочный</x:v>
      </x:c>
      <x:c r="J281" s="28" t="str">
        <x:v>масляный, молочный, сливочный, сырный</x:v>
      </x:c>
      <x:c r="K281" s="28" t="str">
        <x:v>C6-альдегиды, иононы, линалоол, эфиры</x:v>
      </x:c>
      <x:c r="L281" s="28" t="str">
        <x:v>диацетил, жирные кислоты, лактоны</x:v>
      </x:c>
      <x:c r="M281" s="28" t="str">
        <x:v>прямое совпадение семейств не установлено</x:v>
      </x:c>
      <x:c r="N281" s="28" t="str">
        <x:v>не подтверждены; механизм не сводится к одной общей молекуле</x:v>
      </x:c>
      <x:c r="O281" s="28" t="str">
        <x:v>контраст/комплементарность + матричный эффект</x:v>
      </x:c>
      <x:c r="P281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281" s="28" t="str">
        <x:v>Специфического тройничного эффекта обычно нет; кислотность усиливает слюноотделение.</x:v>
      </x:c>
      <x:c r="R281" s="28" t="str">
        <x:v>Жировая фаза удерживает гидрофобные одоранты и продлевает послевкусие; кислотность ягод повышает слюноотделение.</x:v>
      </x:c>
      <x:c r="S28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28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281" s="28" t="str">
        <x:v>Высокая кислотность может свернуть молочный белок; смешивать при контролируемой температуре.</x:v>
      </x:c>
      <x:c r="V281" s="28" t="str">
        <x:v>мёд или миндаль</x:v>
      </x:c>
      <x:c r="W281" s="28" t="str">
        <x:v>сорбет, крем, ганаш, выпечка, джем или соус для десерта; соус, глазировка, салат, сырная подача или горячее блюдо</x:v>
      </x:c>
      <x:c r="X281" s="28" t="str">
        <x:v>десерты; еда</x:v>
      </x:c>
      <x:c r="Y281" s="28" t="str">
        <x:v>Высокая</x:v>
      </x:c>
      <x:c r="Z281" s="28" t="str">
        <x:v>Тезариус вкусов</x:v>
      </x:c>
      <x:c r="AA281" s="28" t="str">
        <x:v>Тезариус вкусов: 139, 880</x:v>
      </x:c>
      <x:c r="AB281" s="28" t="str">
        <x:v>Козий сыр и ежевика. Банон (banon), точнее банон а-ля Фёй (banon à la feuille), – это французский козий сыр, который в ходе приготовления погружают в о-де- ви, а потом заворачивают в листья каштана. Он будет готов примерно через три недели после обертывания, но если оставить его вызревать чуть дольше, то в сы- ре разовьются богатые фруктовые и древесные нотки, а сам он начнет по виду напоминать ежевику – вплоть до волосков на поверхности | Ежевика и козий сыр. См. Козий сыр и ежевика</x:v>
      </x:c>
      <x:c r="AC281" s="28" t="n">
        <x:v>1</x:v>
      </x:c>
      <x:c r="AD281" s="28" t="n">
        <x:v>2</x:v>
      </x:c>
    </x:row>
    <x:row r="282" ht="58" customHeight="1">
      <x:c r="A282" s="28" t="str">
        <x:v>BER-0281</x:v>
      </x:c>
      <x:c r="B282" s="28" t="str">
        <x:v>Универсальные</x:v>
      </x:c>
      <x:c r="C282" s="28" t="str">
        <x:v>ежевика</x:v>
      </x:c>
      <x:c r="D282" s="28" t="str">
        <x:v>blackberry | Ежевика</x:v>
      </x:c>
      <x:c r="E282" s="28" t="str">
        <x:v>Ягоды и производные</x:v>
      </x:c>
      <x:c r="F282" s="28" t="str">
        <x:v>корица</x:v>
      </x:c>
      <x:c r="G282" s="28" t="str">
        <x:v>Cinnamon | корица</x:v>
      </x:c>
      <x:c r="H282" s="28" t="str">
        <x:v>Специи</x:v>
      </x:c>
      <x:c r="I282" s="28" t="str">
        <x:v>древесный, зелёный, мускусный, тёмно-фруктовый, цветочный</x:v>
      </x:c>
      <x:c r="J282" s="28" t="str">
        <x:v>древесный, пряный, тёплый</x:v>
      </x:c>
      <x:c r="K282" s="28" t="str">
        <x:v>C6-альдегиды, иононы, линалоол, эфиры</x:v>
      </x:c>
      <x:c r="L282" s="28" t="str">
        <x:v>коричный альдегид, терпены, эвгенол</x:v>
      </x:c>
      <x:c r="M282" s="28" t="str">
        <x:v>древесный</x:v>
      </x:c>
      <x:c r="N282" s="28" t="str">
        <x:v>не подтверждены; механизм не сводится к одной общей молекуле</x:v>
      </x:c>
      <x:c r="O282" s="28" t="str">
        <x:v>сходство ароматических семейств + комплементарность</x:v>
      </x:c>
      <x:c r="P282" s="28" t="str">
        <x:v>Ягодная сладость смягчает горечь и пряность, а кислотность делает пряный, иногда горький профиль ярче.</x:v>
      </x:c>
      <x:c r="Q282" s="28" t="str">
        <x:v>Специфического тройничного эффекта обычно нет; кислотность усиливает слюноотделение.</x:v>
      </x:c>
      <x:c r="R282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8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82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82" s="28" t="str">
        <x:v>Пряность дозировать как акцент: она быстро перекрывает тонкие ягодные эфиры.</x:v>
      </x:c>
      <x:c r="V282" s="28" t="str">
        <x:v>мёд или цитрус</x:v>
      </x:c>
      <x:c r="W28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282" s="28" t="str">
        <x:v>напитки; десерты; еда; соусы/маринады</x:v>
      </x:c>
      <x:c r="Y282" s="28" t="str">
        <x:v>Высокая</x:v>
      </x:c>
      <x:c r="Z282" s="28" t="str">
        <x:v>The Art &amp; Science of Foodpairing; Таблица сочетаний</x:v>
      </x:c>
      <x:c r="AA282" s="28" t="str">
        <x:v>The Art &amp; Science of Foodpairing: 131; Таблица сочетаний: 2</x:v>
      </x:c>
      <x:c r="AB282" s="28" t="str">
        <x:v>Ежевика: корица | Ingredient pairings with Cinnamon: blackberry</x:v>
      </x:c>
      <x:c r="AC282" s="28" t="n">
        <x:v>2</x:v>
      </x:c>
      <x:c r="AD282" s="28" t="n">
        <x:v>2</x:v>
      </x:c>
    </x:row>
    <x:row r="283" ht="58" customHeight="1">
      <x:c r="A283" s="28" t="str">
        <x:v>BER-0282</x:v>
      </x:c>
      <x:c r="B283" s="28" t="str">
        <x:v>Напитки</x:v>
      </x:c>
      <x:c r="C283" s="28" t="str">
        <x:v>ежевика</x:v>
      </x:c>
      <x:c r="D283" s="28" t="str">
        <x:v>blackberry</x:v>
      </x:c>
      <x:c r="E283" s="28" t="str">
        <x:v>Ягоды и производные</x:v>
      </x:c>
      <x:c r="F283" s="28" t="str">
        <x:v>лимон и лайм</x:v>
      </x:c>
      <x:c r="G283" s="28" t="str">
        <x:v>Lemon&amp;Lime</x:v>
      </x:c>
      <x:c r="H283" s="28" t="str">
        <x:v>Цитрусовые</x:v>
      </x:c>
      <x:c r="I283" s="28" t="str">
        <x:v>древесный, зелёный, мускусный, тёмно-фруктовый, цветочный</x:v>
      </x:c>
      <x:c r="J283" s="28" t="str">
        <x:v>зелёный, цветочный, цитрусовый</x:v>
      </x:c>
      <x:c r="K283" s="28" t="str">
        <x:v>C6-альдегиды, иононы, линалоол, эфиры</x:v>
      </x:c>
      <x:c r="L283" s="28" t="str">
        <x:v>лимонен, линалоол, цитраль</x:v>
      </x:c>
      <x:c r="M283" s="28" t="str">
        <x:v>зелёный, цветочный</x:v>
      </x:c>
      <x:c r="N283" s="28" t="str">
        <x:v>линалоол</x:v>
      </x:c>
      <x:c r="O283" s="28" t="str">
        <x:v>ароматическое сходство + вкусовой баланс</x:v>
      </x:c>
      <x:c r="P283" s="28" t="str">
        <x:v>Оба компонента формируют кисло-сладкий, умеренно терпкий и кислый, свежий контур; сахар, кислота и горечь должны быть выровнены дегустацией.</x:v>
      </x:c>
      <x:c r="Q283" s="28" t="str">
        <x:v>Специфического тройничного эффекта обычно нет; кислотность усиливает слюноотделение.</x:v>
      </x:c>
      <x:c r="R283" s="28" t="str">
        <x:v>Ягода: пигменты и полифенолы дают цвет и терпкость. Партнёр: вода и эфирные масла; цедра гидрофобна. В воде аромат раскрывается быстрее, в жире и этаноле — дольше удерживается.</x:v>
      </x:c>
      <x:c r="S28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83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цветочный, цитрусовый. Оба компонента формируют кисло-сладкий, умеренно терпкий и кислый, свежий контур; сахар, кислота и горечь должны быть выровнены дегустацией. Ягода: пигменты и полифенолы дают цвет и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8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83" s="28" t="str">
        <x:v>мёд или базилик</x:v>
      </x:c>
      <x:c r="W283" s="28" t="str">
        <x:v>кордиал, лимонад, чай, коктейль, настой или ферментированный напиток; маринад, гастрик, чатни, кетчуп или редукция</x:v>
      </x:c>
      <x:c r="X283" s="28" t="str">
        <x:v>напитки; соусы/маринады</x:v>
      </x:c>
      <x:c r="Y283" s="28" t="str">
        <x:v>Средняя</x:v>
      </x:c>
      <x:c r="Z283" s="28" t="str">
        <x:v>The Art &amp; Science of Foodpairing</x:v>
      </x:c>
      <x:c r="AA283" s="28" t="str">
        <x:v>The Art &amp; Science of Foodpairing: 87, 89</x:v>
      </x:c>
      <x:c r="AB283" s="28" t="str">
        <x:v>Ingredient pairings with Lemon&amp;Lime: blackberry | Ingredient pairings with Lemon&amp;Lime: blackberry</x:v>
      </x:c>
      <x:c r="AC283" s="28" t="n">
        <x:v>1</x:v>
      </x:c>
      <x:c r="AD283" s="28" t="n">
        <x:v>2</x:v>
      </x:c>
    </x:row>
    <x:row r="284" ht="58" customHeight="1">
      <x:c r="A284" s="28" t="str">
        <x:v>BER-0283</x:v>
      </x:c>
      <x:c r="B284" s="28" t="str">
        <x:v>Напитки</x:v>
      </x:c>
      <x:c r="C284" s="28" t="str">
        <x:v>ежевика</x:v>
      </x:c>
      <x:c r="D284" s="28" t="str">
        <x:v>ежевика</x:v>
      </x:c>
      <x:c r="E284" s="28" t="str">
        <x:v>Ягоды и производные</x:v>
      </x:c>
      <x:c r="F284" s="28" t="str">
        <x:v>лимонный тимьян</x:v>
      </x:c>
      <x:c r="G284" s="28" t="str">
        <x:v>Лимонный тимьян</x:v>
      </x:c>
      <x:c r="H284" s="28" t="str">
        <x:v>Цитрусовые</x:v>
      </x:c>
      <x:c r="I284" s="28" t="str">
        <x:v>древесный, зелёный, мускусный, тёмно-фруктовый, цветочный</x:v>
      </x:c>
      <x:c r="J284" s="28" t="str">
        <x:v>зелёный, цветочный, цитрусовый</x:v>
      </x:c>
      <x:c r="K284" s="28" t="str">
        <x:v>C6-альдегиды, иононы, линалоол, эфиры</x:v>
      </x:c>
      <x:c r="L284" s="28" t="str">
        <x:v>лимонен, линалоол, цитраль</x:v>
      </x:c>
      <x:c r="M284" s="28" t="str">
        <x:v>зелёный, цветочный</x:v>
      </x:c>
      <x:c r="N284" s="28" t="str">
        <x:v>линалоол</x:v>
      </x:c>
      <x:c r="O284" s="28" t="str">
        <x:v>ароматическое сходство + вкусовой баланс</x:v>
      </x:c>
      <x:c r="P284" s="28" t="str">
        <x:v>Оба компонента формируют кисло-сладкий, умеренно терпкий и кислый, свежий контур; сахар, кислота и горечь должны быть выровнены дегустацией.</x:v>
      </x:c>
      <x:c r="Q284" s="28" t="str">
        <x:v>Специфического тройничного эффекта обычно нет; кислотность усиливает слюноотделение.</x:v>
      </x:c>
      <x:c r="R284" s="28" t="str">
        <x:v>Ягода: пигменты и полифенолы дают цвет и терпкость. Партнёр: вода и эфирные масла; цедра гидрофобна. В воде аромат раскрывается быстрее, в жире и этаноле — дольше удерживается.</x:v>
      </x:c>
      <x:c r="S28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84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цветочный, цитрусовый. Оба компонента формируют кисло-сладкий, умеренно терпкий и кислый, свежий контур; сахар, кислота и горечь должны быть выровнены дегустацией. Ягода: пигменты и полифенолы дают цвет и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8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84" s="28" t="str">
        <x:v>мёд или базилик</x:v>
      </x:c>
      <x:c r="W284" s="28" t="str">
        <x:v>кордиал, лимонад, чай, коктейль, настой или ферментированный напиток; маринад, гастрик, чатни, кетчуп или редукция</x:v>
      </x:c>
      <x:c r="X284" s="28" t="str">
        <x:v>напитки; соусы/маринады</x:v>
      </x:c>
      <x:c r="Y284" s="28" t="str">
        <x:v>Средняя</x:v>
      </x:c>
      <x:c r="Z284" s="28" t="str">
        <x:v>Таблица сочетаний</x:v>
      </x:c>
      <x:c r="AA284" s="28" t="str">
        <x:v>Таблица сочетаний: 11</x:v>
      </x:c>
      <x:c r="AB284" s="28" t="str">
        <x:v>Лимонный тимьян: ежевика</x:v>
      </x:c>
      <x:c r="AC284" s="28" t="n">
        <x:v>1</x:v>
      </x:c>
      <x:c r="AD284" s="28" t="n">
        <x:v>1</x:v>
      </x:c>
    </x:row>
    <x:row r="285" ht="58" customHeight="1">
      <x:c r="A285" s="28" t="str">
        <x:v>BER-0284</x:v>
      </x:c>
      <x:c r="B285" s="28" t="str">
        <x:v>Универсальные</x:v>
      </x:c>
      <x:c r="C285" s="28" t="str">
        <x:v>ежевика</x:v>
      </x:c>
      <x:c r="D285" s="28" t="str">
        <x:v>Ежевика | ежевика</x:v>
      </x:c>
      <x:c r="E285" s="28" t="str">
        <x:v>Ягоды и производные</x:v>
      </x:c>
      <x:c r="F285" s="28" t="str">
        <x:v>малина</x:v>
      </x:c>
      <x:c r="G285" s="28" t="str">
        <x:v>Малина | малина</x:v>
      </x:c>
      <x:c r="H285" s="28" t="str">
        <x:v>Ягоды и производные</x:v>
      </x:c>
      <x:c r="I285" s="28" t="str">
        <x:v>древесный, зелёный, мускусный, тёмно-фруктовый, цветочный</x:v>
      </x:c>
      <x:c r="J285" s="28" t="str">
        <x:v>древесный, зелёный, фиалковый, фруктовый, цветочный</x:v>
      </x:c>
      <x:c r="K285" s="28" t="str">
        <x:v>C6-альдегиды, иононы, линалоол, эфиры</x:v>
      </x:c>
      <x:c r="L285" s="28" t="str">
        <x:v>альфа-ионон, бета-ионон, гераниол, линалоол, малиновый кетон</x:v>
      </x:c>
      <x:c r="M285" s="28" t="str">
        <x:v>древесный, зелёный, цветочный</x:v>
      </x:c>
      <x:c r="N285" s="28" t="str">
        <x:v>линалоол</x:v>
      </x:c>
      <x:c r="O285" s="28" t="str">
        <x:v>ароматическое сходство + вкусовой баланс</x:v>
      </x:c>
      <x:c r="P285" s="28" t="str">
        <x:v>Оба компонента формируют кисло-сладкий, умеренно терпкий и кисло-сладкий контур; сахар, кислота и горечь должны быть выровнены дегустацией.</x:v>
      </x:c>
      <x:c r="Q285" s="28" t="str">
        <x:v>Специфического тройничного эффекта обычно нет; кислотность усиливает слюноотделение.</x:v>
      </x:c>
      <x:c r="R285" s="28" t="str">
        <x:v>Ягода: пигменты и полифенолы дают цвет и терпкость. Партнёр: семена добавляют древесность и лёгкую терпкость. В воде аромат раскрывается быстрее, в жире и этаноле — дольше удерживается.</x:v>
      </x:c>
      <x:c r="S28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85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древесный, зелёный, фиалковый, фруктовый, цветочный. Оба компонента формируют кисло-сладкий, умеренно терпкий и кисло-сладкий контур; сахар, кислота и горечь должны быть выровнены дегустацией. Ягода: пигменты и полифенолы дают цвет и терпкость. Партнёр: семена добавляют древесность и лёгкую терпкость.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8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85" s="28" t="str">
        <x:v>ваниль или роза</x:v>
      </x:c>
      <x:c r="W28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285" s="28" t="str">
        <x:v>напитки; десерты</x:v>
      </x:c>
      <x:c r="Y285" s="28" t="str">
        <x:v>Высокая</x:v>
      </x:c>
      <x:c r="Z285" s="28" t="str">
        <x:v>Таблица сочетаний; Тезариус вкусов</x:v>
      </x:c>
      <x:c r="AA285" s="28" t="str">
        <x:v>Тезариус вкусов: 881, 887; Таблица сочетаний: 3</x:v>
      </x:c>
      <x:c r="AB285" s="28" t="str">
        <x:v>Ежевика и малина. Являясь представителями од- ного биологического рода, ежевика и малина имеют сходные вкусовые характеристики. Что же касается различий, то наиболее ярко они проявляются в му- скусности ежевики и ее склонности к демонстрации изысканных нот кедра. Чтобы окончательно нас за- путать, придуманы также черная малина и красная ежевика. Впрочем, существует безошибочный способ отличить один вид от другого: нужно понять, имеет- ся ли у сорванной ягоды сердцевина. Малина отры- вается от куста совершенно чистой, оставляя внутри себя характерную полость (в которую я так любила заглядывать в детстве), тогда как ежевика сохраня- ет свою дре | Малина и ежевика. См. Ежевика и малина | Ежевика: малина</x:v>
      </x:c>
      <x:c r="AC285" s="28" t="n">
        <x:v>2</x:v>
      </x:c>
      <x:c r="AD285" s="28" t="n">
        <x:v>3</x:v>
      </x:c>
    </x:row>
    <x:row r="286" ht="58" customHeight="1">
      <x:c r="A286" s="28" t="str">
        <x:v>BER-0285</x:v>
      </x:c>
      <x:c r="B286" s="28" t="str">
        <x:v>Универсальные</x:v>
      </x:c>
      <x:c r="C286" s="28" t="str">
        <x:v>ежевика</x:v>
      </x:c>
      <x:c r="D286" s="28" t="str">
        <x:v>Ежевика</x:v>
      </x:c>
      <x:c r="E286" s="28" t="str">
        <x:v>Ягоды и производные</x:v>
      </x:c>
      <x:c r="F286" s="28" t="str">
        <x:v>манго</x:v>
      </x:c>
      <x:c r="G286" s="28" t="str">
        <x:v>манго</x:v>
      </x:c>
      <x:c r="H286" s="28" t="str">
        <x:v>Фрукты</x:v>
      </x:c>
      <x:c r="I286" s="28" t="str">
        <x:v>древесный, зелёный, мускусный, тёмно-фруктовый, цветочный</x:v>
      </x:c>
      <x:c r="J286" s="28" t="str">
        <x:v>зелёный, фруктовый, цветочный</x:v>
      </x:c>
      <x:c r="K286" s="28" t="str">
        <x:v>C6-альдегиды, иононы, линалоол, эфиры</x:v>
      </x:c>
      <x:c r="L286" s="28" t="str">
        <x:v>лактоны, терпены, эфиры</x:v>
      </x:c>
      <x:c r="M286" s="28" t="str">
        <x:v>зелёный, цветочный</x:v>
      </x:c>
      <x:c r="N286" s="28" t="str">
        <x:v>эфиры</x:v>
      </x:c>
      <x:c r="O286" s="28" t="str">
        <x:v>ароматическое сходство + вкусовой баланс</x:v>
      </x:c>
      <x:c r="P286" s="28" t="str">
        <x:v>Оба компонента формируют кисло-сладкий, умеренно терпкий и сладко-кислый контур; сахар, кислота и горечь должны быть выровнены дегустацией.</x:v>
      </x:c>
      <x:c r="Q286" s="28" t="str">
        <x:v>Специфического тройничного эффекта обычно нет; кислотность усиливает слюноотделение.</x:v>
      </x:c>
      <x:c r="R286" s="28" t="str">
        <x:v>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</x:v>
      </x:c>
      <x:c r="S28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86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зелёный,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8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86" s="28" t="str">
        <x:v>ваниль или лимон</x:v>
      </x:c>
      <x:c r="W28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286" s="28" t="str">
        <x:v>напитки; десерты</x:v>
      </x:c>
      <x:c r="Y286" s="28" t="str">
        <x:v>Средняя</x:v>
      </x:c>
      <x:c r="Z286" s="28" t="str">
        <x:v>Таблица сочетаний</x:v>
      </x:c>
      <x:c r="AA286" s="28" t="str">
        <x:v>Таблица сочетаний: 2</x:v>
      </x:c>
      <x:c r="AB286" s="28" t="str">
        <x:v>Ежевика: манго</x:v>
      </x:c>
      <x:c r="AC286" s="28" t="n">
        <x:v>1</x:v>
      </x:c>
      <x:c r="AD286" s="28" t="n">
        <x:v>1</x:v>
      </x:c>
    </x:row>
    <x:row r="287" ht="58" customHeight="1">
      <x:c r="A287" s="28" t="str">
        <x:v>BER-0286</x:v>
      </x:c>
      <x:c r="B287" s="28" t="str">
        <x:v>Универсальные</x:v>
      </x:c>
      <x:c r="C287" s="28" t="str">
        <x:v>ежевика</x:v>
      </x:c>
      <x:c r="D287" s="28" t="str">
        <x:v>Ежевика</x:v>
      </x:c>
      <x:c r="E287" s="28" t="str">
        <x:v>Ягоды и производные</x:v>
      </x:c>
      <x:c r="F287" s="28" t="str">
        <x:v>мёд</x:v>
      </x:c>
      <x:c r="G287" s="28" t="str">
        <x:v>мёд</x:v>
      </x:c>
      <x:c r="H287" s="28" t="str">
        <x:v>Прочее</x:v>
      </x:c>
      <x:c r="I287" s="28" t="str">
        <x:v>древесный, зелёный, мускусный, тёмно-фруктовый, цветочный</x:v>
      </x:c>
      <x:c r="J287" s="28" t="str">
        <x:v>комплексный</x:v>
      </x:c>
      <x:c r="K287" s="28" t="str">
        <x:v>C6-альдегиды, иононы, линалоол, эфиры</x:v>
      </x:c>
      <x:c r="L287" s="28" t="str">
        <x:v>нет надёжной конкретизации</x:v>
      </x:c>
      <x:c r="M287" s="28" t="str">
        <x:v>прямое совпадение семейств не установлено</x:v>
      </x:c>
      <x:c r="N287" s="28" t="str">
        <x:v>не подтверждены; механизм не сводится к одной общей молекуле</x:v>
      </x:c>
      <x:c r="O287" s="28" t="str">
        <x:v>контраст/комплементарность + матричный эффект</x:v>
      </x:c>
      <x:c r="P287" s="28" t="str">
        <x:v>Оба компонента формируют кисло-сладкий, умеренно терпкий и зависит от ингредиента контур; сахар, кислота и горечь должны быть выровнены дегустацией.</x:v>
      </x:c>
      <x:c r="Q287" s="28" t="str">
        <x:v>Специфического тройничного эффекта обычно нет; кислотность усиливает слюноотделение.</x:v>
      </x:c>
      <x:c r="R287" s="28" t="str">
        <x:v>Ягода: пигменты и полифенолы дают цвет и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28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8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комплексный. Оба компонента формируют кисло-сладкий, умеренно терпкий и зависит от ингредиента контур; сахар, кислота и горечь должны быть выровнены дегустацией. Ягода: пигменты и полифенолы дают цвет и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8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87" s="28" t="str">
        <x:v>лимон или ваниль</x:v>
      </x:c>
      <x:c r="W287" s="28" t="str">
        <x:v>сенсорная проба в малой дозировке</x:v>
      </x:c>
      <x:c r="X287" s="28" t="str">
        <x:v>универсально</x:v>
      </x:c>
      <x:c r="Y287" s="28" t="str">
        <x:v>Средняя</x:v>
      </x:c>
      <x:c r="Z287" s="28" t="str">
        <x:v>Таблица сочетаний</x:v>
      </x:c>
      <x:c r="AA287" s="28" t="str">
        <x:v>Таблица сочетаний: 2</x:v>
      </x:c>
      <x:c r="AB287" s="28" t="str">
        <x:v>Ежевика: мёд</x:v>
      </x:c>
      <x:c r="AC287" s="28" t="n">
        <x:v>1</x:v>
      </x:c>
      <x:c r="AD287" s="28" t="n">
        <x:v>1</x:v>
      </x:c>
    </x:row>
    <x:row r="288" ht="58" customHeight="1">
      <x:c r="A288" s="28" t="str">
        <x:v>BER-0287</x:v>
      </x:c>
      <x:c r="B288" s="28" t="str">
        <x:v>Десерты и выпечка</x:v>
      </x:c>
      <x:c r="C288" s="28" t="str">
        <x:v>ежевика</x:v>
      </x:c>
      <x:c r="D288" s="28" t="str">
        <x:v>blackberry | Ежевика | ежевика</x:v>
      </x:c>
      <x:c r="E288" s="28" t="str">
        <x:v>Ягоды и производные</x:v>
      </x:c>
      <x:c r="F288" s="28" t="str">
        <x:v>миндаль</x:v>
      </x:c>
      <x:c r="G288" s="28" t="str">
        <x:v>Almond | Миндаль | миндаль</x:v>
      </x:c>
      <x:c r="H288" s="28" t="str">
        <x:v>Орехи и семена</x:v>
      </x:c>
      <x:c r="I288" s="28" t="str">
        <x:v>древесный, зелёный, мускусный, тёмно-фруктовый, цветочный</x:v>
      </x:c>
      <x:c r="J288" s="28" t="str">
        <x:v>жареный, миндальный, ореховый</x:v>
      </x:c>
      <x:c r="K288" s="28" t="str">
        <x:v>C6-альдегиды, иононы, линалоол, эфиры</x:v>
      </x:c>
      <x:c r="L288" s="28" t="str">
        <x:v>бензальдегид, пиразины, фураны</x:v>
      </x:c>
      <x:c r="M288" s="28" t="str">
        <x:v>прямое совпадение семейств не установлено</x:v>
      </x:c>
      <x:c r="N288" s="28" t="str">
        <x:v>не подтверждены; механизм не сводится к одной общей молекуле</x:v>
      </x:c>
      <x:c r="O288" s="28" t="str">
        <x:v>контраст/комплементарность + матричный эффект</x:v>
      </x:c>
      <x:c r="P288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288" s="28" t="str">
        <x:v>Специфического тройничного эффекта обычно нет; кислотность усиливает слюноотделение.</x:v>
      </x:c>
      <x:c r="R288" s="28" t="str">
        <x:v>Жировая фаза удерживает гидрофобные одоранты и продлевает послевкусие; кислотность ягод повышает слюноотделение.</x:v>
      </x:c>
      <x:c r="S28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8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8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88" s="28" t="str">
        <x:v>ваниль или сливки</x:v>
      </x:c>
      <x:c r="W288" s="28" t="str">
        <x:v>сорбет, крем, ганаш, выпечка, джем или соус для десерта</x:v>
      </x:c>
      <x:c r="X288" s="28" t="str">
        <x:v>десерты</x:v>
      </x:c>
      <x:c r="Y288" s="28" t="str">
        <x:v>Высокая</x:v>
      </x:c>
      <x:c r="Z288" s="28" t="str">
        <x:v>The Art &amp; Science of Foodpairing; Тезариус вкусов</x:v>
      </x:c>
      <x:c r="AA288" s="28" t="str">
        <x:v>Тезариус вкусов: 642, 882; The Art &amp; Science of Foodpairing: 347</x:v>
      </x:c>
      <x:c r="AB288" s="28" t="str">
        <x:v>Миндаль и ежевика. Ничто не дается бесплатно. За невиданное изобилие вкусной чернильно-черной ежевики в конце лета вы заплатите невыводимыми пятнами на джемпере и разводами на юбке. В приве- денном ниже рецепте крамбла из ежевики с минда- лем сладость последнего несколько успокаивает ди- кую пряность первой. Возьмите глубокую миску диа- метром 21 см и насыпьте в нее слой ежевики толщи- ной 3–4 см. Посыпьте ежевику 2 ст. л. сахара. В другой | Ежевика и миндаль. См. Миндаль и ежевика | Ingredient pairings with Almond: blackberry | Ingredient pairings with Almond: blackberry</x:v>
      </x:c>
      <x:c r="AC288" s="28" t="n">
        <x:v>2</x:v>
      </x:c>
      <x:c r="AD288" s="28" t="n">
        <x:v>4</x:v>
      </x:c>
    </x:row>
    <x:row r="289" ht="58" customHeight="1">
      <x:c r="A289" s="28" t="str">
        <x:v>BER-0288</x:v>
      </x:c>
      <x:c r="B289" s="28" t="str">
        <x:v>Еда и соусы</x:v>
      </x:c>
      <x:c r="C289" s="28" t="str">
        <x:v>ежевика</x:v>
      </x:c>
      <x:c r="D289" s="28" t="str">
        <x:v>blackberry</x:v>
      </x:c>
      <x:c r="E289" s="28" t="str">
        <x:v>Ягоды и производные</x:v>
      </x:c>
      <x:c r="F289" s="28" t="str">
        <x:v>морковь</x:v>
      </x:c>
      <x:c r="G289" s="28" t="str">
        <x:v>Carrot</x:v>
      </x:c>
      <x:c r="H289" s="28" t="str">
        <x:v>Овощи и грибы</x:v>
      </x:c>
      <x:c r="I289" s="28" t="str">
        <x:v>древесный, зелёный, мускусный, тёмно-фруктовый, цветочный</x:v>
      </x:c>
      <x:c r="J289" s="28" t="str">
        <x:v>зелёный, землистый, сернистый</x:v>
      </x:c>
      <x:c r="K289" s="28" t="str">
        <x:v>C6-альдегиды, иононы, линалоол, эфиры</x:v>
      </x:c>
      <x:c r="L289" s="28" t="str">
        <x:v>C6-альдегиды, пиразины, сернистые соединения</x:v>
      </x:c>
      <x:c r="M289" s="28" t="str">
        <x:v>зелёный</x:v>
      </x:c>
      <x:c r="N289" s="28" t="str">
        <x:v>C6-альдегиды</x:v>
      </x:c>
      <x:c r="O289" s="28" t="str">
        <x:v>ароматическое сходство + вкусовой баланс</x:v>
      </x:c>
      <x:c r="P289" s="28" t="str">
        <x:v>Оба компонента формируют кисло-сладкий, умеренно терпкий и растительный, иногда умами контур; сахар, кислота и горечь должны быть выровнены дегустацией.</x:v>
      </x:c>
      <x:c r="Q289" s="28" t="str">
        <x:v>Специфического тройничного эффекта обычно нет; кислотность усиливает слюноотделение.</x:v>
      </x:c>
      <x:c r="R289" s="28" t="str">
        <x:v>Ягода: пигменты и полифенолы дают цвет и терпкость.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28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89" s="28" t="str">
        <x:v>Прямой вероятный молекулярный мост: C6-альдегиды. Ягодный компонент несёт семейства древесный, зелёный, мускусный, тёмно-фруктовый, цветочный; партнёр — зелёный, землистый, сернистый. Оба компонента формируют кисло-сладкий, умеренно терпкий и растительный, иногда умами контур; сахар, кислота и горечь должны быть выровнены дегустацией. Ягода: пигменты и полифенолы дают цвет и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8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89" s="28" t="str">
        <x:v>уксус или мягкий сыр</x:v>
      </x:c>
      <x:c r="W289" s="28" t="str">
        <x:v>соус, глазировка, салат, сырная подача или горячее блюдо; маринад, гастрик, чатни, кетчуп или редукция</x:v>
      </x:c>
      <x:c r="X289" s="28" t="str">
        <x:v>еда; соусы/маринады</x:v>
      </x:c>
      <x:c r="Y289" s="28" t="str">
        <x:v>Средняя</x:v>
      </x:c>
      <x:c r="Z289" s="28" t="str">
        <x:v>The Art &amp; Science of Foodpairing</x:v>
      </x:c>
      <x:c r="AA289" s="28" t="str">
        <x:v>The Art &amp; Science of Foodpairing: 233</x:v>
      </x:c>
      <x:c r="AB289" s="28" t="str">
        <x:v>Ingredient pairings with Carrot: blackberry</x:v>
      </x:c>
      <x:c r="AC289" s="28" t="n">
        <x:v>1</x:v>
      </x:c>
      <x:c r="AD289" s="28" t="n">
        <x:v>1</x:v>
      </x:c>
    </x:row>
    <x:row r="290" ht="58" customHeight="1">
      <x:c r="A290" s="28" t="str">
        <x:v>BER-0289</x:v>
      </x:c>
      <x:c r="B290" s="28" t="str">
        <x:v>Универсальные</x:v>
      </x:c>
      <x:c r="C290" s="28" t="str">
        <x:v>ежевика</x:v>
      </x:c>
      <x:c r="D290" s="28" t="str">
        <x:v>Ежевика</x:v>
      </x:c>
      <x:c r="E290" s="28" t="str">
        <x:v>Ягоды и производные</x:v>
      </x:c>
      <x:c r="F290" s="28" t="str">
        <x:v>мята</x:v>
      </x:c>
      <x:c r="G290" s="28" t="str">
        <x:v>мята</x:v>
      </x:c>
      <x:c r="H290" s="28" t="str">
        <x:v>Травы и цветы</x:v>
      </x:c>
      <x:c r="I290" s="28" t="str">
        <x:v>древесный, зелёный, мускусный, тёмно-фруктовый, цветочный</x:v>
      </x:c>
      <x:c r="J290" s="28" t="str">
        <x:v>зелёный, травянистый, цветочный</x:v>
      </x:c>
      <x:c r="K290" s="28" t="str">
        <x:v>C6-альдегиды, иононы, линалоол, эфиры</x:v>
      </x:c>
      <x:c r="L290" s="28" t="str">
        <x:v>гераниол, линалоол, терпены, эвгенол</x:v>
      </x:c>
      <x:c r="M290" s="28" t="str">
        <x:v>зелёный, цветочный</x:v>
      </x:c>
      <x:c r="N290" s="28" t="str">
        <x:v>линалоол</x:v>
      </x:c>
      <x:c r="O290" s="28" t="str">
        <x:v>ароматическое сходство + вкусовой баланс</x:v>
      </x:c>
      <x:c r="P290" s="28" t="str">
        <x:v>Ягодная сладость смягчает горечь и пряность, а кислотность делает горьковатый, свежий профиль ярче.</x:v>
      </x:c>
      <x:c r="Q290" s="28" t="str">
        <x:v>Специфического тройничного эффекта обычно нет; кислотность усиливает слюноотделение.</x:v>
      </x:c>
      <x:c r="R290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9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90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9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90" s="28" t="str">
        <x:v>лимон или мёд</x:v>
      </x:c>
      <x:c r="W29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290" s="28" t="str">
        <x:v>напитки; еда; соусы/маринады</x:v>
      </x:c>
      <x:c r="Y290" s="28" t="str">
        <x:v>Средняя</x:v>
      </x:c>
      <x:c r="Z290" s="28" t="str">
        <x:v>Таблица сочетаний</x:v>
      </x:c>
      <x:c r="AA290" s="28" t="str">
        <x:v>Таблица сочетаний: 2</x:v>
      </x:c>
      <x:c r="AB290" s="28" t="str">
        <x:v>Ежевика: мята</x:v>
      </x:c>
      <x:c r="AC290" s="28" t="n">
        <x:v>1</x:v>
      </x:c>
      <x:c r="AD290" s="28" t="n">
        <x:v>1</x:v>
      </x:c>
    </x:row>
    <x:row r="291" ht="58" customHeight="1">
      <x:c r="A291" s="28" t="str">
        <x:v>BER-0290</x:v>
      </x:c>
      <x:c r="B291" s="28" t="str">
        <x:v>Универсальные</x:v>
      </x:c>
      <x:c r="C291" s="28" t="str">
        <x:v>ежевика</x:v>
      </x:c>
      <x:c r="D291" s="28" t="str">
        <x:v>ежевика</x:v>
      </x:c>
      <x:c r="E291" s="28" t="str">
        <x:v>Ягоды и производные</x:v>
      </x:c>
      <x:c r="F291" s="28" t="str">
        <x:v>нектарин</x:v>
      </x:c>
      <x:c r="G291" s="28" t="str">
        <x:v>Нектарин</x:v>
      </x:c>
      <x:c r="H291" s="28" t="str">
        <x:v>Прочее</x:v>
      </x:c>
      <x:c r="I291" s="28" t="str">
        <x:v>древесный, зелёный, мускусный, тёмно-фруктовый, цветочный</x:v>
      </x:c>
      <x:c r="J291" s="28" t="str">
        <x:v>комплексный</x:v>
      </x:c>
      <x:c r="K291" s="28" t="str">
        <x:v>C6-альдегиды, иононы, линалоол, эфиры</x:v>
      </x:c>
      <x:c r="L291" s="28" t="str">
        <x:v>нет надёжной конкретизации</x:v>
      </x:c>
      <x:c r="M291" s="28" t="str">
        <x:v>прямое совпадение семейств не установлено</x:v>
      </x:c>
      <x:c r="N291" s="28" t="str">
        <x:v>не подтверждены; механизм не сводится к одной общей молекуле</x:v>
      </x:c>
      <x:c r="O291" s="28" t="str">
        <x:v>контраст/комплементарность + матричный эффект</x:v>
      </x:c>
      <x:c r="P291" s="28" t="str">
        <x:v>Оба компонента формируют кисло-сладкий, умеренно терпкий и зависит от ингредиента контур; сахар, кислота и горечь должны быть выровнены дегустацией.</x:v>
      </x:c>
      <x:c r="Q291" s="28" t="str">
        <x:v>Специфического тройничного эффекта обычно нет; кислотность усиливает слюноотделение.</x:v>
      </x:c>
      <x:c r="R291" s="28" t="str">
        <x:v>Ягода: пигменты и полифенолы дают цвет и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29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9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комплексный. Оба компонента формируют кисло-сладкий, умеренно терпкий и зависит от ингредиента контур; сахар, кислота и горечь должны быть выровнены дегустацией. Ягода: пигменты и полифенолы дают цвет и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9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91" s="28" t="str">
        <x:v>лимон или ваниль</x:v>
      </x:c>
      <x:c r="W291" s="28" t="str">
        <x:v>сенсорная проба в малой дозировке</x:v>
      </x:c>
      <x:c r="X291" s="28" t="str">
        <x:v>универсально</x:v>
      </x:c>
      <x:c r="Y291" s="28" t="str">
        <x:v>Средняя</x:v>
      </x:c>
      <x:c r="Z291" s="28" t="str">
        <x:v>Таблица сочетаний</x:v>
      </x:c>
      <x:c r="AA291" s="28" t="str">
        <x:v>Таблица сочетаний: 14</x:v>
      </x:c>
      <x:c r="AB291" s="28" t="str">
        <x:v>Нектарин: ежевика</x:v>
      </x:c>
      <x:c r="AC291" s="28" t="n">
        <x:v>1</x:v>
      </x:c>
      <x:c r="AD291" s="28" t="n">
        <x:v>1</x:v>
      </x:c>
    </x:row>
    <x:row r="292" ht="58" customHeight="1">
      <x:c r="A292" s="28" t="str">
        <x:v>BER-0291</x:v>
      </x:c>
      <x:c r="B292" s="28" t="str">
        <x:v>Еда и соусы</x:v>
      </x:c>
      <x:c r="C292" s="28" t="str">
        <x:v>ежевика</x:v>
      </x:c>
      <x:c r="D292" s="28" t="str">
        <x:v>blackberry</x:v>
      </x:c>
      <x:c r="E292" s="28" t="str">
        <x:v>Ягоды и производные</x:v>
      </x:c>
      <x:c r="F292" s="28" t="str">
        <x:v>пармиджано-реджано</x:v>
      </x:c>
      <x:c r="G292" s="28" t="str">
        <x:v>Parmigiano-Reggiano</x:v>
      </x:c>
      <x:c r="H292" s="28" t="str">
        <x:v>Рыба и морепродукты</x:v>
      </x:c>
      <x:c r="I292" s="28" t="str">
        <x:v>древесный, зелёный, мускусный, тёмно-фруктовый, цветочный</x:v>
      </x:c>
      <x:c r="J292" s="28" t="str">
        <x:v>жирный, морской, умами</x:v>
      </x:c>
      <x:c r="K292" s="28" t="str">
        <x:v>C6-альдегиды, иононы, линалоол, эфиры</x:v>
      </x:c>
      <x:c r="L292" s="28" t="str">
        <x:v>альдегиды, амины, сернистые соединения</x:v>
      </x:c>
      <x:c r="M292" s="28" t="str">
        <x:v>прямое совпадение семейств не установлено</x:v>
      </x:c>
      <x:c r="N292" s="28" t="str">
        <x:v>не подтверждены; механизм не сводится к одной общей молекуле</x:v>
      </x:c>
      <x:c r="O292" s="28" t="str">
        <x:v>контраст/комплементарность + матричный эффект</x:v>
      </x:c>
      <x:c r="P292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292" s="28" t="str">
        <x:v>Специфического тройничного эффекта обычно нет; кислотность усиливает слюноотделение.</x:v>
      </x:c>
      <x:c r="R292" s="28" t="str">
        <x:v>Белок и жир смягчают кислоту; ягодный соус должен сохранять достаточную концентрацию и соль.</x:v>
      </x:c>
      <x:c r="S29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29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29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92" s="28" t="str">
        <x:v>цитрус или огурец</x:v>
      </x:c>
      <x:c r="W292" s="28" t="str">
        <x:v>соус, глазировка, салат, сырная подача или горячее блюдо; маринад, гастрик, чатни, кетчуп или редукция</x:v>
      </x:c>
      <x:c r="X292" s="28" t="str">
        <x:v>еда; соусы/маринады</x:v>
      </x:c>
      <x:c r="Y292" s="28" t="str">
        <x:v>Средняя</x:v>
      </x:c>
      <x:c r="Z292" s="28" t="str">
        <x:v>The Art &amp; Science of Foodpairing</x:v>
      </x:c>
      <x:c r="AA292" s="28" t="str">
        <x:v>The Art &amp; Science of Foodpairing: 282</x:v>
      </x:c>
      <x:c r="AB292" s="28" t="str">
        <x:v>Ingredient pairings with Parmigiano-Reggiano: blackberry</x:v>
      </x:c>
      <x:c r="AC292" s="28" t="n">
        <x:v>1</x:v>
      </x:c>
      <x:c r="AD292" s="28" t="n">
        <x:v>1</x:v>
      </x:c>
    </x:row>
    <x:row r="293" ht="58" customHeight="1">
      <x:c r="A293" s="28" t="str">
        <x:v>BER-0292</x:v>
      </x:c>
      <x:c r="B293" s="28" t="str">
        <x:v>Еда и соусы</x:v>
      </x:c>
      <x:c r="C293" s="28" t="str">
        <x:v>ежевика</x:v>
      </x:c>
      <x:c r="D293" s="28" t="str">
        <x:v>blackberry</x:v>
      </x:c>
      <x:c r="E293" s="28" t="str">
        <x:v>Ягоды и производные</x:v>
      </x:c>
      <x:c r="F293" s="28" t="str">
        <x:v>паста из твёрдой пшеницы</x:v>
      </x:c>
      <x:c r="G293" s="28" t="str">
        <x:v>Durum Pasta</x:v>
      </x:c>
      <x:c r="H293" s="28" t="str">
        <x:v>Ферментированные продукты, соусы и уксусы</x:v>
      </x:c>
      <x:c r="I293" s="28" t="str">
        <x:v>древесный, зелёный, мускусный, тёмно-фруктовый, цветочный</x:v>
      </x:c>
      <x:c r="J293" s="28" t="str">
        <x:v>кислый, умами, ферментированный</x:v>
      </x:c>
      <x:c r="K293" s="28" t="str">
        <x:v>C6-альдегиды, иононы, линалоол, эфиры</x:v>
      </x:c>
      <x:c r="L293" s="28" t="str">
        <x:v>аминокислоты, органические кислоты, эфиры</x:v>
      </x:c>
      <x:c r="M293" s="28" t="str">
        <x:v>прямое совпадение семейств не установлено</x:v>
      </x:c>
      <x:c r="N293" s="28" t="str">
        <x:v>эфиры</x:v>
      </x:c>
      <x:c r="O293" s="28" t="str">
        <x:v>ароматическое сходство + вкусовой баланс</x:v>
      </x:c>
      <x:c r="P293" s="28" t="str">
        <x:v>Оба компонента формируют кисло-сладкий, умеренно терпкий и кислый/солёный/умами контур; сахар, кислота и горечь должны быть выровнены дегустацией.</x:v>
      </x:c>
      <x:c r="Q293" s="28" t="str">
        <x:v>Специфического тройничного эффекта обычно нет; кислотность усиливает слюноотделение.</x:v>
      </x:c>
      <x:c r="R293" s="28" t="str">
        <x:v>Ягода: пигменты и полифенолы дают цвет и терпкость. Партнёр: вода, соль и продукты ферментации. В воде аромат раскрывается быстрее, в жире и этаноле — дольше удерживается.</x:v>
      </x:c>
      <x:c r="S29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93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кислый, умами, ферментированный. Оба компонента формируют кисло-сладкий, умеренно терпкий и кислый/солёный/умами контур; сахар, кислота и горечь должны быть выровнены дегустацией. Ягода: пигменты и полифенолы дают цвет и терпкость.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9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93" s="28" t="str">
        <x:v>мёд или соевый соус</x:v>
      </x:c>
      <x:c r="W293" s="28" t="str">
        <x:v>соус, глазировка, салат, сырная подача или горячее блюдо; маринад, гастрик, чатни, кетчуп или редукция</x:v>
      </x:c>
      <x:c r="X293" s="28" t="str">
        <x:v>еда; соусы/маринады</x:v>
      </x:c>
      <x:c r="Y293" s="28" t="str">
        <x:v>Средняя</x:v>
      </x:c>
      <x:c r="Z293" s="28" t="str">
        <x:v>The Art &amp; Science of Foodpairing</x:v>
      </x:c>
      <x:c r="AA293" s="28" t="str">
        <x:v>The Art &amp; Science of Foodpairing: 325</x:v>
      </x:c>
      <x:c r="AB293" s="28" t="str">
        <x:v>Ingredient pairings with Durum Pasta: blackberry</x:v>
      </x:c>
      <x:c r="AC293" s="28" t="n">
        <x:v>1</x:v>
      </x:c>
      <x:c r="AD293" s="28" t="n">
        <x:v>1</x:v>
      </x:c>
    </x:row>
    <x:row r="294" ht="58" customHeight="1">
      <x:c r="A294" s="28" t="str">
        <x:v>BER-0293</x:v>
      </x:c>
      <x:c r="B294" s="28" t="str">
        <x:v>Универсальные</x:v>
      </x:c>
      <x:c r="C294" s="28" t="str">
        <x:v>ежевика</x:v>
      </x:c>
      <x:c r="D294" s="28" t="str">
        <x:v>ежевика</x:v>
      </x:c>
      <x:c r="E294" s="28" t="str">
        <x:v>Ягоды и производные</x:v>
      </x:c>
      <x:c r="F294" s="28" t="str">
        <x:v>перец</x:v>
      </x:c>
      <x:c r="G294" s="28" t="str">
        <x:v>Перец</x:v>
      </x:c>
      <x:c r="H294" s="28" t="str">
        <x:v>Специи</x:v>
      </x:c>
      <x:c r="I294" s="28" t="str">
        <x:v>древесный, зелёный, мускусный, тёмно-фруктовый, цветочный</x:v>
      </x:c>
      <x:c r="J294" s="28" t="str">
        <x:v>древесный, пряный, тёплый</x:v>
      </x:c>
      <x:c r="K294" s="28" t="str">
        <x:v>C6-альдегиды, иононы, линалоол, эфиры</x:v>
      </x:c>
      <x:c r="L294" s="28" t="str">
        <x:v>коричный альдегид, терпены, эвгенол</x:v>
      </x:c>
      <x:c r="M294" s="28" t="str">
        <x:v>древесный</x:v>
      </x:c>
      <x:c r="N294" s="28" t="str">
        <x:v>не подтверждены; механизм не сводится к одной общей молекуле</x:v>
      </x:c>
      <x:c r="O294" s="28" t="str">
        <x:v>сходство ароматических семейств + комплементарность</x:v>
      </x:c>
      <x:c r="P294" s="28" t="str">
        <x:v>Ягодная сладость смягчает горечь и пряность, а кислотность делает пряный, иногда горький профиль ярче.</x:v>
      </x:c>
      <x:c r="Q294" s="28" t="str">
        <x:v>Специфического тройничного эффекта обычно нет; кислотность усиливает слюноотделение.</x:v>
      </x:c>
      <x:c r="R294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9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94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94" s="28" t="str">
        <x:v>Пряность дозировать как акцент: она быстро перекрывает тонкие ягодные эфиры.</x:v>
      </x:c>
      <x:c r="V294" s="28" t="str">
        <x:v>мёд или цитрус</x:v>
      </x:c>
      <x:c r="W29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294" s="28" t="str">
        <x:v>напитки; десерты; еда; соусы/маринады</x:v>
      </x:c>
      <x:c r="Y294" s="28" t="str">
        <x:v>Средняя</x:v>
      </x:c>
      <x:c r="Z294" s="28" t="str">
        <x:v>Таблица сочетаний</x:v>
      </x:c>
      <x:c r="AA294" s="28" t="str">
        <x:v>Таблица сочетаний: 16</x:v>
      </x:c>
      <x:c r="AB294" s="28" t="str">
        <x:v>Перец: ежевика</x:v>
      </x:c>
      <x:c r="AC294" s="28" t="n">
        <x:v>1</x:v>
      </x:c>
      <x:c r="AD294" s="28" t="n">
        <x:v>1</x:v>
      </x:c>
    </x:row>
    <x:row r="295" ht="58" customHeight="1">
      <x:c r="A295" s="28" t="str">
        <x:v>BER-0294</x:v>
      </x:c>
      <x:c r="B295" s="28" t="str">
        <x:v>Универсальные</x:v>
      </x:c>
      <x:c r="C295" s="28" t="str">
        <x:v>ежевика</x:v>
      </x:c>
      <x:c r="D295" s="28" t="str">
        <x:v>blackberry | Ежевика | ежевика</x:v>
      </x:c>
      <x:c r="E295" s="28" t="str">
        <x:v>Ягоды и производные</x:v>
      </x:c>
      <x:c r="F295" s="28" t="str">
        <x:v>персик</x:v>
      </x:c>
      <x:c r="G295" s="28" t="str">
        <x:v>Peach | Персик | персик</x:v>
      </x:c>
      <x:c r="H295" s="28" t="str">
        <x:v>Фрукты</x:v>
      </x:c>
      <x:c r="I295" s="28" t="str">
        <x:v>древесный, зелёный, мускусный, тёмно-фруктовый, цветочный</x:v>
      </x:c>
      <x:c r="J295" s="28" t="str">
        <x:v>зелёный, фруктовый, цветочный</x:v>
      </x:c>
      <x:c r="K295" s="28" t="str">
        <x:v>C6-альдегиды, иононы, линалоол, эфиры</x:v>
      </x:c>
      <x:c r="L295" s="28" t="str">
        <x:v>лактоны, терпены, эфиры</x:v>
      </x:c>
      <x:c r="M295" s="28" t="str">
        <x:v>зелёный, цветочный</x:v>
      </x:c>
      <x:c r="N295" s="28" t="str">
        <x:v>эфиры</x:v>
      </x:c>
      <x:c r="O295" s="28" t="str">
        <x:v>ароматическое сходство + вкусовой баланс</x:v>
      </x:c>
      <x:c r="P295" s="28" t="str">
        <x:v>Оба компонента формируют кисло-сладкий, умеренно терпкий и сладко-кислый контур; сахар, кислота и горечь должны быть выровнены дегустацией.</x:v>
      </x:c>
      <x:c r="Q295" s="28" t="str">
        <x:v>Специфического тройничного эффекта обычно нет; кислотность усиливает слюноотделение.</x:v>
      </x:c>
      <x:c r="R295" s="28" t="str">
        <x:v>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</x:v>
      </x:c>
      <x:c r="S29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95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зелёный,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9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95" s="28" t="str">
        <x:v>ваниль или лимон</x:v>
      </x:c>
      <x:c r="W29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295" s="28" t="str">
        <x:v>напитки; десерты</x:v>
      </x:c>
      <x:c r="Y295" s="28" t="str">
        <x:v>Высокая</x:v>
      </x:c>
      <x:c r="Z295" s="28" t="str">
        <x:v>The Art &amp; Science of Foodpairing; Таблица сочетаний; Тезариус вкусов</x:v>
      </x:c>
      <x:c r="AA295" s="28" t="str">
        <x:v>Тезариус вкусов: 750, 882; The Art &amp; Science of Foodpairing: 260; Таблица сочетаний: 2, 15</x:v>
      </x:c>
      <x:c r="AB295" s="28" t="str">
        <x:v>Персик и ежевика. В конце лета отварные персики обладают достаточно богатым вкусом, чтобы достой- но встретить тяжелые, пряные вкусы осени, например вкус ежевики. Объедините их в коблере (cobbler) – за- печенном фруктовом пудинге с булочками, которые смотрятся как брусчатка, уложенная на фрукты (ины- ми словами, коблер – это такой крамбл с претензия- ми). Очистите четыре персика, выньте косточки, на- режьте мякоть ломтиками, смешайте с несколькими горстями ежевики и выложите в форму для выпека- ния. Посыпьте 3 ст. л. сахара, в нескольких местах положите маленькие кусочки сливочного масла. В ку- хонный комбайн поместите 200 г простой муки, 4 ч | Ежевика и персик. См. Персик и ежевика | Ежевика: персик | Персик: ежевика</x:v>
      </x:c>
      <x:c r="AC295" s="28" t="n">
        <x:v>3</x:v>
      </x:c>
      <x:c r="AD295" s="28" t="n">
        <x:v>5</x:v>
      </x:c>
    </x:row>
    <x:row r="296" ht="58" customHeight="1">
      <x:c r="A296" s="28" t="str">
        <x:v>BER-0295</x:v>
      </x:c>
      <x:c r="B296" s="28" t="str">
        <x:v>Универсальные</x:v>
      </x:c>
      <x:c r="C296" s="28" t="str">
        <x:v>ежевика</x:v>
      </x:c>
      <x:c r="D296" s="28" t="str">
        <x:v>blackberry</x:v>
      </x:c>
      <x:c r="E296" s="28" t="str">
        <x:v>Ягоды и производные</x:v>
      </x:c>
      <x:c r="F296" s="28" t="str">
        <x:v>ракообразные</x:v>
      </x:c>
      <x:c r="G296" s="28" t="str">
        <x:v>Crustaceans</x:v>
      </x:c>
      <x:c r="H296" s="28" t="str">
        <x:v>Прочее</x:v>
      </x:c>
      <x:c r="I296" s="28" t="str">
        <x:v>древесный, зелёный, мускусный, тёмно-фруктовый, цветочный</x:v>
      </x:c>
      <x:c r="J296" s="28" t="str">
        <x:v>комплексный</x:v>
      </x:c>
      <x:c r="K296" s="28" t="str">
        <x:v>C6-альдегиды, иононы, линалоол, эфиры</x:v>
      </x:c>
      <x:c r="L296" s="28" t="str">
        <x:v>нет надёжной конкретизации</x:v>
      </x:c>
      <x:c r="M296" s="28" t="str">
        <x:v>прямое совпадение семейств не установлено</x:v>
      </x:c>
      <x:c r="N296" s="28" t="str">
        <x:v>не подтверждены; механизм не сводится к одной общей молекуле</x:v>
      </x:c>
      <x:c r="O296" s="28" t="str">
        <x:v>контраст/комплементарность + матричный эффект</x:v>
      </x:c>
      <x:c r="P296" s="28" t="str">
        <x:v>Оба компонента формируют кисло-сладкий, умеренно терпкий и зависит от ингредиента контур; сахар, кислота и горечь должны быть выровнены дегустацией.</x:v>
      </x:c>
      <x:c r="Q296" s="28" t="str">
        <x:v>Специфического тройничного эффекта обычно нет; кислотность усиливает слюноотделение.</x:v>
      </x:c>
      <x:c r="R296" s="28" t="str">
        <x:v>Ягода: пигменты и полифенолы дают цвет и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29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9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комплексный. Оба компонента формируют кисло-сладкий, умеренно терпкий и зависит от ингредиента контур; сахар, кислота и горечь должны быть выровнены дегустацией. Ягода: пигменты и полифенолы дают цвет и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9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96" s="28" t="str">
        <x:v>лимон или ваниль</x:v>
      </x:c>
      <x:c r="W296" s="28" t="str">
        <x:v>сенсорная проба в малой дозировке</x:v>
      </x:c>
      <x:c r="X296" s="28" t="str">
        <x:v>универсально</x:v>
      </x:c>
      <x:c r="Y296" s="28" t="str">
        <x:v>Средняя</x:v>
      </x:c>
      <x:c r="Z296" s="28" t="str">
        <x:v>The Art &amp; Science of Foodpairing</x:v>
      </x:c>
      <x:c r="AA296" s="28" t="str">
        <x:v>The Art &amp; Science of Foodpairing: 153</x:v>
      </x:c>
      <x:c r="AB296" s="28" t="str">
        <x:v>Ingredient pairings with Crustaceans: blackberry</x:v>
      </x:c>
      <x:c r="AC296" s="28" t="n">
        <x:v>1</x:v>
      </x:c>
      <x:c r="AD296" s="28" t="n">
        <x:v>1</x:v>
      </x:c>
    </x:row>
    <x:row r="297" ht="58" customHeight="1">
      <x:c r="A297" s="28" t="str">
        <x:v>BER-0296</x:v>
      </x:c>
      <x:c r="B297" s="28" t="str">
        <x:v>Универсальные</x:v>
      </x:c>
      <x:c r="C297" s="28" t="str">
        <x:v>ежевика</x:v>
      </x:c>
      <x:c r="D297" s="28" t="str">
        <x:v>Ежевика</x:v>
      </x:c>
      <x:c r="E297" s="28" t="str">
        <x:v>Ягоды и производные</x:v>
      </x:c>
      <x:c r="F297" s="28" t="str">
        <x:v>ревень</x:v>
      </x:c>
      <x:c r="G297" s="28" t="str">
        <x:v>ревень</x:v>
      </x:c>
      <x:c r="H297" s="28" t="str">
        <x:v>Прочее</x:v>
      </x:c>
      <x:c r="I297" s="28" t="str">
        <x:v>древесный, зелёный, мускусный, тёмно-фруктовый, цветочный</x:v>
      </x:c>
      <x:c r="J297" s="28" t="str">
        <x:v>комплексный</x:v>
      </x:c>
      <x:c r="K297" s="28" t="str">
        <x:v>C6-альдегиды, иононы, линалоол, эфиры</x:v>
      </x:c>
      <x:c r="L297" s="28" t="str">
        <x:v>нет надёжной конкретизации</x:v>
      </x:c>
      <x:c r="M297" s="28" t="str">
        <x:v>прямое совпадение семейств не установлено</x:v>
      </x:c>
      <x:c r="N297" s="28" t="str">
        <x:v>не подтверждены; механизм не сводится к одной общей молекуле</x:v>
      </x:c>
      <x:c r="O297" s="28" t="str">
        <x:v>контраст/комплементарность + матричный эффект</x:v>
      </x:c>
      <x:c r="P297" s="28" t="str">
        <x:v>Оба компонента формируют кисло-сладкий, умеренно терпкий и зависит от ингредиента контур; сахар, кислота и горечь должны быть выровнены дегустацией.</x:v>
      </x:c>
      <x:c r="Q297" s="28" t="str">
        <x:v>Специфического тройничного эффекта обычно нет; кислотность усиливает слюноотделение.</x:v>
      </x:c>
      <x:c r="R297" s="28" t="str">
        <x:v>Ягода: пигменты и полифенолы дают цвет и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29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9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комплексный. Оба компонента формируют кисло-сладкий, умеренно терпкий и зависит от ингредиента контур; сахар, кислота и горечь должны быть выровнены дегустацией. Ягода: пигменты и полифенолы дают цвет и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9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97" s="28" t="str">
        <x:v>лимон или ваниль</x:v>
      </x:c>
      <x:c r="W297" s="28" t="str">
        <x:v>сенсорная проба в малой дозировке</x:v>
      </x:c>
      <x:c r="X297" s="28" t="str">
        <x:v>универсально</x:v>
      </x:c>
      <x:c r="Y297" s="28" t="str">
        <x:v>Средняя</x:v>
      </x:c>
      <x:c r="Z297" s="28" t="str">
        <x:v>Таблица сочетаний</x:v>
      </x:c>
      <x:c r="AA297" s="28" t="str">
        <x:v>Таблица сочетаний: 3</x:v>
      </x:c>
      <x:c r="AB297" s="28" t="str">
        <x:v>Ежевика: ревень</x:v>
      </x:c>
      <x:c r="AC297" s="28" t="n">
        <x:v>1</x:v>
      </x:c>
      <x:c r="AD297" s="28" t="n">
        <x:v>1</x:v>
      </x:c>
    </x:row>
    <x:row r="298" ht="58" customHeight="1">
      <x:c r="A298" s="28" t="str">
        <x:v>BER-0297</x:v>
      </x:c>
      <x:c r="B298" s="28" t="str">
        <x:v>Универсальные</x:v>
      </x:c>
      <x:c r="C298" s="28" t="str">
        <x:v>ежевика</x:v>
      </x:c>
      <x:c r="D298" s="28" t="str">
        <x:v>ежевика</x:v>
      </x:c>
      <x:c r="E298" s="28" t="str">
        <x:v>Ягоды и производные</x:v>
      </x:c>
      <x:c r="F298" s="28" t="str">
        <x:v>саусеп (soursop)</x:v>
      </x:c>
      <x:c r="G298" s="28" t="str">
        <x:v>Саусеп (soursop)</x:v>
      </x:c>
      <x:c r="H298" s="28" t="str">
        <x:v>Прочее</x:v>
      </x:c>
      <x:c r="I298" s="28" t="str">
        <x:v>древесный, зелёный, мускусный, тёмно-фруктовый, цветочный</x:v>
      </x:c>
      <x:c r="J298" s="28" t="str">
        <x:v>комплексный</x:v>
      </x:c>
      <x:c r="K298" s="28" t="str">
        <x:v>C6-альдегиды, иононы, линалоол, эфиры</x:v>
      </x:c>
      <x:c r="L298" s="28" t="str">
        <x:v>нет надёжной конкретизации</x:v>
      </x:c>
      <x:c r="M298" s="28" t="str">
        <x:v>прямое совпадение семейств не установлено</x:v>
      </x:c>
      <x:c r="N298" s="28" t="str">
        <x:v>не подтверждены; механизм не сводится к одной общей молекуле</x:v>
      </x:c>
      <x:c r="O298" s="28" t="str">
        <x:v>контраст/комплементарность + матричный эффект</x:v>
      </x:c>
      <x:c r="P298" s="28" t="str">
        <x:v>Оба компонента формируют кисло-сладкий, умеренно терпкий и зависит от ингредиента контур; сахар, кислота и горечь должны быть выровнены дегустацией.</x:v>
      </x:c>
      <x:c r="Q298" s="28" t="str">
        <x:v>Специфического тройничного эффекта обычно нет; кислотность усиливает слюноотделение.</x:v>
      </x:c>
      <x:c r="R298" s="28" t="str">
        <x:v>Ягода: пигменты и полифенолы дают цвет и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29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9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комплексный. Оба компонента формируют кисло-сладкий, умеренно терпкий и зависит от ингредиента контур; сахар, кислота и горечь должны быть выровнены дегустацией. Ягода: пигменты и полифенолы дают цвет и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9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98" s="28" t="str">
        <x:v>лимон или ваниль</x:v>
      </x:c>
      <x:c r="W298" s="28" t="str">
        <x:v>сенсорная проба в малой дозировке</x:v>
      </x:c>
      <x:c r="X298" s="28" t="str">
        <x:v>универсально</x:v>
      </x:c>
      <x:c r="Y298" s="28" t="str">
        <x:v>Средняя</x:v>
      </x:c>
      <x:c r="Z298" s="28" t="str">
        <x:v>Таблица сочетаний</x:v>
      </x:c>
      <x:c r="AA298" s="28" t="str">
        <x:v>Таблица сочетаний: 20</x:v>
      </x:c>
      <x:c r="AB298" s="28" t="str">
        <x:v>Саусеп (soursop): ежевика</x:v>
      </x:c>
      <x:c r="AC298" s="28" t="n">
        <x:v>1</x:v>
      </x:c>
      <x:c r="AD298" s="28" t="n">
        <x:v>1</x:v>
      </x:c>
    </x:row>
    <x:row r="299" ht="58" customHeight="1">
      <x:c r="A299" s="28" t="str">
        <x:v>BER-0298</x:v>
      </x:c>
      <x:c r="B299" s="28" t="str">
        <x:v>Универсальные</x:v>
      </x:c>
      <x:c r="C299" s="28" t="str">
        <x:v>ежевика</x:v>
      </x:c>
      <x:c r="D299" s="28" t="str">
        <x:v>ежевика</x:v>
      </x:c>
      <x:c r="E299" s="28" t="str">
        <x:v>Ягоды и производные</x:v>
      </x:c>
      <x:c r="F299" s="28" t="str">
        <x:v>тимьян</x:v>
      </x:c>
      <x:c r="G299" s="28" t="str">
        <x:v>Тимьян</x:v>
      </x:c>
      <x:c r="H299" s="28" t="str">
        <x:v>Травы и цветы</x:v>
      </x:c>
      <x:c r="I299" s="28" t="str">
        <x:v>древесный, зелёный, мускусный, тёмно-фруктовый, цветочный</x:v>
      </x:c>
      <x:c r="J299" s="28" t="str">
        <x:v>зелёный, травянистый, цветочный</x:v>
      </x:c>
      <x:c r="K299" s="28" t="str">
        <x:v>C6-альдегиды, иононы, линалоол, эфиры</x:v>
      </x:c>
      <x:c r="L299" s="28" t="str">
        <x:v>гераниол, линалоол, терпены, эвгенол</x:v>
      </x:c>
      <x:c r="M299" s="28" t="str">
        <x:v>зелёный, цветочный</x:v>
      </x:c>
      <x:c r="N299" s="28" t="str">
        <x:v>линалоол</x:v>
      </x:c>
      <x:c r="O299" s="28" t="str">
        <x:v>ароматическое сходство + вкусовой баланс</x:v>
      </x:c>
      <x:c r="P299" s="28" t="str">
        <x:v>Ягодная сладость смягчает горечь и пряность, а кислотность делает горьковатый, свежий профиль ярче.</x:v>
      </x:c>
      <x:c r="Q299" s="28" t="str">
        <x:v>Специфического тройничного эффекта обычно нет; кислотность усиливает слюноотделение.</x:v>
      </x:c>
      <x:c r="R299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29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299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29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299" s="28" t="str">
        <x:v>лимон или мёд</x:v>
      </x:c>
      <x:c r="W29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299" s="28" t="str">
        <x:v>напитки; еда; соусы/маринады</x:v>
      </x:c>
      <x:c r="Y299" s="28" t="str">
        <x:v>Средняя</x:v>
      </x:c>
      <x:c r="Z299" s="28" t="str">
        <x:v>Таблица сочетаний</x:v>
      </x:c>
      <x:c r="AA299" s="28" t="str">
        <x:v>Таблица сочетаний: 21</x:v>
      </x:c>
      <x:c r="AB299" s="28" t="str">
        <x:v>Тимьян: ежевика</x:v>
      </x:c>
      <x:c r="AC299" s="28" t="n">
        <x:v>1</x:v>
      </x:c>
      <x:c r="AD299" s="28" t="n">
        <x:v>1</x:v>
      </x:c>
    </x:row>
    <x:row r="300" ht="58" customHeight="1">
      <x:c r="A300" s="28" t="str">
        <x:v>BER-0299</x:v>
      </x:c>
      <x:c r="B300" s="28" t="str">
        <x:v>Еда и соусы</x:v>
      </x:c>
      <x:c r="C300" s="28" t="str">
        <x:v>ежевика</x:v>
      </x:c>
      <x:c r="D300" s="28" t="str">
        <x:v>blackberry</x:v>
      </x:c>
      <x:c r="E300" s="28" t="str">
        <x:v>Ягоды и производные</x:v>
      </x:c>
      <x:c r="F300" s="28" t="str">
        <x:v>трюфель</x:v>
      </x:c>
      <x:c r="G300" s="28" t="str">
        <x:v>Truffle</x:v>
      </x:c>
      <x:c r="H300" s="28" t="str">
        <x:v>Овощи и грибы</x:v>
      </x:c>
      <x:c r="I300" s="28" t="str">
        <x:v>древесный, зелёный, мускусный, тёмно-фруктовый, цветочный</x:v>
      </x:c>
      <x:c r="J300" s="28" t="str">
        <x:v>зелёный, землистый, сернистый</x:v>
      </x:c>
      <x:c r="K300" s="28" t="str">
        <x:v>C6-альдегиды, иононы, линалоол, эфиры</x:v>
      </x:c>
      <x:c r="L300" s="28" t="str">
        <x:v>C6-альдегиды, пиразины, сернистые соединения</x:v>
      </x:c>
      <x:c r="M300" s="28" t="str">
        <x:v>зелёный</x:v>
      </x:c>
      <x:c r="N300" s="28" t="str">
        <x:v>C6-альдегиды</x:v>
      </x:c>
      <x:c r="O300" s="28" t="str">
        <x:v>ароматическое сходство + вкусовой баланс</x:v>
      </x:c>
      <x:c r="P300" s="28" t="str">
        <x:v>Оба компонента формируют кисло-сладкий, умеренно терпкий и растительный, иногда умами контур; сахар, кислота и горечь должны быть выровнены дегустацией.</x:v>
      </x:c>
      <x:c r="Q300" s="28" t="str">
        <x:v>Специфического тройничного эффекта обычно нет; кислотность усиливает слюноотделение.</x:v>
      </x:c>
      <x:c r="R300" s="28" t="str">
        <x:v>Ягода: пигменты и полифенолы дают цвет и терпкость.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30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300" s="28" t="str">
        <x:v>Прямой вероятный молекулярный мост: C6-альдегиды. Ягодный компонент несёт семейства древесный, зелёный, мускусный, тёмно-фруктовый, цветочный; партнёр — зелёный, землистый, сернистый. Оба компонента формируют кисло-сладкий, умеренно терпкий и растительный, иногда умами контур; сахар, кислота и горечь должны быть выровнены дегустацией. Ягода: пигменты и полифенолы дают цвет и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30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00" s="28" t="str">
        <x:v>уксус или мягкий сыр</x:v>
      </x:c>
      <x:c r="W300" s="28" t="str">
        <x:v>соус, глазировка, салат, сырная подача или горячее блюдо; маринад, гастрик, чатни, кетчуп или редукция</x:v>
      </x:c>
      <x:c r="X300" s="28" t="str">
        <x:v>еда; соусы/маринады</x:v>
      </x:c>
      <x:c r="Y300" s="28" t="str">
        <x:v>Средняя</x:v>
      </x:c>
      <x:c r="Z300" s="28" t="str">
        <x:v>The Art &amp; Science of Foodpairing</x:v>
      </x:c>
      <x:c r="AA300" s="28" t="str">
        <x:v>The Art &amp; Science of Foodpairing: 192</x:v>
      </x:c>
      <x:c r="AB300" s="28" t="str">
        <x:v>Ingredient pairings with Truffle: blackberry</x:v>
      </x:c>
      <x:c r="AC300" s="28" t="n">
        <x:v>1</x:v>
      </x:c>
      <x:c r="AD300" s="28" t="n">
        <x:v>1</x:v>
      </x:c>
    </x:row>
    <x:row r="301" ht="58" customHeight="1">
      <x:c r="A301" s="28" t="str">
        <x:v>BER-0300</x:v>
      </x:c>
      <x:c r="B301" s="28" t="str">
        <x:v>Десерты и выпечка</x:v>
      </x:c>
      <x:c r="C301" s="28" t="str">
        <x:v>ежевика</x:v>
      </x:c>
      <x:c r="D301" s="28" t="str">
        <x:v>Ежевика</x:v>
      </x:c>
      <x:c r="E301" s="28" t="str">
        <x:v>Ягоды и производные</x:v>
      </x:c>
      <x:c r="F301" s="28" t="str">
        <x:v>фундук</x:v>
      </x:c>
      <x:c r="G301" s="28" t="str">
        <x:v>фундук</x:v>
      </x:c>
      <x:c r="H301" s="28" t="str">
        <x:v>Орехи и семена</x:v>
      </x:c>
      <x:c r="I301" s="28" t="str">
        <x:v>древесный, зелёный, мускусный, тёмно-фруктовый, цветочный</x:v>
      </x:c>
      <x:c r="J301" s="28" t="str">
        <x:v>жареный, миндальный, ореховый</x:v>
      </x:c>
      <x:c r="K301" s="28" t="str">
        <x:v>C6-альдегиды, иононы, линалоол, эфиры</x:v>
      </x:c>
      <x:c r="L301" s="28" t="str">
        <x:v>бензальдегид, пиразины, фураны</x:v>
      </x:c>
      <x:c r="M301" s="28" t="str">
        <x:v>прямое совпадение семейств не установлено</x:v>
      </x:c>
      <x:c r="N301" s="28" t="str">
        <x:v>не подтверждены; механизм не сводится к одной общей молекуле</x:v>
      </x:c>
      <x:c r="O301" s="28" t="str">
        <x:v>контраст/комплементарность + матричный эффект</x:v>
      </x:c>
      <x:c r="P301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301" s="28" t="str">
        <x:v>Специфического тройничного эффекта обычно нет; кислотность усиливает слюноотделение.</x:v>
      </x:c>
      <x:c r="R301" s="28" t="str">
        <x:v>Жировая фаза удерживает гидрофобные одоранты и продлевает послевкусие; кислотность ягод повышает слюноотделение.</x:v>
      </x:c>
      <x:c r="S30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0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0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01" s="28" t="str">
        <x:v>ваниль или сливки</x:v>
      </x:c>
      <x:c r="W301" s="28" t="str">
        <x:v>сорбет, крем, ганаш, выпечка, джем или соус для десерта</x:v>
      </x:c>
      <x:c r="X301" s="28" t="str">
        <x:v>десерты</x:v>
      </x:c>
      <x:c r="Y301" s="28" t="str">
        <x:v>Средняя</x:v>
      </x:c>
      <x:c r="Z301" s="28" t="str">
        <x:v>Таблица сочетаний</x:v>
      </x:c>
      <x:c r="AA301" s="28" t="str">
        <x:v>Таблица сочетаний: 2</x:v>
      </x:c>
      <x:c r="AB301" s="28" t="str">
        <x:v>Ежевика: фундук</x:v>
      </x:c>
      <x:c r="AC301" s="28" t="n">
        <x:v>1</x:v>
      </x:c>
      <x:c r="AD301" s="28" t="n">
        <x:v>1</x:v>
      </x:c>
    </x:row>
    <x:row r="302" ht="58" customHeight="1">
      <x:c r="A302" s="28" t="str">
        <x:v>BER-0301</x:v>
      </x:c>
      <x:c r="B302" s="28" t="str">
        <x:v>Напитки</x:v>
      </x:c>
      <x:c r="C302" s="28" t="str">
        <x:v>ежевика</x:v>
      </x:c>
      <x:c r="D302" s="28" t="str">
        <x:v>Ежевика</x:v>
      </x:c>
      <x:c r="E302" s="28" t="str">
        <x:v>Ягоды и производные</x:v>
      </x:c>
      <x:c r="F302" s="28" t="str">
        <x:v>цитрусовые</x:v>
      </x:c>
      <x:c r="G302" s="28" t="str">
        <x:v>цитрусовые</x:v>
      </x:c>
      <x:c r="H302" s="28" t="str">
        <x:v>Цитрусовые</x:v>
      </x:c>
      <x:c r="I302" s="28" t="str">
        <x:v>древесный, зелёный, мускусный, тёмно-фруктовый, цветочный</x:v>
      </x:c>
      <x:c r="J302" s="28" t="str">
        <x:v>зелёный, цветочный, цитрусовый</x:v>
      </x:c>
      <x:c r="K302" s="28" t="str">
        <x:v>C6-альдегиды, иононы, линалоол, эфиры</x:v>
      </x:c>
      <x:c r="L302" s="28" t="str">
        <x:v>лимонен, линалоол, цитраль</x:v>
      </x:c>
      <x:c r="M302" s="28" t="str">
        <x:v>зелёный, цветочный</x:v>
      </x:c>
      <x:c r="N302" s="28" t="str">
        <x:v>линалоол</x:v>
      </x:c>
      <x:c r="O302" s="28" t="str">
        <x:v>ароматическое сходство + вкусовой баланс</x:v>
      </x:c>
      <x:c r="P302" s="28" t="str">
        <x:v>Оба компонента формируют кисло-сладкий, умеренно терпкий и кислый, свежий контур; сахар, кислота и горечь должны быть выровнены дегустацией.</x:v>
      </x:c>
      <x:c r="Q302" s="28" t="str">
        <x:v>Специфического тройничного эффекта обычно нет; кислотность усиливает слюноотделение.</x:v>
      </x:c>
      <x:c r="R302" s="28" t="str">
        <x:v>Ягода: пигменты и полифенолы дают цвет и терпкость. Партнёр: вода и эфирные масла; цедра гидрофобна. В воде аромат раскрывается быстрее, в жире и этаноле — дольше удерживается.</x:v>
      </x:c>
      <x:c r="S30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02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цветочный, цитрусовый. Оба компонента формируют кисло-сладкий, умеренно терпкий и кислый, свежий контур; сахар, кислота и горечь должны быть выровнены дегустацией. Ягода: пигменты и полифенолы дают цвет и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0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02" s="28" t="str">
        <x:v>мёд или базилик</x:v>
      </x:c>
      <x:c r="W302" s="28" t="str">
        <x:v>кордиал, лимонад, чай, коктейль, настой или ферментированный напиток; маринад, гастрик, чатни, кетчуп или редукция</x:v>
      </x:c>
      <x:c r="X302" s="28" t="str">
        <x:v>напитки; соусы/маринады</x:v>
      </x:c>
      <x:c r="Y302" s="28" t="str">
        <x:v>Средняя</x:v>
      </x:c>
      <x:c r="Z302" s="28" t="str">
        <x:v>Таблица сочетаний</x:v>
      </x:c>
      <x:c r="AA302" s="28" t="str">
        <x:v>Таблица сочетаний: 2</x:v>
      </x:c>
      <x:c r="AB302" s="28" t="str">
        <x:v>Ежевика: цитрусовые</x:v>
      </x:c>
      <x:c r="AC302" s="28" t="n">
        <x:v>1</x:v>
      </x:c>
      <x:c r="AD302" s="28" t="n">
        <x:v>1</x:v>
      </x:c>
    </x:row>
    <x:row r="303" ht="58" customHeight="1">
      <x:c r="A303" s="28" t="str">
        <x:v>BER-0302</x:v>
      </x:c>
      <x:c r="B303" s="28" t="str">
        <x:v>Напитки</x:v>
      </x:c>
      <x:c r="C303" s="28" t="str">
        <x:v>ежевика</x:v>
      </x:c>
      <x:c r="D303" s="28" t="str">
        <x:v>blackberry</x:v>
      </x:c>
      <x:c r="E303" s="28" t="str">
        <x:v>Ягоды и производные</x:v>
      </x:c>
      <x:c r="F303" s="28" t="str">
        <x:v>чай</x:v>
      </x:c>
      <x:c r="G303" s="28" t="str">
        <x:v>Tea</x:v>
      </x:c>
      <x:c r="H303" s="28" t="str">
        <x:v>Чай и безалкогольные напитки</x:v>
      </x:c>
      <x:c r="I303" s="28" t="str">
        <x:v>древесный, зелёный, мускусный, тёмно-фруктовый, цветочный</x:v>
      </x:c>
      <x:c r="J303" s="28" t="str">
        <x:v>терпкий, травянистый, цветочный</x:v>
      </x:c>
      <x:c r="K303" s="28" t="str">
        <x:v>C6-альдегиды, иононы, линалоол, эфиры</x:v>
      </x:c>
      <x:c r="L303" s="28" t="str">
        <x:v>гераниол, линалоол, полифенолы</x:v>
      </x:c>
      <x:c r="M303" s="28" t="str">
        <x:v>цветочный</x:v>
      </x:c>
      <x:c r="N303" s="28" t="str">
        <x:v>линалоол</x:v>
      </x:c>
      <x:c r="O303" s="28" t="str">
        <x:v>ароматическое сходство + вкусовой баланс</x:v>
      </x:c>
      <x:c r="P303" s="28" t="str">
        <x:v>Оба компонента формируют кисло-сладкий, умеренно терпкий и горьковатый, терпкий контур; сахар, кислота и горечь должны быть выровнены дегустацией.</x:v>
      </x:c>
      <x:c r="Q303" s="28" t="str">
        <x:v>Специфического тройничного эффекта обычно нет; кислотность усиливает слюноотделение.</x:v>
      </x:c>
      <x:c r="R303" s="28" t="str">
        <x:v>Ягода: пигменты и полифенолы дают цвет и терпкость. Партнёр: водная матрица; температура определяет экстракцию. В воде аромат раскрывается быстрее, в жире и этаноле — дольше удерживается.</x:v>
      </x:c>
      <x:c r="S30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03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терпкий, травянистый, цветочный. Оба компонента формируют кисло-сладкий, умеренно терпкий и горьковатый, терпкий контур; сахар, кислота и горечь должны быть выровнены дегустацией. Ягода: пигменты и полифенолы дают цвет и терпкость. Партнёр: водная матрица; температура определяет экстракцию.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0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03" s="28" t="str">
        <x:v>мёд или лимон</x:v>
      </x:c>
      <x:c r="W303" s="28" t="str">
        <x:v>кордиал, лимонад, чай, коктейль, настой или ферментированный напиток</x:v>
      </x:c>
      <x:c r="X303" s="28" t="str">
        <x:v>напитки</x:v>
      </x:c>
      <x:c r="Y303" s="28" t="str">
        <x:v>Средняя</x:v>
      </x:c>
      <x:c r="Z303" s="28" t="str">
        <x:v>The Art &amp; Science of Foodpairing</x:v>
      </x:c>
      <x:c r="AA303" s="28" t="str">
        <x:v>The Art &amp; Science of Foodpairing: 364, 365</x:v>
      </x:c>
      <x:c r="AB303" s="28" t="str">
        <x:v>Ingredient pairings with Tea: blackberry | Ingredient pairings with Tea: blackberry | Ingredient pairings with Tea: blackberry</x:v>
      </x:c>
      <x:c r="AC303" s="28" t="n">
        <x:v>1</x:v>
      </x:c>
      <x:c r="AD303" s="28" t="n">
        <x:v>3</x:v>
      </x:c>
    </x:row>
    <x:row r="304" ht="58" customHeight="1">
      <x:c r="A304" s="28" t="str">
        <x:v>BER-0303</x:v>
      </x:c>
      <x:c r="B304" s="28" t="str">
        <x:v>Универсальные</x:v>
      </x:c>
      <x:c r="C304" s="28" t="str">
        <x:v>ежевика</x:v>
      </x:c>
      <x:c r="D304" s="28" t="str">
        <x:v>blackberry</x:v>
      </x:c>
      <x:c r="E304" s="28" t="str">
        <x:v>Ягоды и производные</x:v>
      </x:c>
      <x:c r="F304" s="28" t="str">
        <x:v>чёрные оливки</x:v>
      </x:c>
      <x:c r="G304" s="28" t="str">
        <x:v>Black Olive</x:v>
      </x:c>
      <x:c r="H304" s="28" t="str">
        <x:v>Прочее</x:v>
      </x:c>
      <x:c r="I304" s="28" t="str">
        <x:v>древесный, зелёный, мускусный, тёмно-фруктовый, цветочный</x:v>
      </x:c>
      <x:c r="J304" s="28" t="str">
        <x:v>комплексный</x:v>
      </x:c>
      <x:c r="K304" s="28" t="str">
        <x:v>C6-альдегиды, иононы, линалоол, эфиры</x:v>
      </x:c>
      <x:c r="L304" s="28" t="str">
        <x:v>нет надёжной конкретизации</x:v>
      </x:c>
      <x:c r="M304" s="28" t="str">
        <x:v>прямое совпадение семейств не установлено</x:v>
      </x:c>
      <x:c r="N304" s="28" t="str">
        <x:v>не подтверждены; механизм не сводится к одной общей молекуле</x:v>
      </x:c>
      <x:c r="O304" s="28" t="str">
        <x:v>контраст/комплементарность + матричный эффект</x:v>
      </x:c>
      <x:c r="P304" s="28" t="str">
        <x:v>Оба компонента формируют кисло-сладкий, умеренно терпкий и зависит от ингредиента контур; сахар, кислота и горечь должны быть выровнены дегустацией.</x:v>
      </x:c>
      <x:c r="Q304" s="28" t="str">
        <x:v>Специфического тройничного эффекта обычно нет; кислотность усиливает слюноотделение.</x:v>
      </x:c>
      <x:c r="R304" s="28" t="str">
        <x:v>Ягода: пигменты и полифенолы дают цвет и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30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0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комплексный. Оба компонента формируют кисло-сладкий, умеренно терпкий и зависит от ингредиента контур; сахар, кислота и горечь должны быть выровнены дегустацией. Ягода: пигменты и полифенолы дают цвет и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0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04" s="28" t="str">
        <x:v>лимон или ваниль</x:v>
      </x:c>
      <x:c r="W304" s="28" t="str">
        <x:v>сенсорная проба в малой дозировке</x:v>
      </x:c>
      <x:c r="X304" s="28" t="str">
        <x:v>универсально</x:v>
      </x:c>
      <x:c r="Y304" s="28" t="str">
        <x:v>Средняя</x:v>
      </x:c>
      <x:c r="Z304" s="28" t="str">
        <x:v>The Art &amp; Science of Foodpairing</x:v>
      </x:c>
      <x:c r="AA304" s="28" t="str">
        <x:v>The Art &amp; Science of Foodpairing: 216</x:v>
      </x:c>
      <x:c r="AB304" s="28" t="str">
        <x:v>Ingredient pairings with Black Olive: blackberry</x:v>
      </x:c>
      <x:c r="AC304" s="28" t="n">
        <x:v>1</x:v>
      </x:c>
      <x:c r="AD304" s="28" t="n">
        <x:v>1</x:v>
      </x:c>
    </x:row>
    <x:row r="305" ht="58" customHeight="1">
      <x:c r="A305" s="28" t="str">
        <x:v>BER-0304</x:v>
      </x:c>
      <x:c r="B305" s="28" t="str">
        <x:v>Универсальные</x:v>
      </x:c>
      <x:c r="C305" s="28" t="str">
        <x:v>ежевика</x:v>
      </x:c>
      <x:c r="D305" s="28" t="str">
        <x:v>Ежевика</x:v>
      </x:c>
      <x:c r="E305" s="28" t="str">
        <x:v>Ягоды и производные</x:v>
      </x:c>
      <x:c r="F305" s="28" t="str">
        <x:v>чёрный перец</x:v>
      </x:c>
      <x:c r="G305" s="28" t="str">
        <x:v>чёрный перец</x:v>
      </x:c>
      <x:c r="H305" s="28" t="str">
        <x:v>Специи</x:v>
      </x:c>
      <x:c r="I305" s="28" t="str">
        <x:v>древесный, зелёный, мускусный, тёмно-фруктовый, цветочный</x:v>
      </x:c>
      <x:c r="J305" s="28" t="str">
        <x:v>древесный, пряный, тёплый</x:v>
      </x:c>
      <x:c r="K305" s="28" t="str">
        <x:v>C6-альдегиды, иононы, линалоол, эфиры</x:v>
      </x:c>
      <x:c r="L305" s="28" t="str">
        <x:v>коричный альдегид, терпены, эвгенол</x:v>
      </x:c>
      <x:c r="M305" s="28" t="str">
        <x:v>древесный</x:v>
      </x:c>
      <x:c r="N305" s="28" t="str">
        <x:v>не подтверждены; механизм не сводится к одной общей молекуле</x:v>
      </x:c>
      <x:c r="O305" s="28" t="str">
        <x:v>сходство ароматических семейств + комплементарность</x:v>
      </x:c>
      <x:c r="P305" s="28" t="str">
        <x:v>Ягодная сладость смягчает горечь и пряность, а кислотность делает пряный, иногда горький профиль ярче.</x:v>
      </x:c>
      <x:c r="Q305" s="28" t="str">
        <x:v>Специфического тройничного эффекта обычно нет; кислотность усиливает слюноотделение.</x:v>
      </x:c>
      <x:c r="R305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30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05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05" s="28" t="str">
        <x:v>Пряность дозировать как акцент: она быстро перекрывает тонкие ягодные эфиры.</x:v>
      </x:c>
      <x:c r="V305" s="28" t="str">
        <x:v>мёд или цитрус</x:v>
      </x:c>
      <x:c r="W30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305" s="28" t="str">
        <x:v>напитки; десерты; еда; соусы/маринады</x:v>
      </x:c>
      <x:c r="Y305" s="28" t="str">
        <x:v>Средняя</x:v>
      </x:c>
      <x:c r="Z305" s="28" t="str">
        <x:v>Таблица сочетаний</x:v>
      </x:c>
      <x:c r="AA305" s="28" t="str">
        <x:v>Таблица сочетаний: 2</x:v>
      </x:c>
      <x:c r="AB305" s="28" t="str">
        <x:v>Ежевика: чёрный перец</x:v>
      </x:c>
      <x:c r="AC305" s="28" t="n">
        <x:v>1</x:v>
      </x:c>
      <x:c r="AD305" s="28" t="n">
        <x:v>1</x:v>
      </x:c>
    </x:row>
    <x:row r="306" ht="58" customHeight="1">
      <x:c r="A306" s="28" t="str">
        <x:v>BER-0305</x:v>
      </x:c>
      <x:c r="B306" s="28" t="str">
        <x:v>Десерты и выпечка</x:v>
      </x:c>
      <x:c r="C306" s="28" t="str">
        <x:v>ежевика</x:v>
      </x:c>
      <x:c r="D306" s="28" t="str">
        <x:v>blackberry | Ежевика</x:v>
      </x:c>
      <x:c r="E306" s="28" t="str">
        <x:v>Ягоды и производные</x:v>
      </x:c>
      <x:c r="F306" s="28" t="str">
        <x:v>шоколад</x:v>
      </x:c>
      <x:c r="G306" s="28" t="str">
        <x:v>Chocolate | шоколад</x:v>
      </x:c>
      <x:c r="H306" s="28" t="str">
        <x:v>Шоколад, кофе и жареные продукты</x:v>
      </x:c>
      <x:c r="I306" s="28" t="str">
        <x:v>древесный, зелёный, мускусный, тёмно-фруктовый, цветочный</x:v>
      </x:c>
      <x:c r="J306" s="28" t="str">
        <x:v>горький, жареный, карамельный, ореховый</x:v>
      </x:c>
      <x:c r="K306" s="28" t="str">
        <x:v>C6-альдегиды, иононы, линалоол, эфиры</x:v>
      </x:c>
      <x:c r="L306" s="28" t="str">
        <x:v>ванилин, пиразины, фураны</x:v>
      </x:c>
      <x:c r="M306" s="28" t="str">
        <x:v>прямое совпадение семейств не установлено</x:v>
      </x:c>
      <x:c r="N306" s="28" t="str">
        <x:v>не подтверждены; механизм не сводится к одной общей молекуле</x:v>
      </x:c>
      <x:c r="O306" s="28" t="str">
        <x:v>контраст/комплементарность + матричный эффект</x:v>
      </x:c>
      <x:c r="P306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306" s="28" t="str">
        <x:v>Специфического тройничного эффекта обычно нет; кислотность усиливает слюноотделение.</x:v>
      </x:c>
      <x:c r="R306" s="28" t="str">
        <x:v>Жировая фаза удерживает гидрофобные одоранты и продлевает послевкусие; кислотность ягод повышает слюноотделение.</x:v>
      </x:c>
      <x:c r="S30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0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0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06" s="28" t="str">
        <x:v>ваниль или орехи</x:v>
      </x:c>
      <x:c r="W306" s="28" t="str">
        <x:v>сорбет, крем, ганаш, выпечка, джем или соус для десерта</x:v>
      </x:c>
      <x:c r="X306" s="28" t="str">
        <x:v>десерты</x:v>
      </x:c>
      <x:c r="Y306" s="28" t="str">
        <x:v>Высокая</x:v>
      </x:c>
      <x:c r="Z306" s="28" t="str">
        <x:v>The Art &amp; Science of Foodpairing; Таблица сочетаний</x:v>
      </x:c>
      <x:c r="AA306" s="28" t="str">
        <x:v>The Art &amp; Science of Foodpairing: 63; Таблица сочетаний: 2</x:v>
      </x:c>
      <x:c r="AB306" s="28" t="str">
        <x:v>Ежевика: шоколад | Ingredient pairings with Chocolate: blackberry</x:v>
      </x:c>
      <x:c r="AC306" s="28" t="n">
        <x:v>2</x:v>
      </x:c>
      <x:c r="AD306" s="28" t="n">
        <x:v>2</x:v>
      </x:c>
    </x:row>
    <x:row r="307" ht="58" customHeight="1">
      <x:c r="A307" s="28" t="str">
        <x:v>BER-0306</x:v>
      </x:c>
      <x:c r="B307" s="28" t="str">
        <x:v>Универсальные</x:v>
      </x:c>
      <x:c r="C307" s="28" t="str">
        <x:v>ежевика</x:v>
      </x:c>
      <x:c r="D307" s="28" t="str">
        <x:v>Ежевика | ежевика</x:v>
      </x:c>
      <x:c r="E307" s="28" t="str">
        <x:v>Ягоды и производные</x:v>
      </x:c>
      <x:c r="F307" s="28" t="str">
        <x:v>яблоко</x:v>
      </x:c>
      <x:c r="G307" s="28" t="str">
        <x:v>Яблоко | яблоко</x:v>
      </x:c>
      <x:c r="H307" s="28" t="str">
        <x:v>Фрукты</x:v>
      </x:c>
      <x:c r="I307" s="28" t="str">
        <x:v>древесный, зелёный, мускусный, тёмно-фруктовый, цветочный</x:v>
      </x:c>
      <x:c r="J307" s="28" t="str">
        <x:v>зелёный, фруктовый, цветочный</x:v>
      </x:c>
      <x:c r="K307" s="28" t="str">
        <x:v>C6-альдегиды, иононы, линалоол, эфиры</x:v>
      </x:c>
      <x:c r="L307" s="28" t="str">
        <x:v>лактоны, терпены, эфиры</x:v>
      </x:c>
      <x:c r="M307" s="28" t="str">
        <x:v>зелёный, цветочный</x:v>
      </x:c>
      <x:c r="N307" s="28" t="str">
        <x:v>эфиры</x:v>
      </x:c>
      <x:c r="O307" s="28" t="str">
        <x:v>ароматическое сходство + вкусовой баланс</x:v>
      </x:c>
      <x:c r="P307" s="28" t="str">
        <x:v>Оба компонента формируют кисло-сладкий, умеренно терпкий и сладко-кислый контур; сахар, кислота и горечь должны быть выровнены дегустацией.</x:v>
      </x:c>
      <x:c r="Q307" s="28" t="str">
        <x:v>Специфического тройничного эффекта обычно нет; кислотность усиливает слюноотделение.</x:v>
      </x:c>
      <x:c r="R307" s="28" t="str">
        <x:v>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</x:v>
      </x:c>
      <x:c r="S30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07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зелёный,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0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07" s="28" t="str">
        <x:v>ваниль или лимон</x:v>
      </x:c>
      <x:c r="W30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07" s="28" t="str">
        <x:v>напитки; десерты</x:v>
      </x:c>
      <x:c r="Y307" s="28" t="str">
        <x:v>Высокая</x:v>
      </x:c>
      <x:c r="Z307" s="28" t="str">
        <x:v>Таблица сочетаний; Тезариус вкусов</x:v>
      </x:c>
      <x:c r="AA307" s="28" t="str">
        <x:v>Тезариус вкусов: 712, 882; Таблица сочетаний: 2</x:v>
      </x:c>
      <x:c r="AB307" s="28" t="str">
        <x:v>Яблоко и ежевика. Это дуэт Пола Саймона и Ар | Ежевика и яблоко. См. Яблоко и ежевика | Ежевика: яблоко</x:v>
      </x:c>
      <x:c r="AC307" s="28" t="n">
        <x:v>2</x:v>
      </x:c>
      <x:c r="AD307" s="28" t="n">
        <x:v>3</x:v>
      </x:c>
    </x:row>
    <x:row r="308" ht="58" customHeight="1">
      <x:c r="A308" s="28" t="str">
        <x:v>BER-0307</x:v>
      </x:c>
      <x:c r="B308" s="28" t="str">
        <x:v>Универсальные</x:v>
      </x:c>
      <x:c r="C308" s="28" t="str">
        <x:v>земляника</x:v>
      </x:c>
      <x:c r="D308" s="28" t="str">
        <x:v>wild strawberry</x:v>
      </x:c>
      <x:c r="E308" s="28" t="str">
        <x:v>Ягоды и производные</x:v>
      </x:c>
      <x:c r="F308" s="28" t="str">
        <x:v>авокадо</x:v>
      </x:c>
      <x:c r="G308" s="28" t="str">
        <x:v>Avocado</x:v>
      </x:c>
      <x:c r="H308" s="28" t="str">
        <x:v>Прочее</x:v>
      </x:c>
      <x:c r="I308" s="28" t="str">
        <x:v>зелёный, карамельный, фруктовый, цветочный</x:v>
      </x:c>
      <x:c r="J308" s="28" t="str">
        <x:v>комплексный</x:v>
      </x:c>
      <x:c r="K308" s="28" t="str">
        <x:v>линалоол, мезифуран, фуранеол, эфиры</x:v>
      </x:c>
      <x:c r="L308" s="28" t="str">
        <x:v>нет надёжной конкретизации</x:v>
      </x:c>
      <x:c r="M308" s="28" t="str">
        <x:v>прямое совпадение семейств не установлено</x:v>
      </x:c>
      <x:c r="N308" s="28" t="str">
        <x:v>не подтверждены; механизм не сводится к одной общей молекуле</x:v>
      </x:c>
      <x:c r="O308" s="28" t="str">
        <x:v>контраст/комплементарность + матричный эффект</x:v>
      </x:c>
      <x:c r="P308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08" s="28" t="str">
        <x:v>Специфического тройничного эффекта обычно нет; кислотность усиливает слюноотделение.</x:v>
      </x:c>
      <x:c r="R308" s="28" t="str">
        <x:v>Ягода: очень летучий аромат; лучше щадящая обработка. Партнёр: механизм зависит от конкретного продукта. В воде аромат раскрывается быстрее, в жире и этаноле — дольше удерживается.</x:v>
      </x:c>
      <x:c r="S30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0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очень летучий аромат; лучше щадящая обработка.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0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08" s="28" t="str">
        <x:v>лимон или ваниль</x:v>
      </x:c>
      <x:c r="W308" s="28" t="str">
        <x:v>сенсорная проба в малой дозировке</x:v>
      </x:c>
      <x:c r="X308" s="28" t="str">
        <x:v>универсально</x:v>
      </x:c>
      <x:c r="Y308" s="28" t="str">
        <x:v>Средняя</x:v>
      </x:c>
      <x:c r="Z308" s="28" t="str">
        <x:v>The Art &amp; Science of Foodpairing</x:v>
      </x:c>
      <x:c r="AA308" s="28" t="str">
        <x:v>The Art &amp; Science of Foodpairing: 355</x:v>
      </x:c>
      <x:c r="AB308" s="28" t="str">
        <x:v>Ingredient pairings with Avocado: wild strawberry</x:v>
      </x:c>
      <x:c r="AC308" s="28" t="n">
        <x:v>1</x:v>
      </x:c>
      <x:c r="AD308" s="28" t="n">
        <x:v>1</x:v>
      </x:c>
    </x:row>
    <x:row r="309" ht="58" customHeight="1">
      <x:c r="A309" s="28" t="str">
        <x:v>BER-0308</x:v>
      </x:c>
      <x:c r="B309" s="28" t="str">
        <x:v>Напитки</x:v>
      </x:c>
      <x:c r="C309" s="28" t="str">
        <x:v>земляника</x:v>
      </x:c>
      <x:c r="D309" s="28" t="str">
        <x:v>wild strawberry</x:v>
      </x:c>
      <x:c r="E309" s="28" t="str">
        <x:v>Ягоды и производные</x:v>
      </x:c>
      <x:c r="F309" s="28" t="str">
        <x:v>грейпфрут</x:v>
      </x:c>
      <x:c r="G309" s="28" t="str">
        <x:v>Grapefruit</x:v>
      </x:c>
      <x:c r="H309" s="28" t="str">
        <x:v>Цитрусовые</x:v>
      </x:c>
      <x:c r="I309" s="28" t="str">
        <x:v>зелёный, карамельный, фруктовый, цветочный</x:v>
      </x:c>
      <x:c r="J309" s="28" t="str">
        <x:v>зелёный, цветочный, цитрусовый</x:v>
      </x:c>
      <x:c r="K309" s="28" t="str">
        <x:v>линалоол, мезифуран, фуранеол, эфиры</x:v>
      </x:c>
      <x:c r="L309" s="28" t="str">
        <x:v>лимонен, линалоол, цитраль</x:v>
      </x:c>
      <x:c r="M309" s="28" t="str">
        <x:v>зелёный, цветочный</x:v>
      </x:c>
      <x:c r="N309" s="28" t="str">
        <x:v>линалоол</x:v>
      </x:c>
      <x:c r="O309" s="28" t="str">
        <x:v>ароматическое сходство + вкусовой баланс</x:v>
      </x:c>
      <x:c r="P309" s="28" t="str">
        <x:v>Оба компонента формируют сладко-кислый и кислый, свежий контур; сахар, кислота и горечь должны быть выровнены дегустацией.</x:v>
      </x:c>
      <x:c r="Q309" s="28" t="str">
        <x:v>Специфического тройничного эффекта обычно нет; кислотность усиливает слюноотделение.</x:v>
      </x:c>
      <x:c r="R309" s="28" t="str">
        <x:v>Ягода: очень летучий аромат; лучше щадящая обработка. Партнёр: вода и эфирные масла; цедра гидрофобна. В воде аромат раскрывается быстрее, в жире и этаноле — дольше удерживается.</x:v>
      </x:c>
      <x:c r="S30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09" s="28" t="str">
        <x:v>Прямой вероятный молекулярный мост: линалоол. Ягодный компонент несёт семейства зелёный, карамельный,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очень летучий аромат; лучше щадящая обработка.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0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09" s="28" t="str">
        <x:v>мёд или базилик</x:v>
      </x:c>
      <x:c r="W309" s="28" t="str">
        <x:v>кордиал, лимонад, чай, коктейль, настой или ферментированный напиток; маринад, гастрик, чатни, кетчуп или редукция</x:v>
      </x:c>
      <x:c r="X309" s="28" t="str">
        <x:v>напитки; соусы/маринады</x:v>
      </x:c>
      <x:c r="Y309" s="28" t="str">
        <x:v>Средняя</x:v>
      </x:c>
      <x:c r="Z309" s="28" t="str">
        <x:v>The Art &amp; Science of Foodpairing</x:v>
      </x:c>
      <x:c r="AA309" s="28" t="str">
        <x:v>The Art &amp; Science of Foodpairing: 359</x:v>
      </x:c>
      <x:c r="AB309" s="28" t="str">
        <x:v>Ingredient pairings with Grapefruit: wild strawberry</x:v>
      </x:c>
      <x:c r="AC309" s="28" t="n">
        <x:v>1</x:v>
      </x:c>
      <x:c r="AD309" s="28" t="n">
        <x:v>1</x:v>
      </x:c>
    </x:row>
    <x:row r="310" ht="58" customHeight="1">
      <x:c r="A310" s="28" t="str">
        <x:v>BER-0309</x:v>
      </x:c>
      <x:c r="B310" s="28" t="str">
        <x:v>Универсальные</x:v>
      </x:c>
      <x:c r="C310" s="28" t="str">
        <x:v>земляника</x:v>
      </x:c>
      <x:c r="D310" s="28" t="str">
        <x:v>wild strawberry</x:v>
      </x:c>
      <x:c r="E310" s="28" t="str">
        <x:v>Ягоды и производные</x:v>
      </x:c>
      <x:c r="F310" s="28" t="str">
        <x:v>груша</x:v>
      </x:c>
      <x:c r="G310" s="28" t="str">
        <x:v>Pear</x:v>
      </x:c>
      <x:c r="H310" s="28" t="str">
        <x:v>Фрукты</x:v>
      </x:c>
      <x:c r="I310" s="28" t="str">
        <x:v>зелёный, карамельный, фруктовый, цветочный</x:v>
      </x:c>
      <x:c r="J310" s="28" t="str">
        <x:v>зелёный, фруктовый, цветочный</x:v>
      </x:c>
      <x:c r="K310" s="28" t="str">
        <x:v>линалоол, мезифуран, фуранеол, эфиры</x:v>
      </x:c>
      <x:c r="L310" s="28" t="str">
        <x:v>лактоны, терпены, эфиры</x:v>
      </x:c>
      <x:c r="M310" s="28" t="str">
        <x:v>зелёный, фруктовый, цветочный</x:v>
      </x:c>
      <x:c r="N310" s="28" t="str">
        <x:v>эфиры</x:v>
      </x:c>
      <x:c r="O310" s="28" t="str">
        <x:v>ароматическое сходство + вкусовой баланс</x:v>
      </x:c>
      <x:c r="P310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310" s="28" t="str">
        <x:v>Специфического тройничного эффекта обычно нет; кислотность усиливает слюноотделение.</x:v>
      </x:c>
      <x:c r="R310" s="28" t="str">
        <x:v>Ягода: очень летучий аромат; лучше щадящая обработка. Партнёр: водная фруктовая матрица. В воде аромат раскрывается быстрее, в жире и этаноле — дольше удерживается.</x:v>
      </x:c>
      <x:c r="S3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10" s="28" t="str">
        <x:v>Прямой вероятный молекулярный мост: эфиры. Ягодный компонент несёт семейства зелёный, карамельный,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очень летучий аромат; лучше щадящая обработка.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1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10" s="28" t="str">
        <x:v>ваниль или лимон</x:v>
      </x:c>
      <x:c r="W31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10" s="28" t="str">
        <x:v>напитки; десерты</x:v>
      </x:c>
      <x:c r="Y310" s="28" t="str">
        <x:v>Средняя</x:v>
      </x:c>
      <x:c r="Z310" s="28" t="str">
        <x:v>The Art &amp; Science of Foodpairing</x:v>
      </x:c>
      <x:c r="AA310" s="28" t="str">
        <x:v>The Art &amp; Science of Foodpairing: 350</x:v>
      </x:c>
      <x:c r="AB310" s="28" t="str">
        <x:v>Ingredient pairings with Pear: wild strawberry</x:v>
      </x:c>
      <x:c r="AC310" s="28" t="n">
        <x:v>1</x:v>
      </x:c>
      <x:c r="AD310" s="28" t="n">
        <x:v>1</x:v>
      </x:c>
    </x:row>
    <x:row r="311" ht="58" customHeight="1">
      <x:c r="A311" s="28" t="str">
        <x:v>BER-0310</x:v>
      </x:c>
      <x:c r="B311" s="28" t="str">
        <x:v>Еда и соусы</x:v>
      </x:c>
      <x:c r="C311" s="28" t="str">
        <x:v>земляника</x:v>
      </x:c>
      <x:c r="D311" s="28" t="str">
        <x:v>wild strawberry</x:v>
      </x:c>
      <x:c r="E311" s="28" t="str">
        <x:v>Ягоды и производные</x:v>
      </x:c>
      <x:c r="F311" s="28" t="str">
        <x:v>кимчи</x:v>
      </x:c>
      <x:c r="G311" s="28" t="str">
        <x:v>Kimchi</x:v>
      </x:c>
      <x:c r="H311" s="28" t="str">
        <x:v>Ферментированные продукты, соусы и уксусы</x:v>
      </x:c>
      <x:c r="I311" s="28" t="str">
        <x:v>зелёный, карамельный, фруктовый, цветочный</x:v>
      </x:c>
      <x:c r="J311" s="28" t="str">
        <x:v>кислый, умами, ферментированный</x:v>
      </x:c>
      <x:c r="K311" s="28" t="str">
        <x:v>линалоол, мезифуран, фуранеол, эфиры</x:v>
      </x:c>
      <x:c r="L311" s="28" t="str">
        <x:v>аминокислоты, органические кислоты, эфиры</x:v>
      </x:c>
      <x:c r="M311" s="28" t="str">
        <x:v>прямое совпадение семейств не установлено</x:v>
      </x:c>
      <x:c r="N311" s="28" t="str">
        <x:v>эфиры</x:v>
      </x:c>
      <x:c r="O311" s="28" t="str">
        <x:v>ароматическое сходство + вкусовой баланс</x:v>
      </x:c>
      <x:c r="P311" s="28" t="str">
        <x:v>Оба компонента формируют сладко-кислый и кислый/солёный/умами контур; сахар, кислота и горечь должны быть выровнены дегустацией.</x:v>
      </x:c>
      <x:c r="Q311" s="28" t="str">
        <x:v>Специфического тройничного эффекта обычно нет; кислотность усиливает слюноотделение.</x:v>
      </x:c>
      <x:c r="R311" s="28" t="str">
        <x:v>Ягода: очень летучий аромат; лучше щадящая обработка. Партнёр: вода, соль и продукты ферментации. В воде аромат раскрывается быстрее, в жире и этаноле — дольше удерживается.</x:v>
      </x:c>
      <x:c r="S3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11" s="28" t="str">
        <x:v>Прямой вероятный молекулярный мост: эфиры. Ягодный компонент несёт семейства зелёный, карамельный, фруктовый, цветочный; партнёр — кислый, умами, ферментированный. Оба компонента формируют сладко-кислый и кислый/солёный/умами контур; сахар, кислота и горечь должны быть выровнены дегустацией. Ягода: очень летучий аромат; лучше щадящая обработка.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1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11" s="28" t="str">
        <x:v>мёд или соевый соус</x:v>
      </x:c>
      <x:c r="W311" s="28" t="str">
        <x:v>соус, глазировка, салат, сырная подача или горячее блюдо; маринад, гастрик, чатни, кетчуп или редукция</x:v>
      </x:c>
      <x:c r="X311" s="28" t="str">
        <x:v>еда; соусы/маринады</x:v>
      </x:c>
      <x:c r="Y311" s="28" t="str">
        <x:v>Средняя</x:v>
      </x:c>
      <x:c r="Z311" s="28" t="str">
        <x:v>The Art &amp; Science of Foodpairing</x:v>
      </x:c>
      <x:c r="AA311" s="28" t="str">
        <x:v>The Art &amp; Science of Foodpairing: 304</x:v>
      </x:c>
      <x:c r="AB311" s="28" t="str">
        <x:v>Ingredient pairings with Kimchi: wild strawberry</x:v>
      </x:c>
      <x:c r="AC311" s="28" t="n">
        <x:v>1</x:v>
      </x:c>
      <x:c r="AD311" s="28" t="n">
        <x:v>1</x:v>
      </x:c>
    </x:row>
    <x:row r="312" ht="58" customHeight="1">
      <x:c r="A312" s="28" t="str">
        <x:v>BER-0311</x:v>
      </x:c>
      <x:c r="B312" s="28" t="str">
        <x:v>Универсальные</x:v>
      </x:c>
      <x:c r="C312" s="28" t="str">
        <x:v>земляника</x:v>
      </x:c>
      <x:c r="D312" s="28" t="str">
        <x:v>wild strawberry</x:v>
      </x:c>
      <x:c r="E312" s="28" t="str">
        <x:v>Ягоды и производные</x:v>
      </x:c>
      <x:c r="F312" s="28" t="str">
        <x:v>клубника</x:v>
      </x:c>
      <x:c r="G312" s="28" t="str">
        <x:v>Strawberry</x:v>
      </x:c>
      <x:c r="H312" s="28" t="str">
        <x:v>Ягоды и производные</x:v>
      </x:c>
      <x:c r="I312" s="28" t="str">
        <x:v>зелёный, карамельный, фруктовый, цветочный</x:v>
      </x:c>
      <x:c r="J312" s="28" t="str">
        <x:v>зелёный, карамельный, сливочный, фруктовый, цветочный</x:v>
      </x:c>
      <x:c r="K312" s="28" t="str">
        <x:v>линалоол, мезифуран, фуранеол, эфиры</x:v>
      </x:c>
      <x:c r="L312" s="28" t="str">
        <x:v>линалоол, мезифуран, фуранеол, цис-3-гексеналь, этилбутират</x:v>
      </x:c>
      <x:c r="M312" s="28" t="str">
        <x:v>зелёный, карамельный, фруктовый, цветочный</x:v>
      </x:c>
      <x:c r="N312" s="28" t="str">
        <x:v>линалоол, мезифуран, фуранеол</x:v>
      </x:c>
      <x:c r="O312" s="28" t="str">
        <x:v>ароматическое сходство + вкусовой баланс</x:v>
      </x:c>
      <x:c r="P312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312" s="28" t="str">
        <x:v>Специфического тройничного эффекта обычно нет; кислотность усиливает слюноотделение.</x:v>
      </x:c>
      <x:c r="R312" s="28" t="str">
        <x:v>Ягода: очень летучий аромат; лучше щадящая обработка. Партнёр: высокая доля воды; аромат чувствителен к перегреву. В воде аромат раскрывается быстрее, в жире и этаноле — дольше удерживается.</x:v>
      </x:c>
      <x:c r="S31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12" s="28" t="str">
        <x:v>Прямой вероятный молекулярный мост: линалоол, мезифуран, фуранеол. Ягодный компонент несёт семейства зелёный, карамельный, фруктовый, цветочный; партнёр — зелёный, карамельный, сливочный,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очень летучий аромат; лучше щадящая обработка. Партнёр: высокая доля воды; аромат чувствителен к перегреву.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1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12" s="28" t="str">
        <x:v>ваниль или роза</x:v>
      </x:c>
      <x:c r="W31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12" s="28" t="str">
        <x:v>напитки; десерты</x:v>
      </x:c>
      <x:c r="Y312" s="28" t="str">
        <x:v>Средняя</x:v>
      </x:c>
      <x:c r="Z312" s="28" t="str">
        <x:v>The Art &amp; Science of Foodpairing</x:v>
      </x:c>
      <x:c r="AA312" s="28" t="str">
        <x:v>The Art &amp; Science of Foodpairing: 70</x:v>
      </x:c>
      <x:c r="AB312" s="28" t="str">
        <x:v>Ingredient pairings with Strawberry: wild strawberry</x:v>
      </x:c>
      <x:c r="AC312" s="28" t="n">
        <x:v>1</x:v>
      </x:c>
      <x:c r="AD312" s="28" t="n">
        <x:v>1</x:v>
      </x:c>
    </x:row>
    <x:row r="313" ht="58" customHeight="1">
      <x:c r="A313" s="28" t="str">
        <x:v>BER-0312</x:v>
      </x:c>
      <x:c r="B313" s="28" t="str">
        <x:v>Напитки</x:v>
      </x:c>
      <x:c r="C313" s="28" t="str">
        <x:v>земляника</x:v>
      </x:c>
      <x:c r="D313" s="28" t="str">
        <x:v>wild strawberry</x:v>
      </x:c>
      <x:c r="E313" s="28" t="str">
        <x:v>Ягоды и производные</x:v>
      </x:c>
      <x:c r="F313" s="28" t="str">
        <x:v>текила</x:v>
      </x:c>
      <x:c r="G313" s="28" t="str">
        <x:v>Tequila</x:v>
      </x:c>
      <x:c r="H313" s="28" t="str">
        <x:v>Алкогольные напитки</x:v>
      </x:c>
      <x:c r="I313" s="28" t="str">
        <x:v>зелёный, карамельный, фруктовый, цветочный</x:v>
      </x:c>
      <x:c r="J313" s="28" t="str">
        <x:v>древесный, фруктовый, эфирный</x:v>
      </x:c>
      <x:c r="K313" s="28" t="str">
        <x:v>линалоол, мезифуран, фуранеол, эфиры</x:v>
      </x:c>
      <x:c r="L313" s="28" t="str">
        <x:v>ванилин, дубовые лактоны, этиловые эфиры</x:v>
      </x:c>
      <x:c r="M313" s="28" t="str">
        <x:v>фруктовый</x:v>
      </x:c>
      <x:c r="N313" s="28" t="str">
        <x:v>не подтверждены; механизм не сводится к одной общей молекуле</x:v>
      </x:c>
      <x:c r="O313" s="28" t="str">
        <x:v>сходство ароматических семейств + комплементарность</x:v>
      </x:c>
      <x:c r="P313" s="28" t="str">
        <x:v>Кисло-сладкий ягодный профиль балансирует крепость и возможную дубовую горечь напитка.</x:v>
      </x:c>
      <x:c r="Q313" s="28" t="str">
        <x:v>Специфического тройничного эффекта обычно нет; кислотность усиливает слюноотделение.</x:v>
      </x:c>
      <x:c r="R313" s="28" t="str">
        <x:v>Этанол усиливает извлечение гидрофобных терпенов, иононов и эфиров, но при высокой крепости может подчеркнуть резкость.</x:v>
      </x:c>
      <x:c r="S31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T313" s="28" t="str">
        <x:v>Общие ароматические семейства: фруктовый; конкретная доля одорантов зависит от сорта и обработки. Ягодный компонент несёт семейства зелёный, карамельный, фруктовый, цветочный;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U313" s="28" t="str">
        <x:v>Высокая крепость и избыток сахара маскируют свежесть и усиливают терпкость.</x:v>
      </x:c>
      <x:c r="V313" s="28" t="str">
        <x:v>цитрус или вермут</x:v>
      </x:c>
      <x:c r="W313" s="28" t="str">
        <x:v>кордиал, лимонад, чай, коктейль, настой или ферментированный напиток</x:v>
      </x:c>
      <x:c r="X313" s="28" t="str">
        <x:v>напитки</x:v>
      </x:c>
      <x:c r="Y313" s="28" t="str">
        <x:v>Средняя</x:v>
      </x:c>
      <x:c r="Z313" s="28" t="str">
        <x:v>The Art &amp; Science of Foodpairing</x:v>
      </x:c>
      <x:c r="AA313" s="28" t="str">
        <x:v>The Art &amp; Science of Foodpairing: 83</x:v>
      </x:c>
      <x:c r="AB313" s="28" t="str">
        <x:v>Ingredient pairings with Tequila: wild strawberry</x:v>
      </x:c>
      <x:c r="AC313" s="28" t="n">
        <x:v>1</x:v>
      </x:c>
      <x:c r="AD313" s="28" t="n">
        <x:v>1</x:v>
      </x:c>
    </x:row>
    <x:row r="314" ht="58" customHeight="1">
      <x:c r="A314" s="28" t="str">
        <x:v>BER-0313</x:v>
      </x:c>
      <x:c r="B314" s="28" t="str">
        <x:v>Универсальные</x:v>
      </x:c>
      <x:c r="C314" s="28" t="str">
        <x:v>земляника</x:v>
      </x:c>
      <x:c r="D314" s="28" t="str">
        <x:v>wild strawberry</x:v>
      </x:c>
      <x:c r="E314" s="28" t="str">
        <x:v>Ягоды и производные</x:v>
      </x:c>
      <x:c r="F314" s="28" t="str">
        <x:v>цветы жасмина</x:v>
      </x:c>
      <x:c r="G314" s="28" t="str">
        <x:v>Jasmine Blossom</x:v>
      </x:c>
      <x:c r="H314" s="28" t="str">
        <x:v>Травы и цветы</x:v>
      </x:c>
      <x:c r="I314" s="28" t="str">
        <x:v>зелёный, карамельный, фруктовый, цветочный</x:v>
      </x:c>
      <x:c r="J314" s="28" t="str">
        <x:v>зелёный, травянистый, цветочный</x:v>
      </x:c>
      <x:c r="K314" s="28" t="str">
        <x:v>линалоол, мезифуран, фуранеол, эфиры</x:v>
      </x:c>
      <x:c r="L314" s="28" t="str">
        <x:v>гераниол, линалоол, терпены, эвгенол</x:v>
      </x:c>
      <x:c r="M314" s="28" t="str">
        <x:v>зелёный, цветочный</x:v>
      </x:c>
      <x:c r="N314" s="28" t="str">
        <x:v>линалоол</x:v>
      </x:c>
      <x:c r="O314" s="28" t="str">
        <x:v>ароматическое сходство + вкусовой баланс</x:v>
      </x:c>
      <x:c r="P314" s="28" t="str">
        <x:v>Ягодная сладость смягчает горечь и пряность, а кислотность делает горьковатый, свежий профиль ярче.</x:v>
      </x:c>
      <x:c r="Q314" s="28" t="str">
        <x:v>Специфического тройничного эффекта обычно нет; кислотность усиливает слюноотделение.</x:v>
      </x:c>
      <x:c r="R314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31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14" s="28" t="str">
        <x:v>Прямой вероятный молекулярный мост: линалоол. Ягодный компонент несёт семейства зелёный, карамельный,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1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14" s="28" t="str">
        <x:v>лимон или мёд</x:v>
      </x:c>
      <x:c r="W31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314" s="28" t="str">
        <x:v>напитки; еда; соусы/маринады</x:v>
      </x:c>
      <x:c r="Y314" s="28" t="str">
        <x:v>Средняя</x:v>
      </x:c>
      <x:c r="Z314" s="28" t="str">
        <x:v>The Art &amp; Science of Foodpairing</x:v>
      </x:c>
      <x:c r="AA314" s="28" t="str">
        <x:v>The Art &amp; Science of Foodpairing: 210</x:v>
      </x:c>
      <x:c r="AB314" s="28" t="str">
        <x:v>Ingredient pairings with Jasmine Blossom: wild strawberry</x:v>
      </x:c>
      <x:c r="AC314" s="28" t="n">
        <x:v>1</x:v>
      </x:c>
      <x:c r="AD314" s="28" t="n">
        <x:v>1</x:v>
      </x:c>
    </x:row>
    <x:row r="315" ht="58" customHeight="1">
      <x:c r="A315" s="28" t="str">
        <x:v>BER-0314</x:v>
      </x:c>
      <x:c r="B315" s="28" t="str">
        <x:v>Универсальные</x:v>
      </x:c>
      <x:c r="C315" s="28" t="str">
        <x:v>земляника</x:v>
      </x:c>
      <x:c r="D315" s="28" t="str">
        <x:v>wild strawberry</x:v>
      </x:c>
      <x:c r="E315" s="28" t="str">
        <x:v>Ягоды и производные</x:v>
      </x:c>
      <x:c r="F315" s="28" t="str">
        <x:v>чёрный перец</x:v>
      </x:c>
      <x:c r="G315" s="28" t="str">
        <x:v>Black Peppercorns</x:v>
      </x:c>
      <x:c r="H315" s="28" t="str">
        <x:v>Специи</x:v>
      </x:c>
      <x:c r="I315" s="28" t="str">
        <x:v>зелёный, карамельный, фруктовый, цветочный</x:v>
      </x:c>
      <x:c r="J315" s="28" t="str">
        <x:v>древесный, пряный, тёплый</x:v>
      </x:c>
      <x:c r="K315" s="28" t="str">
        <x:v>линалоол, мезифуран, фуранеол, эфиры</x:v>
      </x:c>
      <x:c r="L315" s="28" t="str">
        <x:v>коричный альдегид, терпены, эвгенол</x:v>
      </x:c>
      <x:c r="M315" s="28" t="str">
        <x:v>прямое совпадение семейств не установлено</x:v>
      </x:c>
      <x:c r="N315" s="28" t="str">
        <x:v>не подтверждены; механизм не сводится к одной общей молекуле</x:v>
      </x:c>
      <x:c r="O315" s="28" t="str">
        <x:v>контраст/комплементарность + матричный эффект</x:v>
      </x:c>
      <x:c r="P315" s="28" t="str">
        <x:v>Ягодная сладость смягчает горечь и пряность, а кислотность делает пряный, иногда горький профиль ярче.</x:v>
      </x:c>
      <x:c r="Q315" s="28" t="str">
        <x:v>Специфического тройничного эффекта обычно нет; кислотность усиливает слюноотделение.</x:v>
      </x:c>
      <x:c r="R315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31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1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15" s="28" t="str">
        <x:v>Пряность дозировать как акцент: она быстро перекрывает тонкие ягодные эфиры.</x:v>
      </x:c>
      <x:c r="V315" s="28" t="str">
        <x:v>мёд или цитрус</x:v>
      </x:c>
      <x:c r="W31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315" s="28" t="str">
        <x:v>напитки; десерты; еда; соусы/маринады</x:v>
      </x:c>
      <x:c r="Y315" s="28" t="str">
        <x:v>Средняя</x:v>
      </x:c>
      <x:c r="Z315" s="28" t="str">
        <x:v>The Art &amp; Science of Foodpairing</x:v>
      </x:c>
      <x:c r="AA315" s="28" t="str">
        <x:v>The Art &amp; Science of Foodpairing: 275</x:v>
      </x:c>
      <x:c r="AB315" s="28" t="str">
        <x:v>Ingredient pairings with Black Peppercorns: wild strawberry</x:v>
      </x:c>
      <x:c r="AC315" s="28" t="n">
        <x:v>1</x:v>
      </x:c>
      <x:c r="AD315" s="28" t="n">
        <x:v>1</x:v>
      </x:c>
    </x:row>
    <x:row r="316" ht="58" customHeight="1">
      <x:c r="A316" s="28" t="str">
        <x:v>BER-0315</x:v>
      </x:c>
      <x:c r="B316" s="28" t="str">
        <x:v>Еда и соусы</x:v>
      </x:c>
      <x:c r="C316" s="28" t="str">
        <x:v>клубника</x:v>
      </x:c>
      <x:c r="D316" s="28" t="str">
        <x:v>Strawberry</x:v>
      </x:c>
      <x:c r="E316" s="28" t="str">
        <x:v>Ягоды и производные</x:v>
      </x:c>
      <x:c r="F316" s="28" t="str">
        <x:v>brown chicken stock (fond brun)</x:v>
      </x:c>
      <x:c r="G316" s="28" t="str">
        <x:v>brown chicken stock (fond brun)</x:v>
      </x:c>
      <x:c r="H316" s="28" t="str">
        <x:v>Мясо и птица</x:v>
      </x:c>
      <x:c r="I316" s="28" t="str">
        <x:v>зелёный, карамельный, сливочный, фруктовый, цветочный</x:v>
      </x:c>
      <x:c r="J316" s="28" t="str">
        <x:v>жареный, жирный, сернистый, умами</x:v>
      </x:c>
      <x:c r="K316" s="28" t="str">
        <x:v>линалоол, мезифуран, фуранеол, цис-3-гексеналь, этилбутират</x:v>
      </x:c>
      <x:c r="L316" s="28" t="str">
        <x:v>альдегиды, пиразины, сернистые соединения</x:v>
      </x:c>
      <x:c r="M316" s="28" t="str">
        <x:v>прямое совпадение семейств не установлено</x:v>
      </x:c>
      <x:c r="N316" s="28" t="str">
        <x:v>не подтверждены; механизм не сводится к одной общей молекуле</x:v>
      </x:c>
      <x:c r="O316" s="28" t="str">
        <x:v>контраст/комплементарность + матричный эффект</x:v>
      </x:c>
      <x:c r="P316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316" s="28" t="str">
        <x:v>Специфического тройничного эффекта обычно нет; кислотность усиливает слюноотделение.</x:v>
      </x:c>
      <x:c r="R316" s="28" t="str">
        <x:v>Жировая фаза удерживает гидрофобные одоранты и продлевает послевкусие; кислотность ягод повышает слюноотделение.</x:v>
      </x:c>
      <x:c r="S31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31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31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16" s="28" t="str">
        <x:v>красное вино или чёрный перец</x:v>
      </x:c>
      <x:c r="W316" s="28" t="str">
        <x:v>соус, глазировка, салат, сырная подача или горячее блюдо; маринад, гастрик, чатни, кетчуп или редукция</x:v>
      </x:c>
      <x:c r="X316" s="28" t="str">
        <x:v>еда; соусы/маринады</x:v>
      </x:c>
      <x:c r="Y316" s="28" t="str">
        <x:v>Средняя</x:v>
      </x:c>
      <x:c r="Z316" s="28" t="str">
        <x:v>The Art &amp; Science of Foodpairing</x:v>
      </x:c>
      <x:c r="AA316" s="28" t="str">
        <x:v>The Art &amp; Science of Foodpairing: 70</x:v>
      </x:c>
      <x:c r="AB316" s="28" t="str">
        <x:v>Ingredient pairings with Strawberry: brown chicken stock (fond brun)</x:v>
      </x:c>
      <x:c r="AC316" s="28" t="n">
        <x:v>1</x:v>
      </x:c>
      <x:c r="AD316" s="28" t="n">
        <x:v>1</x:v>
      </x:c>
    </x:row>
    <x:row r="317" ht="58" customHeight="1">
      <x:c r="A317" s="28" t="str">
        <x:v>BER-0316</x:v>
      </x:c>
      <x:c r="B317" s="28" t="str">
        <x:v>Универсальные</x:v>
      </x:c>
      <x:c r="C317" s="28" t="str">
        <x:v>клубника</x:v>
      </x:c>
      <x:c r="D317" s="28" t="str">
        <x:v>Strawberry</x:v>
      </x:c>
      <x:c r="E317" s="28" t="str">
        <x:v>Ягоды и производные</x:v>
      </x:c>
      <x:c r="F317" s="28" t="str">
        <x:v>cantaloupe</x:v>
      </x:c>
      <x:c r="G317" s="28" t="str">
        <x:v>cantaloupe</x:v>
      </x:c>
      <x:c r="H317" s="28" t="str">
        <x:v>Прочее</x:v>
      </x:c>
      <x:c r="I317" s="28" t="str">
        <x:v>зелёный, карамельный, сливочный, фруктовый, цветочный</x:v>
      </x:c>
      <x:c r="J317" s="28" t="str">
        <x:v>комплексный</x:v>
      </x:c>
      <x:c r="K317" s="28" t="str">
        <x:v>линалоол, мезифуран, фуранеол, цис-3-гексеналь, этилбутират</x:v>
      </x:c>
      <x:c r="L317" s="28" t="str">
        <x:v>нет надёжной конкретизации</x:v>
      </x:c>
      <x:c r="M317" s="28" t="str">
        <x:v>прямое совпадение семейств не установлено</x:v>
      </x:c>
      <x:c r="N317" s="28" t="str">
        <x:v>не подтверждены; механизм не сводится к одной общей молекуле</x:v>
      </x:c>
      <x:c r="O317" s="28" t="str">
        <x:v>контраст/комплементарность + матричный эффект</x:v>
      </x:c>
      <x:c r="P317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17" s="28" t="str">
        <x:v>Специфического тройничного эффекта обычно нет; кислотность усиливает слюноотделение.</x:v>
      </x:c>
      <x:c r="R317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1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1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1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17" s="28" t="str">
        <x:v>лимон или ваниль</x:v>
      </x:c>
      <x:c r="W317" s="28" t="str">
        <x:v>сенсорная проба в малой дозировке</x:v>
      </x:c>
      <x:c r="X317" s="28" t="str">
        <x:v>универсально</x:v>
      </x:c>
      <x:c r="Y317" s="28" t="str">
        <x:v>Средняя</x:v>
      </x:c>
      <x:c r="Z317" s="28" t="str">
        <x:v>The Art &amp; Science of Foodpairing</x:v>
      </x:c>
      <x:c r="AA317" s="28" t="str">
        <x:v>The Art &amp; Science of Foodpairing: 71</x:v>
      </x:c>
      <x:c r="AB317" s="28" t="str">
        <x:v>Ingredient pairings with Strawberry: cantaloupe</x:v>
      </x:c>
      <x:c r="AC317" s="28" t="n">
        <x:v>1</x:v>
      </x:c>
      <x:c r="AD317" s="28" t="n">
        <x:v>1</x:v>
      </x:c>
    </x:row>
    <x:row r="318" ht="58" customHeight="1">
      <x:c r="A318" s="28" t="str">
        <x:v>BER-0317</x:v>
      </x:c>
      <x:c r="B318" s="28" t="str">
        <x:v>Универсальные</x:v>
      </x:c>
      <x:c r="C318" s="28" t="str">
        <x:v>клубника</x:v>
      </x:c>
      <x:c r="D318" s="28" t="str">
        <x:v>Strawberry</x:v>
      </x:c>
      <x:c r="E318" s="28" t="str">
        <x:v>Ягоды и производные</x:v>
      </x:c>
      <x:c r="F318" s="28" t="str">
        <x:v>celery leaves</x:v>
      </x:c>
      <x:c r="G318" s="28" t="str">
        <x:v>celery leaves</x:v>
      </x:c>
      <x:c r="H318" s="28" t="str">
        <x:v>Прочее</x:v>
      </x:c>
      <x:c r="I318" s="28" t="str">
        <x:v>зелёный, карамельный, сливочный, фруктовый, цветочный</x:v>
      </x:c>
      <x:c r="J318" s="28" t="str">
        <x:v>комплексный</x:v>
      </x:c>
      <x:c r="K318" s="28" t="str">
        <x:v>линалоол, мезифуран, фуранеол, цис-3-гексеналь, этилбутират</x:v>
      </x:c>
      <x:c r="L318" s="28" t="str">
        <x:v>нет надёжной конкретизации</x:v>
      </x:c>
      <x:c r="M318" s="28" t="str">
        <x:v>прямое совпадение семейств не установлено</x:v>
      </x:c>
      <x:c r="N318" s="28" t="str">
        <x:v>не подтверждены; механизм не сводится к одной общей молекуле</x:v>
      </x:c>
      <x:c r="O318" s="28" t="str">
        <x:v>контраст/комплементарность + матричный эффект</x:v>
      </x:c>
      <x:c r="P318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18" s="28" t="str">
        <x:v>Специфического тройничного эффекта обычно нет; кислотность усиливает слюноотделение.</x:v>
      </x:c>
      <x:c r="R318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1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1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1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18" s="28" t="str">
        <x:v>лимон или ваниль</x:v>
      </x:c>
      <x:c r="W318" s="28" t="str">
        <x:v>сенсорная проба в малой дозировке</x:v>
      </x:c>
      <x:c r="X318" s="28" t="str">
        <x:v>универсально</x:v>
      </x:c>
      <x:c r="Y318" s="28" t="str">
        <x:v>Средняя</x:v>
      </x:c>
      <x:c r="Z318" s="28" t="str">
        <x:v>The Art &amp; Science of Foodpairing</x:v>
      </x:c>
      <x:c r="AA318" s="28" t="str">
        <x:v>The Art &amp; Science of Foodpairing: 71</x:v>
      </x:c>
      <x:c r="AB318" s="28" t="str">
        <x:v>Ingredient pairings with Strawberry: celery leaves</x:v>
      </x:c>
      <x:c r="AC318" s="28" t="n">
        <x:v>1</x:v>
      </x:c>
      <x:c r="AD318" s="28" t="n">
        <x:v>1</x:v>
      </x:c>
    </x:row>
    <x:row r="319" ht="58" customHeight="1">
      <x:c r="A319" s="28" t="str">
        <x:v>BER-0318</x:v>
      </x:c>
      <x:c r="B319" s="28" t="str">
        <x:v>Универсальные</x:v>
      </x:c>
      <x:c r="C319" s="28" t="str">
        <x:v>клубника</x:v>
      </x:c>
      <x:c r="D319" s="28" t="str">
        <x:v>Strawberry</x:v>
      </x:c>
      <x:c r="E319" s="28" t="str">
        <x:v>Ягоды и производные</x:v>
      </x:c>
      <x:c r="F319" s="28" t="str">
        <x:v>chard</x:v>
      </x:c>
      <x:c r="G319" s="28" t="str">
        <x:v>chard</x:v>
      </x:c>
      <x:c r="H319" s="28" t="str">
        <x:v>Прочее</x:v>
      </x:c>
      <x:c r="I319" s="28" t="str">
        <x:v>зелёный, карамельный, сливочный, фруктовый, цветочный</x:v>
      </x:c>
      <x:c r="J319" s="28" t="str">
        <x:v>комплексный</x:v>
      </x:c>
      <x:c r="K319" s="28" t="str">
        <x:v>линалоол, мезифуран, фуранеол, цис-3-гексеналь, этилбутират</x:v>
      </x:c>
      <x:c r="L319" s="28" t="str">
        <x:v>нет надёжной конкретизации</x:v>
      </x:c>
      <x:c r="M319" s="28" t="str">
        <x:v>прямое совпадение семейств не установлено</x:v>
      </x:c>
      <x:c r="N319" s="28" t="str">
        <x:v>не подтверждены; механизм не сводится к одной общей молекуле</x:v>
      </x:c>
      <x:c r="O319" s="28" t="str">
        <x:v>контраст/комплементарность + матричный эффект</x:v>
      </x:c>
      <x:c r="P319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19" s="28" t="str">
        <x:v>Специфического тройничного эффекта обычно нет; кислотность усиливает слюноотделение.</x:v>
      </x:c>
      <x:c r="R319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1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1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1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19" s="28" t="str">
        <x:v>лимон или ваниль</x:v>
      </x:c>
      <x:c r="W319" s="28" t="str">
        <x:v>сенсорная проба в малой дозировке</x:v>
      </x:c>
      <x:c r="X319" s="28" t="str">
        <x:v>универсально</x:v>
      </x:c>
      <x:c r="Y319" s="28" t="str">
        <x:v>Средняя</x:v>
      </x:c>
      <x:c r="Z319" s="28" t="str">
        <x:v>The Art &amp; Science of Foodpairing</x:v>
      </x:c>
      <x:c r="AA319" s="28" t="str">
        <x:v>The Art &amp; Science of Foodpairing: 71</x:v>
      </x:c>
      <x:c r="AB319" s="28" t="str">
        <x:v>Ingredient pairings with Strawberry: chard</x:v>
      </x:c>
      <x:c r="AC319" s="28" t="n">
        <x:v>1</x:v>
      </x:c>
      <x:c r="AD319" s="28" t="n">
        <x:v>1</x:v>
      </x:c>
    </x:row>
    <x:row r="320" ht="58" customHeight="1">
      <x:c r="A320" s="28" t="str">
        <x:v>BER-0319</x:v>
      </x:c>
      <x:c r="B320" s="28" t="str">
        <x:v>Универсальные</x:v>
      </x:c>
      <x:c r="C320" s="28" t="str">
        <x:v>клубника</x:v>
      </x:c>
      <x:c r="D320" s="28" t="str">
        <x:v>Strawberry</x:v>
      </x:c>
      <x:c r="E320" s="28" t="str">
        <x:v>Ягоды и производные</x:v>
      </x:c>
      <x:c r="F320" s="28" t="str">
        <x:v>chicory (Belgian endive)</x:v>
      </x:c>
      <x:c r="G320" s="28" t="str">
        <x:v>chicory (Belgian endive)</x:v>
      </x:c>
      <x:c r="H320" s="28" t="str">
        <x:v>Прочее</x:v>
      </x:c>
      <x:c r="I320" s="28" t="str">
        <x:v>зелёный, карамельный, сливочный, фруктовый, цветочный</x:v>
      </x:c>
      <x:c r="J320" s="28" t="str">
        <x:v>комплексный</x:v>
      </x:c>
      <x:c r="K320" s="28" t="str">
        <x:v>линалоол, мезифуран, фуранеол, цис-3-гексеналь, этилбутират</x:v>
      </x:c>
      <x:c r="L320" s="28" t="str">
        <x:v>нет надёжной конкретизации</x:v>
      </x:c>
      <x:c r="M320" s="28" t="str">
        <x:v>прямое совпадение семейств не установлено</x:v>
      </x:c>
      <x:c r="N320" s="28" t="str">
        <x:v>не подтверждены; механизм не сводится к одной общей молекуле</x:v>
      </x:c>
      <x:c r="O320" s="28" t="str">
        <x:v>контраст/комплементарность + матричный эффект</x:v>
      </x:c>
      <x:c r="P320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20" s="28" t="str">
        <x:v>Специфического тройничного эффекта обычно нет; кислотность усиливает слюноотделение.</x:v>
      </x:c>
      <x:c r="R320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2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2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2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20" s="28" t="str">
        <x:v>лимон или ваниль</x:v>
      </x:c>
      <x:c r="W320" s="28" t="str">
        <x:v>сенсорная проба в малой дозировке</x:v>
      </x:c>
      <x:c r="X320" s="28" t="str">
        <x:v>универсально</x:v>
      </x:c>
      <x:c r="Y320" s="28" t="str">
        <x:v>Средняя</x:v>
      </x:c>
      <x:c r="Z320" s="28" t="str">
        <x:v>The Art &amp; Science of Foodpairing</x:v>
      </x:c>
      <x:c r="AA320" s="28" t="str">
        <x:v>The Art &amp; Science of Foodpairing: 70</x:v>
      </x:c>
      <x:c r="AB320" s="28" t="str">
        <x:v>Ingredient pairings with Strawberry: chicory (Belgian endive)</x:v>
      </x:c>
      <x:c r="AC320" s="28" t="n">
        <x:v>1</x:v>
      </x:c>
      <x:c r="AD320" s="28" t="n">
        <x:v>1</x:v>
      </x:c>
    </x:row>
    <x:row r="321" ht="58" customHeight="1">
      <x:c r="A321" s="28" t="str">
        <x:v>BER-0320</x:v>
      </x:c>
      <x:c r="B321" s="28" t="str">
        <x:v>Десерты и выпечка</x:v>
      </x:c>
      <x:c r="C321" s="28" t="str">
        <x:v>клубника</x:v>
      </x:c>
      <x:c r="D321" s="28" t="str">
        <x:v>Strawberry</x:v>
      </x:c>
      <x:c r="E321" s="28" t="str">
        <x:v>Ягоды и производные</x:v>
      </x:c>
      <x:c r="F321" s="28" t="str">
        <x:v>coconut drink</x:v>
      </x:c>
      <x:c r="G321" s="28" t="str">
        <x:v>coconut drink</x:v>
      </x:c>
      <x:c r="H321" s="28" t="str">
        <x:v>Орехи и семена</x:v>
      </x:c>
      <x:c r="I321" s="28" t="str">
        <x:v>зелёный, карамельный, сливочный, фруктовый, цветочный</x:v>
      </x:c>
      <x:c r="J321" s="28" t="str">
        <x:v>жареный, миндальный, ореховый</x:v>
      </x:c>
      <x:c r="K321" s="28" t="str">
        <x:v>линалоол, мезифуран, фуранеол, цис-3-гексеналь, этилбутират</x:v>
      </x:c>
      <x:c r="L321" s="28" t="str">
        <x:v>бензальдегид, пиразины, фураны</x:v>
      </x:c>
      <x:c r="M321" s="28" t="str">
        <x:v>прямое совпадение семейств не установлено</x:v>
      </x:c>
      <x:c r="N321" s="28" t="str">
        <x:v>не подтверждены; механизм не сводится к одной общей молекуле</x:v>
      </x:c>
      <x:c r="O321" s="28" t="str">
        <x:v>контраст/комплементарность + матричный эффект</x:v>
      </x:c>
      <x:c r="P321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321" s="28" t="str">
        <x:v>Специфического тройничного эффекта обычно нет; кислотность усиливает слюноотделение.</x:v>
      </x:c>
      <x:c r="R321" s="28" t="str">
        <x:v>Жировая фаза удерживает гидрофобные одоранты и продлевает послевкусие; кислотность ягод повышает слюноотделение.</x:v>
      </x:c>
      <x:c r="S32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2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2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21" s="28" t="str">
        <x:v>ваниль или сливки</x:v>
      </x:c>
      <x:c r="W321" s="28" t="str">
        <x:v>сорбет, крем, ганаш, выпечка, джем или соус для десерта</x:v>
      </x:c>
      <x:c r="X321" s="28" t="str">
        <x:v>десерты</x:v>
      </x:c>
      <x:c r="Y321" s="28" t="str">
        <x:v>Средняя</x:v>
      </x:c>
      <x:c r="Z321" s="28" t="str">
        <x:v>The Art &amp; Science of Foodpairing</x:v>
      </x:c>
      <x:c r="AA321" s="28" t="str">
        <x:v>The Art &amp; Science of Foodpairing: 71</x:v>
      </x:c>
      <x:c r="AB321" s="28" t="str">
        <x:v>Ingredient pairings with Strawberry: coconut drink</x:v>
      </x:c>
      <x:c r="AC321" s="28" t="n">
        <x:v>1</x:v>
      </x:c>
      <x:c r="AD321" s="28" t="n">
        <x:v>1</x:v>
      </x:c>
    </x:row>
    <x:row r="322" ht="58" customHeight="1">
      <x:c r="A322" s="28" t="str">
        <x:v>BER-0321</x:v>
      </x:c>
      <x:c r="B322" s="28" t="str">
        <x:v>Еда и соусы</x:v>
      </x:c>
      <x:c r="C322" s="28" t="str">
        <x:v>клубника</x:v>
      </x:c>
      <x:c r="D322" s="28" t="str">
        <x:v>Strawberry</x:v>
      </x:c>
      <x:c r="E322" s="28" t="str">
        <x:v>Ягоды и производные</x:v>
      </x:c>
      <x:c r="F322" s="28" t="str">
        <x:v>codium seaweed</x:v>
      </x:c>
      <x:c r="G322" s="28" t="str">
        <x:v>Codium seaweed</x:v>
      </x:c>
      <x:c r="H322" s="28" t="str">
        <x:v>Рыба и морепродукты</x:v>
      </x:c>
      <x:c r="I322" s="28" t="str">
        <x:v>зелёный, карамельный, сливочный, фруктовый, цветочный</x:v>
      </x:c>
      <x:c r="J322" s="28" t="str">
        <x:v>жирный, морской, умами</x:v>
      </x:c>
      <x:c r="K322" s="28" t="str">
        <x:v>линалоол, мезифуран, фуранеол, цис-3-гексеналь, этилбутират</x:v>
      </x:c>
      <x:c r="L322" s="28" t="str">
        <x:v>альдегиды, амины, сернистые соединения</x:v>
      </x:c>
      <x:c r="M322" s="28" t="str">
        <x:v>прямое совпадение семейств не установлено</x:v>
      </x:c>
      <x:c r="N322" s="28" t="str">
        <x:v>не подтверждены; механизм не сводится к одной общей молекуле</x:v>
      </x:c>
      <x:c r="O322" s="28" t="str">
        <x:v>контраст/комплементарность + матричный эффект</x:v>
      </x:c>
      <x:c r="P322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322" s="28" t="str">
        <x:v>Специфического тройничного эффекта обычно нет; кислотность усиливает слюноотделение.</x:v>
      </x:c>
      <x:c r="R322" s="28" t="str">
        <x:v>Белок и жир смягчают кислоту; ягодный соус должен сохранять достаточную концентрацию и соль.</x:v>
      </x:c>
      <x:c r="S32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32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32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22" s="28" t="str">
        <x:v>цитрус или огурец</x:v>
      </x:c>
      <x:c r="W322" s="28" t="str">
        <x:v>соус, глазировка, салат, сырная подача или горячее блюдо; маринад, гастрик, чатни, кетчуп или редукция</x:v>
      </x:c>
      <x:c r="X322" s="28" t="str">
        <x:v>еда; соусы/маринады</x:v>
      </x:c>
      <x:c r="Y322" s="28" t="str">
        <x:v>Средняя</x:v>
      </x:c>
      <x:c r="Z322" s="28" t="str">
        <x:v>The Art &amp; Science of Foodpairing</x:v>
      </x:c>
      <x:c r="AA322" s="28" t="str">
        <x:v>The Art &amp; Science of Foodpairing: 71</x:v>
      </x:c>
      <x:c r="AB322" s="28" t="str">
        <x:v>Ingredient pairings with Strawberry: Codium seaweed</x:v>
      </x:c>
      <x:c r="AC322" s="28" t="n">
        <x:v>1</x:v>
      </x:c>
      <x:c r="AD322" s="28" t="n">
        <x:v>1</x:v>
      </x:c>
    </x:row>
    <x:row r="323" ht="58" customHeight="1">
      <x:c r="A323" s="28" t="str">
        <x:v>BER-0322</x:v>
      </x:c>
      <x:c r="B323" s="28" t="str">
        <x:v>Универсальные</x:v>
      </x:c>
      <x:c r="C323" s="28" t="str">
        <x:v>клубника</x:v>
      </x:c>
      <x:c r="D323" s="28" t="str">
        <x:v>Strawberry</x:v>
      </x:c>
      <x:c r="E323" s="28" t="str">
        <x:v>Ягоды и производные</x:v>
      </x:c>
      <x:c r="F323" s="28" t="str">
        <x:v>cointreau</x:v>
      </x:c>
      <x:c r="G323" s="28" t="str">
        <x:v>Cointreau</x:v>
      </x:c>
      <x:c r="H323" s="28" t="str">
        <x:v>Прочее</x:v>
      </x:c>
      <x:c r="I323" s="28" t="str">
        <x:v>зелёный, карамельный, сливочный, фруктовый, цветочный</x:v>
      </x:c>
      <x:c r="J323" s="28" t="str">
        <x:v>комплексный</x:v>
      </x:c>
      <x:c r="K323" s="28" t="str">
        <x:v>линалоол, мезифуран, фуранеол, цис-3-гексеналь, этилбутират</x:v>
      </x:c>
      <x:c r="L323" s="28" t="str">
        <x:v>нет надёжной конкретизации</x:v>
      </x:c>
      <x:c r="M323" s="28" t="str">
        <x:v>прямое совпадение семейств не установлено</x:v>
      </x:c>
      <x:c r="N323" s="28" t="str">
        <x:v>не подтверждены; механизм не сводится к одной общей молекуле</x:v>
      </x:c>
      <x:c r="O323" s="28" t="str">
        <x:v>контраст/комплементарность + матричный эффект</x:v>
      </x:c>
      <x:c r="P323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23" s="28" t="str">
        <x:v>Специфического тройничного эффекта обычно нет; кислотность усиливает слюноотделение.</x:v>
      </x:c>
      <x:c r="R323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2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2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2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23" s="28" t="str">
        <x:v>лимон или ваниль</x:v>
      </x:c>
      <x:c r="W323" s="28" t="str">
        <x:v>сенсорная проба в малой дозировке</x:v>
      </x:c>
      <x:c r="X323" s="28" t="str">
        <x:v>универсально</x:v>
      </x:c>
      <x:c r="Y323" s="28" t="str">
        <x:v>Средняя</x:v>
      </x:c>
      <x:c r="Z323" s="28" t="str">
        <x:v>The Art &amp; Science of Foodpairing</x:v>
      </x:c>
      <x:c r="AA323" s="28" t="str">
        <x:v>The Art &amp; Science of Foodpairing: 71</x:v>
      </x:c>
      <x:c r="AB323" s="28" t="str">
        <x:v>Ingredient pairings with Strawberry: Cointreau</x:v>
      </x:c>
      <x:c r="AC323" s="28" t="n">
        <x:v>1</x:v>
      </x:c>
      <x:c r="AD323" s="28" t="n">
        <x:v>1</x:v>
      </x:c>
    </x:row>
    <x:row r="324" ht="58" customHeight="1">
      <x:c r="A324" s="28" t="str">
        <x:v>BER-0323</x:v>
      </x:c>
      <x:c r="B324" s="28" t="str">
        <x:v>Десерты и выпечка</x:v>
      </x:c>
      <x:c r="C324" s="28" t="str">
        <x:v>клубника</x:v>
      </x:c>
      <x:c r="D324" s="28" t="str">
        <x:v>Strawberry</x:v>
      </x:c>
      <x:c r="E324" s="28" t="str">
        <x:v>Ягоды и производные</x:v>
      </x:c>
      <x:c r="F324" s="28" t="str">
        <x:v>goats' cheese</x:v>
      </x:c>
      <x:c r="G324" s="28" t="str">
        <x:v>goats' cheese</x:v>
      </x:c>
      <x:c r="H324" s="28" t="str">
        <x:v>Молочные продукты и сыры</x:v>
      </x:c>
      <x:c r="I324" s="28" t="str">
        <x:v>зелёный, карамельный, сливочный, фруктовый, цветочный</x:v>
      </x:c>
      <x:c r="J324" s="28" t="str">
        <x:v>масляный, молочный, сливочный, сырный</x:v>
      </x:c>
      <x:c r="K324" s="28" t="str">
        <x:v>линалоол, мезифуран, фуранеол, цис-3-гексеналь, этилбутират</x:v>
      </x:c>
      <x:c r="L324" s="28" t="str">
        <x:v>диацетил, жирные кислоты, лактоны</x:v>
      </x:c>
      <x:c r="M324" s="28" t="str">
        <x:v>сливочный</x:v>
      </x:c>
      <x:c r="N324" s="28" t="str">
        <x:v>не подтверждены; механизм не сводится к одной общей молекуле</x:v>
      </x:c>
      <x:c r="O324" s="28" t="str">
        <x:v>сходство ароматических семейств + комплементарность</x:v>
      </x:c>
      <x:c r="P324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324" s="28" t="str">
        <x:v>Специфического тройничного эффекта обычно нет; кислотность усиливает слюноотделение.</x:v>
      </x:c>
      <x:c r="R324" s="28" t="str">
        <x:v>Жировая фаза удерживает гидрофобные одоранты и продлевает послевкусие; кислотность ягод повышает слюноотделение.</x:v>
      </x:c>
      <x:c r="S32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324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324" s="28" t="str">
        <x:v>Высокая кислотность может свернуть молочный белок; смешивать при контролируемой температуре.</x:v>
      </x:c>
      <x:c r="V324" s="28" t="str">
        <x:v>мёд или миндаль</x:v>
      </x:c>
      <x:c r="W324" s="28" t="str">
        <x:v>сорбет, крем, ганаш, выпечка, джем или соус для десерта; соус, глазировка, салат, сырная подача или горячее блюдо</x:v>
      </x:c>
      <x:c r="X324" s="28" t="str">
        <x:v>десерты; еда</x:v>
      </x:c>
      <x:c r="Y324" s="28" t="str">
        <x:v>Средняя</x:v>
      </x:c>
      <x:c r="Z324" s="28" t="str">
        <x:v>The Art &amp; Science of Foodpairing</x:v>
      </x:c>
      <x:c r="AA324" s="28" t="str">
        <x:v>The Art &amp; Science of Foodpairing: 71</x:v>
      </x:c>
      <x:c r="AB324" s="28" t="str">
        <x:v>Ingredient pairings with Strawberry: goats' cheese</x:v>
      </x:c>
      <x:c r="AC324" s="28" t="n">
        <x:v>1</x:v>
      </x:c>
      <x:c r="AD324" s="28" t="n">
        <x:v>1</x:v>
      </x:c>
    </x:row>
    <x:row r="325" ht="58" customHeight="1">
      <x:c r="A325" s="28" t="str">
        <x:v>BER-0324</x:v>
      </x:c>
      <x:c r="B325" s="28" t="str">
        <x:v>Универсальные</x:v>
      </x:c>
      <x:c r="C325" s="28" t="str">
        <x:v>клубника</x:v>
      </x:c>
      <x:c r="D325" s="28" t="str">
        <x:v>Strawberry</x:v>
      </x:c>
      <x:c r="E325" s="28" t="str">
        <x:v>Ягоды и производные</x:v>
      </x:c>
      <x:c r="F325" s="28" t="str">
        <x:v>huacatay (Peruvian black mint)</x:v>
      </x:c>
      <x:c r="G325" s="28" t="str">
        <x:v>huacatay (Peruvian black mint)</x:v>
      </x:c>
      <x:c r="H325" s="28" t="str">
        <x:v>Прочее</x:v>
      </x:c>
      <x:c r="I325" s="28" t="str">
        <x:v>зелёный, карамельный, сливочный, фруктовый, цветочный</x:v>
      </x:c>
      <x:c r="J325" s="28" t="str">
        <x:v>комплексный</x:v>
      </x:c>
      <x:c r="K325" s="28" t="str">
        <x:v>линалоол, мезифуран, фуранеол, цис-3-гексеналь, этилбутират</x:v>
      </x:c>
      <x:c r="L325" s="28" t="str">
        <x:v>нет надёжной конкретизации</x:v>
      </x:c>
      <x:c r="M325" s="28" t="str">
        <x:v>прямое совпадение семейств не установлено</x:v>
      </x:c>
      <x:c r="N325" s="28" t="str">
        <x:v>не подтверждены; механизм не сводится к одной общей молекуле</x:v>
      </x:c>
      <x:c r="O325" s="28" t="str">
        <x:v>контраст/комплементарность + матричный эффект</x:v>
      </x:c>
      <x:c r="P325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25" s="28" t="str">
        <x:v>Специфического тройничного эффекта обычно нет; кислотность усиливает слюноотделение.</x:v>
      </x:c>
      <x:c r="R325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2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2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2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25" s="28" t="str">
        <x:v>лимон или ваниль</x:v>
      </x:c>
      <x:c r="W325" s="28" t="str">
        <x:v>сенсорная проба в малой дозировке</x:v>
      </x:c>
      <x:c r="X325" s="28" t="str">
        <x:v>универсально</x:v>
      </x:c>
      <x:c r="Y325" s="28" t="str">
        <x:v>Средняя</x:v>
      </x:c>
      <x:c r="Z325" s="28" t="str">
        <x:v>The Art &amp; Science of Foodpairing</x:v>
      </x:c>
      <x:c r="AA325" s="28" t="str">
        <x:v>The Art &amp; Science of Foodpairing: 70</x:v>
      </x:c>
      <x:c r="AB325" s="28" t="str">
        <x:v>Ingredient pairings with Strawberry: huacatay (Peruvian black mint)</x:v>
      </x:c>
      <x:c r="AC325" s="28" t="n">
        <x:v>1</x:v>
      </x:c>
      <x:c r="AD325" s="28" t="n">
        <x:v>1</x:v>
      </x:c>
    </x:row>
    <x:row r="326" ht="58" customHeight="1">
      <x:c r="A326" s="28" t="str">
        <x:v>BER-0325</x:v>
      </x:c>
      <x:c r="B326" s="28" t="str">
        <x:v>Еда и соусы</x:v>
      </x:c>
      <x:c r="C326" s="28" t="str">
        <x:v>клубника</x:v>
      </x:c>
      <x:c r="D326" s="28" t="str">
        <x:v>Strawberry</x:v>
      </x:c>
      <x:c r="E326" s="28" t="str">
        <x:v>Ягоды и производные</x:v>
      </x:c>
      <x:c r="F326" s="28" t="str">
        <x:v>italian vine tomato</x:v>
      </x:c>
      <x:c r="G326" s="28" t="str">
        <x:v>Italian vine tomato</x:v>
      </x:c>
      <x:c r="H326" s="28" t="str">
        <x:v>Овощи и грибы</x:v>
      </x:c>
      <x:c r="I326" s="28" t="str">
        <x:v>зелёный, карамельный, сливочный, фруктовый, цветочный</x:v>
      </x:c>
      <x:c r="J326" s="28" t="str">
        <x:v>зелёный, землистый, сернистый</x:v>
      </x:c>
      <x:c r="K326" s="28" t="str">
        <x:v>линалоол, мезифуран, фуранеол, цис-3-гексеналь, этилбутират</x:v>
      </x:c>
      <x:c r="L326" s="28" t="str">
        <x:v>C6-альдегиды, пиразины, сернистые соединения</x:v>
      </x:c>
      <x:c r="M326" s="28" t="str">
        <x:v>зелёный</x:v>
      </x:c>
      <x:c r="N326" s="28" t="str">
        <x:v>не подтверждены; механизм не сводится к одной общей молекуле</x:v>
      </x:c>
      <x:c r="O326" s="28" t="str">
        <x:v>сходство ароматических семейств + комплементарность</x:v>
      </x:c>
      <x:c r="P326" s="28" t="str">
        <x:v>Оба компонента формируют сладко-кислый и растительный, иногда умами контур; сахар, кислота и горечь должны быть выровнены дегустацией.</x:v>
      </x:c>
      <x:c r="Q326" s="28" t="str">
        <x:v>Специфического тройничного эффекта обычно нет; кислотность усиливает слюноотделение.</x:v>
      </x:c>
      <x:c r="R326" s="28" t="str">
        <x:v>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32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326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32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26" s="28" t="str">
        <x:v>уксус или мягкий сыр</x:v>
      </x:c>
      <x:c r="W326" s="28" t="str">
        <x:v>соус, глазировка, салат, сырная подача или горячее блюдо; маринад, гастрик, чатни, кетчуп или редукция</x:v>
      </x:c>
      <x:c r="X326" s="28" t="str">
        <x:v>еда; соусы/маринады</x:v>
      </x:c>
      <x:c r="Y326" s="28" t="str">
        <x:v>Средняя</x:v>
      </x:c>
      <x:c r="Z326" s="28" t="str">
        <x:v>The Art &amp; Science of Foodpairing</x:v>
      </x:c>
      <x:c r="AA326" s="28" t="str">
        <x:v>The Art &amp; Science of Foodpairing: 71</x:v>
      </x:c>
      <x:c r="AB326" s="28" t="str">
        <x:v>Ingredient pairings with Strawberry: Italian vine tomato</x:v>
      </x:c>
      <x:c r="AC326" s="28" t="n">
        <x:v>1</x:v>
      </x:c>
      <x:c r="AD326" s="28" t="n">
        <x:v>1</x:v>
      </x:c>
    </x:row>
    <x:row r="327" ht="58" customHeight="1">
      <x:c r="A327" s="28" t="str">
        <x:v>BER-0326</x:v>
      </x:c>
      <x:c r="B327" s="28" t="str">
        <x:v>Универсальные</x:v>
      </x:c>
      <x:c r="C327" s="28" t="str">
        <x:v>клубника</x:v>
      </x:c>
      <x:c r="D327" s="28" t="str">
        <x:v>Strawberry</x:v>
      </x:c>
      <x:c r="E327" s="28" t="str">
        <x:v>Ягоды и производные</x:v>
      </x:c>
      <x:c r="F327" s="28" t="str">
        <x:v>iu</x:v>
      </x:c>
      <x:c r="G327" s="28" t="str">
        <x:v>iu</x:v>
      </x:c>
      <x:c r="H327" s="28" t="str">
        <x:v>Прочее</x:v>
      </x:c>
      <x:c r="I327" s="28" t="str">
        <x:v>зелёный, карамельный, сливочный, фруктовый, цветочный</x:v>
      </x:c>
      <x:c r="J327" s="28" t="str">
        <x:v>комплексный</x:v>
      </x:c>
      <x:c r="K327" s="28" t="str">
        <x:v>линалоол, мезифуран, фуранеол, цис-3-гексеналь, этилбутират</x:v>
      </x:c>
      <x:c r="L327" s="28" t="str">
        <x:v>нет надёжной конкретизации</x:v>
      </x:c>
      <x:c r="M327" s="28" t="str">
        <x:v>прямое совпадение семейств не установлено</x:v>
      </x:c>
      <x:c r="N327" s="28" t="str">
        <x:v>не подтверждены; механизм не сводится к одной общей молекуле</x:v>
      </x:c>
      <x:c r="O327" s="28" t="str">
        <x:v>контраст/комплементарность + матричный эффект</x:v>
      </x:c>
      <x:c r="P327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27" s="28" t="str">
        <x:v>Специфического тройничного эффекта обычно нет; кислотность усиливает слюноотделение.</x:v>
      </x:c>
      <x:c r="R327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2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2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2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27" s="28" t="str">
        <x:v>лимон или ваниль</x:v>
      </x:c>
      <x:c r="W327" s="28" t="str">
        <x:v>сенсорная проба в малой дозировке</x:v>
      </x:c>
      <x:c r="X327" s="28" t="str">
        <x:v>универсально</x:v>
      </x:c>
      <x:c r="Y327" s="28" t="str">
        <x:v>Средняя</x:v>
      </x:c>
      <x:c r="Z327" s="28" t="str">
        <x:v>The Art &amp; Science of Foodpairing</x:v>
      </x:c>
      <x:c r="AA327" s="28" t="str">
        <x:v>The Art &amp; Science of Foodpairing: 71</x:v>
      </x:c>
      <x:c r="AB327" s="28" t="str">
        <x:v>Ingredient pairings with Strawberry: iu | Ingredient pairings with Strawberry: iu</x:v>
      </x:c>
      <x:c r="AC327" s="28" t="n">
        <x:v>1</x:v>
      </x:c>
      <x:c r="AD327" s="28" t="n">
        <x:v>2</x:v>
      </x:c>
    </x:row>
    <x:row r="328" ht="58" customHeight="1">
      <x:c r="A328" s="28" t="str">
        <x:v>BER-0327</x:v>
      </x:c>
      <x:c r="B328" s="28" t="str">
        <x:v>Универсальные</x:v>
      </x:c>
      <x:c r="C328" s="28" t="str">
        <x:v>клубника</x:v>
      </x:c>
      <x:c r="D328" s="28" t="str">
        <x:v>Strawberry</x:v>
      </x:c>
      <x:c r="E328" s="28" t="str">
        <x:v>Ягоды и производные</x:v>
      </x:c>
      <x:c r="F328" s="28" t="str">
        <x:v>japanese plum (ume)</x:v>
      </x:c>
      <x:c r="G328" s="28" t="str">
        <x:v>Japanese plum (ume)</x:v>
      </x:c>
      <x:c r="H328" s="28" t="str">
        <x:v>Прочее</x:v>
      </x:c>
      <x:c r="I328" s="28" t="str">
        <x:v>зелёный, карамельный, сливочный, фруктовый, цветочный</x:v>
      </x:c>
      <x:c r="J328" s="28" t="str">
        <x:v>комплексный</x:v>
      </x:c>
      <x:c r="K328" s="28" t="str">
        <x:v>линалоол, мезифуран, фуранеол, цис-3-гексеналь, этилбутират</x:v>
      </x:c>
      <x:c r="L328" s="28" t="str">
        <x:v>нет надёжной конкретизации</x:v>
      </x:c>
      <x:c r="M328" s="28" t="str">
        <x:v>прямое совпадение семейств не установлено</x:v>
      </x:c>
      <x:c r="N328" s="28" t="str">
        <x:v>не подтверждены; механизм не сводится к одной общей молекуле</x:v>
      </x:c>
      <x:c r="O328" s="28" t="str">
        <x:v>контраст/комплементарность + матричный эффект</x:v>
      </x:c>
      <x:c r="P328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28" s="28" t="str">
        <x:v>Специфического тройничного эффекта обычно нет; кислотность усиливает слюноотделение.</x:v>
      </x:c>
      <x:c r="R328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2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2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2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28" s="28" t="str">
        <x:v>лимон или ваниль</x:v>
      </x:c>
      <x:c r="W328" s="28" t="str">
        <x:v>сенсорная проба в малой дозировке</x:v>
      </x:c>
      <x:c r="X328" s="28" t="str">
        <x:v>универсально</x:v>
      </x:c>
      <x:c r="Y328" s="28" t="str">
        <x:v>Средняя</x:v>
      </x:c>
      <x:c r="Z328" s="28" t="str">
        <x:v>The Art &amp; Science of Foodpairing</x:v>
      </x:c>
      <x:c r="AA328" s="28" t="str">
        <x:v>The Art &amp; Science of Foodpairing: 71</x:v>
      </x:c>
      <x:c r="AB328" s="28" t="str">
        <x:v>Ingredient pairings with Strawberry: Japanese plum (ume)</x:v>
      </x:c>
      <x:c r="AC328" s="28" t="n">
        <x:v>1</x:v>
      </x:c>
      <x:c r="AD328" s="28" t="n">
        <x:v>1</x:v>
      </x:c>
    </x:row>
    <x:row r="329" ht="58" customHeight="1">
      <x:c r="A329" s="28" t="str">
        <x:v>BER-0328</x:v>
      </x:c>
      <x:c r="B329" s="28" t="str">
        <x:v>Универсальные</x:v>
      </x:c>
      <x:c r="C329" s="28" t="str">
        <x:v>клубника</x:v>
      </x:c>
      <x:c r="D329" s="28" t="str">
        <x:v>Strawberry</x:v>
      </x:c>
      <x:c r="E329" s="28" t="str">
        <x:v>Ягоды и производные</x:v>
      </x:c>
      <x:c r="F329" s="28" t="str">
        <x:v>king scallop</x:v>
      </x:c>
      <x:c r="G329" s="28" t="str">
        <x:v>king scallop</x:v>
      </x:c>
      <x:c r="H329" s="28" t="str">
        <x:v>Прочее</x:v>
      </x:c>
      <x:c r="I329" s="28" t="str">
        <x:v>зелёный, карамельный, сливочный, фруктовый, цветочный</x:v>
      </x:c>
      <x:c r="J329" s="28" t="str">
        <x:v>комплексный</x:v>
      </x:c>
      <x:c r="K329" s="28" t="str">
        <x:v>линалоол, мезифуран, фуранеол, цис-3-гексеналь, этилбутират</x:v>
      </x:c>
      <x:c r="L329" s="28" t="str">
        <x:v>нет надёжной конкретизации</x:v>
      </x:c>
      <x:c r="M329" s="28" t="str">
        <x:v>прямое совпадение семейств не установлено</x:v>
      </x:c>
      <x:c r="N329" s="28" t="str">
        <x:v>не подтверждены; механизм не сводится к одной общей молекуле</x:v>
      </x:c>
      <x:c r="O329" s="28" t="str">
        <x:v>контраст/комплементарность + матричный эффект</x:v>
      </x:c>
      <x:c r="P329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29" s="28" t="str">
        <x:v>Специфического тройничного эффекта обычно нет; кислотность усиливает слюноотделение.</x:v>
      </x:c>
      <x:c r="R329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2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2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2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29" s="28" t="str">
        <x:v>лимон или ваниль</x:v>
      </x:c>
      <x:c r="W329" s="28" t="str">
        <x:v>сенсорная проба в малой дозировке</x:v>
      </x:c>
      <x:c r="X329" s="28" t="str">
        <x:v>универсально</x:v>
      </x:c>
      <x:c r="Y329" s="28" t="str">
        <x:v>Средняя</x:v>
      </x:c>
      <x:c r="Z329" s="28" t="str">
        <x:v>The Art &amp; Science of Foodpairing</x:v>
      </x:c>
      <x:c r="AA329" s="28" t="str">
        <x:v>The Art &amp; Science of Foodpairing: 71</x:v>
      </x:c>
      <x:c r="AB329" s="28" t="str">
        <x:v>Ingredient pairings with Strawberry: king scallop</x:v>
      </x:c>
      <x:c r="AC329" s="28" t="n">
        <x:v>1</x:v>
      </x:c>
      <x:c r="AD329" s="28" t="n">
        <x:v>1</x:v>
      </x:c>
    </x:row>
    <x:row r="330" ht="58" customHeight="1">
      <x:c r="A330" s="28" t="str">
        <x:v>BER-0329</x:v>
      </x:c>
      <x:c r="B330" s="28" t="str">
        <x:v>Универсальные</x:v>
      </x:c>
      <x:c r="C330" s="28" t="str">
        <x:v>клубника</x:v>
      </x:c>
      <x:c r="D330" s="28" t="str">
        <x:v>Strawberry</x:v>
      </x:c>
      <x:c r="E330" s="28" t="str">
        <x:v>Ягоды и производные</x:v>
      </x:c>
      <x:c r="F330" s="28" t="str">
        <x:v>kombu (сушёный kelp)</x:v>
      </x:c>
      <x:c r="G330" s="28" t="str">
        <x:v>kombu (dried kelp)</x:v>
      </x:c>
      <x:c r="H330" s="28" t="str">
        <x:v>Прочее</x:v>
      </x:c>
      <x:c r="I330" s="28" t="str">
        <x:v>зелёный, карамельный, сливочный, фруктовый, цветочный</x:v>
      </x:c>
      <x:c r="J330" s="28" t="str">
        <x:v>комплексный</x:v>
      </x:c>
      <x:c r="K330" s="28" t="str">
        <x:v>линалоол, мезифуран, фуранеол, цис-3-гексеналь, этилбутират</x:v>
      </x:c>
      <x:c r="L330" s="28" t="str">
        <x:v>нет надёжной конкретизации</x:v>
      </x:c>
      <x:c r="M330" s="28" t="str">
        <x:v>прямое совпадение семейств не установлено</x:v>
      </x:c>
      <x:c r="N330" s="28" t="str">
        <x:v>не подтверждены; механизм не сводится к одной общей молекуле</x:v>
      </x:c>
      <x:c r="O330" s="28" t="str">
        <x:v>контраст/комплементарность + матричный эффект</x:v>
      </x:c>
      <x:c r="P330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30" s="28" t="str">
        <x:v>Специфического тройничного эффекта обычно нет; кислотность усиливает слюноотделение.</x:v>
      </x:c>
      <x:c r="R330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3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3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3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30" s="28" t="str">
        <x:v>лимон или ваниль</x:v>
      </x:c>
      <x:c r="W330" s="28" t="str">
        <x:v>сенсорная проба в малой дозировке</x:v>
      </x:c>
      <x:c r="X330" s="28" t="str">
        <x:v>универсально</x:v>
      </x:c>
      <x:c r="Y330" s="28" t="str">
        <x:v>Средняя</x:v>
      </x:c>
      <x:c r="Z330" s="28" t="str">
        <x:v>The Art &amp; Science of Foodpairing</x:v>
      </x:c>
      <x:c r="AA330" s="28" t="str">
        <x:v>The Art &amp; Science of Foodpairing: 70</x:v>
      </x:c>
      <x:c r="AB330" s="28" t="str">
        <x:v>Ingredient pairings with Strawberry: kombu (dried kelp)</x:v>
      </x:c>
      <x:c r="AC330" s="28" t="n">
        <x:v>1</x:v>
      </x:c>
      <x:c r="AD330" s="28" t="n">
        <x:v>1</x:v>
      </x:c>
    </x:row>
    <x:row r="331" ht="58" customHeight="1">
      <x:c r="A331" s="28" t="str">
        <x:v>BER-0330</x:v>
      </x:c>
      <x:c r="B331" s="28" t="str">
        <x:v>Универсальные</x:v>
      </x:c>
      <x:c r="C331" s="28" t="str">
        <x:v>клубника</x:v>
      </x:c>
      <x:c r="D331" s="28" t="str">
        <x:v>Strawberry</x:v>
      </x:c>
      <x:c r="E331" s="28" t="str">
        <x:v>Ягоды и производные</x:v>
      </x:c>
      <x:c r="F331" s="28" t="str">
        <x:v>lavender honey</x:v>
      </x:c>
      <x:c r="G331" s="28" t="str">
        <x:v>lavender honey</x:v>
      </x:c>
      <x:c r="H331" s="28" t="str">
        <x:v>Травы и цветы</x:v>
      </x:c>
      <x:c r="I331" s="28" t="str">
        <x:v>зелёный, карамельный, сливочный, фруктовый, цветочный</x:v>
      </x:c>
      <x:c r="J331" s="28" t="str">
        <x:v>зелёный, травянистый, цветочный</x:v>
      </x:c>
      <x:c r="K331" s="28" t="str">
        <x:v>линалоол, мезифуран, фуранеол, цис-3-гексеналь, этилбутират</x:v>
      </x:c>
      <x:c r="L331" s="28" t="str">
        <x:v>гераниол, линалоол, терпены, эвгенол</x:v>
      </x:c>
      <x:c r="M331" s="28" t="str">
        <x:v>зелёный, цветочный</x:v>
      </x:c>
      <x:c r="N331" s="28" t="str">
        <x:v>линалоол</x:v>
      </x:c>
      <x:c r="O331" s="28" t="str">
        <x:v>ароматическое сходство + вкусовой баланс</x:v>
      </x:c>
      <x:c r="P331" s="28" t="str">
        <x:v>Ягодная сладость смягчает горечь и пряность, а кислотность делает горьковатый, свежий профиль ярче.</x:v>
      </x:c>
      <x:c r="Q331" s="28" t="str">
        <x:v>Специфического тройничного эффекта обычно нет; кислотность усиливает слюноотделение.</x:v>
      </x:c>
      <x:c r="R331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33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31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3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31" s="28" t="str">
        <x:v>лимон или мёд</x:v>
      </x:c>
      <x:c r="W33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331" s="28" t="str">
        <x:v>напитки; еда; соусы/маринады</x:v>
      </x:c>
      <x:c r="Y331" s="28" t="str">
        <x:v>Средняя</x:v>
      </x:c>
      <x:c r="Z331" s="28" t="str">
        <x:v>The Art &amp; Science of Foodpairing</x:v>
      </x:c>
      <x:c r="AA331" s="28" t="str">
        <x:v>The Art &amp; Science of Foodpairing: 71</x:v>
      </x:c>
      <x:c r="AB331" s="28" t="str">
        <x:v>Ingredient pairings with Strawberry: lavender honey</x:v>
      </x:c>
      <x:c r="AC331" s="28" t="n">
        <x:v>1</x:v>
      </x:c>
      <x:c r="AD331" s="28" t="n">
        <x:v>1</x:v>
      </x:c>
    </x:row>
    <x:row r="332" ht="58" customHeight="1">
      <x:c r="A332" s="28" t="str">
        <x:v>BER-0331</x:v>
      </x:c>
      <x:c r="B332" s="28" t="str">
        <x:v>Напитки</x:v>
      </x:c>
      <x:c r="C332" s="28" t="str">
        <x:v>клубника</x:v>
      </x:c>
      <x:c r="D332" s="28" t="str">
        <x:v>Strawberry</x:v>
      </x:c>
      <x:c r="E332" s="28" t="str">
        <x:v>Ягоды и производные</x:v>
      </x:c>
      <x:c r="F332" s="28" t="str">
        <x:v>lemon-scented geranium leaves</x:v>
      </x:c>
      <x:c r="G332" s="28" t="str">
        <x:v>lemon-scented geranium leaves</x:v>
      </x:c>
      <x:c r="H332" s="28" t="str">
        <x:v>Цитрусовые</x:v>
      </x:c>
      <x:c r="I332" s="28" t="str">
        <x:v>зелёный, карамельный, сливочный, фруктовый, цветочный</x:v>
      </x:c>
      <x:c r="J332" s="28" t="str">
        <x:v>зелёный, цветочный, цитрусовый</x:v>
      </x:c>
      <x:c r="K332" s="28" t="str">
        <x:v>линалоол, мезифуран, фуранеол, цис-3-гексеналь, этилбутират</x:v>
      </x:c>
      <x:c r="L332" s="28" t="str">
        <x:v>лимонен, линалоол, цитраль</x:v>
      </x:c>
      <x:c r="M332" s="28" t="str">
        <x:v>зелёный, цветочный</x:v>
      </x:c>
      <x:c r="N332" s="28" t="str">
        <x:v>линалоол</x:v>
      </x:c>
      <x:c r="O332" s="28" t="str">
        <x:v>ароматическое сходство + вкусовой баланс</x:v>
      </x:c>
      <x:c r="P332" s="28" t="str">
        <x:v>Оба компонента формируют сладко-кислый и кислый, свежий контур; сахар, кислота и горечь должны быть выровнены дегустацией.</x:v>
      </x:c>
      <x:c r="Q332" s="28" t="str">
        <x:v>Специфического тройничного эффекта обычно нет; кислотность усиливает слюноотделение.</x:v>
      </x:c>
      <x:c r="R332" s="28" t="str">
        <x:v>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</x:v>
      </x:c>
      <x:c r="S33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32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3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32" s="28" t="str">
        <x:v>мёд или базилик</x:v>
      </x:c>
      <x:c r="W332" s="28" t="str">
        <x:v>кордиал, лимонад, чай, коктейль, настой или ферментированный напиток; маринад, гастрик, чатни, кетчуп или редукция</x:v>
      </x:c>
      <x:c r="X332" s="28" t="str">
        <x:v>напитки; соусы/маринады</x:v>
      </x:c>
      <x:c r="Y332" s="28" t="str">
        <x:v>Средняя</x:v>
      </x:c>
      <x:c r="Z332" s="28" t="str">
        <x:v>The Art &amp; Science of Foodpairing</x:v>
      </x:c>
      <x:c r="AA332" s="28" t="str">
        <x:v>The Art &amp; Science of Foodpairing: 71</x:v>
      </x:c>
      <x:c r="AB332" s="28" t="str">
        <x:v>Ingredient pairings with Strawberry: lemon-scented geranium leaves</x:v>
      </x:c>
      <x:c r="AC332" s="28" t="n">
        <x:v>1</x:v>
      </x:c>
      <x:c r="AD332" s="28" t="n">
        <x:v>1</x:v>
      </x:c>
    </x:row>
    <x:row r="333" ht="58" customHeight="1">
      <x:c r="A333" s="28" t="str">
        <x:v>BER-0332</x:v>
      </x:c>
      <x:c r="B333" s="28" t="str">
        <x:v>Десерты и выпечка</x:v>
      </x:c>
      <x:c r="C333" s="28" t="str">
        <x:v>клубника</x:v>
      </x:c>
      <x:c r="D333" s="28" t="str">
        <x:v>Strawberry</x:v>
      </x:c>
      <x:c r="E333" s="28" t="str">
        <x:v>Ягоды и производные</x:v>
      </x:c>
      <x:c r="F333" s="28" t="str">
        <x:v>parmesan-style cheese</x:v>
      </x:c>
      <x:c r="G333" s="28" t="str">
        <x:v>Parmesan-style cheese</x:v>
      </x:c>
      <x:c r="H333" s="28" t="str">
        <x:v>Молочные продукты и сыры</x:v>
      </x:c>
      <x:c r="I333" s="28" t="str">
        <x:v>зелёный, карамельный, сливочный, фруктовый, цветочный</x:v>
      </x:c>
      <x:c r="J333" s="28" t="str">
        <x:v>масляный, молочный, сливочный, сырный</x:v>
      </x:c>
      <x:c r="K333" s="28" t="str">
        <x:v>линалоол, мезифуран, фуранеол, цис-3-гексеналь, этилбутират</x:v>
      </x:c>
      <x:c r="L333" s="28" t="str">
        <x:v>диацетил, жирные кислоты, лактоны</x:v>
      </x:c>
      <x:c r="M333" s="28" t="str">
        <x:v>сливочный</x:v>
      </x:c>
      <x:c r="N333" s="28" t="str">
        <x:v>не подтверждены; механизм не сводится к одной общей молекуле</x:v>
      </x:c>
      <x:c r="O333" s="28" t="str">
        <x:v>сходство ароматических семейств + комплементарность</x:v>
      </x:c>
      <x:c r="P333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333" s="28" t="str">
        <x:v>Специфического тройничного эффекта обычно нет; кислотность усиливает слюноотделение.</x:v>
      </x:c>
      <x:c r="R333" s="28" t="str">
        <x:v>Жировая фаза удерживает гидрофобные одоранты и продлевает послевкусие; кислотность ягод повышает слюноотделение.</x:v>
      </x:c>
      <x:c r="S33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333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333" s="28" t="str">
        <x:v>Высокая кислотность может свернуть молочный белок; смешивать при контролируемой температуре.</x:v>
      </x:c>
      <x:c r="V333" s="28" t="str">
        <x:v>мёд или миндаль</x:v>
      </x:c>
      <x:c r="W333" s="28" t="str">
        <x:v>сорбет, крем, ганаш, выпечка, джем или соус для десерта; соус, глазировка, салат, сырная подача или горячее блюдо</x:v>
      </x:c>
      <x:c r="X333" s="28" t="str">
        <x:v>десерты; еда</x:v>
      </x:c>
      <x:c r="Y333" s="28" t="str">
        <x:v>Средняя</x:v>
      </x:c>
      <x:c r="Z333" s="28" t="str">
        <x:v>The Art &amp; Science of Foodpairing</x:v>
      </x:c>
      <x:c r="AA333" s="28" t="str">
        <x:v>The Art &amp; Science of Foodpairing: 70</x:v>
      </x:c>
      <x:c r="AB333" s="28" t="str">
        <x:v>Ingredient pairings with Strawberry: Parmesan-style cheese</x:v>
      </x:c>
      <x:c r="AC333" s="28" t="n">
        <x:v>1</x:v>
      </x:c>
      <x:c r="AD333" s="28" t="n">
        <x:v>1</x:v>
      </x:c>
    </x:row>
    <x:row r="334" ht="58" customHeight="1">
      <x:c r="A334" s="28" t="str">
        <x:v>BER-0333</x:v>
      </x:c>
      <x:c r="B334" s="28" t="str">
        <x:v>Универсальные</x:v>
      </x:c>
      <x:c r="C334" s="28" t="str">
        <x:v>клубника</x:v>
      </x:c>
      <x:c r="D334" s="28" t="str">
        <x:v>Strawberry</x:v>
      </x:c>
      <x:c r="E334" s="28" t="str">
        <x:v>Ягоды и производные</x:v>
      </x:c>
      <x:c r="F334" s="28" t="str">
        <x:v>physalis</x:v>
      </x:c>
      <x:c r="G334" s="28" t="str">
        <x:v>physalis</x:v>
      </x:c>
      <x:c r="H334" s="28" t="str">
        <x:v>Прочее</x:v>
      </x:c>
      <x:c r="I334" s="28" t="str">
        <x:v>зелёный, карамельный, сливочный, фруктовый, цветочный</x:v>
      </x:c>
      <x:c r="J334" s="28" t="str">
        <x:v>комплексный</x:v>
      </x:c>
      <x:c r="K334" s="28" t="str">
        <x:v>линалоол, мезифуран, фуранеол, цис-3-гексеналь, этилбутират</x:v>
      </x:c>
      <x:c r="L334" s="28" t="str">
        <x:v>нет надёжной конкретизации</x:v>
      </x:c>
      <x:c r="M334" s="28" t="str">
        <x:v>прямое совпадение семейств не установлено</x:v>
      </x:c>
      <x:c r="N334" s="28" t="str">
        <x:v>не подтверждены; механизм не сводится к одной общей молекуле</x:v>
      </x:c>
      <x:c r="O334" s="28" t="str">
        <x:v>контраст/комплементарность + матричный эффект</x:v>
      </x:c>
      <x:c r="P334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34" s="28" t="str">
        <x:v>Специфического тройничного эффекта обычно нет; кислотность усиливает слюноотделение.</x:v>
      </x:c>
      <x:c r="R334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3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3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3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34" s="28" t="str">
        <x:v>лимон или ваниль</x:v>
      </x:c>
      <x:c r="W334" s="28" t="str">
        <x:v>сенсорная проба в малой дозировке</x:v>
      </x:c>
      <x:c r="X334" s="28" t="str">
        <x:v>универсально</x:v>
      </x:c>
      <x:c r="Y334" s="28" t="str">
        <x:v>Средняя</x:v>
      </x:c>
      <x:c r="Z334" s="28" t="str">
        <x:v>The Art &amp; Science of Foodpairing</x:v>
      </x:c>
      <x:c r="AA334" s="28" t="str">
        <x:v>The Art &amp; Science of Foodpairing: 70</x:v>
      </x:c>
      <x:c r="AB334" s="28" t="str">
        <x:v>Ingredient pairings with Strawberry: physalis</x:v>
      </x:c>
      <x:c r="AC334" s="28" t="n">
        <x:v>1</x:v>
      </x:c>
      <x:c r="AD334" s="28" t="n">
        <x:v>1</x:v>
      </x:c>
    </x:row>
    <x:row r="335" ht="58" customHeight="1">
      <x:c r="A335" s="28" t="str">
        <x:v>BER-0334</x:v>
      </x:c>
      <x:c r="B335" s="28" t="str">
        <x:v>Универсальные</x:v>
      </x:c>
      <x:c r="C335" s="28" t="str">
        <x:v>клубника</x:v>
      </x:c>
      <x:c r="D335" s="28" t="str">
        <x:v>Strawberry</x:v>
      </x:c>
      <x:c r="E335" s="28" t="str">
        <x:v>Ягоды и производные</x:v>
      </x:c>
      <x:c r="F335" s="28" t="str">
        <x:v>radicchio</x:v>
      </x:c>
      <x:c r="G335" s="28" t="str">
        <x:v>radicchio</x:v>
      </x:c>
      <x:c r="H335" s="28" t="str">
        <x:v>Прочее</x:v>
      </x:c>
      <x:c r="I335" s="28" t="str">
        <x:v>зелёный, карамельный, сливочный, фруктовый, цветочный</x:v>
      </x:c>
      <x:c r="J335" s="28" t="str">
        <x:v>комплексный</x:v>
      </x:c>
      <x:c r="K335" s="28" t="str">
        <x:v>линалоол, мезифуран, фуранеол, цис-3-гексеналь, этилбутират</x:v>
      </x:c>
      <x:c r="L335" s="28" t="str">
        <x:v>нет надёжной конкретизации</x:v>
      </x:c>
      <x:c r="M335" s="28" t="str">
        <x:v>прямое совпадение семейств не установлено</x:v>
      </x:c>
      <x:c r="N335" s="28" t="str">
        <x:v>не подтверждены; механизм не сводится к одной общей молекуле</x:v>
      </x:c>
      <x:c r="O335" s="28" t="str">
        <x:v>контраст/комплементарность + матричный эффект</x:v>
      </x:c>
      <x:c r="P335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35" s="28" t="str">
        <x:v>Специфического тройничного эффекта обычно нет; кислотность усиливает слюноотделение.</x:v>
      </x:c>
      <x:c r="R335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3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3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3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35" s="28" t="str">
        <x:v>лимон или ваниль</x:v>
      </x:c>
      <x:c r="W335" s="28" t="str">
        <x:v>сенсорная проба в малой дозировке</x:v>
      </x:c>
      <x:c r="X335" s="28" t="str">
        <x:v>универсально</x:v>
      </x:c>
      <x:c r="Y335" s="28" t="str">
        <x:v>Средняя</x:v>
      </x:c>
      <x:c r="Z335" s="28" t="str">
        <x:v>The Art &amp; Science of Foodpairing</x:v>
      </x:c>
      <x:c r="AA335" s="28" t="str">
        <x:v>The Art &amp; Science of Foodpairing: 70</x:v>
      </x:c>
      <x:c r="AB335" s="28" t="str">
        <x:v>Ingredient pairings with Strawberry: radicchio</x:v>
      </x:c>
      <x:c r="AC335" s="28" t="n">
        <x:v>1</x:v>
      </x:c>
      <x:c r="AD335" s="28" t="n">
        <x:v>1</x:v>
      </x:c>
    </x:row>
    <x:row r="336" ht="58" customHeight="1">
      <x:c r="A336" s="28" t="str">
        <x:v>BER-0335</x:v>
      </x:c>
      <x:c r="B336" s="28" t="str">
        <x:v>Универсальные</x:v>
      </x:c>
      <x:c r="C336" s="28" t="str">
        <x:v>клубника</x:v>
      </x:c>
      <x:c r="D336" s="28" t="str">
        <x:v>Strawberry</x:v>
      </x:c>
      <x:c r="E336" s="28" t="str">
        <x:v>Ягоды и производные</x:v>
      </x:c>
      <x:c r="F336" s="28" t="str">
        <x:v>sea fennel (rock samphire)</x:v>
      </x:c>
      <x:c r="G336" s="28" t="str">
        <x:v>sea fennel (rock samphire)</x:v>
      </x:c>
      <x:c r="H336" s="28" t="str">
        <x:v>Прочее</x:v>
      </x:c>
      <x:c r="I336" s="28" t="str">
        <x:v>зелёный, карамельный, сливочный, фруктовый, цветочный</x:v>
      </x:c>
      <x:c r="J336" s="28" t="str">
        <x:v>комплексный</x:v>
      </x:c>
      <x:c r="K336" s="28" t="str">
        <x:v>линалоол, мезифуран, фуранеол, цис-3-гексеналь, этилбутират</x:v>
      </x:c>
      <x:c r="L336" s="28" t="str">
        <x:v>нет надёжной конкретизации</x:v>
      </x:c>
      <x:c r="M336" s="28" t="str">
        <x:v>прямое совпадение семейств не установлено</x:v>
      </x:c>
      <x:c r="N336" s="28" t="str">
        <x:v>не подтверждены; механизм не сводится к одной общей молекуле</x:v>
      </x:c>
      <x:c r="O336" s="28" t="str">
        <x:v>контраст/комплементарность + матричный эффект</x:v>
      </x:c>
      <x:c r="P336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36" s="28" t="str">
        <x:v>Специфического тройничного эффекта обычно нет; кислотность усиливает слюноотделение.</x:v>
      </x:c>
      <x:c r="R336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3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3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3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36" s="28" t="str">
        <x:v>лимон или ваниль</x:v>
      </x:c>
      <x:c r="W336" s="28" t="str">
        <x:v>сенсорная проба в малой дозировке</x:v>
      </x:c>
      <x:c r="X336" s="28" t="str">
        <x:v>универсально</x:v>
      </x:c>
      <x:c r="Y336" s="28" t="str">
        <x:v>Средняя</x:v>
      </x:c>
      <x:c r="Z336" s="28" t="str">
        <x:v>The Art &amp; Science of Foodpairing</x:v>
      </x:c>
      <x:c r="AA336" s="28" t="str">
        <x:v>The Art &amp; Science of Foodpairing: 71</x:v>
      </x:c>
      <x:c r="AB336" s="28" t="str">
        <x:v>Ingredient pairings with Strawberry: sea fennel (rock samphire)</x:v>
      </x:c>
      <x:c r="AC336" s="28" t="n">
        <x:v>1</x:v>
      </x:c>
      <x:c r="AD336" s="28" t="n">
        <x:v>1</x:v>
      </x:c>
    </x:row>
    <x:row r="337" ht="58" customHeight="1">
      <x:c r="A337" s="28" t="str">
        <x:v>BER-0336</x:v>
      </x:c>
      <x:c r="B337" s="28" t="str">
        <x:v>Универсальные</x:v>
      </x:c>
      <x:c r="C337" s="28" t="str">
        <x:v>клубника</x:v>
      </x:c>
      <x:c r="D337" s="28" t="str">
        <x:v>Strawberry</x:v>
      </x:c>
      <x:c r="E337" s="28" t="str">
        <x:v>Ягоды и производные</x:v>
      </x:c>
      <x:c r="F337" s="28" t="str">
        <x:v>tangerine</x:v>
      </x:c>
      <x:c r="G337" s="28" t="str">
        <x:v>tangerine</x:v>
      </x:c>
      <x:c r="H337" s="28" t="str">
        <x:v>Прочее</x:v>
      </x:c>
      <x:c r="I337" s="28" t="str">
        <x:v>зелёный, карамельный, сливочный, фруктовый, цветочный</x:v>
      </x:c>
      <x:c r="J337" s="28" t="str">
        <x:v>комплексный</x:v>
      </x:c>
      <x:c r="K337" s="28" t="str">
        <x:v>линалоол, мезифуран, фуранеол, цис-3-гексеналь, этилбутират</x:v>
      </x:c>
      <x:c r="L337" s="28" t="str">
        <x:v>нет надёжной конкретизации</x:v>
      </x:c>
      <x:c r="M337" s="28" t="str">
        <x:v>прямое совпадение семейств не установлено</x:v>
      </x:c>
      <x:c r="N337" s="28" t="str">
        <x:v>не подтверждены; механизм не сводится к одной общей молекуле</x:v>
      </x:c>
      <x:c r="O337" s="28" t="str">
        <x:v>контраст/комплементарность + матричный эффект</x:v>
      </x:c>
      <x:c r="P337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37" s="28" t="str">
        <x:v>Специфического тройничного эффекта обычно нет; кислотность усиливает слюноотделение.</x:v>
      </x:c>
      <x:c r="R337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3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3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3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37" s="28" t="str">
        <x:v>лимон или ваниль</x:v>
      </x:c>
      <x:c r="W337" s="28" t="str">
        <x:v>сенсорная проба в малой дозировке</x:v>
      </x:c>
      <x:c r="X337" s="28" t="str">
        <x:v>универсально</x:v>
      </x:c>
      <x:c r="Y337" s="28" t="str">
        <x:v>Средняя</x:v>
      </x:c>
      <x:c r="Z337" s="28" t="str">
        <x:v>The Art &amp; Science of Foodpairing</x:v>
      </x:c>
      <x:c r="AA337" s="28" t="str">
        <x:v>The Art &amp; Science of Foodpairing: 71</x:v>
      </x:c>
      <x:c r="AB337" s="28" t="str">
        <x:v>Ingredient pairings with Strawberry: tangerine</x:v>
      </x:c>
      <x:c r="AC337" s="28" t="n">
        <x:v>1</x:v>
      </x:c>
      <x:c r="AD337" s="28" t="n">
        <x:v>1</x:v>
      </x:c>
    </x:row>
    <x:row r="338" ht="58" customHeight="1">
      <x:c r="A338" s="28" t="str">
        <x:v>BER-0337</x:v>
      </x:c>
      <x:c r="B338" s="28" t="str">
        <x:v>Универсальные</x:v>
      </x:c>
      <x:c r="C338" s="28" t="str">
        <x:v>клубника</x:v>
      </x:c>
      <x:c r="D338" s="28" t="str">
        <x:v>Strawberry</x:v>
      </x:c>
      <x:c r="E338" s="28" t="str">
        <x:v>Ягоды и производные</x:v>
      </x:c>
      <x:c r="F338" s="28" t="str">
        <x:v>turmeric</x:v>
      </x:c>
      <x:c r="G338" s="28" t="str">
        <x:v>turmeric</x:v>
      </x:c>
      <x:c r="H338" s="28" t="str">
        <x:v>Прочее</x:v>
      </x:c>
      <x:c r="I338" s="28" t="str">
        <x:v>зелёный, карамельный, сливочный, фруктовый, цветочный</x:v>
      </x:c>
      <x:c r="J338" s="28" t="str">
        <x:v>комплексный</x:v>
      </x:c>
      <x:c r="K338" s="28" t="str">
        <x:v>линалоол, мезифуран, фуранеол, цис-3-гексеналь, этилбутират</x:v>
      </x:c>
      <x:c r="L338" s="28" t="str">
        <x:v>нет надёжной конкретизации</x:v>
      </x:c>
      <x:c r="M338" s="28" t="str">
        <x:v>прямое совпадение семейств не установлено</x:v>
      </x:c>
      <x:c r="N338" s="28" t="str">
        <x:v>не подтверждены; механизм не сводится к одной общей молекуле</x:v>
      </x:c>
      <x:c r="O338" s="28" t="str">
        <x:v>контраст/комплементарность + матричный эффект</x:v>
      </x:c>
      <x:c r="P338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38" s="28" t="str">
        <x:v>Специфического тройничного эффекта обычно нет; кислотность усиливает слюноотделение.</x:v>
      </x:c>
      <x:c r="R338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3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3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3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38" s="28" t="str">
        <x:v>лимон или ваниль</x:v>
      </x:c>
      <x:c r="W338" s="28" t="str">
        <x:v>сенсорная проба в малой дозировке</x:v>
      </x:c>
      <x:c r="X338" s="28" t="str">
        <x:v>универсально</x:v>
      </x:c>
      <x:c r="Y338" s="28" t="str">
        <x:v>Средняя</x:v>
      </x:c>
      <x:c r="Z338" s="28" t="str">
        <x:v>The Art &amp; Science of Foodpairing</x:v>
      </x:c>
      <x:c r="AA338" s="28" t="str">
        <x:v>The Art &amp; Science of Foodpairing: 71</x:v>
      </x:c>
      <x:c r="AB338" s="28" t="str">
        <x:v>Ingredient pairings with Strawberry: turmeric</x:v>
      </x:c>
      <x:c r="AC338" s="28" t="n">
        <x:v>1</x:v>
      </x:c>
      <x:c r="AD338" s="28" t="n">
        <x:v>1</x:v>
      </x:c>
    </x:row>
    <x:row r="339" ht="58" customHeight="1">
      <x:c r="A339" s="28" t="str">
        <x:v>BER-0338</x:v>
      </x:c>
      <x:c r="B339" s="28" t="str">
        <x:v>Универсальные</x:v>
      </x:c>
      <x:c r="C339" s="28" t="str">
        <x:v>клубника</x:v>
      </x:c>
      <x:c r="D339" s="28" t="str">
        <x:v>клубника</x:v>
      </x:c>
      <x:c r="E339" s="28" t="str">
        <x:v>Ягоды и производные</x:v>
      </x:c>
      <x:c r="F339" s="28" t="str">
        <x:v>абрикос</x:v>
      </x:c>
      <x:c r="G339" s="28" t="str">
        <x:v>Абрикос</x:v>
      </x:c>
      <x:c r="H339" s="28" t="str">
        <x:v>Фрукты</x:v>
      </x:c>
      <x:c r="I339" s="28" t="str">
        <x:v>зелёный, карамельный, сливочный, фруктовый, цветочный</x:v>
      </x:c>
      <x:c r="J339" s="28" t="str">
        <x:v>зелёный, фруктовый, цветочный</x:v>
      </x:c>
      <x:c r="K339" s="28" t="str">
        <x:v>линалоол, мезифуран, фуранеол, цис-3-гексеналь, этилбутират</x:v>
      </x:c>
      <x:c r="L339" s="28" t="str">
        <x:v>лактоны, терпены, эфиры</x:v>
      </x:c>
      <x:c r="M339" s="28" t="str">
        <x:v>зелёный, фруктовый, цветочный</x:v>
      </x:c>
      <x:c r="N339" s="28" t="str">
        <x:v>не подтверждены; механизм не сводится к одной общей молекуле</x:v>
      </x:c>
      <x:c r="O339" s="28" t="str">
        <x:v>сходство ароматических семейств + комплементарность</x:v>
      </x:c>
      <x:c r="P339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339" s="28" t="str">
        <x:v>Специфического тройничного эффекта обычно нет; кислотность усиливает слюноотделение.</x:v>
      </x:c>
      <x:c r="R339" s="28" t="str">
        <x:v>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</x:v>
      </x:c>
      <x:c r="S33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39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3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39" s="28" t="str">
        <x:v>ваниль или лимон</x:v>
      </x:c>
      <x:c r="W33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39" s="28" t="str">
        <x:v>напитки; десерты</x:v>
      </x:c>
      <x:c r="Y339" s="28" t="str">
        <x:v>Средняя</x:v>
      </x:c>
      <x:c r="Z339" s="28" t="str">
        <x:v>Таблица сочетаний</x:v>
      </x:c>
      <x:c r="AA339" s="28" t="str">
        <x:v>Таблица сочетаний: 2</x:v>
      </x:c>
      <x:c r="AB339" s="28" t="str">
        <x:v>Абрикос: клубника</x:v>
      </x:c>
      <x:c r="AC339" s="28" t="n">
        <x:v>1</x:v>
      </x:c>
      <x:c r="AD339" s="28" t="n">
        <x:v>1</x:v>
      </x:c>
    </x:row>
    <x:row r="340" ht="58" customHeight="1">
      <x:c r="A340" s="28" t="str">
        <x:v>BER-0339</x:v>
      </x:c>
      <x:c r="B340" s="28" t="str">
        <x:v>Универсальные</x:v>
      </x:c>
      <x:c r="C340" s="28" t="str">
        <x:v>клубника</x:v>
      </x:c>
      <x:c r="D340" s="28" t="str">
        <x:v>Клубника | клубника</x:v>
      </x:c>
      <x:c r="E340" s="28" t="str">
        <x:v>Ягоды и производные</x:v>
      </x:c>
      <x:c r="F340" s="28" t="str">
        <x:v>авокадо</x:v>
      </x:c>
      <x:c r="G340" s="28" t="str">
        <x:v>Авокадо | авокадо</x:v>
      </x:c>
      <x:c r="H340" s="28" t="str">
        <x:v>Прочее</x:v>
      </x:c>
      <x:c r="I340" s="28" t="str">
        <x:v>зелёный, карамельный, сливочный, фруктовый, цветочный</x:v>
      </x:c>
      <x:c r="J340" s="28" t="str">
        <x:v>комплексный</x:v>
      </x:c>
      <x:c r="K340" s="28" t="str">
        <x:v>линалоол, мезифуран, фуранеол, цис-3-гексеналь, этилбутират</x:v>
      </x:c>
      <x:c r="L340" s="28" t="str">
        <x:v>нет надёжной конкретизации</x:v>
      </x:c>
      <x:c r="M340" s="28" t="str">
        <x:v>прямое совпадение семейств не установлено</x:v>
      </x:c>
      <x:c r="N340" s="28" t="str">
        <x:v>не подтверждены; механизм не сводится к одной общей молекуле</x:v>
      </x:c>
      <x:c r="O340" s="28" t="str">
        <x:v>контраст/комплементарность + матричный эффект</x:v>
      </x:c>
      <x:c r="P340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40" s="28" t="str">
        <x:v>Специфического тройничного эффекта обычно нет; кислотность усиливает слюноотделение.</x:v>
      </x:c>
      <x:c r="R340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4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4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4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40" s="28" t="str">
        <x:v>лимон или ваниль</x:v>
      </x:c>
      <x:c r="W340" s="28" t="str">
        <x:v>сенсорная проба в малой дозировке</x:v>
      </x:c>
      <x:c r="X340" s="28" t="str">
        <x:v>универсально</x:v>
      </x:c>
      <x:c r="Y340" s="28" t="str">
        <x:v>Высокая</x:v>
      </x:c>
      <x:c r="Z340" s="28" t="str">
        <x:v>Тезариус вкусов</x:v>
      </x:c>
      <x:c r="AA340" s="28" t="str">
        <x:v>Тезариус вкусов: 527, 692</x:v>
      </x:c>
      <x:c r="AB340" s="28" t="str">
        <x:v>Авокадо и клубника. См. Клубника и авокадо | Клубника и авокадо. Прю Лейт (Prue Leith) при- знает, что сочетание дрессинга из клубники с соусом из авокадо может показаться странным, но указыва- ет, что при смешивании растительного масла с клуб- никой получается соус типа винегрет (vinaigrette), ко- торый можно использовать вместо обычного винного уксуса. Разомните 250 г клубники, полейте ее смесью из 100 мл оливкового масла и 100 мл подсолнечно- го масла. Масло добавляйте постепенно, пока не бу</x:v>
      </x:c>
      <x:c r="AC340" s="28" t="n">
        <x:v>1</x:v>
      </x:c>
      <x:c r="AD340" s="28" t="n">
        <x:v>2</x:v>
      </x:c>
    </x:row>
    <x:row r="341" ht="58" customHeight="1">
      <x:c r="A341" s="28" t="str">
        <x:v>BER-0340</x:v>
      </x:c>
      <x:c r="B341" s="28" t="str">
        <x:v>Универсальные</x:v>
      </x:c>
      <x:c r="C341" s="28" t="str">
        <x:v>клубника</x:v>
      </x:c>
      <x:c r="D341" s="28" t="str">
        <x:v>клубника</x:v>
      </x:c>
      <x:c r="E341" s="28" t="str">
        <x:v>Ягоды и производные</x:v>
      </x:c>
      <x:c r="F341" s="28" t="str">
        <x:v>агава</x:v>
      </x:c>
      <x:c r="G341" s="28" t="str">
        <x:v>Агава</x:v>
      </x:c>
      <x:c r="H341" s="28" t="str">
        <x:v>Прочее</x:v>
      </x:c>
      <x:c r="I341" s="28" t="str">
        <x:v>зелёный, карамельный, сливочный, фруктовый, цветочный</x:v>
      </x:c>
      <x:c r="J341" s="28" t="str">
        <x:v>комплексный</x:v>
      </x:c>
      <x:c r="K341" s="28" t="str">
        <x:v>линалоол, мезифуран, фуранеол, цис-3-гексеналь, этилбутират</x:v>
      </x:c>
      <x:c r="L341" s="28" t="str">
        <x:v>нет надёжной конкретизации</x:v>
      </x:c>
      <x:c r="M341" s="28" t="str">
        <x:v>прямое совпадение семейств не установлено</x:v>
      </x:c>
      <x:c r="N341" s="28" t="str">
        <x:v>не подтверждены; механизм не сводится к одной общей молекуле</x:v>
      </x:c>
      <x:c r="O341" s="28" t="str">
        <x:v>контраст/комплементарность + матричный эффект</x:v>
      </x:c>
      <x:c r="P341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41" s="28" t="str">
        <x:v>Специфического тройничного эффекта обычно нет; кислотность усиливает слюноотделение.</x:v>
      </x:c>
      <x:c r="R341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4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4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4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41" s="28" t="str">
        <x:v>лимон или ваниль</x:v>
      </x:c>
      <x:c r="W341" s="28" t="str">
        <x:v>сенсорная проба в малой дозировке</x:v>
      </x:c>
      <x:c r="X341" s="28" t="str">
        <x:v>универсально</x:v>
      </x:c>
      <x:c r="Y341" s="28" t="str">
        <x:v>Средняя</x:v>
      </x:c>
      <x:c r="Z341" s="28" t="str">
        <x:v>Таблица сочетаний</x:v>
      </x:c>
      <x:c r="AA341" s="28" t="str">
        <x:v>Таблица сочетаний: 1</x:v>
      </x:c>
      <x:c r="AB341" s="28" t="str">
        <x:v>Агава: клубника</x:v>
      </x:c>
      <x:c r="AC341" s="28" t="n">
        <x:v>1</x:v>
      </x:c>
      <x:c r="AD341" s="28" t="n">
        <x:v>1</x:v>
      </x:c>
    </x:row>
    <x:row r="342" ht="58" customHeight="1">
      <x:c r="A342" s="28" t="str">
        <x:v>BER-0341</x:v>
      </x:c>
      <x:c r="B342" s="28" t="str">
        <x:v>Универсальные</x:v>
      </x:c>
      <x:c r="C342" s="28" t="str">
        <x:v>клубника</x:v>
      </x:c>
      <x:c r="D342" s="28" t="str">
        <x:v>Strawberry | Клубника | клубника</x:v>
      </x:c>
      <x:c r="E342" s="28" t="str">
        <x:v>Ягоды и производные</x:v>
      </x:c>
      <x:c r="F342" s="28" t="str">
        <x:v>ананас</x:v>
      </x:c>
      <x:c r="G342" s="28" t="str">
        <x:v>pineapple | Ананас | ананас</x:v>
      </x:c>
      <x:c r="H342" s="28" t="str">
        <x:v>Фрукты</x:v>
      </x:c>
      <x:c r="I342" s="28" t="str">
        <x:v>зелёный, карамельный, сливочный, фруктовый, цветочный</x:v>
      </x:c>
      <x:c r="J342" s="28" t="str">
        <x:v>зелёный, фруктовый, цветочный</x:v>
      </x:c>
      <x:c r="K342" s="28" t="str">
        <x:v>линалоол, мезифуран, фуранеол, цис-3-гексеналь, этилбутират</x:v>
      </x:c>
      <x:c r="L342" s="28" t="str">
        <x:v>лактоны, терпены, эфиры</x:v>
      </x:c>
      <x:c r="M342" s="28" t="str">
        <x:v>зелёный, фруктовый, цветочный</x:v>
      </x:c>
      <x:c r="N342" s="28" t="str">
        <x:v>не подтверждены; механизм не сводится к одной общей молекуле</x:v>
      </x:c>
      <x:c r="O342" s="28" t="str">
        <x:v>сходство ароматических семейств + комплементарность</x:v>
      </x:c>
      <x:c r="P342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342" s="28" t="str">
        <x:v>Специфического тройничного эффекта обычно нет; кислотность усиливает слюноотделение.</x:v>
      </x:c>
      <x:c r="R342" s="28" t="str">
        <x:v>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</x:v>
      </x:c>
      <x:c r="S34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42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4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42" s="28" t="str">
        <x:v>ваниль или лимон</x:v>
      </x:c>
      <x:c r="W34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42" s="28" t="str">
        <x:v>напитки; десерты</x:v>
      </x:c>
      <x:c r="Y342" s="28" t="str">
        <x:v>Высокая</x:v>
      </x:c>
      <x:c r="Z342" s="28" t="str">
        <x:v>The Art &amp; Science of Foodpairing; Тезариус вкусов</x:v>
      </x:c>
      <x:c r="AA342" s="28" t="str">
        <x:v>Тезариус вкусов: 693, 704; The Art &amp; Science of Foodpairing: 70</x:v>
      </x:c>
      <x:c r="AB342" s="28" t="str">
        <x:v>Клубника и ананас. См. Ананас и клубника | Ананас и клубника. Ричард Олни (Richard Olney) считает, что в силу своей кислотности клубника явля- ется одним из немногих продуктов, которые особенно хорошо сочетаются с ананасом (два другие – мали- на и апельсиновый сок). К тому же в этом случае на- блюдается определенное перекрытие вкусов. Некото- рые эксперты считают, что во вкусе лучших сортов клубники есть достаточно прозрачный намек на вкус ананаса. Если вы захотите вырастить свою собствен- ную клубнику со вкусом ананаса, обратите внима- ние на сорта Кливленд (Cleveland) и Burr’s New Pine, описанные в «Книге о западных фруктах» (Western Fruit Book) Эдварда Джеймса Хупера (Edward James  | Ingredient pairings with Strawberry: pineapple</x:v>
      </x:c>
      <x:c r="AC342" s="28" t="n">
        <x:v>2</x:v>
      </x:c>
      <x:c r="AD342" s="28" t="n">
        <x:v>3</x:v>
      </x:c>
    </x:row>
    <x:row r="343" ht="58" customHeight="1">
      <x:c r="A343" s="28" t="str">
        <x:v>BER-0342</x:v>
      </x:c>
      <x:c r="B343" s="28" t="str">
        <x:v>Универсальные</x:v>
      </x:c>
      <x:c r="C343" s="28" t="str">
        <x:v>клубника</x:v>
      </x:c>
      <x:c r="D343" s="28" t="str">
        <x:v>Клубника | клубника</x:v>
      </x:c>
      <x:c r="E343" s="28" t="str">
        <x:v>Ягоды и производные</x:v>
      </x:c>
      <x:c r="F343" s="28" t="str">
        <x:v>анис</x:v>
      </x:c>
      <x:c r="G343" s="28" t="str">
        <x:v>Анис | анис</x:v>
      </x:c>
      <x:c r="H343" s="28" t="str">
        <x:v>Специи</x:v>
      </x:c>
      <x:c r="I343" s="28" t="str">
        <x:v>зелёный, карамельный, сливочный, фруктовый, цветочный</x:v>
      </x:c>
      <x:c r="J343" s="28" t="str">
        <x:v>древесный, пряный, тёплый</x:v>
      </x:c>
      <x:c r="K343" s="28" t="str">
        <x:v>линалоол, мезифуран, фуранеол, цис-3-гексеналь, этилбутират</x:v>
      </x:c>
      <x:c r="L343" s="28" t="str">
        <x:v>коричный альдегид, терпены, эвгенол</x:v>
      </x:c>
      <x:c r="M343" s="28" t="str">
        <x:v>прямое совпадение семейств не установлено</x:v>
      </x:c>
      <x:c r="N343" s="28" t="str">
        <x:v>не подтверждены; механизм не сводится к одной общей молекуле</x:v>
      </x:c>
      <x:c r="O343" s="28" t="str">
        <x:v>контраст/комплементарность + матричный эффект</x:v>
      </x:c>
      <x:c r="P343" s="28" t="str">
        <x:v>Ягодная сладость смягчает горечь и пряность, а кислотность делает пряный, иногда горький профиль ярче.</x:v>
      </x:c>
      <x:c r="Q343" s="28" t="str">
        <x:v>Специфического тройничного эффекта обычно нет; кислотность усиливает слюноотделение.</x:v>
      </x:c>
      <x:c r="R343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34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4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43" s="28" t="str">
        <x:v>Пряность дозировать как акцент: она быстро перекрывает тонкие ягодные эфиры.</x:v>
      </x:c>
      <x:c r="V343" s="28" t="str">
        <x:v>мёд или цитрус</x:v>
      </x:c>
      <x:c r="W34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343" s="28" t="str">
        <x:v>напитки; десерты; еда; соусы/маринады</x:v>
      </x:c>
      <x:c r="Y343" s="28" t="str">
        <x:v>Высокая</x:v>
      </x:c>
      <x:c r="Z343" s="28" t="str">
        <x:v>Таблица сочетаний; Тезариус вкусов</x:v>
      </x:c>
      <x:c r="AA343" s="28" t="str">
        <x:v>Тезариус вкусов: 483, 693; Таблица сочетаний: 20</x:v>
      </x:c>
      <x:c r="AB343" s="28" t="str">
        <x:v>Анис и клубника. Анис прекрасно подходит к клуб- нике – в соусе, джеме или просто в качестве посып- ки из аниса с сахаром. Как вариант десерта из виш- ни и ликера Cherries Jubilee можно приготовить его из клубники и самбуки и подать к столу с ванильным мо- роженым. Если вы любите клубнику со сливками, но озабочены низким качеством ингредиентов, восполь- зуйтесь полезными советами шоколатье Жана-Пьера Вайбо (Jean-Pierre Wybauw): а) немного аниса, подме- шанного к взбитым сливкам, заметно освежит их вкус; б) размягчившаяся клубника станет выглядеть лучше, если подержать ее около 10 мин. в воде с хорошей порцией малинового уксуса | Клубника и анис. См. Анис и клубника | Клубника: анис</x:v>
      </x:c>
      <x:c r="AC343" s="28" t="n">
        <x:v>2</x:v>
      </x:c>
      <x:c r="AD343" s="28" t="n">
        <x:v>3</x:v>
      </x:c>
    </x:row>
    <x:row r="344" ht="58" customHeight="1">
      <x:c r="A344" s="28" t="str">
        <x:v>BER-0343</x:v>
      </x:c>
      <x:c r="B344" s="28" t="str">
        <x:v>Напитки</x:v>
      </x:c>
      <x:c r="C344" s="28" t="str">
        <x:v>клубника</x:v>
      </x:c>
      <x:c r="D344" s="28" t="str">
        <x:v>Strawberry | Клубника | клубника</x:v>
      </x:c>
      <x:c r="E344" s="28" t="str">
        <x:v>Ягоды и производные</x:v>
      </x:c>
      <x:c r="F344" s="28" t="str">
        <x:v>апельсин</x:v>
      </x:c>
      <x:c r="G344" s="28" t="str">
        <x:v>orange | Апельсин | апельсин</x:v>
      </x:c>
      <x:c r="H344" s="28" t="str">
        <x:v>Цитрусовые</x:v>
      </x:c>
      <x:c r="I344" s="28" t="str">
        <x:v>зелёный, карамельный, сливочный, фруктовый, цветочный</x:v>
      </x:c>
      <x:c r="J344" s="28" t="str">
        <x:v>зелёный, цветочный, цитрусовый</x:v>
      </x:c>
      <x:c r="K344" s="28" t="str">
        <x:v>линалоол, мезифуран, фуранеол, цис-3-гексеналь, этилбутират</x:v>
      </x:c>
      <x:c r="L344" s="28" t="str">
        <x:v>лимонен, линалоол, цитраль</x:v>
      </x:c>
      <x:c r="M344" s="28" t="str">
        <x:v>зелёный, цветочный</x:v>
      </x:c>
      <x:c r="N344" s="28" t="str">
        <x:v>линалоол</x:v>
      </x:c>
      <x:c r="O344" s="28" t="str">
        <x:v>ароматическое сходство + вкусовой баланс</x:v>
      </x:c>
      <x:c r="P344" s="28" t="str">
        <x:v>Оба компонента формируют сладко-кислый и кислый, свежий контур; сахар, кислота и горечь должны быть выровнены дегустацией.</x:v>
      </x:c>
      <x:c r="Q344" s="28" t="str">
        <x:v>Специфического тройничного эффекта обычно нет; кислотность усиливает слюноотделение.</x:v>
      </x:c>
      <x:c r="R344" s="28" t="str">
        <x:v>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</x:v>
      </x:c>
      <x:c r="S34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44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4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44" s="28" t="str">
        <x:v>мёд или базилик</x:v>
      </x:c>
      <x:c r="W344" s="28" t="str">
        <x:v>кордиал, лимонад, чай, коктейль, настой или ферментированный напиток; маринад, гастрик, чатни, кетчуп или редукция</x:v>
      </x:c>
      <x:c r="X344" s="28" t="str">
        <x:v>напитки; соусы/маринады</x:v>
      </x:c>
      <x:c r="Y344" s="28" t="str">
        <x:v>Высокая</x:v>
      </x:c>
      <x:c r="Z344" s="28" t="str">
        <x:v>The Art &amp; Science of Foodpairing; Таблица сочетаний; Тезариус вкусов</x:v>
      </x:c>
      <x:c r="AA344" s="28" t="str">
        <x:v>Тезариус вкусов: 693, 775; The Art &amp; Science of Foodpairing: 70; Таблица сочетаний: 20</x:v>
      </x:c>
      <x:c r="AB344" s="28" t="str">
        <x:v>Клубника и апельсин. См. Апельсин и клубника | Апельсин и клубника. Десерт «Клубника Рома- нов» (Strawberries Romanoff) создал для царя Алек- сандра I легендарный шеф-повар Мари-Антуан Ка- рем (Marie-Antoine Carême). Это блестящее сочета- ние. Возьмите несколько ягод клубники, «замаринуй | Клубника: апельсин | Ingredient pairings with Strawberry: orange</x:v>
      </x:c>
      <x:c r="AC344" s="28" t="n">
        <x:v>3</x:v>
      </x:c>
      <x:c r="AD344" s="28" t="n">
        <x:v>4</x:v>
      </x:c>
    </x:row>
    <x:row r="345" ht="58" customHeight="1">
      <x:c r="A345" s="28" t="str">
        <x:v>BER-0344</x:v>
      </x:c>
      <x:c r="B345" s="28" t="str">
        <x:v>Универсальные</x:v>
      </x:c>
      <x:c r="C345" s="28" t="str">
        <x:v>клубника</x:v>
      </x:c>
      <x:c r="D345" s="28" t="str">
        <x:v>клубника</x:v>
      </x:c>
      <x:c r="E345" s="28" t="str">
        <x:v>Ягоды и производные</x:v>
      </x:c>
      <x:c r="F345" s="28" t="str">
        <x:v>арахис</x:v>
      </x:c>
      <x:c r="G345" s="28" t="str">
        <x:v>Арахис</x:v>
      </x:c>
      <x:c r="H345" s="28" t="str">
        <x:v>Прочее</x:v>
      </x:c>
      <x:c r="I345" s="28" t="str">
        <x:v>зелёный, карамельный, сливочный, фруктовый, цветочный</x:v>
      </x:c>
      <x:c r="J345" s="28" t="str">
        <x:v>комплексный</x:v>
      </x:c>
      <x:c r="K345" s="28" t="str">
        <x:v>линалоол, мезифуран, фуранеол, цис-3-гексеналь, этилбутират</x:v>
      </x:c>
      <x:c r="L345" s="28" t="str">
        <x:v>нет надёжной конкретизации</x:v>
      </x:c>
      <x:c r="M345" s="28" t="str">
        <x:v>прямое совпадение семейств не установлено</x:v>
      </x:c>
      <x:c r="N345" s="28" t="str">
        <x:v>не подтверждены; механизм не сводится к одной общей молекуле</x:v>
      </x:c>
      <x:c r="O345" s="28" t="str">
        <x:v>контраст/комплементарность + матричный эффект</x:v>
      </x:c>
      <x:c r="P345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45" s="28" t="str">
        <x:v>Специфического тройничного эффекта обычно нет; кислотность усиливает слюноотделение.</x:v>
      </x:c>
      <x:c r="R345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4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4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4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45" s="28" t="str">
        <x:v>лимон или ваниль</x:v>
      </x:c>
      <x:c r="W345" s="28" t="str">
        <x:v>сенсорная проба в малой дозировке</x:v>
      </x:c>
      <x:c r="X345" s="28" t="str">
        <x:v>универсально</x:v>
      </x:c>
      <x:c r="Y345" s="28" t="str">
        <x:v>Средняя</x:v>
      </x:c>
      <x:c r="Z345" s="28" t="str">
        <x:v>Таблица сочетаний</x:v>
      </x:c>
      <x:c r="AA345" s="28" t="str">
        <x:v>Таблица сочетаний: 15</x:v>
      </x:c>
      <x:c r="AB345" s="28" t="str">
        <x:v>Арахис: клубника</x:v>
      </x:c>
      <x:c r="AC345" s="28" t="n">
        <x:v>1</x:v>
      </x:c>
      <x:c r="AD345" s="28" t="n">
        <x:v>1</x:v>
      </x:c>
    </x:row>
    <x:row r="346" ht="58" customHeight="1">
      <x:c r="A346" s="28" t="str">
        <x:v>BER-0345</x:v>
      </x:c>
      <x:c r="B346" s="28" t="str">
        <x:v>Еда и соусы</x:v>
      </x:c>
      <x:c r="C346" s="28" t="str">
        <x:v>клубника</x:v>
      </x:c>
      <x:c r="D346" s="28" t="str">
        <x:v>strawberry</x:v>
      </x:c>
      <x:c r="E346" s="28" t="str">
        <x:v>Ягоды и производные</x:v>
      </x:c>
      <x:c r="F346" s="28" t="str">
        <x:v>артишок</x:v>
      </x:c>
      <x:c r="G346" s="28" t="str">
        <x:v>Artichoke</x:v>
      </x:c>
      <x:c r="H346" s="28" t="str">
        <x:v>Овощи и грибы</x:v>
      </x:c>
      <x:c r="I346" s="28" t="str">
        <x:v>зелёный, карамельный, сливочный, фруктовый, цветочный</x:v>
      </x:c>
      <x:c r="J346" s="28" t="str">
        <x:v>зелёный, землистый, сернистый</x:v>
      </x:c>
      <x:c r="K346" s="28" t="str">
        <x:v>линалоол, мезифуран, фуранеол, цис-3-гексеналь, этилбутират</x:v>
      </x:c>
      <x:c r="L346" s="28" t="str">
        <x:v>C6-альдегиды, пиразины, сернистые соединения</x:v>
      </x:c>
      <x:c r="M346" s="28" t="str">
        <x:v>зелёный</x:v>
      </x:c>
      <x:c r="N346" s="28" t="str">
        <x:v>не подтверждены; механизм не сводится к одной общей молекуле</x:v>
      </x:c>
      <x:c r="O346" s="28" t="str">
        <x:v>сходство ароматических семейств + комплементарность</x:v>
      </x:c>
      <x:c r="P346" s="28" t="str">
        <x:v>Оба компонента формируют сладко-кислый и растительный, иногда умами контур; сахар, кислота и горечь должны быть выровнены дегустацией.</x:v>
      </x:c>
      <x:c r="Q346" s="28" t="str">
        <x:v>Специфического тройничного эффекта обычно нет; кислотность усиливает слюноотделение.</x:v>
      </x:c>
      <x:c r="R346" s="28" t="str">
        <x:v>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34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346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34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46" s="28" t="str">
        <x:v>уксус или мягкий сыр</x:v>
      </x:c>
      <x:c r="W346" s="28" t="str">
        <x:v>соус, глазировка, салат, сырная подача или горячее блюдо; маринад, гастрик, чатни, кетчуп или редукция</x:v>
      </x:c>
      <x:c r="X346" s="28" t="str">
        <x:v>еда; соусы/маринады</x:v>
      </x:c>
      <x:c r="Y346" s="28" t="str">
        <x:v>Средняя</x:v>
      </x:c>
      <x:c r="Z346" s="28" t="str">
        <x:v>The Art &amp; Science of Foodpairing</x:v>
      </x:c>
      <x:c r="AA346" s="28" t="str">
        <x:v>The Art &amp; Science of Foodpairing: 329</x:v>
      </x:c>
      <x:c r="AB346" s="28" t="str">
        <x:v>Ingredient pairings with Artichoke: strawberry</x:v>
      </x:c>
      <x:c r="AC346" s="28" t="n">
        <x:v>1</x:v>
      </x:c>
      <x:c r="AD346" s="28" t="n">
        <x:v>1</x:v>
      </x:c>
    </x:row>
    <x:row r="347" ht="58" customHeight="1">
      <x:c r="A347" s="28" t="str">
        <x:v>BER-0346</x:v>
      </x:c>
      <x:c r="B347" s="28" t="str">
        <x:v>Универсальные</x:v>
      </x:c>
      <x:c r="C347" s="28" t="str">
        <x:v>клубника</x:v>
      </x:c>
      <x:c r="D347" s="28" t="str">
        <x:v>Клубника</x:v>
      </x:c>
      <x:c r="E347" s="28" t="str">
        <x:v>Ягоды и производные</x:v>
      </x:c>
      <x:c r="F347" s="28" t="str">
        <x:v>базилик</x:v>
      </x:c>
      <x:c r="G347" s="28" t="str">
        <x:v>базилик</x:v>
      </x:c>
      <x:c r="H347" s="28" t="str">
        <x:v>Травы и цветы</x:v>
      </x:c>
      <x:c r="I347" s="28" t="str">
        <x:v>зелёный, карамельный, сливочный, фруктовый, цветочный</x:v>
      </x:c>
      <x:c r="J347" s="28" t="str">
        <x:v>зелёный, травянистый, цветочный</x:v>
      </x:c>
      <x:c r="K347" s="28" t="str">
        <x:v>линалоол, мезифуран, фуранеол, цис-3-гексеналь, этилбутират</x:v>
      </x:c>
      <x:c r="L347" s="28" t="str">
        <x:v>гераниол, линалоол, терпены, эвгенол</x:v>
      </x:c>
      <x:c r="M347" s="28" t="str">
        <x:v>зелёный, цветочный</x:v>
      </x:c>
      <x:c r="N347" s="28" t="str">
        <x:v>линалоол</x:v>
      </x:c>
      <x:c r="O347" s="28" t="str">
        <x:v>ароматическое сходство + вкусовой баланс</x:v>
      </x:c>
      <x:c r="P347" s="28" t="str">
        <x:v>Ягодная сладость смягчает горечь и пряность, а кислотность делает горьковатый, свежий профиль ярче.</x:v>
      </x:c>
      <x:c r="Q347" s="28" t="str">
        <x:v>Специфического тройничного эффекта обычно нет; кислотность усиливает слюноотделение.</x:v>
      </x:c>
      <x:c r="R347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34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47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4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47" s="28" t="str">
        <x:v>лимон или мёд</x:v>
      </x:c>
      <x:c r="W34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347" s="28" t="str">
        <x:v>напитки; еда; соусы/маринады</x:v>
      </x:c>
      <x:c r="Y347" s="28" t="str">
        <x:v>Средняя</x:v>
      </x:c>
      <x:c r="Z347" s="28" t="str">
        <x:v>Таблица сочетаний</x:v>
      </x:c>
      <x:c r="AA347" s="28" t="str">
        <x:v>Таблица сочетаний: 20</x:v>
      </x:c>
      <x:c r="AB347" s="28" t="str">
        <x:v>Клубника: базилик</x:v>
      </x:c>
      <x:c r="AC347" s="28" t="n">
        <x:v>1</x:v>
      </x:c>
      <x:c r="AD347" s="28" t="n">
        <x:v>1</x:v>
      </x:c>
    </x:row>
    <x:row r="348" ht="58" customHeight="1">
      <x:c r="A348" s="28" t="str">
        <x:v>BER-0347</x:v>
      </x:c>
      <x:c r="B348" s="28" t="str">
        <x:v>Еда и соусы</x:v>
      </x:c>
      <x:c r="C348" s="28" t="str">
        <x:v>клубника</x:v>
      </x:c>
      <x:c r="D348" s="28" t="str">
        <x:v>strawberry</x:v>
      </x:c>
      <x:c r="E348" s="28" t="str">
        <x:v>Ягоды и производные</x:v>
      </x:c>
      <x:c r="F348" s="28" t="str">
        <x:v>бальзамический уксус</x:v>
      </x:c>
      <x:c r="G348" s="28" t="str">
        <x:v>Balsamic Vinegar</x:v>
      </x:c>
      <x:c r="H348" s="28" t="str">
        <x:v>Ферментированные продукты, соусы и уксусы</x:v>
      </x:c>
      <x:c r="I348" s="28" t="str">
        <x:v>зелёный, карамельный, сливочный, фруктовый, цветочный</x:v>
      </x:c>
      <x:c r="J348" s="28" t="str">
        <x:v>кислый, умами, ферментированный</x:v>
      </x:c>
      <x:c r="K348" s="28" t="str">
        <x:v>линалоол, мезифуран, фуранеол, цис-3-гексеналь, этилбутират</x:v>
      </x:c>
      <x:c r="L348" s="28" t="str">
        <x:v>аминокислоты, органические кислоты, эфиры</x:v>
      </x:c>
      <x:c r="M348" s="28" t="str">
        <x:v>прямое совпадение семейств не установлено</x:v>
      </x:c>
      <x:c r="N348" s="28" t="str">
        <x:v>не подтверждены; механизм не сводится к одной общей молекуле</x:v>
      </x:c>
      <x:c r="O348" s="28" t="str">
        <x:v>контраст/комплементарность + матричный эффект</x:v>
      </x:c>
      <x:c r="P348" s="28" t="str">
        <x:v>Оба компонента формируют сладко-кислый и кислый/солёный/умами контур; сахар, кислота и горечь должны быть выровнены дегустацией.</x:v>
      </x:c>
      <x:c r="Q348" s="28" t="str">
        <x:v>Специфического тройничного эффекта обычно нет; кислотность усиливает слюноотделение.</x:v>
      </x:c>
      <x:c r="R348" s="28" t="str">
        <x:v>Ягода: высокая доля воды; аромат чувствителен к перегреву. Партнёр: вода, соль и продукты ферментации. В воде аромат раскрывается быстрее, в жире и этаноле — дольше удерживается.</x:v>
      </x:c>
      <x:c r="S34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4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кислый, умами, ферментированный. Оба компонента формируют сладко-кислый и кислый/солёный/умами контур; сахар, кислота и горечь должны быть выровнены дегустацией. Ягода: высокая доля воды; аромат чувствителен к перегреву.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4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48" s="28" t="str">
        <x:v>мёд или соевый соус</x:v>
      </x:c>
      <x:c r="W348" s="28" t="str">
        <x:v>соус, глазировка, салат, сырная подача или горячее блюдо; маринад, гастрик, чатни, кетчуп или редукция</x:v>
      </x:c>
      <x:c r="X348" s="28" t="str">
        <x:v>еда; соусы/маринады</x:v>
      </x:c>
      <x:c r="Y348" s="28" t="str">
        <x:v>Средняя</x:v>
      </x:c>
      <x:c r="Z348" s="28" t="str">
        <x:v>The Art &amp; Science of Foodpairing</x:v>
      </x:c>
      <x:c r="AA348" s="28" t="str">
        <x:v>The Art &amp; Science of Foodpairing: 316, 317</x:v>
      </x:c>
      <x:c r="AB348" s="28" t="str">
        <x:v>Ingredient pairings with Balsamic Vinegar: strawberry | Ingredient pairings with Balsamic Vinegar: strawberry | Ingredient pairings with Balsamic Vinegar: strawberry</x:v>
      </x:c>
      <x:c r="AC348" s="28" t="n">
        <x:v>1</x:v>
      </x:c>
      <x:c r="AD348" s="28" t="n">
        <x:v>3</x:v>
      </x:c>
    </x:row>
    <x:row r="349" ht="58" customHeight="1">
      <x:c r="A349" s="28" t="str">
        <x:v>BER-0348</x:v>
      </x:c>
      <x:c r="B349" s="28" t="str">
        <x:v>Универсальные</x:v>
      </x:c>
      <x:c r="C349" s="28" t="str">
        <x:v>клубника</x:v>
      </x:c>
      <x:c r="D349" s="28" t="str">
        <x:v>Strawberry</x:v>
      </x:c>
      <x:c r="E349" s="28" t="str">
        <x:v>Ягоды и производные</x:v>
      </x:c>
      <x:c r="F349" s="28" t="str">
        <x:v>банан</x:v>
      </x:c>
      <x:c r="G349" s="28" t="str">
        <x:v>banana</x:v>
      </x:c>
      <x:c r="H349" s="28" t="str">
        <x:v>Фрукты</x:v>
      </x:c>
      <x:c r="I349" s="28" t="str">
        <x:v>зелёный, карамельный, сливочный, фруктовый, цветочный</x:v>
      </x:c>
      <x:c r="J349" s="28" t="str">
        <x:v>зелёный, фруктовый, цветочный</x:v>
      </x:c>
      <x:c r="K349" s="28" t="str">
        <x:v>линалоол, мезифуран, фуранеол, цис-3-гексеналь, этилбутират</x:v>
      </x:c>
      <x:c r="L349" s="28" t="str">
        <x:v>лактоны, терпены, эфиры</x:v>
      </x:c>
      <x:c r="M349" s="28" t="str">
        <x:v>зелёный, фруктовый, цветочный</x:v>
      </x:c>
      <x:c r="N349" s="28" t="str">
        <x:v>не подтверждены; механизм не сводится к одной общей молекуле</x:v>
      </x:c>
      <x:c r="O349" s="28" t="str">
        <x:v>сходство ароматических семейств + комплементарность</x:v>
      </x:c>
      <x:c r="P349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349" s="28" t="str">
        <x:v>Специфического тройничного эффекта обычно нет; кислотность усиливает слюноотделение.</x:v>
      </x:c>
      <x:c r="R349" s="28" t="str">
        <x:v>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</x:v>
      </x:c>
      <x:c r="S34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49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4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49" s="28" t="str">
        <x:v>ваниль или лимон</x:v>
      </x:c>
      <x:c r="W34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49" s="28" t="str">
        <x:v>напитки; десерты</x:v>
      </x:c>
      <x:c r="Y349" s="28" t="str">
        <x:v>Средняя</x:v>
      </x:c>
      <x:c r="Z349" s="28" t="str">
        <x:v>The Art &amp; Science of Foodpairing</x:v>
      </x:c>
      <x:c r="AA349" s="28" t="str">
        <x:v>The Art &amp; Science of Foodpairing: 70</x:v>
      </x:c>
      <x:c r="AB349" s="28" t="str">
        <x:v>Ingredient pairings with Strawberry: banana</x:v>
      </x:c>
      <x:c r="AC349" s="28" t="n">
        <x:v>1</x:v>
      </x:c>
      <x:c r="AD349" s="28" t="n">
        <x:v>1</x:v>
      </x:c>
    </x:row>
    <x:row r="350" ht="58" customHeight="1">
      <x:c r="A350" s="28" t="str">
        <x:v>BER-0349</x:v>
      </x:c>
      <x:c r="B350" s="28" t="str">
        <x:v>Универсальные</x:v>
      </x:c>
      <x:c r="C350" s="28" t="str">
        <x:v>клубника</x:v>
      </x:c>
      <x:c r="D350" s="28" t="str">
        <x:v>Strawberry</x:v>
      </x:c>
      <x:c r="E350" s="28" t="str">
        <x:v>Ягоды и производные</x:v>
      </x:c>
      <x:c r="F350" s="28" t="str">
        <x:v>банановое пюре</x:v>
      </x:c>
      <x:c r="G350" s="28" t="str">
        <x:v>banana puree</x:v>
      </x:c>
      <x:c r="H350" s="28" t="str">
        <x:v>Фрукты</x:v>
      </x:c>
      <x:c r="I350" s="28" t="str">
        <x:v>зелёный, карамельный, сливочный, фруктовый, цветочный</x:v>
      </x:c>
      <x:c r="J350" s="28" t="str">
        <x:v>зелёный, фруктовый, цветочный</x:v>
      </x:c>
      <x:c r="K350" s="28" t="str">
        <x:v>линалоол, мезифуран, фуранеол, цис-3-гексеналь, этилбутират</x:v>
      </x:c>
      <x:c r="L350" s="28" t="str">
        <x:v>лактоны, терпены, эфиры</x:v>
      </x:c>
      <x:c r="M350" s="28" t="str">
        <x:v>зелёный, фруктовый, цветочный</x:v>
      </x:c>
      <x:c r="N350" s="28" t="str">
        <x:v>не подтверждены; механизм не сводится к одной общей молекуле</x:v>
      </x:c>
      <x:c r="O350" s="28" t="str">
        <x:v>сходство ароматических семейств + комплементарность</x:v>
      </x:c>
      <x:c r="P350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350" s="28" t="str">
        <x:v>Специфического тройничного эффекта обычно нет; кислотность усиливает слюноотделение.</x:v>
      </x:c>
      <x:c r="R350" s="28" t="str">
        <x:v>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</x:v>
      </x:c>
      <x:c r="S35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50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5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50" s="28" t="str">
        <x:v>ваниль или лимон</x:v>
      </x:c>
      <x:c r="W35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50" s="28" t="str">
        <x:v>напитки; десерты</x:v>
      </x:c>
      <x:c r="Y350" s="28" t="str">
        <x:v>Средняя</x:v>
      </x:c>
      <x:c r="Z350" s="28" t="str">
        <x:v>The Art &amp; Science of Foodpairing</x:v>
      </x:c>
      <x:c r="AA350" s="28" t="str">
        <x:v>The Art &amp; Science of Foodpairing: 70</x:v>
      </x:c>
      <x:c r="AB350" s="28" t="str">
        <x:v>Ingredient pairings with Strawberry: banana puree</x:v>
      </x:c>
      <x:c r="AC350" s="28" t="n">
        <x:v>1</x:v>
      </x:c>
      <x:c r="AD350" s="28" t="n">
        <x:v>1</x:v>
      </x:c>
    </x:row>
    <x:row r="351" ht="58" customHeight="1">
      <x:c r="A351" s="28" t="str">
        <x:v>BER-0350</x:v>
      </x:c>
      <x:c r="B351" s="28" t="str">
        <x:v>Десерты и выпечка</x:v>
      </x:c>
      <x:c r="C351" s="28" t="str">
        <x:v>клубника</x:v>
      </x:c>
      <x:c r="D351" s="28" t="str">
        <x:v>Клубника | клубника</x:v>
      </x:c>
      <x:c r="E351" s="28" t="str">
        <x:v>Ягоды и производные</x:v>
      </x:c>
      <x:c r="F351" s="28" t="str">
        <x:v>белый шоколад</x:v>
      </x:c>
      <x:c r="G351" s="28" t="str">
        <x:v>Белый шоколад | белый шоколад</x:v>
      </x:c>
      <x:c r="H351" s="28" t="str">
        <x:v>Шоколад, кофе и жареные продукты</x:v>
      </x:c>
      <x:c r="I351" s="28" t="str">
        <x:v>зелёный, карамельный, сливочный, фруктовый, цветочный</x:v>
      </x:c>
      <x:c r="J351" s="28" t="str">
        <x:v>горький, жареный, карамельный, ореховый</x:v>
      </x:c>
      <x:c r="K351" s="28" t="str">
        <x:v>линалоол, мезифуран, фуранеол, цис-3-гексеналь, этилбутират</x:v>
      </x:c>
      <x:c r="L351" s="28" t="str">
        <x:v>ванилин, пиразины, фураны</x:v>
      </x:c>
      <x:c r="M351" s="28" t="str">
        <x:v>карамельный</x:v>
      </x:c>
      <x:c r="N351" s="28" t="str">
        <x:v>не подтверждены; механизм не сводится к одной общей молекуле</x:v>
      </x:c>
      <x:c r="O351" s="28" t="str">
        <x:v>сходство ароматических семейств + комплементарность</x:v>
      </x:c>
      <x:c r="P351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351" s="28" t="str">
        <x:v>Специфического тройничного эффекта обычно нет; кислотность усиливает слюноотделение.</x:v>
      </x:c>
      <x:c r="R351" s="28" t="str">
        <x:v>Жировая фаза удерживает гидрофобные одоранты и продлевает послевкусие; кислотность ягод повышает слюноотделение.</x:v>
      </x:c>
      <x:c r="S35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51" s="28" t="str">
        <x:v>Общие ароматические семейства: карамельный;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5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51" s="28" t="str">
        <x:v>ваниль или орехи</x:v>
      </x:c>
      <x:c r="W351" s="28" t="str">
        <x:v>сорбет, крем, ганаш, выпечка, джем или соус для десерта</x:v>
      </x:c>
      <x:c r="X351" s="28" t="str">
        <x:v>десерты</x:v>
      </x:c>
      <x:c r="Y351" s="28" t="str">
        <x:v>Высокая</x:v>
      </x:c>
      <x:c r="Z351" s="28" t="str">
        <x:v>Тезариус вкусов</x:v>
      </x:c>
      <x:c r="AA351" s="28" t="str">
        <x:v>Тезариус вкусов: 693, 923</x:v>
      </x:c>
      <x:c r="AB351" s="28" t="str">
        <x:v>Клубника и белый шоколад. В модных шоколад- ных ателье я иногда вижу плиточки белого шоколада, посыпанные кусочками замороженной и обезвожен- ной клубники (похоже на оштукатуренную стену после серии штрафных ударов). Отмечу, что белый шоко- лад лучше сочетается с клубникой, чем молочный или темный, потому что (извините за некорректное срав- нение) белый шоколад, как и клубника, немного отда- ет сыром | Белый шоколад и клубника. См. Клубника и бе</x:v>
      </x:c>
      <x:c r="AC351" s="28" t="n">
        <x:v>1</x:v>
      </x:c>
      <x:c r="AD351" s="28" t="n">
        <x:v>2</x:v>
      </x:c>
    </x:row>
    <x:row r="352" ht="58" customHeight="1">
      <x:c r="A352" s="28" t="str">
        <x:v>BER-0351</x:v>
      </x:c>
      <x:c r="B352" s="28" t="str">
        <x:v>Еда и соусы</x:v>
      </x:c>
      <x:c r="C352" s="28" t="str">
        <x:v>клубника</x:v>
      </x:c>
      <x:c r="D352" s="28" t="str">
        <x:v>Strawberry</x:v>
      </x:c>
      <x:c r="E352" s="28" t="str">
        <x:v>Ягоды и производные</x:v>
      </x:c>
      <x:c r="F352" s="28" t="str">
        <x:v>бобы</x:v>
      </x:c>
      <x:c r="G352" s="28" t="str">
        <x:v>broad beans</x:v>
      </x:c>
      <x:c r="H352" s="28" t="str">
        <x:v>Овощи и грибы</x:v>
      </x:c>
      <x:c r="I352" s="28" t="str">
        <x:v>зелёный, карамельный, сливочный, фруктовый, цветочный</x:v>
      </x:c>
      <x:c r="J352" s="28" t="str">
        <x:v>зелёный, землистый, сернистый</x:v>
      </x:c>
      <x:c r="K352" s="28" t="str">
        <x:v>линалоол, мезифуран, фуранеол, цис-3-гексеналь, этилбутират</x:v>
      </x:c>
      <x:c r="L352" s="28" t="str">
        <x:v>C6-альдегиды, пиразины, сернистые соединения</x:v>
      </x:c>
      <x:c r="M352" s="28" t="str">
        <x:v>зелёный</x:v>
      </x:c>
      <x:c r="N352" s="28" t="str">
        <x:v>не подтверждены; механизм не сводится к одной общей молекуле</x:v>
      </x:c>
      <x:c r="O352" s="28" t="str">
        <x:v>сходство ароматических семейств + комплементарность</x:v>
      </x:c>
      <x:c r="P352" s="28" t="str">
        <x:v>Оба компонента формируют сладко-кислый и растительный, иногда умами контур; сахар, кислота и горечь должны быть выровнены дегустацией.</x:v>
      </x:c>
      <x:c r="Q352" s="28" t="str">
        <x:v>Специфического тройничного эффекта обычно нет; кислотность усиливает слюноотделение.</x:v>
      </x:c>
      <x:c r="R352" s="28" t="str">
        <x:v>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35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352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35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52" s="28" t="str">
        <x:v>уксус или мягкий сыр</x:v>
      </x:c>
      <x:c r="W352" s="28" t="str">
        <x:v>соус, глазировка, салат, сырная подача или горячее блюдо; маринад, гастрик, чатни, кетчуп или редукция</x:v>
      </x:c>
      <x:c r="X352" s="28" t="str">
        <x:v>еда; соусы/маринады</x:v>
      </x:c>
      <x:c r="Y352" s="28" t="str">
        <x:v>Средняя</x:v>
      </x:c>
      <x:c r="Z352" s="28" t="str">
        <x:v>The Art &amp; Science of Foodpairing</x:v>
      </x:c>
      <x:c r="AA352" s="28" t="str">
        <x:v>The Art &amp; Science of Foodpairing: 70</x:v>
      </x:c>
      <x:c r="AB352" s="28" t="str">
        <x:v>Ingredient pairings with Strawberry: broad beans</x:v>
      </x:c>
      <x:c r="AC352" s="28" t="n">
        <x:v>1</x:v>
      </x:c>
      <x:c r="AD352" s="28" t="n">
        <x:v>1</x:v>
      </x:c>
    </x:row>
    <x:row r="353" ht="58" customHeight="1">
      <x:c r="A353" s="28" t="str">
        <x:v>BER-0352</x:v>
      </x:c>
      <x:c r="B353" s="28" t="str">
        <x:v>Десерты и выпечка</x:v>
      </x:c>
      <x:c r="C353" s="28" t="str">
        <x:v>клубника</x:v>
      </x:c>
      <x:c r="D353" s="28" t="str">
        <x:v>strawberry</x:v>
      </x:c>
      <x:c r="E353" s="28" t="str">
        <x:v>Ягоды и производные</x:v>
      </x:c>
      <x:c r="F353" s="28" t="str">
        <x:v>бри</x:v>
      </x:c>
      <x:c r="G353" s="28" t="str">
        <x:v>Brie</x:v>
      </x:c>
      <x:c r="H353" s="28" t="str">
        <x:v>Молочные продукты и сыры</x:v>
      </x:c>
      <x:c r="I353" s="28" t="str">
        <x:v>зелёный, карамельный, сливочный, фруктовый, цветочный</x:v>
      </x:c>
      <x:c r="J353" s="28" t="str">
        <x:v>масляный, молочный, сливочный, сырный</x:v>
      </x:c>
      <x:c r="K353" s="28" t="str">
        <x:v>линалоол, мезифуран, фуранеол, цис-3-гексеналь, этилбутират</x:v>
      </x:c>
      <x:c r="L353" s="28" t="str">
        <x:v>диацетил, жирные кислоты, лактоны</x:v>
      </x:c>
      <x:c r="M353" s="28" t="str">
        <x:v>сливочный</x:v>
      </x:c>
      <x:c r="N353" s="28" t="str">
        <x:v>не подтверждены; механизм не сводится к одной общей молекуле</x:v>
      </x:c>
      <x:c r="O353" s="28" t="str">
        <x:v>сходство ароматических семейств + комплементарность</x:v>
      </x:c>
      <x:c r="P353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353" s="28" t="str">
        <x:v>Специфического тройничного эффекта обычно нет; кислотность усиливает слюноотделение.</x:v>
      </x:c>
      <x:c r="R353" s="28" t="str">
        <x:v>Жировая фаза удерживает гидрофобные одоранты и продлевает послевкусие; кислотность ягод повышает слюноотделение.</x:v>
      </x:c>
      <x:c r="S35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353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353" s="28" t="str">
        <x:v>Высокая кислотность может свернуть молочный белок; смешивать при контролируемой температуре.</x:v>
      </x:c>
      <x:c r="V353" s="28" t="str">
        <x:v>мёд или миндаль</x:v>
      </x:c>
      <x:c r="W353" s="28" t="str">
        <x:v>сорбет, крем, ганаш, выпечка, джем или соус для десерта; соус, глазировка, салат, сырная подача или горячее блюдо</x:v>
      </x:c>
      <x:c r="X353" s="28" t="str">
        <x:v>десерты; еда</x:v>
      </x:c>
      <x:c r="Y353" s="28" t="str">
        <x:v>Средняя</x:v>
      </x:c>
      <x:c r="Z353" s="28" t="str">
        <x:v>The Art &amp; Science of Foodpairing</x:v>
      </x:c>
      <x:c r="AA353" s="28" t="str">
        <x:v>The Art &amp; Science of Foodpairing: 336</x:v>
      </x:c>
      <x:c r="AB353" s="28" t="str">
        <x:v>Ingredient pairings with Brie: strawberry</x:v>
      </x:c>
      <x:c r="AC353" s="28" t="n">
        <x:v>1</x:v>
      </x:c>
      <x:c r="AD353" s="28" t="n">
        <x:v>1</x:v>
      </x:c>
    </x:row>
    <x:row r="354" ht="58" customHeight="1">
      <x:c r="A354" s="28" t="str">
        <x:v>BER-0353</x:v>
      </x:c>
      <x:c r="B354" s="28" t="str">
        <x:v>Напитки</x:v>
      </x:c>
      <x:c r="C354" s="28" t="str">
        <x:v>клубника</x:v>
      </x:c>
      <x:c r="D354" s="28" t="str">
        <x:v>Strawberry</x:v>
      </x:c>
      <x:c r="E354" s="28" t="str">
        <x:v>Ягоды и производные</x:v>
      </x:c>
      <x:c r="F354" s="28" t="str">
        <x:v>бурбон Kentucky Straight</x:v>
      </x:c>
      <x:c r="G354" s="28" t="str">
        <x:v>Kentucky straight bourbon whiskey</x:v>
      </x:c>
      <x:c r="H354" s="28" t="str">
        <x:v>Алкогольные напитки</x:v>
      </x:c>
      <x:c r="I354" s="28" t="str">
        <x:v>зелёный, карамельный, сливочный, фруктовый, цветочный</x:v>
      </x:c>
      <x:c r="J354" s="28" t="str">
        <x:v>древесный, фруктовый, эфирный</x:v>
      </x:c>
      <x:c r="K354" s="28" t="str">
        <x:v>линалоол, мезифуран, фуранеол, цис-3-гексеналь, этилбутират</x:v>
      </x:c>
      <x:c r="L354" s="28" t="str">
        <x:v>ванилин, дубовые лактоны, этиловые эфиры</x:v>
      </x:c>
      <x:c r="M354" s="28" t="str">
        <x:v>фруктовый</x:v>
      </x:c>
      <x:c r="N354" s="28" t="str">
        <x:v>не подтверждены; механизм не сводится к одной общей молекуле</x:v>
      </x:c>
      <x:c r="O354" s="28" t="str">
        <x:v>сходство ароматических семейств + комплементарность</x:v>
      </x:c>
      <x:c r="P354" s="28" t="str">
        <x:v>Кисло-сладкий ягодный профиль балансирует крепость и возможную дубовую горечь напитка.</x:v>
      </x:c>
      <x:c r="Q354" s="28" t="str">
        <x:v>Специфического тройничного эффекта обычно нет; кислотность усиливает слюноотделение.</x:v>
      </x:c>
      <x:c r="R354" s="28" t="str">
        <x:v>Этанол усиливает извлечение гидрофобных терпенов, иононов и эфиров, но при высокой крепости может подчеркнуть резкость.</x:v>
      </x:c>
      <x:c r="S35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T354" s="28" t="str">
        <x:v>Общие ароматические семейства: фруктовый;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U354" s="28" t="str">
        <x:v>Высокая крепость и избыток сахара маскируют свежесть и усиливают терпкость.</x:v>
      </x:c>
      <x:c r="V354" s="28" t="str">
        <x:v>цитрус или вермут</x:v>
      </x:c>
      <x:c r="W354" s="28" t="str">
        <x:v>кордиал, лимонад, чай, коктейль, настой или ферментированный напиток</x:v>
      </x:c>
      <x:c r="X354" s="28" t="str">
        <x:v>напитки</x:v>
      </x:c>
      <x:c r="Y354" s="28" t="str">
        <x:v>Средняя</x:v>
      </x:c>
      <x:c r="Z354" s="28" t="str">
        <x:v>The Art &amp; Science of Foodpairing</x:v>
      </x:c>
      <x:c r="AA354" s="28" t="str">
        <x:v>The Art &amp; Science of Foodpairing: 70</x:v>
      </x:c>
      <x:c r="AB354" s="28" t="str">
        <x:v>Ingredient pairings with Strawberry: Kentucky straight bourbon whiskey</x:v>
      </x:c>
      <x:c r="AC354" s="28" t="n">
        <x:v>1</x:v>
      </x:c>
      <x:c r="AD354" s="28" t="n">
        <x:v>1</x:v>
      </x:c>
    </x:row>
    <x:row r="355" ht="58" customHeight="1">
      <x:c r="A355" s="28" t="str">
        <x:v>BER-0354</x:v>
      </x:c>
      <x:c r="B355" s="28" t="str">
        <x:v>Универсальные</x:v>
      </x:c>
      <x:c r="C355" s="28" t="str">
        <x:v>клубника</x:v>
      </x:c>
      <x:c r="D355" s="28" t="str">
        <x:v>Клубника | клубника</x:v>
      </x:c>
      <x:c r="E355" s="28" t="str">
        <x:v>Ягоды и производные</x:v>
      </x:c>
      <x:c r="F355" s="28" t="str">
        <x:v>ваниль</x:v>
      </x:c>
      <x:c r="G355" s="28" t="str">
        <x:v>Ваниль | ваниль</x:v>
      </x:c>
      <x:c r="H355" s="28" t="str">
        <x:v>Прочее</x:v>
      </x:c>
      <x:c r="I355" s="28" t="str">
        <x:v>зелёный, карамельный, сливочный, фруктовый, цветочный</x:v>
      </x:c>
      <x:c r="J355" s="28" t="str">
        <x:v>комплексный</x:v>
      </x:c>
      <x:c r="K355" s="28" t="str">
        <x:v>линалоол, мезифуран, фуранеол, цис-3-гексеналь, этилбутират</x:v>
      </x:c>
      <x:c r="L355" s="28" t="str">
        <x:v>нет надёжной конкретизации</x:v>
      </x:c>
      <x:c r="M355" s="28" t="str">
        <x:v>прямое совпадение семейств не установлено</x:v>
      </x:c>
      <x:c r="N355" s="28" t="str">
        <x:v>не подтверждены; механизм не сводится к одной общей молекуле</x:v>
      </x:c>
      <x:c r="O355" s="28" t="str">
        <x:v>контраст/комплементарность + матричный эффект</x:v>
      </x:c>
      <x:c r="P355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55" s="28" t="str">
        <x:v>Специфического тройничного эффекта обычно нет; кислотность усиливает слюноотделение.</x:v>
      </x:c>
      <x:c r="R355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5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5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5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55" s="28" t="str">
        <x:v>лимон или ваниль</x:v>
      </x:c>
      <x:c r="W355" s="28" t="str">
        <x:v>сенсорная проба в малой дозировке</x:v>
      </x:c>
      <x:c r="X355" s="28" t="str">
        <x:v>универсально</x:v>
      </x:c>
      <x:c r="Y355" s="28" t="str">
        <x:v>Высокая</x:v>
      </x:c>
      <x:c r="Z355" s="28" t="str">
        <x:v>Таблица сочетаний; Тезариус вкусов</x:v>
      </x:c>
      <x:c r="AA355" s="28" t="str">
        <x:v>Тезариус вкусов: 693, 917; Таблица сочетаний: 20</x:v>
      </x:c>
      <x:c r="AB355" s="28" t="str">
        <x:v>Клубника и ваниль. Изысканное партнерство. Эта пара входит в «Наполеон» (millefeuille), ваниль мож- но найти в кремовых пирожных с клубникой или в ак- куратных глазированных тартах, которые выставляют в витринах французских кондитерских. Но (послушай- те меня хоть в этом!) неужели клубника хуже сочета- ется с исходными молочными продуктами? Со взби- тыми кремово-желтыми сливками в «Итонской меша | Ваниль и клубника. См. Клубника и ваниль | Клубника: ваниль</x:v>
      </x:c>
      <x:c r="AC355" s="28" t="n">
        <x:v>2</x:v>
      </x:c>
      <x:c r="AD355" s="28" t="n">
        <x:v>3</x:v>
      </x:c>
    </x:row>
    <x:row r="356" ht="58" customHeight="1">
      <x:c r="A356" s="28" t="str">
        <x:v>BER-0355</x:v>
      </x:c>
      <x:c r="B356" s="28" t="str">
        <x:v>Универсальные</x:v>
      </x:c>
      <x:c r="C356" s="28" t="str">
        <x:v>клубника</x:v>
      </x:c>
      <x:c r="D356" s="28" t="str">
        <x:v>Клубника | клубника</x:v>
      </x:c>
      <x:c r="E356" s="28" t="str">
        <x:v>Ягоды и производные</x:v>
      </x:c>
      <x:c r="F356" s="28" t="str">
        <x:v>виноград</x:v>
      </x:c>
      <x:c r="G356" s="28" t="str">
        <x:v>Виноград | виноград</x:v>
      </x:c>
      <x:c r="H356" s="28" t="str">
        <x:v>Фрукты</x:v>
      </x:c>
      <x:c r="I356" s="28" t="str">
        <x:v>зелёный, карамельный, сливочный, фруктовый, цветочный</x:v>
      </x:c>
      <x:c r="J356" s="28" t="str">
        <x:v>зелёный, фруктовый, цветочный</x:v>
      </x:c>
      <x:c r="K356" s="28" t="str">
        <x:v>линалоол, мезифуран, фуранеол, цис-3-гексеналь, этилбутират</x:v>
      </x:c>
      <x:c r="L356" s="28" t="str">
        <x:v>лактоны, терпены, эфиры</x:v>
      </x:c>
      <x:c r="M356" s="28" t="str">
        <x:v>зелёный, фруктовый, цветочный</x:v>
      </x:c>
      <x:c r="N356" s="28" t="str">
        <x:v>не подтверждены; механизм не сводится к одной общей молекуле</x:v>
      </x:c>
      <x:c r="O356" s="28" t="str">
        <x:v>сходство ароматических семейств + комплементарность</x:v>
      </x:c>
      <x:c r="P356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356" s="28" t="str">
        <x:v>Специфического тройничного эффекта обычно нет; кислотность усиливает слюноотделение.</x:v>
      </x:c>
      <x:c r="R356" s="28" t="str">
        <x:v>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</x:v>
      </x:c>
      <x:c r="S35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56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5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56" s="28" t="str">
        <x:v>ваниль или лимон</x:v>
      </x:c>
      <x:c r="W35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56" s="28" t="str">
        <x:v>напитки; десерты</x:v>
      </x:c>
      <x:c r="Y356" s="28" t="str">
        <x:v>Высокая</x:v>
      </x:c>
      <x:c r="Z356" s="28" t="str">
        <x:v>Тезариус вкусов</x:v>
      </x:c>
      <x:c r="AA356" s="28" t="str">
        <x:v>Тезариус вкусов: 666, 694</x:v>
      </x:c>
      <x:c r="AB356" s="28" t="str">
        <x:v>Виноград и клубника. Виноград, известный в Ита- лии как fragola uva, клубничный виноград, на самом | Клубника и виноград. См. Виноград и клубника</x:v>
      </x:c>
      <x:c r="AC356" s="28" t="n">
        <x:v>1</x:v>
      </x:c>
      <x:c r="AD356" s="28" t="n">
        <x:v>2</x:v>
      </x:c>
    </x:row>
    <x:row r="357" ht="58" customHeight="1">
      <x:c r="A357" s="28" t="str">
        <x:v>BER-0356</x:v>
      </x:c>
      <x:c r="B357" s="28" t="str">
        <x:v>Универсальные</x:v>
      </x:c>
      <x:c r="C357" s="28" t="str">
        <x:v>клубника</x:v>
      </x:c>
      <x:c r="D357" s="28" t="str">
        <x:v>Клубника</x:v>
      </x:c>
      <x:c r="E357" s="28" t="str">
        <x:v>Ягоды и производные</x:v>
      </x:c>
      <x:c r="F357" s="28" t="str">
        <x:v>гвоздика</x:v>
      </x:c>
      <x:c r="G357" s="28" t="str">
        <x:v>гвоздика</x:v>
      </x:c>
      <x:c r="H357" s="28" t="str">
        <x:v>Специи</x:v>
      </x:c>
      <x:c r="I357" s="28" t="str">
        <x:v>зелёный, карамельный, сливочный, фруктовый, цветочный</x:v>
      </x:c>
      <x:c r="J357" s="28" t="str">
        <x:v>древесный, пряный, тёплый</x:v>
      </x:c>
      <x:c r="K357" s="28" t="str">
        <x:v>линалоол, мезифуран, фуранеол, цис-3-гексеналь, этилбутират</x:v>
      </x:c>
      <x:c r="L357" s="28" t="str">
        <x:v>коричный альдегид, терпены, эвгенол</x:v>
      </x:c>
      <x:c r="M357" s="28" t="str">
        <x:v>прямое совпадение семейств не установлено</x:v>
      </x:c>
      <x:c r="N357" s="28" t="str">
        <x:v>не подтверждены; механизм не сводится к одной общей молекуле</x:v>
      </x:c>
      <x:c r="O357" s="28" t="str">
        <x:v>контраст/комплементарность + матричный эффект</x:v>
      </x:c>
      <x:c r="P357" s="28" t="str">
        <x:v>Ягодная сладость смягчает горечь и пряность, а кислотность делает пряный, иногда горький профиль ярче.</x:v>
      </x:c>
      <x:c r="Q357" s="28" t="str">
        <x:v>Специфического тройничного эффекта обычно нет; кислотность усиливает слюноотделение.</x:v>
      </x:c>
      <x:c r="R357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35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5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57" s="28" t="str">
        <x:v>Пряность дозировать как акцент: она быстро перекрывает тонкие ягодные эфиры.</x:v>
      </x:c>
      <x:c r="V357" s="28" t="str">
        <x:v>мёд или цитрус</x:v>
      </x:c>
      <x:c r="W35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357" s="28" t="str">
        <x:v>напитки; десерты; еда; соусы/маринады</x:v>
      </x:c>
      <x:c r="Y357" s="28" t="str">
        <x:v>Средняя</x:v>
      </x:c>
      <x:c r="Z357" s="28" t="str">
        <x:v>Таблица сочетаний</x:v>
      </x:c>
      <x:c r="AA357" s="28" t="str">
        <x:v>Таблица сочетаний: 20</x:v>
      </x:c>
      <x:c r="AB357" s="28" t="str">
        <x:v>Клубника: гвоздика</x:v>
      </x:c>
      <x:c r="AC357" s="28" t="n">
        <x:v>1</x:v>
      </x:c>
      <x:c r="AD357" s="28" t="n">
        <x:v>1</x:v>
      </x:c>
    </x:row>
    <x:row r="358" ht="58" customHeight="1">
      <x:c r="A358" s="28" t="str">
        <x:v>BER-0357</x:v>
      </x:c>
      <x:c r="B358" s="28" t="str">
        <x:v>Универсальные</x:v>
      </x:c>
      <x:c r="C358" s="28" t="str">
        <x:v>клубника</x:v>
      </x:c>
      <x:c r="D358" s="28" t="str">
        <x:v>клубника</x:v>
      </x:c>
      <x:c r="E358" s="28" t="str">
        <x:v>Ягоды и производные</x:v>
      </x:c>
      <x:c r="F358" s="28" t="str">
        <x:v>гибискус</x:v>
      </x:c>
      <x:c r="G358" s="28" t="str">
        <x:v>Гибискус</x:v>
      </x:c>
      <x:c r="H358" s="28" t="str">
        <x:v>Прочее</x:v>
      </x:c>
      <x:c r="I358" s="28" t="str">
        <x:v>зелёный, карамельный, сливочный, фруктовый, цветочный</x:v>
      </x:c>
      <x:c r="J358" s="28" t="str">
        <x:v>комплексный</x:v>
      </x:c>
      <x:c r="K358" s="28" t="str">
        <x:v>линалоол, мезифуран, фуранеол, цис-3-гексеналь, этилбутират</x:v>
      </x:c>
      <x:c r="L358" s="28" t="str">
        <x:v>нет надёжной конкретизации</x:v>
      </x:c>
      <x:c r="M358" s="28" t="str">
        <x:v>прямое совпадение семейств не установлено</x:v>
      </x:c>
      <x:c r="N358" s="28" t="str">
        <x:v>не подтверждены; механизм не сводится к одной общей молекуле</x:v>
      </x:c>
      <x:c r="O358" s="28" t="str">
        <x:v>контраст/комплементарность + матричный эффект</x:v>
      </x:c>
      <x:c r="P358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58" s="28" t="str">
        <x:v>Специфического тройничного эффекта обычно нет; кислотность усиливает слюноотделение.</x:v>
      </x:c>
      <x:c r="R358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5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5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5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58" s="28" t="str">
        <x:v>лимон или ваниль</x:v>
      </x:c>
      <x:c r="W358" s="28" t="str">
        <x:v>сенсорная проба в малой дозировке</x:v>
      </x:c>
      <x:c r="X358" s="28" t="str">
        <x:v>универсально</x:v>
      </x:c>
      <x:c r="Y358" s="28" t="str">
        <x:v>Средняя</x:v>
      </x:c>
      <x:c r="Z358" s="28" t="str">
        <x:v>Таблица сочетаний</x:v>
      </x:c>
      <x:c r="AA358" s="28" t="str">
        <x:v>Таблица сочетаний: 9</x:v>
      </x:c>
      <x:c r="AB358" s="28" t="str">
        <x:v>Гибискус: клубника</x:v>
      </x:c>
      <x:c r="AC358" s="28" t="n">
        <x:v>1</x:v>
      </x:c>
      <x:c r="AD358" s="28" t="n">
        <x:v>1</x:v>
      </x:c>
    </x:row>
    <x:row r="359" ht="58" customHeight="1">
      <x:c r="A359" s="28" t="str">
        <x:v>BER-0358</x:v>
      </x:c>
      <x:c r="B359" s="28" t="str">
        <x:v>Десерты и выпечка</x:v>
      </x:c>
      <x:c r="C359" s="28" t="str">
        <x:v>клубника</x:v>
      </x:c>
      <x:c r="D359" s="28" t="str">
        <x:v>strawberry</x:v>
      </x:c>
      <x:c r="E359" s="28" t="str">
        <x:v>Ягоды и производные</x:v>
      </x:c>
      <x:c r="F359" s="28" t="str">
        <x:v>голубой сыр</x:v>
      </x:c>
      <x:c r="G359" s="28" t="str">
        <x:v>Blue Cheese</x:v>
      </x:c>
      <x:c r="H359" s="28" t="str">
        <x:v>Молочные продукты и сыры</x:v>
      </x:c>
      <x:c r="I359" s="28" t="str">
        <x:v>зелёный, карамельный, сливочный, фруктовый, цветочный</x:v>
      </x:c>
      <x:c r="J359" s="28" t="str">
        <x:v>масляный, молочный, сливочный, сырный</x:v>
      </x:c>
      <x:c r="K359" s="28" t="str">
        <x:v>линалоол, мезифуран, фуранеол, цис-3-гексеналь, этилбутират</x:v>
      </x:c>
      <x:c r="L359" s="28" t="str">
        <x:v>диацетил, жирные кислоты, лактоны</x:v>
      </x:c>
      <x:c r="M359" s="28" t="str">
        <x:v>сливочный</x:v>
      </x:c>
      <x:c r="N359" s="28" t="str">
        <x:v>не подтверждены; механизм не сводится к одной общей молекуле</x:v>
      </x:c>
      <x:c r="O359" s="28" t="str">
        <x:v>сходство ароматических семейств + комплементарность</x:v>
      </x:c>
      <x:c r="P359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359" s="28" t="str">
        <x:v>Специфического тройничного эффекта обычно нет; кислотность усиливает слюноотделение.</x:v>
      </x:c>
      <x:c r="R359" s="28" t="str">
        <x:v>Жировая фаза удерживает гидрофобные одоранты и продлевает послевкусие; кислотность ягод повышает слюноотделение.</x:v>
      </x:c>
      <x:c r="S35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359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359" s="28" t="str">
        <x:v>Высокая кислотность может свернуть молочный белок; смешивать при контролируемой температуре.</x:v>
      </x:c>
      <x:c r="V359" s="28" t="str">
        <x:v>мёд или миндаль</x:v>
      </x:c>
      <x:c r="W359" s="28" t="str">
        <x:v>сорбет, крем, ганаш, выпечка, джем или соус для десерта; соус, глазировка, салат, сырная подача или горячее блюдо</x:v>
      </x:c>
      <x:c r="X359" s="28" t="str">
        <x:v>десерты; еда</x:v>
      </x:c>
      <x:c r="Y359" s="28" t="str">
        <x:v>Средняя</x:v>
      </x:c>
      <x:c r="Z359" s="28" t="str">
        <x:v>The Art &amp; Science of Foodpairing</x:v>
      </x:c>
      <x:c r="AA359" s="28" t="str">
        <x:v>The Art &amp; Science of Foodpairing: 164, 165</x:v>
      </x:c>
      <x:c r="AB359" s="28" t="str">
        <x:v>Ingredient pairings with Blue Cheese: strawberry | Ingredient pairings with Blue Cheese: strawberry</x:v>
      </x:c>
      <x:c r="AC359" s="28" t="n">
        <x:v>1</x:v>
      </x:c>
      <x:c r="AD359" s="28" t="n">
        <x:v>2</x:v>
      </x:c>
    </x:row>
    <x:row r="360" ht="58" customHeight="1">
      <x:c r="A360" s="28" t="str">
        <x:v>BER-0359</x:v>
      </x:c>
      <x:c r="B360" s="28" t="str">
        <x:v>Универсальные</x:v>
      </x:c>
      <x:c r="C360" s="28" t="str">
        <x:v>клубника</x:v>
      </x:c>
      <x:c r="D360" s="28" t="str">
        <x:v>Strawberry | клубника</x:v>
      </x:c>
      <x:c r="E360" s="28" t="str">
        <x:v>Ягоды и производные</x:v>
      </x:c>
      <x:c r="F360" s="28" t="str">
        <x:v>гранат</x:v>
      </x:c>
      <x:c r="G360" s="28" t="str">
        <x:v>pomegranate | Гранат</x:v>
      </x:c>
      <x:c r="H360" s="28" t="str">
        <x:v>Фрукты</x:v>
      </x:c>
      <x:c r="I360" s="28" t="str">
        <x:v>зелёный, карамельный, сливочный, фруктовый, цветочный</x:v>
      </x:c>
      <x:c r="J360" s="28" t="str">
        <x:v>зелёный, фруктовый, цветочный</x:v>
      </x:c>
      <x:c r="K360" s="28" t="str">
        <x:v>линалоол, мезифуран, фуранеол, цис-3-гексеналь, этилбутират</x:v>
      </x:c>
      <x:c r="L360" s="28" t="str">
        <x:v>лактоны, терпены, эфиры</x:v>
      </x:c>
      <x:c r="M360" s="28" t="str">
        <x:v>зелёный, фруктовый, цветочный</x:v>
      </x:c>
      <x:c r="N360" s="28" t="str">
        <x:v>не подтверждены; механизм не сводится к одной общей молекуле</x:v>
      </x:c>
      <x:c r="O360" s="28" t="str">
        <x:v>сходство ароматических семейств + комплементарность</x:v>
      </x:c>
      <x:c r="P360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360" s="28" t="str">
        <x:v>Специфического тройничного эффекта обычно нет; кислотность усиливает слюноотделение.</x:v>
      </x:c>
      <x:c r="R360" s="28" t="str">
        <x:v>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</x:v>
      </x:c>
      <x:c r="S36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60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6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60" s="28" t="str">
        <x:v>ваниль или лимон</x:v>
      </x:c>
      <x:c r="W36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60" s="28" t="str">
        <x:v>напитки; десерты</x:v>
      </x:c>
      <x:c r="Y360" s="28" t="str">
        <x:v>Высокая</x:v>
      </x:c>
      <x:c r="Z360" s="28" t="str">
        <x:v>The Art &amp; Science of Foodpairing; Таблица сочетаний</x:v>
      </x:c>
      <x:c r="AA360" s="28" t="str">
        <x:v>The Art &amp; Science of Foodpairing: 71; Таблица сочетаний: 18</x:v>
      </x:c>
      <x:c r="AB360" s="28" t="str">
        <x:v>Гранат: клубника | Ingredient pairings with Strawberry: pomegranate</x:v>
      </x:c>
      <x:c r="AC360" s="28" t="n">
        <x:v>2</x:v>
      </x:c>
      <x:c r="AD360" s="28" t="n">
        <x:v>2</x:v>
      </x:c>
    </x:row>
    <x:row r="361" ht="58" customHeight="1">
      <x:c r="A361" s="28" t="str">
        <x:v>BER-0360</x:v>
      </x:c>
      <x:c r="B361" s="28" t="str">
        <x:v>Универсальные</x:v>
      </x:c>
      <x:c r="C361" s="28" t="str">
        <x:v>клубника</x:v>
      </x:c>
      <x:c r="D361" s="28" t="str">
        <x:v>Strawberry</x:v>
      </x:c>
      <x:c r="E361" s="28" t="str">
        <x:v>Ягоды и производные</x:v>
      </x:c>
      <x:c r="F361" s="28" t="str">
        <x:v>гранатовый сок</x:v>
      </x:c>
      <x:c r="G361" s="28" t="str">
        <x:v>pomegranate juice</x:v>
      </x:c>
      <x:c r="H361" s="28" t="str">
        <x:v>Фрукты</x:v>
      </x:c>
      <x:c r="I361" s="28" t="str">
        <x:v>зелёный, карамельный, сливочный, фруктовый, цветочный</x:v>
      </x:c>
      <x:c r="J361" s="28" t="str">
        <x:v>зелёный, фруктовый, цветочный</x:v>
      </x:c>
      <x:c r="K361" s="28" t="str">
        <x:v>линалоол, мезифуран, фуранеол, цис-3-гексеналь, этилбутират</x:v>
      </x:c>
      <x:c r="L361" s="28" t="str">
        <x:v>лактоны, терпены, эфиры</x:v>
      </x:c>
      <x:c r="M361" s="28" t="str">
        <x:v>зелёный, фруктовый, цветочный</x:v>
      </x:c>
      <x:c r="N361" s="28" t="str">
        <x:v>не подтверждены; механизм не сводится к одной общей молекуле</x:v>
      </x:c>
      <x:c r="O361" s="28" t="str">
        <x:v>сходство ароматических семейств + комплементарность</x:v>
      </x:c>
      <x:c r="P361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361" s="28" t="str">
        <x:v>Специфического тройничного эффекта обычно нет; кислотность усиливает слюноотделение.</x:v>
      </x:c>
      <x:c r="R361" s="28" t="str">
        <x:v>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</x:v>
      </x:c>
      <x:c r="S36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61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6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61" s="28" t="str">
        <x:v>ваниль или лимон</x:v>
      </x:c>
      <x:c r="W36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61" s="28" t="str">
        <x:v>напитки; десерты</x:v>
      </x:c>
      <x:c r="Y361" s="28" t="str">
        <x:v>Средняя</x:v>
      </x:c>
      <x:c r="Z361" s="28" t="str">
        <x:v>The Art &amp; Science of Foodpairing</x:v>
      </x:c>
      <x:c r="AA361" s="28" t="str">
        <x:v>The Art &amp; Science of Foodpairing: 70</x:v>
      </x:c>
      <x:c r="AB361" s="28" t="str">
        <x:v>Ingredient pairings with Strawberry: pomegranate juice</x:v>
      </x:c>
      <x:c r="AC361" s="28" t="n">
        <x:v>1</x:v>
      </x:c>
      <x:c r="AD361" s="28" t="n">
        <x:v>1</x:v>
      </x:c>
    </x:row>
    <x:row r="362" ht="58" customHeight="1">
      <x:c r="A362" s="28" t="str">
        <x:v>BER-0361</x:v>
      </x:c>
      <x:c r="B362" s="28" t="str">
        <x:v>Напитки</x:v>
      </x:c>
      <x:c r="C362" s="28" t="str">
        <x:v>клубника</x:v>
      </x:c>
      <x:c r="D362" s="28" t="str">
        <x:v>strawberry | Клубника</x:v>
      </x:c>
      <x:c r="E362" s="28" t="str">
        <x:v>Ягоды и производные</x:v>
      </x:c>
      <x:c r="F362" s="28" t="str">
        <x:v>грейпфрут</x:v>
      </x:c>
      <x:c r="G362" s="28" t="str">
        <x:v>Grapefruit | грейпфрут</x:v>
      </x:c>
      <x:c r="H362" s="28" t="str">
        <x:v>Цитрусовые</x:v>
      </x:c>
      <x:c r="I362" s="28" t="str">
        <x:v>зелёный, карамельный, сливочный, фруктовый, цветочный</x:v>
      </x:c>
      <x:c r="J362" s="28" t="str">
        <x:v>зелёный, цветочный, цитрусовый</x:v>
      </x:c>
      <x:c r="K362" s="28" t="str">
        <x:v>линалоол, мезифуран, фуранеол, цис-3-гексеналь, этилбутират</x:v>
      </x:c>
      <x:c r="L362" s="28" t="str">
        <x:v>лимонен, линалоол, цитраль</x:v>
      </x:c>
      <x:c r="M362" s="28" t="str">
        <x:v>зелёный, цветочный</x:v>
      </x:c>
      <x:c r="N362" s="28" t="str">
        <x:v>линалоол</x:v>
      </x:c>
      <x:c r="O362" s="28" t="str">
        <x:v>ароматическое сходство + вкусовой баланс</x:v>
      </x:c>
      <x:c r="P362" s="28" t="str">
        <x:v>Оба компонента формируют сладко-кислый и кислый, свежий контур; сахар, кислота и горечь должны быть выровнены дегустацией.</x:v>
      </x:c>
      <x:c r="Q362" s="28" t="str">
        <x:v>Специфического тройничного эффекта обычно нет; кислотность усиливает слюноотделение.</x:v>
      </x:c>
      <x:c r="R362" s="28" t="str">
        <x:v>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</x:v>
      </x:c>
      <x:c r="S36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62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6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62" s="28" t="str">
        <x:v>мёд или базилик</x:v>
      </x:c>
      <x:c r="W362" s="28" t="str">
        <x:v>кордиал, лимонад, чай, коктейль, настой или ферментированный напиток; маринад, гастрик, чатни, кетчуп или редукция</x:v>
      </x:c>
      <x:c r="X362" s="28" t="str">
        <x:v>напитки; соусы/маринады</x:v>
      </x:c>
      <x:c r="Y362" s="28" t="str">
        <x:v>Высокая</x:v>
      </x:c>
      <x:c r="Z362" s="28" t="str">
        <x:v>The Art &amp; Science of Foodpairing; Таблица сочетаний</x:v>
      </x:c>
      <x:c r="AA362" s="28" t="str">
        <x:v>The Art &amp; Science of Foodpairing: 358; Таблица сочетаний: 20</x:v>
      </x:c>
      <x:c r="AB362" s="28" t="str">
        <x:v>Клубника: грейпфрут | Ingredient pairings with Grapefruit: strawberry</x:v>
      </x:c>
      <x:c r="AC362" s="28" t="n">
        <x:v>2</x:v>
      </x:c>
      <x:c r="AD362" s="28" t="n">
        <x:v>2</x:v>
      </x:c>
    </x:row>
    <x:row r="363" ht="58" customHeight="1">
      <x:c r="A363" s="28" t="str">
        <x:v>BER-0362</x:v>
      </x:c>
      <x:c r="B363" s="28" t="str">
        <x:v>Десерты и выпечка</x:v>
      </x:c>
      <x:c r="C363" s="28" t="str">
        <x:v>клубника</x:v>
      </x:c>
      <x:c r="D363" s="28" t="str">
        <x:v>Strawberry</x:v>
      </x:c>
      <x:c r="E363" s="28" t="str">
        <x:v>Ягоды и производные</x:v>
      </x:c>
      <x:c r="F363" s="28" t="str">
        <x:v>грюйер</x:v>
      </x:c>
      <x:c r="G363" s="28" t="str">
        <x:v>Gruyere</x:v>
      </x:c>
      <x:c r="H363" s="28" t="str">
        <x:v>Молочные продукты и сыры</x:v>
      </x:c>
      <x:c r="I363" s="28" t="str">
        <x:v>зелёный, карамельный, сливочный, фруктовый, цветочный</x:v>
      </x:c>
      <x:c r="J363" s="28" t="str">
        <x:v>масляный, молочный, сливочный, сырный</x:v>
      </x:c>
      <x:c r="K363" s="28" t="str">
        <x:v>линалоол, мезифуран, фуранеол, цис-3-гексеналь, этилбутират</x:v>
      </x:c>
      <x:c r="L363" s="28" t="str">
        <x:v>диацетил, жирные кислоты, лактоны</x:v>
      </x:c>
      <x:c r="M363" s="28" t="str">
        <x:v>сливочный</x:v>
      </x:c>
      <x:c r="N363" s="28" t="str">
        <x:v>не подтверждены; механизм не сводится к одной общей молекуле</x:v>
      </x:c>
      <x:c r="O363" s="28" t="str">
        <x:v>сходство ароматических семейств + комплементарность</x:v>
      </x:c>
      <x:c r="P363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363" s="28" t="str">
        <x:v>Специфического тройничного эффекта обычно нет; кислотность усиливает слюноотделение.</x:v>
      </x:c>
      <x:c r="R363" s="28" t="str">
        <x:v>Жировая фаза удерживает гидрофобные одоранты и продлевает послевкусие; кислотность ягод повышает слюноотделение.</x:v>
      </x:c>
      <x:c r="S36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363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363" s="28" t="str">
        <x:v>Высокая кислотность может свернуть молочный белок; смешивать при контролируемой температуре.</x:v>
      </x:c>
      <x:c r="V363" s="28" t="str">
        <x:v>мёд или миндаль</x:v>
      </x:c>
      <x:c r="W363" s="28" t="str">
        <x:v>сорбет, крем, ганаш, выпечка, джем или соус для десерта; соус, глазировка, салат, сырная подача или горячее блюдо</x:v>
      </x:c>
      <x:c r="X363" s="28" t="str">
        <x:v>десерты; еда</x:v>
      </x:c>
      <x:c r="Y363" s="28" t="str">
        <x:v>Средняя</x:v>
      </x:c>
      <x:c r="Z363" s="28" t="str">
        <x:v>The Art &amp; Science of Foodpairing</x:v>
      </x:c>
      <x:c r="AA363" s="28" t="str">
        <x:v>The Art &amp; Science of Foodpairing: 70</x:v>
      </x:c>
      <x:c r="AB363" s="28" t="str">
        <x:v>Ingredient pairings with Strawberry: Gruyere</x:v>
      </x:c>
      <x:c r="AC363" s="28" t="n">
        <x:v>1</x:v>
      </x:c>
      <x:c r="AD363" s="28" t="n">
        <x:v>1</x:v>
      </x:c>
    </x:row>
    <x:row r="364" ht="58" customHeight="1">
      <x:c r="A364" s="28" t="str">
        <x:v>BER-0363</x:v>
      </x:c>
      <x:c r="B364" s="28" t="str">
        <x:v>Универсальные</x:v>
      </x:c>
      <x:c r="C364" s="28" t="str">
        <x:v>клубника</x:v>
      </x:c>
      <x:c r="D364" s="28" t="str">
        <x:v>Клубника | клубника</x:v>
      </x:c>
      <x:c r="E364" s="28" t="str">
        <x:v>Ягоды и производные</x:v>
      </x:c>
      <x:c r="F364" s="28" t="str">
        <x:v>гуава</x:v>
      </x:c>
      <x:c r="G364" s="28" t="str">
        <x:v>Гуава | гуава</x:v>
      </x:c>
      <x:c r="H364" s="28" t="str">
        <x:v>Прочее</x:v>
      </x:c>
      <x:c r="I364" s="28" t="str">
        <x:v>зелёный, карамельный, сливочный, фруктовый, цветочный</x:v>
      </x:c>
      <x:c r="J364" s="28" t="str">
        <x:v>комплексный</x:v>
      </x:c>
      <x:c r="K364" s="28" t="str">
        <x:v>линалоол, мезифуран, фуранеол, цис-3-гексеналь, этилбутират</x:v>
      </x:c>
      <x:c r="L364" s="28" t="str">
        <x:v>нет надёжной конкретизации</x:v>
      </x:c>
      <x:c r="M364" s="28" t="str">
        <x:v>прямое совпадение семейств не установлено</x:v>
      </x:c>
      <x:c r="N364" s="28" t="str">
        <x:v>не подтверждены; механизм не сводится к одной общей молекуле</x:v>
      </x:c>
      <x:c r="O364" s="28" t="str">
        <x:v>контраст/комплементарность + матричный эффект</x:v>
      </x:c>
      <x:c r="P364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64" s="28" t="str">
        <x:v>Специфического тройничного эффекта обычно нет; кислотность усиливает слюноотделение.</x:v>
      </x:c>
      <x:c r="R364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6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6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6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64" s="28" t="str">
        <x:v>лимон или ваниль</x:v>
      </x:c>
      <x:c r="W364" s="28" t="str">
        <x:v>сенсорная проба в малой дозировке</x:v>
      </x:c>
      <x:c r="X364" s="28" t="str">
        <x:v>универсально</x:v>
      </x:c>
      <x:c r="Y364" s="28" t="str">
        <x:v>Средняя</x:v>
      </x:c>
      <x:c r="Z364" s="28" t="str">
        <x:v>Таблица сочетаний</x:v>
      </x:c>
      <x:c r="AA364" s="28" t="str">
        <x:v>Таблица сочетаний: 9, 20</x:v>
      </x:c>
      <x:c r="AB364" s="28" t="str">
        <x:v>Гуава: клубника | Клубника: гуава</x:v>
      </x:c>
      <x:c r="AC364" s="28" t="n">
        <x:v>1</x:v>
      </x:c>
      <x:c r="AD364" s="28" t="n">
        <x:v>2</x:v>
      </x:c>
    </x:row>
    <x:row r="365" ht="58" customHeight="1">
      <x:c r="A365" s="28" t="str">
        <x:v>BER-0364</x:v>
      </x:c>
      <x:c r="B365" s="28" t="str">
        <x:v>Универсальные</x:v>
      </x:c>
      <x:c r="C365" s="28" t="str">
        <x:v>клубника</x:v>
      </x:c>
      <x:c r="D365" s="28" t="str">
        <x:v>Клубника | клубника</x:v>
      </x:c>
      <x:c r="E365" s="28" t="str">
        <x:v>Ягоды и производные</x:v>
      </x:c>
      <x:c r="F365" s="28" t="str">
        <x:v>дыня</x:v>
      </x:c>
      <x:c r="G365" s="28" t="str">
        <x:v>Дыня | дыня</x:v>
      </x:c>
      <x:c r="H365" s="28" t="str">
        <x:v>Фрукты</x:v>
      </x:c>
      <x:c r="I365" s="28" t="str">
        <x:v>зелёный, карамельный, сливочный, фруктовый, цветочный</x:v>
      </x:c>
      <x:c r="J365" s="28" t="str">
        <x:v>зелёный, фруктовый, цветочный</x:v>
      </x:c>
      <x:c r="K365" s="28" t="str">
        <x:v>линалоол, мезифуран, фуранеол, цис-3-гексеналь, этилбутират</x:v>
      </x:c>
      <x:c r="L365" s="28" t="str">
        <x:v>лактоны, терпены, эфиры</x:v>
      </x:c>
      <x:c r="M365" s="28" t="str">
        <x:v>зелёный, фруктовый, цветочный</x:v>
      </x:c>
      <x:c r="N365" s="28" t="str">
        <x:v>не подтверждены; механизм не сводится к одной общей молекуле</x:v>
      </x:c>
      <x:c r="O365" s="28" t="str">
        <x:v>сходство ароматических семейств + комплементарность</x:v>
      </x:c>
      <x:c r="P365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365" s="28" t="str">
        <x:v>Специфического тройничного эффекта обычно нет; кислотность усиливает слюноотделение.</x:v>
      </x:c>
      <x:c r="R365" s="28" t="str">
        <x:v>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</x:v>
      </x:c>
      <x:c r="S36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65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6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65" s="28" t="str">
        <x:v>ваниль или лимон</x:v>
      </x:c>
      <x:c r="W36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65" s="28" t="str">
        <x:v>напитки; десерты</x:v>
      </x:c>
      <x:c r="Y365" s="28" t="str">
        <x:v>Высокая</x:v>
      </x:c>
      <x:c r="Z365" s="28" t="str">
        <x:v>Тезариус вкусов</x:v>
      </x:c>
      <x:c r="AA365" s="28" t="str">
        <x:v>Тезариус вкусов: 694, 739</x:v>
      </x:c>
      <x:c r="AB365" s="28" t="str">
        <x:v>Клубника и дыня. См. Дыня и клубника | Дыня и клубника. Один из надежных справочни- ков по кулинарии уверяет, что во Франции очень по- пулярны дынные оладьи с клубничным соусом. Когда я однажды попыталась сделать такие оладьи из ша- рантской дыни, моя кухня пропиталась ароматом са- мых немыслимых и изысканных пончиков с джемом, но вкус меня разочаровал. Точнее, вкус дыни успеш- но пережил обработку кипящим маслом, но тексту- ра блюда стала довольно неприятной. Лучше, пожа- луй, остановиться на простых сочетаниях без тепло- вой обработки, например на дыне с земляникой, пред- ложенной Элизабет Дэвид (Elizabeth David). А вот Ан- на дель Конте (Anna del Conte), напротив, настаивает, ч</x:v>
      </x:c>
      <x:c r="AC365" s="28" t="n">
        <x:v>1</x:v>
      </x:c>
      <x:c r="AD365" s="28" t="n">
        <x:v>2</x:v>
      </x:c>
    </x:row>
    <x:row r="366" ht="58" customHeight="1">
      <x:c r="A366" s="28" t="str">
        <x:v>BER-0365</x:v>
      </x:c>
      <x:c r="B366" s="28" t="str">
        <x:v>Десерты и выпечка</x:v>
      </x:c>
      <x:c r="C366" s="28" t="str">
        <x:v>клубника</x:v>
      </x:c>
      <x:c r="D366" s="28" t="str">
        <x:v>Strawberry</x:v>
      </x:c>
      <x:c r="E366" s="28" t="str">
        <x:v>Ягоды и производные</x:v>
      </x:c>
      <x:c r="F366" s="28" t="str">
        <x:v>жареная макадамия</x:v>
      </x:c>
      <x:c r="G366" s="28" t="str">
        <x:v>roasted macadamia nut</x:v>
      </x:c>
      <x:c r="H366" s="28" t="str">
        <x:v>Орехи и семена</x:v>
      </x:c>
      <x:c r="I366" s="28" t="str">
        <x:v>зелёный, карамельный, сливочный, фруктовый, цветочный</x:v>
      </x:c>
      <x:c r="J366" s="28" t="str">
        <x:v>жареный, миндальный, ореховый</x:v>
      </x:c>
      <x:c r="K366" s="28" t="str">
        <x:v>линалоол, мезифуран, фуранеол, цис-3-гексеналь, этилбутират</x:v>
      </x:c>
      <x:c r="L366" s="28" t="str">
        <x:v>бензальдегид, пиразины, фураны</x:v>
      </x:c>
      <x:c r="M366" s="28" t="str">
        <x:v>прямое совпадение семейств не установлено</x:v>
      </x:c>
      <x:c r="N366" s="28" t="str">
        <x:v>не подтверждены; механизм не сводится к одной общей молекуле</x:v>
      </x:c>
      <x:c r="O366" s="28" t="str">
        <x:v>контраст/комплементарность + матричный эффект</x:v>
      </x:c>
      <x:c r="P366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366" s="28" t="str">
        <x:v>Специфического тройничного эффекта обычно нет; кислотность усиливает слюноотделение.</x:v>
      </x:c>
      <x:c r="R366" s="28" t="str">
        <x:v>Жировая фаза удерживает гидрофобные одоранты и продлевает послевкусие; кислотность ягод повышает слюноотделение.</x:v>
      </x:c>
      <x:c r="S36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6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6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66" s="28" t="str">
        <x:v>ваниль или сливки</x:v>
      </x:c>
      <x:c r="W366" s="28" t="str">
        <x:v>сорбет, крем, ганаш, выпечка, джем или соус для десерта</x:v>
      </x:c>
      <x:c r="X366" s="28" t="str">
        <x:v>десерты</x:v>
      </x:c>
      <x:c r="Y366" s="28" t="str">
        <x:v>Средняя</x:v>
      </x:c>
      <x:c r="Z366" s="28" t="str">
        <x:v>The Art &amp; Science of Foodpairing</x:v>
      </x:c>
      <x:c r="AA366" s="28" t="str">
        <x:v>The Art &amp; Science of Foodpairing: 70</x:v>
      </x:c>
      <x:c r="AB366" s="28" t="str">
        <x:v>Ingredient pairings with Strawberry: roasted macadamia nut</x:v>
      </x:c>
      <x:c r="AC366" s="28" t="n">
        <x:v>1</x:v>
      </x:c>
      <x:c r="AD366" s="28" t="n">
        <x:v>1</x:v>
      </x:c>
    </x:row>
    <x:row r="367" ht="58" customHeight="1">
      <x:c r="A367" s="28" t="str">
        <x:v>BER-0366</x:v>
      </x:c>
      <x:c r="B367" s="28" t="str">
        <x:v>Еда и соусы</x:v>
      </x:c>
      <x:c r="C367" s="28" t="str">
        <x:v>клубника</x:v>
      </x:c>
      <x:c r="D367" s="28" t="str">
        <x:v>Strawberry</x:v>
      </x:c>
      <x:c r="E367" s="28" t="str">
        <x:v>Ягоды и производные</x:v>
      </x:c>
      <x:c r="F367" s="28" t="str">
        <x:v>жареные телячьи зобные железы</x:v>
      </x:c>
      <x:c r="G367" s="28" t="str">
        <x:v>roasted veal sweetbreads</x:v>
      </x:c>
      <x:c r="H367" s="28" t="str">
        <x:v>Мясо и птица</x:v>
      </x:c>
      <x:c r="I367" s="28" t="str">
        <x:v>зелёный, карамельный, сливочный, фруктовый, цветочный</x:v>
      </x:c>
      <x:c r="J367" s="28" t="str">
        <x:v>жареный, жирный, сернистый, умами</x:v>
      </x:c>
      <x:c r="K367" s="28" t="str">
        <x:v>линалоол, мезифуран, фуранеол, цис-3-гексеналь, этилбутират</x:v>
      </x:c>
      <x:c r="L367" s="28" t="str">
        <x:v>альдегиды, пиразины, сернистые соединения</x:v>
      </x:c>
      <x:c r="M367" s="28" t="str">
        <x:v>прямое совпадение семейств не установлено</x:v>
      </x:c>
      <x:c r="N367" s="28" t="str">
        <x:v>не подтверждены; механизм не сводится к одной общей молекуле</x:v>
      </x:c>
      <x:c r="O367" s="28" t="str">
        <x:v>контраст/комплементарность + матричный эффект</x:v>
      </x:c>
      <x:c r="P367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367" s="28" t="str">
        <x:v>Специфического тройничного эффекта обычно нет; кислотность усиливает слюноотделение.</x:v>
      </x:c>
      <x:c r="R367" s="28" t="str">
        <x:v>Жировая фаза удерживает гидрофобные одоранты и продлевает послевкусие; кислотность ягод повышает слюноотделение.</x:v>
      </x:c>
      <x:c r="S36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36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36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67" s="28" t="str">
        <x:v>красное вино или чёрный перец</x:v>
      </x:c>
      <x:c r="W367" s="28" t="str">
        <x:v>соус, глазировка, салат, сырная подача или горячее блюдо; маринад, гастрик, чатни, кетчуп или редукция</x:v>
      </x:c>
      <x:c r="X367" s="28" t="str">
        <x:v>еда; соусы/маринады</x:v>
      </x:c>
      <x:c r="Y367" s="28" t="str">
        <x:v>Средняя</x:v>
      </x:c>
      <x:c r="Z367" s="28" t="str">
        <x:v>The Art &amp; Science of Foodpairing</x:v>
      </x:c>
      <x:c r="AA367" s="28" t="str">
        <x:v>The Art &amp; Science of Foodpairing: 70</x:v>
      </x:c>
      <x:c r="AB367" s="28" t="str">
        <x:v>Ingredient pairings with Strawberry: roasted veal sweetbreads</x:v>
      </x:c>
      <x:c r="AC367" s="28" t="n">
        <x:v>1</x:v>
      </x:c>
      <x:c r="AD367" s="28" t="n">
        <x:v>1</x:v>
      </x:c>
    </x:row>
    <x:row r="368" ht="58" customHeight="1">
      <x:c r="A368" s="28" t="str">
        <x:v>BER-0367</x:v>
      </x:c>
      <x:c r="B368" s="28" t="str">
        <x:v>Универсальные</x:v>
      </x:c>
      <x:c r="C368" s="28" t="str">
        <x:v>клубника</x:v>
      </x:c>
      <x:c r="D368" s="28" t="str">
        <x:v>Strawberry</x:v>
      </x:c>
      <x:c r="E368" s="28" t="str">
        <x:v>Ягоды и производные</x:v>
      </x:c>
      <x:c r="F368" s="28" t="str">
        <x:v>запечённая лиманда</x:v>
      </x:c>
      <x:c r="G368" s="28" t="str">
        <x:v>baked dab</x:v>
      </x:c>
      <x:c r="H368" s="28" t="str">
        <x:v>Прочее</x:v>
      </x:c>
      <x:c r="I368" s="28" t="str">
        <x:v>зелёный, карамельный, сливочный, фруктовый, цветочный</x:v>
      </x:c>
      <x:c r="J368" s="28" t="str">
        <x:v>комплексный</x:v>
      </x:c>
      <x:c r="K368" s="28" t="str">
        <x:v>линалоол, мезифуран, фуранеол, цис-3-гексеналь, этилбутират</x:v>
      </x:c>
      <x:c r="L368" s="28" t="str">
        <x:v>нет надёжной конкретизации</x:v>
      </x:c>
      <x:c r="M368" s="28" t="str">
        <x:v>прямое совпадение семейств не установлено</x:v>
      </x:c>
      <x:c r="N368" s="28" t="str">
        <x:v>не подтверждены; механизм не сводится к одной общей молекуле</x:v>
      </x:c>
      <x:c r="O368" s="28" t="str">
        <x:v>контраст/комплементарность + матричный эффект</x:v>
      </x:c>
      <x:c r="P368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68" s="28" t="str">
        <x:v>Специфического тройничного эффекта обычно нет; кислотность усиливает слюноотделение.</x:v>
      </x:c>
      <x:c r="R368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6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6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6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68" s="28" t="str">
        <x:v>лимон или ваниль</x:v>
      </x:c>
      <x:c r="W368" s="28" t="str">
        <x:v>сенсорная проба в малой дозировке</x:v>
      </x:c>
      <x:c r="X368" s="28" t="str">
        <x:v>универсально</x:v>
      </x:c>
      <x:c r="Y368" s="28" t="str">
        <x:v>Средняя</x:v>
      </x:c>
      <x:c r="Z368" s="28" t="str">
        <x:v>The Art &amp; Science of Foodpairing</x:v>
      </x:c>
      <x:c r="AA368" s="28" t="str">
        <x:v>The Art &amp; Science of Foodpairing: 70</x:v>
      </x:c>
      <x:c r="AB368" s="28" t="str">
        <x:v>Ingredient pairings with Strawberry: baked dab</x:v>
      </x:c>
      <x:c r="AC368" s="28" t="n">
        <x:v>1</x:v>
      </x:c>
      <x:c r="AD368" s="28" t="n">
        <x:v>1</x:v>
      </x:c>
    </x:row>
    <x:row r="369" ht="58" customHeight="1">
      <x:c r="A369" s="28" t="str">
        <x:v>BER-0368</x:v>
      </x:c>
      <x:c r="B369" s="28" t="str">
        <x:v>Еда и соусы</x:v>
      </x:c>
      <x:c r="C369" s="28" t="str">
        <x:v>клубника</x:v>
      </x:c>
      <x:c r="D369" s="28" t="str">
        <x:v>Strawberry</x:v>
      </x:c>
      <x:c r="E369" s="28" t="str">
        <x:v>Ягоды и производные</x:v>
      </x:c>
      <x:c r="F369" s="28" t="str">
        <x:v>запечённая морская камбала</x:v>
      </x:c>
      <x:c r="G369" s="28" t="str">
        <x:v>baked Dover sole</x:v>
      </x:c>
      <x:c r="H369" s="28" t="str">
        <x:v>Рыба и морепродукты</x:v>
      </x:c>
      <x:c r="I369" s="28" t="str">
        <x:v>зелёный, карамельный, сливочный, фруктовый, цветочный</x:v>
      </x:c>
      <x:c r="J369" s="28" t="str">
        <x:v>жирный, морской, умами</x:v>
      </x:c>
      <x:c r="K369" s="28" t="str">
        <x:v>линалоол, мезифуран, фуранеол, цис-3-гексеналь, этилбутират</x:v>
      </x:c>
      <x:c r="L369" s="28" t="str">
        <x:v>альдегиды, амины, сернистые соединения</x:v>
      </x:c>
      <x:c r="M369" s="28" t="str">
        <x:v>прямое совпадение семейств не установлено</x:v>
      </x:c>
      <x:c r="N369" s="28" t="str">
        <x:v>не подтверждены; механизм не сводится к одной общей молекуле</x:v>
      </x:c>
      <x:c r="O369" s="28" t="str">
        <x:v>контраст/комплементарность + матричный эффект</x:v>
      </x:c>
      <x:c r="P369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369" s="28" t="str">
        <x:v>Специфического тройничного эффекта обычно нет; кислотность усиливает слюноотделение.</x:v>
      </x:c>
      <x:c r="R369" s="28" t="str">
        <x:v>Белок и жир смягчают кислоту; ягодный соус должен сохранять достаточную концентрацию и соль.</x:v>
      </x:c>
      <x:c r="S36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36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36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69" s="28" t="str">
        <x:v>цитрус или огурец</x:v>
      </x:c>
      <x:c r="W369" s="28" t="str">
        <x:v>соус, глазировка, салат, сырная подача или горячее блюдо; маринад, гастрик, чатни, кетчуп или редукция</x:v>
      </x:c>
      <x:c r="X369" s="28" t="str">
        <x:v>еда; соусы/маринады</x:v>
      </x:c>
      <x:c r="Y369" s="28" t="str">
        <x:v>Средняя</x:v>
      </x:c>
      <x:c r="Z369" s="28" t="str">
        <x:v>The Art &amp; Science of Foodpairing</x:v>
      </x:c>
      <x:c r="AA369" s="28" t="str">
        <x:v>The Art &amp; Science of Foodpairing: 70</x:v>
      </x:c>
      <x:c r="AB369" s="28" t="str">
        <x:v>Ingredient pairings with Strawberry: baked Dover sole</x:v>
      </x:c>
      <x:c r="AC369" s="28" t="n">
        <x:v>1</x:v>
      </x:c>
      <x:c r="AD369" s="28" t="n">
        <x:v>1</x:v>
      </x:c>
    </x:row>
    <x:row r="370" ht="58" customHeight="1">
      <x:c r="A370" s="28" t="str">
        <x:v>BER-0369</x:v>
      </x:c>
      <x:c r="B370" s="28" t="str">
        <x:v>Универсальные</x:v>
      </x:c>
      <x:c r="C370" s="28" t="str">
        <x:v>клубника</x:v>
      </x:c>
      <x:c r="D370" s="28" t="str">
        <x:v>Strawberry</x:v>
      </x:c>
      <x:c r="E370" s="28" t="str">
        <x:v>Ягоды и производные</x:v>
      </x:c>
      <x:c r="F370" s="28" t="str">
        <x:v>запечённый langoustine</x:v>
      </x:c>
      <x:c r="G370" s="28" t="str">
        <x:v>baked langoustine</x:v>
      </x:c>
      <x:c r="H370" s="28" t="str">
        <x:v>Прочее</x:v>
      </x:c>
      <x:c r="I370" s="28" t="str">
        <x:v>зелёный, карамельный, сливочный, фруктовый, цветочный</x:v>
      </x:c>
      <x:c r="J370" s="28" t="str">
        <x:v>комплексный</x:v>
      </x:c>
      <x:c r="K370" s="28" t="str">
        <x:v>линалоол, мезифуран, фуранеол, цис-3-гексеналь, этилбутират</x:v>
      </x:c>
      <x:c r="L370" s="28" t="str">
        <x:v>нет надёжной конкретизации</x:v>
      </x:c>
      <x:c r="M370" s="28" t="str">
        <x:v>прямое совпадение семейств не установлено</x:v>
      </x:c>
      <x:c r="N370" s="28" t="str">
        <x:v>не подтверждены; механизм не сводится к одной общей молекуле</x:v>
      </x:c>
      <x:c r="O370" s="28" t="str">
        <x:v>контраст/комплементарность + матричный эффект</x:v>
      </x:c>
      <x:c r="P370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70" s="28" t="str">
        <x:v>Специфического тройничного эффекта обычно нет; кислотность усиливает слюноотделение.</x:v>
      </x:c>
      <x:c r="R370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7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7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7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70" s="28" t="str">
        <x:v>лимон или ваниль</x:v>
      </x:c>
      <x:c r="W370" s="28" t="str">
        <x:v>сенсорная проба в малой дозировке</x:v>
      </x:c>
      <x:c r="X370" s="28" t="str">
        <x:v>универсально</x:v>
      </x:c>
      <x:c r="Y370" s="28" t="str">
        <x:v>Средняя</x:v>
      </x:c>
      <x:c r="Z370" s="28" t="str">
        <x:v>The Art &amp; Science of Foodpairing</x:v>
      </x:c>
      <x:c r="AA370" s="28" t="str">
        <x:v>The Art &amp; Science of Foodpairing: 71</x:v>
      </x:c>
      <x:c r="AB370" s="28" t="str">
        <x:v>Ingredient pairings with Strawberry: baked langoustine</x:v>
      </x:c>
      <x:c r="AC370" s="28" t="n">
        <x:v>1</x:v>
      </x:c>
      <x:c r="AD370" s="28" t="n">
        <x:v>1</x:v>
      </x:c>
    </x:row>
    <x:row r="371" ht="58" customHeight="1">
      <x:c r="A371" s="28" t="str">
        <x:v>BER-0370</x:v>
      </x:c>
      <x:c r="B371" s="28" t="str">
        <x:v>Еда и соусы</x:v>
      </x:c>
      <x:c r="C371" s="28" t="str">
        <x:v>клубника</x:v>
      </x:c>
      <x:c r="D371" s="28" t="str">
        <x:v>strawberry</x:v>
      </x:c>
      <x:c r="E371" s="28" t="str">
        <x:v>Ягоды и производные</x:v>
      </x:c>
      <x:c r="F371" s="28" t="str">
        <x:v>зелёная фасоль</x:v>
      </x:c>
      <x:c r="G371" s="28" t="str">
        <x:v>Green Beans</x:v>
      </x:c>
      <x:c r="H371" s="28" t="str">
        <x:v>Овощи и грибы</x:v>
      </x:c>
      <x:c r="I371" s="28" t="str">
        <x:v>зелёный, карамельный, сливочный, фруктовый, цветочный</x:v>
      </x:c>
      <x:c r="J371" s="28" t="str">
        <x:v>зелёный, землистый, сернистый</x:v>
      </x:c>
      <x:c r="K371" s="28" t="str">
        <x:v>линалоол, мезифуран, фуранеол, цис-3-гексеналь, этилбутират</x:v>
      </x:c>
      <x:c r="L371" s="28" t="str">
        <x:v>C6-альдегиды, пиразины, сернистые соединения</x:v>
      </x:c>
      <x:c r="M371" s="28" t="str">
        <x:v>зелёный</x:v>
      </x:c>
      <x:c r="N371" s="28" t="str">
        <x:v>не подтверждены; механизм не сводится к одной общей молекуле</x:v>
      </x:c>
      <x:c r="O371" s="28" t="str">
        <x:v>сходство ароматических семейств + комплементарность</x:v>
      </x:c>
      <x:c r="P371" s="28" t="str">
        <x:v>Оба компонента формируют сладко-кислый и растительный, иногда умами контур; сахар, кислота и горечь должны быть выровнены дегустацией.</x:v>
      </x:c>
      <x:c r="Q371" s="28" t="str">
        <x:v>Специфического тройничного эффекта обычно нет; кислотность усиливает слюноотделение.</x:v>
      </x:c>
      <x:c r="R371" s="28" t="str">
        <x:v>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37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371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37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71" s="28" t="str">
        <x:v>уксус или мягкий сыр</x:v>
      </x:c>
      <x:c r="W371" s="28" t="str">
        <x:v>соус, глазировка, салат, сырная подача или горячее блюдо; маринад, гастрик, чатни, кетчуп или редукция</x:v>
      </x:c>
      <x:c r="X371" s="28" t="str">
        <x:v>еда; соусы/маринады</x:v>
      </x:c>
      <x:c r="Y371" s="28" t="str">
        <x:v>Средняя</x:v>
      </x:c>
      <x:c r="Z371" s="28" t="str">
        <x:v>The Art &amp; Science of Foodpairing</x:v>
      </x:c>
      <x:c r="AA371" s="28" t="str">
        <x:v>The Art &amp; Science of Foodpairing: 320</x:v>
      </x:c>
      <x:c r="AB371" s="28" t="str">
        <x:v>Ingredient pairings with Green Beans: strawberry</x:v>
      </x:c>
      <x:c r="AC371" s="28" t="n">
        <x:v>1</x:v>
      </x:c>
      <x:c r="AD371" s="28" t="n">
        <x:v>1</x:v>
      </x:c>
    </x:row>
    <x:row r="372" ht="58" customHeight="1">
      <x:c r="A372" s="28" t="str">
        <x:v>BER-0371</x:v>
      </x:c>
      <x:c r="B372" s="28" t="str">
        <x:v>Универсальные</x:v>
      </x:c>
      <x:c r="C372" s="28" t="str">
        <x:v>клубника</x:v>
      </x:c>
      <x:c r="D372" s="28" t="str">
        <x:v>Strawberry</x:v>
      </x:c>
      <x:c r="E372" s="28" t="str">
        <x:v>Ягоды и производные</x:v>
      </x:c>
      <x:c r="F372" s="28" t="str">
        <x:v>изюм</x:v>
      </x:c>
      <x:c r="G372" s="28" t="str">
        <x:v>raisin</x:v>
      </x:c>
      <x:c r="H372" s="28" t="str">
        <x:v>Фрукты</x:v>
      </x:c>
      <x:c r="I372" s="28" t="str">
        <x:v>зелёный, карамельный, сливочный, фруктовый, цветочный</x:v>
      </x:c>
      <x:c r="J372" s="28" t="str">
        <x:v>зелёный, фруктовый, цветочный</x:v>
      </x:c>
      <x:c r="K372" s="28" t="str">
        <x:v>линалоол, мезифуран, фуранеол, цис-3-гексеналь, этилбутират</x:v>
      </x:c>
      <x:c r="L372" s="28" t="str">
        <x:v>лактоны, терпены, эфиры</x:v>
      </x:c>
      <x:c r="M372" s="28" t="str">
        <x:v>зелёный, фруктовый, цветочный</x:v>
      </x:c>
      <x:c r="N372" s="28" t="str">
        <x:v>не подтверждены; механизм не сводится к одной общей молекуле</x:v>
      </x:c>
      <x:c r="O372" s="28" t="str">
        <x:v>сходство ароматических семейств + комплементарность</x:v>
      </x:c>
      <x:c r="P372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372" s="28" t="str">
        <x:v>Специфического тройничного эффекта обычно нет; кислотность усиливает слюноотделение.</x:v>
      </x:c>
      <x:c r="R372" s="28" t="str">
        <x:v>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</x:v>
      </x:c>
      <x:c r="S37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72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7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72" s="28" t="str">
        <x:v>ваниль или лимон</x:v>
      </x:c>
      <x:c r="W37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72" s="28" t="str">
        <x:v>напитки; десерты</x:v>
      </x:c>
      <x:c r="Y372" s="28" t="str">
        <x:v>Средняя</x:v>
      </x:c>
      <x:c r="Z372" s="28" t="str">
        <x:v>The Art &amp; Science of Foodpairing</x:v>
      </x:c>
      <x:c r="AA372" s="28" t="str">
        <x:v>The Art &amp; Science of Foodpairing: 70</x:v>
      </x:c>
      <x:c r="AB372" s="28" t="str">
        <x:v>Ingredient pairings with Strawberry: raisin</x:v>
      </x:c>
      <x:c r="AC372" s="28" t="n">
        <x:v>1</x:v>
      </x:c>
      <x:c r="AD372" s="28" t="n">
        <x:v>1</x:v>
      </x:c>
    </x:row>
    <x:row r="373" ht="58" customHeight="1">
      <x:c r="A373" s="28" t="str">
        <x:v>BER-0372</x:v>
      </x:c>
      <x:c r="B373" s="28" t="str">
        <x:v>Универсальные</x:v>
      </x:c>
      <x:c r="C373" s="28" t="str">
        <x:v>клубника</x:v>
      </x:c>
      <x:c r="D373" s="28" t="str">
        <x:v>Клубника</x:v>
      </x:c>
      <x:c r="E373" s="28" t="str">
        <x:v>Ягоды и производные</x:v>
      </x:c>
      <x:c r="F373" s="28" t="str">
        <x:v>имбирь</x:v>
      </x:c>
      <x:c r="G373" s="28" t="str">
        <x:v>имбирь</x:v>
      </x:c>
      <x:c r="H373" s="28" t="str">
        <x:v>Специи</x:v>
      </x:c>
      <x:c r="I373" s="28" t="str">
        <x:v>зелёный, карамельный, сливочный, фруктовый, цветочный</x:v>
      </x:c>
      <x:c r="J373" s="28" t="str">
        <x:v>древесный, пряный, тёплый</x:v>
      </x:c>
      <x:c r="K373" s="28" t="str">
        <x:v>линалоол, мезифуран, фуранеол, цис-3-гексеналь, этилбутират</x:v>
      </x:c>
      <x:c r="L373" s="28" t="str">
        <x:v>коричный альдегид, терпены, эвгенол</x:v>
      </x:c>
      <x:c r="M373" s="28" t="str">
        <x:v>прямое совпадение семейств не установлено</x:v>
      </x:c>
      <x:c r="N373" s="28" t="str">
        <x:v>не подтверждены; механизм не сводится к одной общей молекуле</x:v>
      </x:c>
      <x:c r="O373" s="28" t="str">
        <x:v>контраст/комплементарность + матричный эффект</x:v>
      </x:c>
      <x:c r="P373" s="28" t="str">
        <x:v>Ягодная сладость смягчает горечь и пряность, а кислотность делает пряный, иногда горький профиль ярче.</x:v>
      </x:c>
      <x:c r="Q373" s="28" t="str">
        <x:v>Кислотность ягоды усиливает слюноотделение, а капсаицин/пиперин/гингеролы дают тепло и покалывание; дозировка должна быть низкой.</x:v>
      </x:c>
      <x:c r="R373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37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7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73" s="28" t="str">
        <x:v>Пряность дозировать как акцент: она быстро перекрывает тонкие ягодные эфиры.</x:v>
      </x:c>
      <x:c r="V373" s="28" t="str">
        <x:v>мёд или цитрус</x:v>
      </x:c>
      <x:c r="W37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373" s="28" t="str">
        <x:v>напитки; десерты; еда; соусы/маринады</x:v>
      </x:c>
      <x:c r="Y373" s="28" t="str">
        <x:v>Средняя</x:v>
      </x:c>
      <x:c r="Z373" s="28" t="str">
        <x:v>Таблица сочетаний</x:v>
      </x:c>
      <x:c r="AA373" s="28" t="str">
        <x:v>Таблица сочетаний: 20</x:v>
      </x:c>
      <x:c r="AB373" s="28" t="str">
        <x:v>Клубника: имбирь</x:v>
      </x:c>
      <x:c r="AC373" s="28" t="n">
        <x:v>1</x:v>
      </x:c>
      <x:c r="AD373" s="28" t="n">
        <x:v>1</x:v>
      </x:c>
    </x:row>
    <x:row r="374" ht="58" customHeight="1">
      <x:c r="A374" s="28" t="str">
        <x:v>BER-0373</x:v>
      </x:c>
      <x:c r="B374" s="28" t="str">
        <x:v>Еда и соусы</x:v>
      </x:c>
      <x:c r="C374" s="28" t="str">
        <x:v>клубника</x:v>
      </x:c>
      <x:c r="D374" s="28" t="str">
        <x:v>Strawberry</x:v>
      </x:c>
      <x:c r="E374" s="28" t="str">
        <x:v>Ягоды и производные</x:v>
      </x:c>
      <x:c r="F374" s="28" t="str">
        <x:v>кабачок</x:v>
      </x:c>
      <x:c r="G374" s="28" t="str">
        <x:v>courgette</x:v>
      </x:c>
      <x:c r="H374" s="28" t="str">
        <x:v>Овощи и грибы</x:v>
      </x:c>
      <x:c r="I374" s="28" t="str">
        <x:v>зелёный, карамельный, сливочный, фруктовый, цветочный</x:v>
      </x:c>
      <x:c r="J374" s="28" t="str">
        <x:v>зелёный, землистый, сернистый</x:v>
      </x:c>
      <x:c r="K374" s="28" t="str">
        <x:v>линалоол, мезифуран, фуранеол, цис-3-гексеналь, этилбутират</x:v>
      </x:c>
      <x:c r="L374" s="28" t="str">
        <x:v>C6-альдегиды, пиразины, сернистые соединения</x:v>
      </x:c>
      <x:c r="M374" s="28" t="str">
        <x:v>зелёный</x:v>
      </x:c>
      <x:c r="N374" s="28" t="str">
        <x:v>не подтверждены; механизм не сводится к одной общей молекуле</x:v>
      </x:c>
      <x:c r="O374" s="28" t="str">
        <x:v>сходство ароматических семейств + комплементарность</x:v>
      </x:c>
      <x:c r="P374" s="28" t="str">
        <x:v>Оба компонента формируют сладко-кислый и растительный, иногда умами контур; сахар, кислота и горечь должны быть выровнены дегустацией.</x:v>
      </x:c>
      <x:c r="Q374" s="28" t="str">
        <x:v>Специфического тройничного эффекта обычно нет; кислотность усиливает слюноотделение.</x:v>
      </x:c>
      <x:c r="R374" s="28" t="str">
        <x:v>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37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374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37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74" s="28" t="str">
        <x:v>уксус или мягкий сыр</x:v>
      </x:c>
      <x:c r="W374" s="28" t="str">
        <x:v>соус, глазировка, салат, сырная подача или горячее блюдо; маринад, гастрик, чатни, кетчуп или редукция</x:v>
      </x:c>
      <x:c r="X374" s="28" t="str">
        <x:v>еда; соусы/маринады</x:v>
      </x:c>
      <x:c r="Y374" s="28" t="str">
        <x:v>Средняя</x:v>
      </x:c>
      <x:c r="Z374" s="28" t="str">
        <x:v>The Art &amp; Science of Foodpairing</x:v>
      </x:c>
      <x:c r="AA374" s="28" t="str">
        <x:v>The Art &amp; Science of Foodpairing: 70</x:v>
      </x:c>
      <x:c r="AB374" s="28" t="str">
        <x:v>Ingredient pairings with Strawberry: courgette</x:v>
      </x:c>
      <x:c r="AC374" s="28" t="n">
        <x:v>1</x:v>
      </x:c>
      <x:c r="AD374" s="28" t="n">
        <x:v>1</x:v>
      </x:c>
    </x:row>
    <x:row r="375" ht="58" customHeight="1">
      <x:c r="A375" s="28" t="str">
        <x:v>BER-0374</x:v>
      </x:c>
      <x:c r="B375" s="28" t="str">
        <x:v>Десерты и выпечка</x:v>
      </x:c>
      <x:c r="C375" s="28" t="str">
        <x:v>клубника</x:v>
      </x:c>
      <x:c r="D375" s="28" t="str">
        <x:v>Клубника</x:v>
      </x:c>
      <x:c r="E375" s="28" t="str">
        <x:v>Ягоды и производные</x:v>
      </x:c>
      <x:c r="F375" s="28" t="str">
        <x:v>карамель</x:v>
      </x:c>
      <x:c r="G375" s="28" t="str">
        <x:v>карамель</x:v>
      </x:c>
      <x:c r="H375" s="28" t="str">
        <x:v>Шоколад, кофе и жареные продукты</x:v>
      </x:c>
      <x:c r="I375" s="28" t="str">
        <x:v>зелёный, карамельный, сливочный, фруктовый, цветочный</x:v>
      </x:c>
      <x:c r="J375" s="28" t="str">
        <x:v>горький, жареный, карамельный, ореховый</x:v>
      </x:c>
      <x:c r="K375" s="28" t="str">
        <x:v>линалоол, мезифуран, фуранеол, цис-3-гексеналь, этилбутират</x:v>
      </x:c>
      <x:c r="L375" s="28" t="str">
        <x:v>ванилин, пиразины, фураны</x:v>
      </x:c>
      <x:c r="M375" s="28" t="str">
        <x:v>карамельный</x:v>
      </x:c>
      <x:c r="N375" s="28" t="str">
        <x:v>не подтверждены; механизм не сводится к одной общей молекуле</x:v>
      </x:c>
      <x:c r="O375" s="28" t="str">
        <x:v>сходство ароматических семейств + комплементарность</x:v>
      </x:c>
      <x:c r="P375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375" s="28" t="str">
        <x:v>Специфического тройничного эффекта обычно нет; кислотность усиливает слюноотделение.</x:v>
      </x:c>
      <x:c r="R375" s="28" t="str">
        <x:v>Жировая фаза удерживает гидрофобные одоранты и продлевает послевкусие; кислотность ягод повышает слюноотделение.</x:v>
      </x:c>
      <x:c r="S37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75" s="28" t="str">
        <x:v>Общие ароматические семейства: карамельный;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7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75" s="28" t="str">
        <x:v>ваниль или орехи</x:v>
      </x:c>
      <x:c r="W375" s="28" t="str">
        <x:v>сорбет, крем, ганаш, выпечка, джем или соус для десерта</x:v>
      </x:c>
      <x:c r="X375" s="28" t="str">
        <x:v>десерты</x:v>
      </x:c>
      <x:c r="Y375" s="28" t="str">
        <x:v>Средняя</x:v>
      </x:c>
      <x:c r="Z375" s="28" t="str">
        <x:v>Таблица сочетаний</x:v>
      </x:c>
      <x:c r="AA375" s="28" t="str">
        <x:v>Таблица сочетаний: 20</x:v>
      </x:c>
      <x:c r="AB375" s="28" t="str">
        <x:v>Клубника: карамель</x:v>
      </x:c>
      <x:c r="AC375" s="28" t="n">
        <x:v>1</x:v>
      </x:c>
      <x:c r="AD375" s="28" t="n">
        <x:v>1</x:v>
      </x:c>
    </x:row>
    <x:row r="376" ht="58" customHeight="1">
      <x:c r="A376" s="28" t="str">
        <x:v>BER-0375</x:v>
      </x:c>
      <x:c r="B376" s="28" t="str">
        <x:v>Универсальные</x:v>
      </x:c>
      <x:c r="C376" s="28" t="str">
        <x:v>клубника</x:v>
      </x:c>
      <x:c r="D376" s="28" t="str">
        <x:v>strawberry</x:v>
      </x:c>
      <x:c r="E376" s="28" t="str">
        <x:v>Ягоды и производные</x:v>
      </x:c>
      <x:c r="F376" s="28" t="str">
        <x:v>кардамон</x:v>
      </x:c>
      <x:c r="G376" s="28" t="str">
        <x:v>Cardamom</x:v>
      </x:c>
      <x:c r="H376" s="28" t="str">
        <x:v>Специи</x:v>
      </x:c>
      <x:c r="I376" s="28" t="str">
        <x:v>зелёный, карамельный, сливочный, фруктовый, цветочный</x:v>
      </x:c>
      <x:c r="J376" s="28" t="str">
        <x:v>древесный, пряный, тёплый</x:v>
      </x:c>
      <x:c r="K376" s="28" t="str">
        <x:v>линалоол, мезифуран, фуранеол, цис-3-гексеналь, этилбутират</x:v>
      </x:c>
      <x:c r="L376" s="28" t="str">
        <x:v>коричный альдегид, терпены, эвгенол</x:v>
      </x:c>
      <x:c r="M376" s="28" t="str">
        <x:v>прямое совпадение семейств не установлено</x:v>
      </x:c>
      <x:c r="N376" s="28" t="str">
        <x:v>не подтверждены; механизм не сводится к одной общей молекуле</x:v>
      </x:c>
      <x:c r="O376" s="28" t="str">
        <x:v>контраст/комплементарность + матричный эффект</x:v>
      </x:c>
      <x:c r="P376" s="28" t="str">
        <x:v>Ягодная сладость смягчает горечь и пряность, а кислотность делает пряный, иногда горький профиль ярче.</x:v>
      </x:c>
      <x:c r="Q376" s="28" t="str">
        <x:v>Специфического тройничного эффекта обычно нет; кислотность усиливает слюноотделение.</x:v>
      </x:c>
      <x:c r="R376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37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7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76" s="28" t="str">
        <x:v>Пряность дозировать как акцент: она быстро перекрывает тонкие ягодные эфиры.</x:v>
      </x:c>
      <x:c r="V376" s="28" t="str">
        <x:v>мёд или цитрус</x:v>
      </x:c>
      <x:c r="W37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376" s="28" t="str">
        <x:v>напитки; десерты; еда; соусы/маринады</x:v>
      </x:c>
      <x:c r="Y376" s="28" t="str">
        <x:v>Средняя</x:v>
      </x:c>
      <x:c r="Z376" s="28" t="str">
        <x:v>The Art &amp; Science of Foodpairing</x:v>
      </x:c>
      <x:c r="AA376" s="28" t="str">
        <x:v>The Art &amp; Science of Foodpairing: 257</x:v>
      </x:c>
      <x:c r="AB376" s="28" t="str">
        <x:v>Ingredient pairings with Cardamom: strawberry</x:v>
      </x:c>
      <x:c r="AC376" s="28" t="n">
        <x:v>1</x:v>
      </x:c>
      <x:c r="AD376" s="28" t="n">
        <x:v>1</x:v>
      </x:c>
    </x:row>
    <x:row r="377" ht="58" customHeight="1">
      <x:c r="A377" s="28" t="str">
        <x:v>BER-0376</x:v>
      </x:c>
      <x:c r="B377" s="28" t="str">
        <x:v>Десерты и выпечка</x:v>
      </x:c>
      <x:c r="C377" s="28" t="str">
        <x:v>клубника</x:v>
      </x:c>
      <x:c r="D377" s="28" t="str">
        <x:v>strawberry</x:v>
      </x:c>
      <x:c r="E377" s="28" t="str">
        <x:v>Ягоды и производные</x:v>
      </x:c>
      <x:c r="F377" s="28" t="str">
        <x:v>картофель фри</x:v>
      </x:c>
      <x:c r="G377" s="28" t="str">
        <x:v>French Fries</x:v>
      </x:c>
      <x:c r="H377" s="28" t="str">
        <x:v>Злаки и выпечка</x:v>
      </x:c>
      <x:c r="I377" s="28" t="str">
        <x:v>зелёный, карамельный, сливочный, фруктовый, цветочный</x:v>
      </x:c>
      <x:c r="J377" s="28" t="str">
        <x:v>жареный, зерновой, солодовый</x:v>
      </x:c>
      <x:c r="K377" s="28" t="str">
        <x:v>линалоол, мезифуран, фуранеол, цис-3-гексеналь, этилбутират</x:v>
      </x:c>
      <x:c r="L377" s="28" t="str">
        <x:v>мальтол, пиразины, фураны</x:v>
      </x:c>
      <x:c r="M377" s="28" t="str">
        <x:v>прямое совпадение семейств не установлено</x:v>
      </x:c>
      <x:c r="N377" s="28" t="str">
        <x:v>не подтверждены; механизм не сводится к одной общей молекуле</x:v>
      </x:c>
      <x:c r="O377" s="28" t="str">
        <x:v>контраст/комплементарность + матричный эффект</x:v>
      </x:c>
      <x:c r="P377" s="28" t="str">
        <x:v>Оба компонента формируют сладко-кислый и крахмалистый, сладковатый контур; сахар, кислота и горечь должны быть выровнены дегустацией.</x:v>
      </x:c>
      <x:c r="Q377" s="28" t="str">
        <x:v>Специфического тройничного эффекта обычно нет; кислотность усиливает слюноотделение.</x:v>
      </x:c>
      <x:c r="R377" s="28" t="str">
        <x:v>Ягода: высокая доля воды; аромат чувствителен к перегреву. Партнёр: крахмал и сухая пористая матрица. В воде аромат раскрывается быстрее, в жире и этаноле — дольше удерживается.</x:v>
      </x:c>
      <x:c r="S37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7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зерновой, солодовый. Оба компонента формируют сладко-кислый и крахмалистый, сладковатый контур; сахар, кислота и горечь должны быть выровнены дегустацией. Ягода: высокая доля воды; аромат чувствителен к перегреву. Партнёр: крахмал и сухая пористая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7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77" s="28" t="str">
        <x:v>сливки или орехи</x:v>
      </x:c>
      <x:c r="W377" s="28" t="str">
        <x:v>сорбет, крем, ганаш, выпечка, джем или соус для десерта</x:v>
      </x:c>
      <x:c r="X377" s="28" t="str">
        <x:v>десерты</x:v>
      </x:c>
      <x:c r="Y377" s="28" t="str">
        <x:v>Средняя</x:v>
      </x:c>
      <x:c r="Z377" s="28" t="str">
        <x:v>The Art &amp; Science of Foodpairing</x:v>
      </x:c>
      <x:c r="AA377" s="28" t="str">
        <x:v>The Art &amp; Science of Foodpairing: 196</x:v>
      </x:c>
      <x:c r="AB377" s="28" t="str">
        <x:v>Ingredient pairings with French Fries: strawberry</x:v>
      </x:c>
      <x:c r="AC377" s="28" t="n">
        <x:v>1</x:v>
      </x:c>
      <x:c r="AD377" s="28" t="n">
        <x:v>1</x:v>
      </x:c>
    </x:row>
    <x:row r="378" ht="58" customHeight="1">
      <x:c r="A378" s="28" t="str">
        <x:v>BER-0377</x:v>
      </x:c>
      <x:c r="B378" s="28" t="str">
        <x:v>Универсальные</x:v>
      </x:c>
      <x:c r="C378" s="28" t="str">
        <x:v>клубника</x:v>
      </x:c>
      <x:c r="D378" s="28" t="str">
        <x:v>strawberry | Клубника | клубника</x:v>
      </x:c>
      <x:c r="E378" s="28" t="str">
        <x:v>Ягоды и производные</x:v>
      </x:c>
      <x:c r="F378" s="28" t="str">
        <x:v>киви</x:v>
      </x:c>
      <x:c r="G378" s="28" t="str">
        <x:v>Kiwi | Киви | киви</x:v>
      </x:c>
      <x:c r="H378" s="28" t="str">
        <x:v>Фрукты</x:v>
      </x:c>
      <x:c r="I378" s="28" t="str">
        <x:v>зелёный, карамельный, сливочный, фруктовый, цветочный</x:v>
      </x:c>
      <x:c r="J378" s="28" t="str">
        <x:v>зелёный, фруктовый, цветочный</x:v>
      </x:c>
      <x:c r="K378" s="28" t="str">
        <x:v>линалоол, мезифуран, фуранеол, цис-3-гексеналь, этилбутират</x:v>
      </x:c>
      <x:c r="L378" s="28" t="str">
        <x:v>лактоны, терпены, эфиры</x:v>
      </x:c>
      <x:c r="M378" s="28" t="str">
        <x:v>зелёный, фруктовый, цветочный</x:v>
      </x:c>
      <x:c r="N378" s="28" t="str">
        <x:v>не подтверждены; механизм не сводится к одной общей молекуле</x:v>
      </x:c>
      <x:c r="O378" s="28" t="str">
        <x:v>сходство ароматических семейств + комплементарность</x:v>
      </x:c>
      <x:c r="P378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378" s="28" t="str">
        <x:v>Специфического тройничного эффекта обычно нет; кислотность усиливает слюноотделение.</x:v>
      </x:c>
      <x:c r="R378" s="28" t="str">
        <x:v>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</x:v>
      </x:c>
      <x:c r="S37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78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7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78" s="28" t="str">
        <x:v>ваниль или лимон</x:v>
      </x:c>
      <x:c r="W37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78" s="28" t="str">
        <x:v>напитки; десерты</x:v>
      </x:c>
      <x:c r="Y378" s="28" t="str">
        <x:v>Высокая</x:v>
      </x:c>
      <x:c r="Z378" s="28" t="str">
        <x:v>The Art &amp; Science of Foodpairing; Таблица сочетаний</x:v>
      </x:c>
      <x:c r="AA378" s="28" t="str">
        <x:v>The Art &amp; Science of Foodpairing: 42; Таблица сочетаний: 10, 20</x:v>
      </x:c>
      <x:c r="AB378" s="28" t="str">
        <x:v>Киви: клубника | Клубника: киви | Ingredient pairings with Kiwi: strawberry</x:v>
      </x:c>
      <x:c r="AC378" s="28" t="n">
        <x:v>2</x:v>
      </x:c>
      <x:c r="AD378" s="28" t="n">
        <x:v>3</x:v>
      </x:c>
    </x:row>
    <x:row r="379" ht="58" customHeight="1">
      <x:c r="A379" s="28" t="str">
        <x:v>BER-0378</x:v>
      </x:c>
      <x:c r="B379" s="28" t="str">
        <x:v>Десерты и выпечка</x:v>
      </x:c>
      <x:c r="C379" s="28" t="str">
        <x:v>клубника</x:v>
      </x:c>
      <x:c r="D379" s="28" t="str">
        <x:v>Клубника</x:v>
      </x:c>
      <x:c r="E379" s="28" t="str">
        <x:v>Ягоды и производные</x:v>
      </x:c>
      <x:c r="F379" s="28" t="str">
        <x:v>кленовый сироп</x:v>
      </x:c>
      <x:c r="G379" s="28" t="str">
        <x:v>кленовый сироп</x:v>
      </x:c>
      <x:c r="H379" s="28" t="str">
        <x:v>Подсластители</x:v>
      </x:c>
      <x:c r="I379" s="28" t="str">
        <x:v>зелёный, карамельный, сливочный, фруктовый, цветочный</x:v>
      </x:c>
      <x:c r="J379" s="28" t="str">
        <x:v>карамельный, медовый, сладкий</x:v>
      </x:c>
      <x:c r="K379" s="28" t="str">
        <x:v>линалоол, мезифуран, фуранеол, цис-3-гексеналь, этилбутират</x:v>
      </x:c>
      <x:c r="L379" s="28" t="str">
        <x:v>норизопреноиды, фураны, цветочные одоранты</x:v>
      </x:c>
      <x:c r="M379" s="28" t="str">
        <x:v>карамельный</x:v>
      </x:c>
      <x:c r="N379" s="28" t="str">
        <x:v>не подтверждены; механизм не сводится к одной общей молекуле</x:v>
      </x:c>
      <x:c r="O379" s="28" t="str">
        <x:v>сходство ароматических семейств + комплементарность</x:v>
      </x:c>
      <x:c r="P379" s="28" t="str">
        <x:v>Оба компонента формируют сладко-кислый и сладкий контур; сахар, кислота и горечь должны быть выровнены дегустацией.</x:v>
      </x:c>
      <x:c r="Q379" s="28" t="str">
        <x:v>Специфического тройничного эффекта обычно нет; кислотность усиливает слюноотделение.</x:v>
      </x:c>
      <x:c r="R379" s="28" t="str">
        <x:v>Ягода: высокая доля воды; аромат чувствителен к перегреву. Партнёр: вязкая водная матрица снижает летучесть. В воде аромат раскрывается быстрее, в жире и этаноле — дольше удерживается.</x:v>
      </x:c>
      <x:c r="S37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79" s="28" t="str">
        <x:v>Общие ароматические семейства: карамельный;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карамельный, медовый, сладкий. Оба компонента формируют сладко-кислый и сладкий контур; сахар, кислота и горечь должны быть выровнены дегустацией. Ягода: высокая доля воды; аромат чувствителен к перегреву. Партнёр: вязкая водная матрица снижает летучесть.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7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79" s="28" t="str">
        <x:v>цитрус или соль</x:v>
      </x:c>
      <x:c r="W37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79" s="28" t="str">
        <x:v>напитки; десерты</x:v>
      </x:c>
      <x:c r="Y379" s="28" t="str">
        <x:v>Средняя</x:v>
      </x:c>
      <x:c r="Z379" s="28" t="str">
        <x:v>Таблица сочетаний</x:v>
      </x:c>
      <x:c r="AA379" s="28" t="str">
        <x:v>Таблица сочетаний: 20</x:v>
      </x:c>
      <x:c r="AB379" s="28" t="str">
        <x:v>Клубника: кленовый сироп</x:v>
      </x:c>
      <x:c r="AC379" s="28" t="n">
        <x:v>1</x:v>
      </x:c>
      <x:c r="AD379" s="28" t="n">
        <x:v>1</x:v>
      </x:c>
    </x:row>
    <x:row r="380" ht="58" customHeight="1">
      <x:c r="A380" s="28" t="str">
        <x:v>BER-0379</x:v>
      </x:c>
      <x:c r="B380" s="28" t="str">
        <x:v>Универсальные</x:v>
      </x:c>
      <x:c r="C380" s="28" t="str">
        <x:v>клубника</x:v>
      </x:c>
      <x:c r="D380" s="28" t="str">
        <x:v>Strawberry</x:v>
      </x:c>
      <x:c r="E380" s="28" t="str">
        <x:v>Ягоды и производные</x:v>
      </x:c>
      <x:c r="F380" s="28" t="str">
        <x:v>клубника сорта Elsanta</x:v>
      </x:c>
      <x:c r="G380" s="28" t="str">
        <x:v>Elsanta strawberry</x:v>
      </x:c>
      <x:c r="H380" s="28" t="str">
        <x:v>Ягоды и производные</x:v>
      </x:c>
      <x:c r="I380" s="28" t="str">
        <x:v>зелёный, карамельный, сливочный, фруктовый, цветочный</x:v>
      </x:c>
      <x:c r="J380" s="28" t="str">
        <x:v>зелёный, карамельный, сливочный, фруктовый, цветочный</x:v>
      </x:c>
      <x:c r="K380" s="28" t="str">
        <x:v>линалоол, мезифуран, фуранеол, цис-3-гексеналь, этилбутират</x:v>
      </x:c>
      <x:c r="L380" s="28" t="str">
        <x:v>линалоол, мезифуран, фуранеол, цис-3-гексеналь, этилбутират</x:v>
      </x:c>
      <x:c r="M380" s="28" t="str">
        <x:v>зелёный, карамельный, сливочный, фруктовый, цветочный</x:v>
      </x:c>
      <x:c r="N380" s="28" t="str">
        <x:v>линалоол, мезифуран, фуранеол, цис-3-гексеналь, этилбутират</x:v>
      </x:c>
      <x:c r="O380" s="28" t="str">
        <x:v>ароматическое сходство + вкусовой баланс</x:v>
      </x:c>
      <x:c r="P380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380" s="28" t="str">
        <x:v>Специфического тройничного эффекта обычно нет; кислотность усиливает слюноотделение.</x:v>
      </x:c>
      <x:c r="R380" s="28" t="str">
        <x:v>Ягода: высокая доля воды; аромат чувствителен к перегреву. Партнёр: высокая доля воды; аромат чувствителен к перегреву. В воде аромат раскрывается быстрее, в жире и этаноле — дольше удерживается.</x:v>
      </x:c>
      <x:c r="S38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80" s="28" t="str">
        <x:v>Прямой вероятный молекулярный мост: линалоол, мезифуран, фуранеол, цис-3-гексеналь, этилбутират. Ягодный компонент несёт семейства зелёный, карамельный, сливочный, фруктовый, цветочный; партнёр — зелёный, карамельный, сливочный,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аромат чувствителен к перегреву.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8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80" s="28" t="str">
        <x:v>ваниль или роза</x:v>
      </x:c>
      <x:c r="W38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80" s="28" t="str">
        <x:v>напитки; десерты</x:v>
      </x:c>
      <x:c r="Y380" s="28" t="str">
        <x:v>Средняя</x:v>
      </x:c>
      <x:c r="Z380" s="28" t="str">
        <x:v>The Art &amp; Science of Foodpairing</x:v>
      </x:c>
      <x:c r="AA380" s="28" t="str">
        <x:v>The Art &amp; Science of Foodpairing: 70</x:v>
      </x:c>
      <x:c r="AB380" s="28" t="str">
        <x:v>Ingredient pairings with Strawberry: Elsanta strawberry</x:v>
      </x:c>
      <x:c r="AC380" s="28" t="n">
        <x:v>1</x:v>
      </x:c>
      <x:c r="AD380" s="28" t="n">
        <x:v>1</x:v>
      </x:c>
    </x:row>
    <x:row r="381" ht="58" customHeight="1">
      <x:c r="A381" s="28" t="str">
        <x:v>BER-0380</x:v>
      </x:c>
      <x:c r="B381" s="28" t="str">
        <x:v>Универсальные</x:v>
      </x:c>
      <x:c r="C381" s="28" t="str">
        <x:v>клубника</x:v>
      </x:c>
      <x:c r="D381" s="28" t="str">
        <x:v>Клубника | клубника</x:v>
      </x:c>
      <x:c r="E381" s="28" t="str">
        <x:v>Ягоды и производные</x:v>
      </x:c>
      <x:c r="F381" s="28" t="str">
        <x:v>кокос</x:v>
      </x:c>
      <x:c r="G381" s="28" t="str">
        <x:v>Кокос | кокос</x:v>
      </x:c>
      <x:c r="H381" s="28" t="str">
        <x:v>Прочее</x:v>
      </x:c>
      <x:c r="I381" s="28" t="str">
        <x:v>зелёный, карамельный, сливочный, фруктовый, цветочный</x:v>
      </x:c>
      <x:c r="J381" s="28" t="str">
        <x:v>комплексный</x:v>
      </x:c>
      <x:c r="K381" s="28" t="str">
        <x:v>линалоол, мезифуран, фуранеол, цис-3-гексеналь, этилбутират</x:v>
      </x:c>
      <x:c r="L381" s="28" t="str">
        <x:v>нет надёжной конкретизации</x:v>
      </x:c>
      <x:c r="M381" s="28" t="str">
        <x:v>прямое совпадение семейств не установлено</x:v>
      </x:c>
      <x:c r="N381" s="28" t="str">
        <x:v>не подтверждены; механизм не сводится к одной общей молекуле</x:v>
      </x:c>
      <x:c r="O381" s="28" t="str">
        <x:v>контраст/комплементарность + матричный эффект</x:v>
      </x:c>
      <x:c r="P381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81" s="28" t="str">
        <x:v>Специфического тройничного эффекта обычно нет; кислотность усиливает слюноотделение.</x:v>
      </x:c>
      <x:c r="R381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8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8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8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81" s="28" t="str">
        <x:v>лимон или ваниль</x:v>
      </x:c>
      <x:c r="W381" s="28" t="str">
        <x:v>сенсорная проба в малой дозировке</x:v>
      </x:c>
      <x:c r="X381" s="28" t="str">
        <x:v>универсально</x:v>
      </x:c>
      <x:c r="Y381" s="28" t="str">
        <x:v>Высокая</x:v>
      </x:c>
      <x:c r="Z381" s="28" t="str">
        <x:v>Таблица сочетаний; Тезариус вкусов</x:v>
      </x:c>
      <x:c r="AA381" s="28" t="str">
        <x:v>Тезариус вкусов: 694, 757; Таблица сочетаний: 20</x:v>
      </x:c>
      <x:c r="AB381" s="28" t="str">
        <x:v>Клубника и кокос. Французский шеф-повар Ми- шель Бра (Michel Bras) разрезает свежую клубнику на половинки, а затем на еще более мелкие кусочки и погружает их в кокосовый крем, получая элегант- ный террин. На чистом белом фоне ломтики клубники | Кокос и клубника. См. Клубника и кокос | Клубника: кокос</x:v>
      </x:c>
      <x:c r="AC381" s="28" t="n">
        <x:v>2</x:v>
      </x:c>
      <x:c r="AD381" s="28" t="n">
        <x:v>3</x:v>
      </x:c>
    </x:row>
    <x:row r="382" ht="58" customHeight="1">
      <x:c r="A382" s="28" t="str">
        <x:v>BER-0381</x:v>
      </x:c>
      <x:c r="B382" s="28" t="str">
        <x:v>Универсальные</x:v>
      </x:c>
      <x:c r="C382" s="28" t="str">
        <x:v>клубника</x:v>
      </x:c>
      <x:c r="D382" s="28" t="str">
        <x:v>strawberry | Клубника | клубника</x:v>
      </x:c>
      <x:c r="E382" s="28" t="str">
        <x:v>Ягоды и производные</x:v>
      </x:c>
      <x:c r="F382" s="28" t="str">
        <x:v>кориандр</x:v>
      </x:c>
      <x:c r="G382" s="28" t="str">
        <x:v>Coriander | Кориандр | кориандр</x:v>
      </x:c>
      <x:c r="H382" s="28" t="str">
        <x:v>Прочее</x:v>
      </x:c>
      <x:c r="I382" s="28" t="str">
        <x:v>зелёный, карамельный, сливочный, фруктовый, цветочный</x:v>
      </x:c>
      <x:c r="J382" s="28" t="str">
        <x:v>комплексный</x:v>
      </x:c>
      <x:c r="K382" s="28" t="str">
        <x:v>линалоол, мезифуран, фуранеол, цис-3-гексеналь, этилбутират</x:v>
      </x:c>
      <x:c r="L382" s="28" t="str">
        <x:v>нет надёжной конкретизации</x:v>
      </x:c>
      <x:c r="M382" s="28" t="str">
        <x:v>прямое совпадение семейств не установлено</x:v>
      </x:c>
      <x:c r="N382" s="28" t="str">
        <x:v>не подтверждены; механизм не сводится к одной общей молекуле</x:v>
      </x:c>
      <x:c r="O382" s="28" t="str">
        <x:v>контраст/комплементарность + матричный эффект</x:v>
      </x:c>
      <x:c r="P382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82" s="28" t="str">
        <x:v>Специфического тройничного эффекта обычно нет; кислотность усиливает слюноотделение.</x:v>
      </x:c>
      <x:c r="R382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8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8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8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82" s="28" t="str">
        <x:v>лимон или ваниль</x:v>
      </x:c>
      <x:c r="W382" s="28" t="str">
        <x:v>сенсорная проба в малой дозировке</x:v>
      </x:c>
      <x:c r="X382" s="28" t="str">
        <x:v>универсально</x:v>
      </x:c>
      <x:c r="Y382" s="28" t="str">
        <x:v>Высокая</x:v>
      </x:c>
      <x:c r="Z382" s="28" t="str">
        <x:v>The Art &amp; Science of Foodpairing; Таблица сочетаний</x:v>
      </x:c>
      <x:c r="AA382" s="28" t="str">
        <x:v>The Art &amp; Science of Foodpairing: 98; Таблица сочетаний: 6, 20</x:v>
      </x:c>
      <x:c r="AB382" s="28" t="str">
        <x:v>Кориандр: клубника | Клубника: кориандр | Ingredient pairings with Coriander: strawberry</x:v>
      </x:c>
      <x:c r="AC382" s="28" t="n">
        <x:v>2</x:v>
      </x:c>
      <x:c r="AD382" s="28" t="n">
        <x:v>3</x:v>
      </x:c>
    </x:row>
    <x:row r="383" ht="58" customHeight="1">
      <x:c r="A383" s="28" t="str">
        <x:v>BER-0382</x:v>
      </x:c>
      <x:c r="B383" s="28" t="str">
        <x:v>Универсальные</x:v>
      </x:c>
      <x:c r="C383" s="28" t="str">
        <x:v>клубника</x:v>
      </x:c>
      <x:c r="D383" s="28" t="str">
        <x:v>strawberry | Клубника | клубника</x:v>
      </x:c>
      <x:c r="E383" s="28" t="str">
        <x:v>Ягоды и производные</x:v>
      </x:c>
      <x:c r="F383" s="28" t="str">
        <x:v>корица</x:v>
      </x:c>
      <x:c r="G383" s="28" t="str">
        <x:v>Cinnamon | Корица | корица</x:v>
      </x:c>
      <x:c r="H383" s="28" t="str">
        <x:v>Специи</x:v>
      </x:c>
      <x:c r="I383" s="28" t="str">
        <x:v>зелёный, карамельный, сливочный, фруктовый, цветочный</x:v>
      </x:c>
      <x:c r="J383" s="28" t="str">
        <x:v>древесный, пряный, тёплый</x:v>
      </x:c>
      <x:c r="K383" s="28" t="str">
        <x:v>линалоол, мезифуран, фуранеол, цис-3-гексеналь, этилбутират</x:v>
      </x:c>
      <x:c r="L383" s="28" t="str">
        <x:v>коричный альдегид, терпены, эвгенол</x:v>
      </x:c>
      <x:c r="M383" s="28" t="str">
        <x:v>прямое совпадение семейств не установлено</x:v>
      </x:c>
      <x:c r="N383" s="28" t="str">
        <x:v>не подтверждены; механизм не сводится к одной общей молекуле</x:v>
      </x:c>
      <x:c r="O383" s="28" t="str">
        <x:v>контраст/комплементарность + матричный эффект</x:v>
      </x:c>
      <x:c r="P383" s="28" t="str">
        <x:v>Ягодная сладость смягчает горечь и пряность, а кислотность делает пряный, иногда горький профиль ярче.</x:v>
      </x:c>
      <x:c r="Q383" s="28" t="str">
        <x:v>Специфического тройничного эффекта обычно нет; кислотность усиливает слюноотделение.</x:v>
      </x:c>
      <x:c r="R383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38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8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83" s="28" t="str">
        <x:v>Пряность дозировать как акцент: она быстро перекрывает тонкие ягодные эфиры.</x:v>
      </x:c>
      <x:c r="V383" s="28" t="str">
        <x:v>мёд или цитрус</x:v>
      </x:c>
      <x:c r="W38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383" s="28" t="str">
        <x:v>напитки; десерты; еда; соусы/маринады</x:v>
      </x:c>
      <x:c r="Y383" s="28" t="str">
        <x:v>Высокая</x:v>
      </x:c>
      <x:c r="Z383" s="28" t="str">
        <x:v>The Art &amp; Science of Foodpairing; Тезариус вкусов</x:v>
      </x:c>
      <x:c r="AA383" s="28" t="str">
        <x:v>Тезариус вкусов: 577, 695; The Art &amp; Science of Foodpairing: 131</x:v>
      </x:c>
      <x:c r="AB383" s="28" t="str">
        <x:v>Корица и клубника. См. Клубника и корица | Клубника и корица. Клубника имеет во вкусе на- мек на сахарную вату. Корица любит сахар и фрукты. Подогретая пара испускает соблазнительный земли- стый аромат. Чтобы сделать непреодолимо аппетит- ную сладкую закуску, приготовьте тостер для сэндви- чей и намажьте сливочным маслом два тоста из бе- лого хлеба. Один из этих ломтиков (на той стороне, где нет масла) щедро намажьте клубничным джемом, а на другой добавьте еще масла и хорошо посыпь- те его молотой корицей. Сложите из тостов сэндвич так, чтобы масло оказалось снаружи только с одной стороны, и прогрейте в тостере до тех пор, пока све- жий хлеб не зазолотится (по существу, он должен на-  | Ingredient pairings with Cinnamon: strawberry</x:v>
      </x:c>
      <x:c r="AC383" s="28" t="n">
        <x:v>2</x:v>
      </x:c>
      <x:c r="AD383" s="28" t="n">
        <x:v>3</x:v>
      </x:c>
    </x:row>
    <x:row r="384" ht="58" customHeight="1">
      <x:c r="A384" s="28" t="str">
        <x:v>BER-0383</x:v>
      </x:c>
      <x:c r="B384" s="28" t="str">
        <x:v>Десерты и выпечка</x:v>
      </x:c>
      <x:c r="C384" s="28" t="str">
        <x:v>клубника</x:v>
      </x:c>
      <x:c r="D384" s="28" t="str">
        <x:v>strawberry</x:v>
      </x:c>
      <x:c r="E384" s="28" t="str">
        <x:v>Ягоды и производные</x:v>
      </x:c>
      <x:c r="F384" s="28" t="str">
        <x:v>кофе</x:v>
      </x:c>
      <x:c r="G384" s="28" t="str">
        <x:v>Coffee</x:v>
      </x:c>
      <x:c r="H384" s="28" t="str">
        <x:v>Шоколад, кофе и жареные продукты</x:v>
      </x:c>
      <x:c r="I384" s="28" t="str">
        <x:v>зелёный, карамельный, сливочный, фруктовый, цветочный</x:v>
      </x:c>
      <x:c r="J384" s="28" t="str">
        <x:v>горький, жареный, карамельный, ореховый</x:v>
      </x:c>
      <x:c r="K384" s="28" t="str">
        <x:v>линалоол, мезифуран, фуранеол, цис-3-гексеналь, этилбутират</x:v>
      </x:c>
      <x:c r="L384" s="28" t="str">
        <x:v>ванилин, пиразины, фураны</x:v>
      </x:c>
      <x:c r="M384" s="28" t="str">
        <x:v>карамельный</x:v>
      </x:c>
      <x:c r="N384" s="28" t="str">
        <x:v>не подтверждены; механизм не сводится к одной общей молекуле</x:v>
      </x:c>
      <x:c r="O384" s="28" t="str">
        <x:v>сходство ароматических семейств + комплементарность</x:v>
      </x:c>
      <x:c r="P384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384" s="28" t="str">
        <x:v>Специфического тройничного эффекта обычно нет; кислотность усиливает слюноотделение.</x:v>
      </x:c>
      <x:c r="R384" s="28" t="str">
        <x:v>Жировая фаза удерживает гидрофобные одоранты и продлевает послевкусие; кислотность ягод повышает слюноотделение.</x:v>
      </x:c>
      <x:c r="S38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84" s="28" t="str">
        <x:v>Общие ароматические семейства: карамельный;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8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84" s="28" t="str">
        <x:v>ваниль или орехи</x:v>
      </x:c>
      <x:c r="W384" s="28" t="str">
        <x:v>сорбет, крем, ганаш, выпечка, джем или соус для десерта</x:v>
      </x:c>
      <x:c r="X384" s="28" t="str">
        <x:v>десерты</x:v>
      </x:c>
      <x:c r="Y384" s="28" t="str">
        <x:v>Средняя</x:v>
      </x:c>
      <x:c r="Z384" s="28" t="str">
        <x:v>The Art &amp; Science of Foodpairing</x:v>
      </x:c>
      <x:c r="AA384" s="28" t="str">
        <x:v>The Art &amp; Science of Foodpairing: 297</x:v>
      </x:c>
      <x:c r="AB384" s="28" t="str">
        <x:v>Ingredient pairings with Coffee: strawberry | Ingredient pairings with Coffee: strawberry</x:v>
      </x:c>
      <x:c r="AC384" s="28" t="n">
        <x:v>1</x:v>
      </x:c>
      <x:c r="AD384" s="28" t="n">
        <x:v>2</x:v>
      </x:c>
    </x:row>
    <x:row r="385" ht="58" customHeight="1">
      <x:c r="A385" s="28" t="str">
        <x:v>BER-0384</x:v>
      </x:c>
      <x:c r="B385" s="28" t="str">
        <x:v>Универсальные</x:v>
      </x:c>
      <x:c r="C385" s="28" t="str">
        <x:v>клубника</x:v>
      </x:c>
      <x:c r="D385" s="28" t="str">
        <x:v>Клубника</x:v>
      </x:c>
      <x:c r="E385" s="28" t="str">
        <x:v>Ягоды и производные</x:v>
      </x:c>
      <x:c r="F385" s="28" t="str">
        <x:v>кумкват</x:v>
      </x:c>
      <x:c r="G385" s="28" t="str">
        <x:v>кумкват</x:v>
      </x:c>
      <x:c r="H385" s="28" t="str">
        <x:v>Прочее</x:v>
      </x:c>
      <x:c r="I385" s="28" t="str">
        <x:v>зелёный, карамельный, сливочный, фруктовый, цветочный</x:v>
      </x:c>
      <x:c r="J385" s="28" t="str">
        <x:v>комплексный</x:v>
      </x:c>
      <x:c r="K385" s="28" t="str">
        <x:v>линалоол, мезифуран, фуранеол, цис-3-гексеналь, этилбутират</x:v>
      </x:c>
      <x:c r="L385" s="28" t="str">
        <x:v>нет надёжной конкретизации</x:v>
      </x:c>
      <x:c r="M385" s="28" t="str">
        <x:v>прямое совпадение семейств не установлено</x:v>
      </x:c>
      <x:c r="N385" s="28" t="str">
        <x:v>не подтверждены; механизм не сводится к одной общей молекуле</x:v>
      </x:c>
      <x:c r="O385" s="28" t="str">
        <x:v>контраст/комплементарность + матричный эффект</x:v>
      </x:c>
      <x:c r="P385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85" s="28" t="str">
        <x:v>Специфического тройничного эффекта обычно нет; кислотность усиливает слюноотделение.</x:v>
      </x:c>
      <x:c r="R385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8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8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8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85" s="28" t="str">
        <x:v>лимон или ваниль</x:v>
      </x:c>
      <x:c r="W385" s="28" t="str">
        <x:v>сенсорная проба в малой дозировке</x:v>
      </x:c>
      <x:c r="X385" s="28" t="str">
        <x:v>универсально</x:v>
      </x:c>
      <x:c r="Y385" s="28" t="str">
        <x:v>Средняя</x:v>
      </x:c>
      <x:c r="Z385" s="28" t="str">
        <x:v>Таблица сочетаний</x:v>
      </x:c>
      <x:c r="AA385" s="28" t="str">
        <x:v>Таблица сочетаний: 20</x:v>
      </x:c>
      <x:c r="AB385" s="28" t="str">
        <x:v>Клубника: кумкват</x:v>
      </x:c>
      <x:c r="AC385" s="28" t="n">
        <x:v>1</x:v>
      </x:c>
      <x:c r="AD385" s="28" t="n">
        <x:v>1</x:v>
      </x:c>
    </x:row>
    <x:row r="386" ht="58" customHeight="1">
      <x:c r="A386" s="28" t="str">
        <x:v>BER-0385</x:v>
      </x:c>
      <x:c r="B386" s="28" t="str">
        <x:v>Универсальные</x:v>
      </x:c>
      <x:c r="C386" s="28" t="str">
        <x:v>клубника</x:v>
      </x:c>
      <x:c r="D386" s="28" t="str">
        <x:v>strawberry | клубника</x:v>
      </x:c>
      <x:c r="E386" s="28" t="str">
        <x:v>Ягоды и производные</x:v>
      </x:c>
      <x:c r="F386" s="28" t="str">
        <x:v>лемонграсс</x:v>
      </x:c>
      <x:c r="G386" s="28" t="str">
        <x:v>Lemongrass | Лемонграсс</x:v>
      </x:c>
      <x:c r="H386" s="28" t="str">
        <x:v>Прочее</x:v>
      </x:c>
      <x:c r="I386" s="28" t="str">
        <x:v>зелёный, карамельный, сливочный, фруктовый, цветочный</x:v>
      </x:c>
      <x:c r="J386" s="28" t="str">
        <x:v>комплексный</x:v>
      </x:c>
      <x:c r="K386" s="28" t="str">
        <x:v>линалоол, мезифуран, фуранеол, цис-3-гексеналь, этилбутират</x:v>
      </x:c>
      <x:c r="L386" s="28" t="str">
        <x:v>нет надёжной конкретизации</x:v>
      </x:c>
      <x:c r="M386" s="28" t="str">
        <x:v>прямое совпадение семейств не установлено</x:v>
      </x:c>
      <x:c r="N386" s="28" t="str">
        <x:v>не подтверждены; механизм не сводится к одной общей молекуле</x:v>
      </x:c>
      <x:c r="O386" s="28" t="str">
        <x:v>контраст/комплементарность + матричный эффект</x:v>
      </x:c>
      <x:c r="P386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86" s="28" t="str">
        <x:v>Специфического тройничного эффекта обычно нет; кислотность усиливает слюноотделение.</x:v>
      </x:c>
      <x:c r="R386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8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8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8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86" s="28" t="str">
        <x:v>лимон или ваниль</x:v>
      </x:c>
      <x:c r="W386" s="28" t="str">
        <x:v>сенсорная проба в малой дозировке</x:v>
      </x:c>
      <x:c r="X386" s="28" t="str">
        <x:v>универсально</x:v>
      </x:c>
      <x:c r="Y386" s="28" t="str">
        <x:v>Высокая</x:v>
      </x:c>
      <x:c r="Z386" s="28" t="str">
        <x:v>The Art &amp; Science of Foodpairing; Таблица сочетаний</x:v>
      </x:c>
      <x:c r="AA386" s="28" t="str">
        <x:v>The Art &amp; Science of Foodpairing: 147; Таблица сочетаний: 11</x:v>
      </x:c>
      <x:c r="AB386" s="28" t="str">
        <x:v>Лемонграсс: клубника | Ingredient pairings with Lemongrass: strawberry</x:v>
      </x:c>
      <x:c r="AC386" s="28" t="n">
        <x:v>2</x:v>
      </x:c>
      <x:c r="AD386" s="28" t="n">
        <x:v>2</x:v>
      </x:c>
    </x:row>
    <x:row r="387" ht="58" customHeight="1">
      <x:c r="A387" s="28" t="str">
        <x:v>BER-0386</x:v>
      </x:c>
      <x:c r="B387" s="28" t="str">
        <x:v>Напитки</x:v>
      </x:c>
      <x:c r="C387" s="28" t="str">
        <x:v>клубника</x:v>
      </x:c>
      <x:c r="D387" s="28" t="str">
        <x:v>strawberry</x:v>
      </x:c>
      <x:c r="E387" s="28" t="str">
        <x:v>Ягоды и производные</x:v>
      </x:c>
      <x:c r="F387" s="28" t="str">
        <x:v>лимон и лайм</x:v>
      </x:c>
      <x:c r="G387" s="28" t="str">
        <x:v>Lemon&amp;Lime</x:v>
      </x:c>
      <x:c r="H387" s="28" t="str">
        <x:v>Цитрусовые</x:v>
      </x:c>
      <x:c r="I387" s="28" t="str">
        <x:v>зелёный, карамельный, сливочный, фруктовый, цветочный</x:v>
      </x:c>
      <x:c r="J387" s="28" t="str">
        <x:v>зелёный, цветочный, цитрусовый</x:v>
      </x:c>
      <x:c r="K387" s="28" t="str">
        <x:v>линалоол, мезифуран, фуранеол, цис-3-гексеналь, этилбутират</x:v>
      </x:c>
      <x:c r="L387" s="28" t="str">
        <x:v>лимонен, линалоол, цитраль</x:v>
      </x:c>
      <x:c r="M387" s="28" t="str">
        <x:v>зелёный, цветочный</x:v>
      </x:c>
      <x:c r="N387" s="28" t="str">
        <x:v>линалоол</x:v>
      </x:c>
      <x:c r="O387" s="28" t="str">
        <x:v>ароматическое сходство + вкусовой баланс</x:v>
      </x:c>
      <x:c r="P387" s="28" t="str">
        <x:v>Оба компонента формируют сладко-кислый и кислый, свежий контур; сахар, кислота и горечь должны быть выровнены дегустацией.</x:v>
      </x:c>
      <x:c r="Q387" s="28" t="str">
        <x:v>Специфического тройничного эффекта обычно нет; кислотность усиливает слюноотделение.</x:v>
      </x:c>
      <x:c r="R387" s="28" t="str">
        <x:v>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</x:v>
      </x:c>
      <x:c r="S38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87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8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87" s="28" t="str">
        <x:v>мёд или базилик</x:v>
      </x:c>
      <x:c r="W387" s="28" t="str">
        <x:v>кордиал, лимонад, чай, коктейль, настой или ферментированный напиток; маринад, гастрик, чатни, кетчуп или редукция</x:v>
      </x:c>
      <x:c r="X387" s="28" t="str">
        <x:v>напитки; соусы/маринады</x:v>
      </x:c>
      <x:c r="Y387" s="28" t="str">
        <x:v>Средняя</x:v>
      </x:c>
      <x:c r="Z387" s="28" t="str">
        <x:v>The Art &amp; Science of Foodpairing</x:v>
      </x:c>
      <x:c r="AA387" s="28" t="str">
        <x:v>The Art &amp; Science of Foodpairing: 89</x:v>
      </x:c>
      <x:c r="AB387" s="28" t="str">
        <x:v>Ingredient pairings with Lemon&amp;Lime: strawberry</x:v>
      </x:c>
      <x:c r="AC387" s="28" t="n">
        <x:v>1</x:v>
      </x:c>
      <x:c r="AD387" s="28" t="n">
        <x:v>1</x:v>
      </x:c>
    </x:row>
    <x:row r="388" ht="58" customHeight="1">
      <x:c r="A388" s="28" t="str">
        <x:v>BER-0387</x:v>
      </x:c>
      <x:c r="B388" s="28" t="str">
        <x:v>Универсальные</x:v>
      </x:c>
      <x:c r="C388" s="28" t="str">
        <x:v>клубника</x:v>
      </x:c>
      <x:c r="D388" s="28" t="str">
        <x:v>Strawberry | Клубника</x:v>
      </x:c>
      <x:c r="E388" s="28" t="str">
        <x:v>Ягоды и производные</x:v>
      </x:c>
      <x:c r="F388" s="28" t="str">
        <x:v>личи</x:v>
      </x:c>
      <x:c r="G388" s="28" t="str">
        <x:v>lychee | личи</x:v>
      </x:c>
      <x:c r="H388" s="28" t="str">
        <x:v>Фрукты</x:v>
      </x:c>
      <x:c r="I388" s="28" t="str">
        <x:v>зелёный, карамельный, сливочный, фруктовый, цветочный</x:v>
      </x:c>
      <x:c r="J388" s="28" t="str">
        <x:v>зелёный, фруктовый, цветочный</x:v>
      </x:c>
      <x:c r="K388" s="28" t="str">
        <x:v>линалоол, мезифуран, фуранеол, цис-3-гексеналь, этилбутират</x:v>
      </x:c>
      <x:c r="L388" s="28" t="str">
        <x:v>лактоны, терпены, эфиры</x:v>
      </x:c>
      <x:c r="M388" s="28" t="str">
        <x:v>зелёный, фруктовый, цветочный</x:v>
      </x:c>
      <x:c r="N388" s="28" t="str">
        <x:v>не подтверждены; механизм не сводится к одной общей молекуле</x:v>
      </x:c>
      <x:c r="O388" s="28" t="str">
        <x:v>сходство ароматических семейств + комплементарность</x:v>
      </x:c>
      <x:c r="P388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388" s="28" t="str">
        <x:v>Специфического тройничного эффекта обычно нет; кислотность усиливает слюноотделение.</x:v>
      </x:c>
      <x:c r="R388" s="28" t="str">
        <x:v>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</x:v>
      </x:c>
      <x:c r="S38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88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8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88" s="28" t="str">
        <x:v>ваниль или лимон</x:v>
      </x:c>
      <x:c r="W38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88" s="28" t="str">
        <x:v>напитки; десерты</x:v>
      </x:c>
      <x:c r="Y388" s="28" t="str">
        <x:v>Высокая</x:v>
      </x:c>
      <x:c r="Z388" s="28" t="str">
        <x:v>The Art &amp; Science of Foodpairing; Таблица сочетаний</x:v>
      </x:c>
      <x:c r="AA388" s="28" t="str">
        <x:v>The Art &amp; Science of Foodpairing: 70; Таблица сочетаний: 20</x:v>
      </x:c>
      <x:c r="AB388" s="28" t="str">
        <x:v>Клубника: личи | Ingredient pairings with Strawberry: lychee | Ingredient pairings with Strawberry: lychee</x:v>
      </x:c>
      <x:c r="AC388" s="28" t="n">
        <x:v>2</x:v>
      </x:c>
      <x:c r="AD388" s="28" t="n">
        <x:v>3</x:v>
      </x:c>
    </x:row>
    <x:row r="389" ht="58" customHeight="1">
      <x:c r="A389" s="28" t="str">
        <x:v>BER-0388</x:v>
      </x:c>
      <x:c r="B389" s="28" t="str">
        <x:v>Десерты и выпечка</x:v>
      </x:c>
      <x:c r="C389" s="28" t="str">
        <x:v>клубника</x:v>
      </x:c>
      <x:c r="D389" s="28" t="str">
        <x:v>клубника</x:v>
      </x:c>
      <x:c r="E389" s="28" t="str">
        <x:v>Ягоды и производные</x:v>
      </x:c>
      <x:c r="F389" s="28" t="str">
        <x:v>макадамия</x:v>
      </x:c>
      <x:c r="G389" s="28" t="str">
        <x:v>Макадамия</x:v>
      </x:c>
      <x:c r="H389" s="28" t="str">
        <x:v>Орехи и семена</x:v>
      </x:c>
      <x:c r="I389" s="28" t="str">
        <x:v>зелёный, карамельный, сливочный, фруктовый, цветочный</x:v>
      </x:c>
      <x:c r="J389" s="28" t="str">
        <x:v>жареный, миндальный, ореховый</x:v>
      </x:c>
      <x:c r="K389" s="28" t="str">
        <x:v>линалоол, мезифуран, фуранеол, цис-3-гексеналь, этилбутират</x:v>
      </x:c>
      <x:c r="L389" s="28" t="str">
        <x:v>бензальдегид, пиразины, фураны</x:v>
      </x:c>
      <x:c r="M389" s="28" t="str">
        <x:v>прямое совпадение семейств не установлено</x:v>
      </x:c>
      <x:c r="N389" s="28" t="str">
        <x:v>не подтверждены; механизм не сводится к одной общей молекуле</x:v>
      </x:c>
      <x:c r="O389" s="28" t="str">
        <x:v>контраст/комплементарность + матричный эффект</x:v>
      </x:c>
      <x:c r="P389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389" s="28" t="str">
        <x:v>Специфического тройничного эффекта обычно нет; кислотность усиливает слюноотделение.</x:v>
      </x:c>
      <x:c r="R389" s="28" t="str">
        <x:v>Жировая фаза удерживает гидрофобные одоранты и продлевает послевкусие; кислотность ягод повышает слюноотделение.</x:v>
      </x:c>
      <x:c r="S38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8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8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89" s="28" t="str">
        <x:v>ваниль или сливки</x:v>
      </x:c>
      <x:c r="W389" s="28" t="str">
        <x:v>сорбет, крем, ганаш, выпечка, джем или соус для десерта</x:v>
      </x:c>
      <x:c r="X389" s="28" t="str">
        <x:v>десерты</x:v>
      </x:c>
      <x:c r="Y389" s="28" t="str">
        <x:v>Средняя</x:v>
      </x:c>
      <x:c r="Z389" s="28" t="str">
        <x:v>Таблица сочетаний</x:v>
      </x:c>
      <x:c r="AA389" s="28" t="str">
        <x:v>Таблица сочетаний: 12</x:v>
      </x:c>
      <x:c r="AB389" s="28" t="str">
        <x:v>Макадамия: клубника</x:v>
      </x:c>
      <x:c r="AC389" s="28" t="n">
        <x:v>1</x:v>
      </x:c>
      <x:c r="AD389" s="28" t="n">
        <x:v>1</x:v>
      </x:c>
    </x:row>
    <x:row r="390" ht="58" customHeight="1">
      <x:c r="A390" s="28" t="str">
        <x:v>BER-0389</x:v>
      </x:c>
      <x:c r="B390" s="28" t="str">
        <x:v>Универсальные</x:v>
      </x:c>
      <x:c r="C390" s="28" t="str">
        <x:v>клубника</x:v>
      </x:c>
      <x:c r="D390" s="28" t="str">
        <x:v>Strawberry | Клубника | клубника</x:v>
      </x:c>
      <x:c r="E390" s="28" t="str">
        <x:v>Ягоды и производные</x:v>
      </x:c>
      <x:c r="F390" s="28" t="str">
        <x:v>малина</x:v>
      </x:c>
      <x:c r="G390" s="28" t="str">
        <x:v>raspberry | Малина | малина</x:v>
      </x:c>
      <x:c r="H390" s="28" t="str">
        <x:v>Ягоды и производные</x:v>
      </x:c>
      <x:c r="I390" s="28" t="str">
        <x:v>зелёный, карамельный, сливочный, фруктовый, цветочный</x:v>
      </x:c>
      <x:c r="J390" s="28" t="str">
        <x:v>древесный, зелёный, фиалковый, фруктовый, цветочный</x:v>
      </x:c>
      <x:c r="K390" s="28" t="str">
        <x:v>линалоол, мезифуран, фуранеол, цис-3-гексеналь, этилбутират</x:v>
      </x:c>
      <x:c r="L390" s="28" t="str">
        <x:v>альфа-ионон, бета-ионон, гераниол, линалоол, малиновый кетон</x:v>
      </x:c>
      <x:c r="M390" s="28" t="str">
        <x:v>зелёный, фруктовый, цветочный</x:v>
      </x:c>
      <x:c r="N390" s="28" t="str">
        <x:v>линалоол</x:v>
      </x:c>
      <x:c r="O390" s="28" t="str">
        <x:v>ароматическое сходство + вкусовой баланс</x:v>
      </x:c>
      <x:c r="P390" s="28" t="str">
        <x:v>Оба компонента формируют сладко-кислый и кисло-сладкий контур; сахар, кислота и горечь должны быть выровнены дегустацией.</x:v>
      </x:c>
      <x:c r="Q390" s="28" t="str">
        <x:v>Специфического тройничного эффекта обычно нет; кислотность усиливает слюноотделение.</x:v>
      </x:c>
      <x:c r="R390" s="28" t="str">
        <x:v>Ягода: высокая доля воды; аромат чувствителен к перегреву. Партнёр: семена добавляют древесность и лёгкую терпкость. В воде аромат раскрывается быстрее, в жире и этаноле — дольше удерживается.</x:v>
      </x:c>
      <x:c r="S39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90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древесный, зелёный, фиалковый, фруктовый, цветочный. Оба компонента формируют сладко-кислый и кисло-сладкий контур; сахар, кислота и горечь должны быть выровнены дегустацией. Ягода: высокая доля воды; аромат чувствителен к перегреву. Партнёр: семена добавляют древесность и лёгкую терпкость.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9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90" s="28" t="str">
        <x:v>ваниль или роза</x:v>
      </x:c>
      <x:c r="W39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90" s="28" t="str">
        <x:v>напитки; десерты</x:v>
      </x:c>
      <x:c r="Y390" s="28" t="str">
        <x:v>Высокая</x:v>
      </x:c>
      <x:c r="Z390" s="28" t="str">
        <x:v>The Art &amp; Science of Foodpairing; Тезариус вкусов</x:v>
      </x:c>
      <x:c r="AA390" s="28" t="str">
        <x:v>Тезариус вкусов: 696, 887; The Art &amp; Science of Foodpairing: 71</x:v>
      </x:c>
      <x:c r="AB390" s="28" t="str">
        <x:v>Клубника и малина. Это как носить черный с тем- но-синим: они могут «работать» вместе, но… Малина в данном случае выполняет роль черного цвета: она классическая, стильная, элегантная, хорошо сочета- ется с другими «классиками», например шоколадом и ванилью. Клубника – это темно-синий: кажется про- стой, даже простоватой, но на самом деле довольно хитра, и соответствовать ей непросто. Сочетая мали- ну и клубнику, вы должны быть уверены в том, что ни один из компонентов не подавляет другой. Обратите внимание, что они почти всегда объединяются в де- коративных целях – на пирогах, чизкейках, пирожных «Павлова», но как только ягоды перебивают или  | Малина и клубника. См. Клубника и малина | Ingredient pairings with Strawberry: raspberry</x:v>
      </x:c>
      <x:c r="AC390" s="28" t="n">
        <x:v>2</x:v>
      </x:c>
      <x:c r="AD390" s="28" t="n">
        <x:v>3</x:v>
      </x:c>
    </x:row>
    <x:row r="391" ht="58" customHeight="1">
      <x:c r="A391" s="28" t="str">
        <x:v>BER-0390</x:v>
      </x:c>
      <x:c r="B391" s="28" t="str">
        <x:v>Универсальные</x:v>
      </x:c>
      <x:c r="C391" s="28" t="str">
        <x:v>клубника</x:v>
      </x:c>
      <x:c r="D391" s="28" t="str">
        <x:v>Клубника</x:v>
      </x:c>
      <x:c r="E391" s="28" t="str">
        <x:v>Ягоды и производные</x:v>
      </x:c>
      <x:c r="F391" s="28" t="str">
        <x:v>манго</x:v>
      </x:c>
      <x:c r="G391" s="28" t="str">
        <x:v>манго</x:v>
      </x:c>
      <x:c r="H391" s="28" t="str">
        <x:v>Фрукты</x:v>
      </x:c>
      <x:c r="I391" s="28" t="str">
        <x:v>зелёный, карамельный, сливочный, фруктовый, цветочный</x:v>
      </x:c>
      <x:c r="J391" s="28" t="str">
        <x:v>зелёный, фруктовый, цветочный</x:v>
      </x:c>
      <x:c r="K391" s="28" t="str">
        <x:v>линалоол, мезифуран, фуранеол, цис-3-гексеналь, этилбутират</x:v>
      </x:c>
      <x:c r="L391" s="28" t="str">
        <x:v>лактоны, терпены, эфиры</x:v>
      </x:c>
      <x:c r="M391" s="28" t="str">
        <x:v>зелёный, фруктовый, цветочный</x:v>
      </x:c>
      <x:c r="N391" s="28" t="str">
        <x:v>не подтверждены; механизм не сводится к одной общей молекуле</x:v>
      </x:c>
      <x:c r="O391" s="28" t="str">
        <x:v>сходство ароматических семейств + комплементарность</x:v>
      </x:c>
      <x:c r="P391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391" s="28" t="str">
        <x:v>Специфического тройничного эффекта обычно нет; кислотность усиливает слюноотделение.</x:v>
      </x:c>
      <x:c r="R391" s="28" t="str">
        <x:v>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</x:v>
      </x:c>
      <x:c r="S39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91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9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91" s="28" t="str">
        <x:v>ваниль или лимон</x:v>
      </x:c>
      <x:c r="W39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91" s="28" t="str">
        <x:v>напитки; десерты</x:v>
      </x:c>
      <x:c r="Y391" s="28" t="str">
        <x:v>Средняя</x:v>
      </x:c>
      <x:c r="Z391" s="28" t="str">
        <x:v>Таблица сочетаний</x:v>
      </x:c>
      <x:c r="AA391" s="28" t="str">
        <x:v>Таблица сочетаний: 20</x:v>
      </x:c>
      <x:c r="AB391" s="28" t="str">
        <x:v>Клубника: манго</x:v>
      </x:c>
      <x:c r="AC391" s="28" t="n">
        <x:v>1</x:v>
      </x:c>
      <x:c r="AD391" s="28" t="n">
        <x:v>1</x:v>
      </x:c>
    </x:row>
    <x:row r="392" ht="58" customHeight="1">
      <x:c r="A392" s="28" t="str">
        <x:v>BER-0391</x:v>
      </x:c>
      <x:c r="B392" s="28" t="str">
        <x:v>Универсальные</x:v>
      </x:c>
      <x:c r="C392" s="28" t="str">
        <x:v>клубника</x:v>
      </x:c>
      <x:c r="D392" s="28" t="str">
        <x:v>Strawberry</x:v>
      </x:c>
      <x:c r="E392" s="28" t="str">
        <x:v>Ягоды и производные</x:v>
      </x:c>
      <x:c r="F392" s="28" t="str">
        <x:v>манго Alphonso</x:v>
      </x:c>
      <x:c r="G392" s="28" t="str">
        <x:v>Alphonso mango</x:v>
      </x:c>
      <x:c r="H392" s="28" t="str">
        <x:v>Фрукты</x:v>
      </x:c>
      <x:c r="I392" s="28" t="str">
        <x:v>зелёный, карамельный, сливочный, фруктовый, цветочный</x:v>
      </x:c>
      <x:c r="J392" s="28" t="str">
        <x:v>зелёный, фруктовый, цветочный</x:v>
      </x:c>
      <x:c r="K392" s="28" t="str">
        <x:v>линалоол, мезифуран, фуранеол, цис-3-гексеналь, этилбутират</x:v>
      </x:c>
      <x:c r="L392" s="28" t="str">
        <x:v>лактоны, терпены, эфиры</x:v>
      </x:c>
      <x:c r="M392" s="28" t="str">
        <x:v>зелёный, фруктовый, цветочный</x:v>
      </x:c>
      <x:c r="N392" s="28" t="str">
        <x:v>не подтверждены; механизм не сводится к одной общей молекуле</x:v>
      </x:c>
      <x:c r="O392" s="28" t="str">
        <x:v>сходство ароматических семейств + комплементарность</x:v>
      </x:c>
      <x:c r="P392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392" s="28" t="str">
        <x:v>Специфического тройничного эффекта обычно нет; кислотность усиливает слюноотделение.</x:v>
      </x:c>
      <x:c r="R392" s="28" t="str">
        <x:v>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</x:v>
      </x:c>
      <x:c r="S39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92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9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92" s="28" t="str">
        <x:v>ваниль или лимон</x:v>
      </x:c>
      <x:c r="W39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92" s="28" t="str">
        <x:v>напитки; десерты</x:v>
      </x:c>
      <x:c r="Y392" s="28" t="str">
        <x:v>Средняя</x:v>
      </x:c>
      <x:c r="Z392" s="28" t="str">
        <x:v>The Art &amp; Science of Foodpairing</x:v>
      </x:c>
      <x:c r="AA392" s="28" t="str">
        <x:v>The Art &amp; Science of Foodpairing: 70</x:v>
      </x:c>
      <x:c r="AB392" s="28" t="str">
        <x:v>Ingredient pairings with Strawberry: Alphonso mango | Ingredient pairings with Strawberry: Alphonso mango</x:v>
      </x:c>
      <x:c r="AC392" s="28" t="n">
        <x:v>1</x:v>
      </x:c>
      <x:c r="AD392" s="28" t="n">
        <x:v>2</x:v>
      </x:c>
    </x:row>
    <x:row r="393" ht="58" customHeight="1">
      <x:c r="A393" s="28" t="str">
        <x:v>BER-0392</x:v>
      </x:c>
      <x:c r="B393" s="28" t="str">
        <x:v>Универсальные</x:v>
      </x:c>
      <x:c r="C393" s="28" t="str">
        <x:v>клубника</x:v>
      </x:c>
      <x:c r="D393" s="28" t="str">
        <x:v>Strawberry | клубника</x:v>
      </x:c>
      <x:c r="E393" s="28" t="str">
        <x:v>Ягоды и производные</x:v>
      </x:c>
      <x:c r="F393" s="28" t="str">
        <x:v>маракуйя</x:v>
      </x:c>
      <x:c r="G393" s="28" t="str">
        <x:v>passion fruit | Маракуйя</x:v>
      </x:c>
      <x:c r="H393" s="28" t="str">
        <x:v>Прочее</x:v>
      </x:c>
      <x:c r="I393" s="28" t="str">
        <x:v>зелёный, карамельный, сливочный, фруктовый, цветочный</x:v>
      </x:c>
      <x:c r="J393" s="28" t="str">
        <x:v>комплексный</x:v>
      </x:c>
      <x:c r="K393" s="28" t="str">
        <x:v>линалоол, мезифуран, фуранеол, цис-3-гексеналь, этилбутират</x:v>
      </x:c>
      <x:c r="L393" s="28" t="str">
        <x:v>нет надёжной конкретизации</x:v>
      </x:c>
      <x:c r="M393" s="28" t="str">
        <x:v>прямое совпадение семейств не установлено</x:v>
      </x:c>
      <x:c r="N393" s="28" t="str">
        <x:v>не подтверждены; механизм не сводится к одной общей молекуле</x:v>
      </x:c>
      <x:c r="O393" s="28" t="str">
        <x:v>контраст/комплементарность + матричный эффект</x:v>
      </x:c>
      <x:c r="P393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93" s="28" t="str">
        <x:v>Специфического тройничного эффекта обычно нет; кислотность усиливает слюноотделение.</x:v>
      </x:c>
      <x:c r="R393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9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9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9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93" s="28" t="str">
        <x:v>лимон или ваниль</x:v>
      </x:c>
      <x:c r="W393" s="28" t="str">
        <x:v>сенсорная проба в малой дозировке</x:v>
      </x:c>
      <x:c r="X393" s="28" t="str">
        <x:v>универсально</x:v>
      </x:c>
      <x:c r="Y393" s="28" t="str">
        <x:v>Высокая</x:v>
      </x:c>
      <x:c r="Z393" s="28" t="str">
        <x:v>The Art &amp; Science of Foodpairing; Таблица сочетаний</x:v>
      </x:c>
      <x:c r="AA393" s="28" t="str">
        <x:v>The Art &amp; Science of Foodpairing: 70; Таблица сочетаний: 15</x:v>
      </x:c>
      <x:c r="AB393" s="28" t="str">
        <x:v>Маракуйя: клубника | Ingredient pairings with Strawberry: passion fruit</x:v>
      </x:c>
      <x:c r="AC393" s="28" t="n">
        <x:v>2</x:v>
      </x:c>
      <x:c r="AD393" s="28" t="n">
        <x:v>2</x:v>
      </x:c>
    </x:row>
    <x:row r="394" ht="58" customHeight="1">
      <x:c r="A394" s="28" t="str">
        <x:v>BER-0393</x:v>
      </x:c>
      <x:c r="B394" s="28" t="str">
        <x:v>Универсальные</x:v>
      </x:c>
      <x:c r="C394" s="28" t="str">
        <x:v>клубника</x:v>
      </x:c>
      <x:c r="D394" s="28" t="str">
        <x:v>Клубника</x:v>
      </x:c>
      <x:c r="E394" s="28" t="str">
        <x:v>Ягоды и производные</x:v>
      </x:c>
      <x:c r="F394" s="28" t="str">
        <x:v>мёд</x:v>
      </x:c>
      <x:c r="G394" s="28" t="str">
        <x:v>мёд</x:v>
      </x:c>
      <x:c r="H394" s="28" t="str">
        <x:v>Прочее</x:v>
      </x:c>
      <x:c r="I394" s="28" t="str">
        <x:v>зелёный, карамельный, сливочный, фруктовый, цветочный</x:v>
      </x:c>
      <x:c r="J394" s="28" t="str">
        <x:v>комплексный</x:v>
      </x:c>
      <x:c r="K394" s="28" t="str">
        <x:v>линалоол, мезифуран, фуранеол, цис-3-гексеналь, этилбутират</x:v>
      </x:c>
      <x:c r="L394" s="28" t="str">
        <x:v>нет надёжной конкретизации</x:v>
      </x:c>
      <x:c r="M394" s="28" t="str">
        <x:v>прямое совпадение семейств не установлено</x:v>
      </x:c>
      <x:c r="N394" s="28" t="str">
        <x:v>не подтверждены; механизм не сводится к одной общей молекуле</x:v>
      </x:c>
      <x:c r="O394" s="28" t="str">
        <x:v>контраст/комплементарность + матричный эффект</x:v>
      </x:c>
      <x:c r="P394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394" s="28" t="str">
        <x:v>Специфического тройничного эффекта обычно нет; кислотность усиливает слюноотделение.</x:v>
      </x:c>
      <x:c r="R394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39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9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9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94" s="28" t="str">
        <x:v>лимон или ваниль</x:v>
      </x:c>
      <x:c r="W394" s="28" t="str">
        <x:v>сенсорная проба в малой дозировке</x:v>
      </x:c>
      <x:c r="X394" s="28" t="str">
        <x:v>универсально</x:v>
      </x:c>
      <x:c r="Y394" s="28" t="str">
        <x:v>Средняя</x:v>
      </x:c>
      <x:c r="Z394" s="28" t="str">
        <x:v>Таблица сочетаний</x:v>
      </x:c>
      <x:c r="AA394" s="28" t="str">
        <x:v>Таблица сочетаний: 20</x:v>
      </x:c>
      <x:c r="AB394" s="28" t="str">
        <x:v>Клубника: мёд</x:v>
      </x:c>
      <x:c r="AC394" s="28" t="n">
        <x:v>1</x:v>
      </x:c>
      <x:c r="AD394" s="28" t="n">
        <x:v>1</x:v>
      </x:c>
    </x:row>
    <x:row r="395" ht="58" customHeight="1">
      <x:c r="A395" s="28" t="str">
        <x:v>BER-0394</x:v>
      </x:c>
      <x:c r="B395" s="28" t="str">
        <x:v>Универсальные</x:v>
      </x:c>
      <x:c r="C395" s="28" t="str">
        <x:v>клубника</x:v>
      </x:c>
      <x:c r="D395" s="28" t="str">
        <x:v>Strawberry</x:v>
      </x:c>
      <x:c r="E395" s="28" t="str">
        <x:v>Ягоды и производные</x:v>
      </x:c>
      <x:c r="F395" s="28" t="str">
        <x:v>мелисса</x:v>
      </x:c>
      <x:c r="G395" s="28" t="str">
        <x:v>lemon balm</x:v>
      </x:c>
      <x:c r="H395" s="28" t="str">
        <x:v>Травы и цветы</x:v>
      </x:c>
      <x:c r="I395" s="28" t="str">
        <x:v>зелёный, карамельный, сливочный, фруктовый, цветочный</x:v>
      </x:c>
      <x:c r="J395" s="28" t="str">
        <x:v>зелёный, травянистый, цветочный</x:v>
      </x:c>
      <x:c r="K395" s="28" t="str">
        <x:v>линалоол, мезифуран, фуранеол, цис-3-гексеналь, этилбутират</x:v>
      </x:c>
      <x:c r="L395" s="28" t="str">
        <x:v>гераниол, линалоол, терпены, эвгенол</x:v>
      </x:c>
      <x:c r="M395" s="28" t="str">
        <x:v>зелёный, цветочный</x:v>
      </x:c>
      <x:c r="N395" s="28" t="str">
        <x:v>линалоол</x:v>
      </x:c>
      <x:c r="O395" s="28" t="str">
        <x:v>ароматическое сходство + вкусовой баланс</x:v>
      </x:c>
      <x:c r="P395" s="28" t="str">
        <x:v>Ягодная сладость смягчает горечь и пряность, а кислотность делает горьковатый, свежий профиль ярче.</x:v>
      </x:c>
      <x:c r="Q395" s="28" t="str">
        <x:v>Специфического тройничного эффекта обычно нет; кислотность усиливает слюноотделение.</x:v>
      </x:c>
      <x:c r="R395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39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95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9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95" s="28" t="str">
        <x:v>лимон или мёд</x:v>
      </x:c>
      <x:c r="W39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395" s="28" t="str">
        <x:v>напитки; еда; соусы/маринады</x:v>
      </x:c>
      <x:c r="Y395" s="28" t="str">
        <x:v>Средняя</x:v>
      </x:c>
      <x:c r="Z395" s="28" t="str">
        <x:v>The Art &amp; Science of Foodpairing</x:v>
      </x:c>
      <x:c r="AA395" s="28" t="str">
        <x:v>The Art &amp; Science of Foodpairing: 70</x:v>
      </x:c>
      <x:c r="AB395" s="28" t="str">
        <x:v>Ingredient pairings with Strawberry: lemon balm</x:v>
      </x:c>
      <x:c r="AC395" s="28" t="n">
        <x:v>1</x:v>
      </x:c>
      <x:c r="AD395" s="28" t="n">
        <x:v>1</x:v>
      </x:c>
    </x:row>
    <x:row r="396" ht="58" customHeight="1">
      <x:c r="A396" s="28" t="str">
        <x:v>BER-0395</x:v>
      </x:c>
      <x:c r="B396" s="28" t="str">
        <x:v>Десерты и выпечка</x:v>
      </x:c>
      <x:c r="C396" s="28" t="str">
        <x:v>клубника</x:v>
      </x:c>
      <x:c r="D396" s="28" t="str">
        <x:v>Strawberry | strawberry | Клубника | клубника</x:v>
      </x:c>
      <x:c r="E396" s="28" t="str">
        <x:v>Ягоды и производные</x:v>
      </x:c>
      <x:c r="F396" s="28" t="str">
        <x:v>миндаль</x:v>
      </x:c>
      <x:c r="G396" s="28" t="str">
        <x:v>Almond | almond | Миндаль | миндаль</x:v>
      </x:c>
      <x:c r="H396" s="28" t="str">
        <x:v>Орехи и семена</x:v>
      </x:c>
      <x:c r="I396" s="28" t="str">
        <x:v>зелёный, карамельный, сливочный, фруктовый, цветочный</x:v>
      </x:c>
      <x:c r="J396" s="28" t="str">
        <x:v>жареный, миндальный, ореховый</x:v>
      </x:c>
      <x:c r="K396" s="28" t="str">
        <x:v>линалоол, мезифуран, фуранеол, цис-3-гексеналь, этилбутират</x:v>
      </x:c>
      <x:c r="L396" s="28" t="str">
        <x:v>бензальдегид, пиразины, фураны</x:v>
      </x:c>
      <x:c r="M396" s="28" t="str">
        <x:v>прямое совпадение семейств не установлено</x:v>
      </x:c>
      <x:c r="N396" s="28" t="str">
        <x:v>не подтверждены; механизм не сводится к одной общей молекуле</x:v>
      </x:c>
      <x:c r="O396" s="28" t="str">
        <x:v>контраст/комплементарность + матричный эффект</x:v>
      </x:c>
      <x:c r="P396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396" s="28" t="str">
        <x:v>Специфического тройничного эффекта обычно нет; кислотность усиливает слюноотделение.</x:v>
      </x:c>
      <x:c r="R396" s="28" t="str">
        <x:v>Жировая фаза удерживает гидрофобные одоранты и продлевает послевкусие; кислотность ягод повышает слюноотделение.</x:v>
      </x:c>
      <x:c r="S39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9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9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96" s="28" t="str">
        <x:v>ваниль или сливки</x:v>
      </x:c>
      <x:c r="W396" s="28" t="str">
        <x:v>сорбет, крем, ганаш, выпечка, джем или соус для десерта</x:v>
      </x:c>
      <x:c r="X396" s="28" t="str">
        <x:v>десерты</x:v>
      </x:c>
      <x:c r="Y396" s="28" t="str">
        <x:v>Высокая</x:v>
      </x:c>
      <x:c r="Z396" s="28" t="str">
        <x:v>The Art &amp; Science of Foodpairing; Таблица сочетаний; Тезариус вкусов</x:v>
      </x:c>
      <x:c r="AA396" s="28" t="str">
        <x:v>Тезариус вкусов: 644, 696; The Art &amp; Science of Foodpairing: 71, 347; Таблица сочетаний: 20</x:v>
      </x:c>
      <x:c r="AB396" s="28" t="str">
        <x:v>Миндаль и клубника. См. Клубника и миндаль | Клубника и миндаль. Смешайте 250 г спелой клубники с 2 ст. л. сахарной пудры, 3 ст. л. ликера «Амаретто» (Amaretto) и 3 ст. л. воды – получится поливка для мороженого или пирожного с мадерой, сладкая и острая, как партия дисканта в вашем люби- мом гимне | Клубника: миндаль | Ingredient pairings with Strawberry: almond</x:v>
      </x:c>
      <x:c r="AC396" s="28" t="n">
        <x:v>3</x:v>
      </x:c>
      <x:c r="AD396" s="28" t="n">
        <x:v>6</x:v>
      </x:c>
    </x:row>
    <x:row r="397" ht="58" customHeight="1">
      <x:c r="A397" s="28" t="str">
        <x:v>BER-0396</x:v>
      </x:c>
      <x:c r="B397" s="28" t="str">
        <x:v>Еда и соусы</x:v>
      </x:c>
      <x:c r="C397" s="28" t="str">
        <x:v>клубника</x:v>
      </x:c>
      <x:c r="D397" s="28" t="str">
        <x:v>strawberry</x:v>
      </x:c>
      <x:c r="E397" s="28" t="str">
        <x:v>Ягоды и производные</x:v>
      </x:c>
      <x:c r="F397" s="28" t="str">
        <x:v>морковь</x:v>
      </x:c>
      <x:c r="G397" s="28" t="str">
        <x:v>Carrot</x:v>
      </x:c>
      <x:c r="H397" s="28" t="str">
        <x:v>Овощи и грибы</x:v>
      </x:c>
      <x:c r="I397" s="28" t="str">
        <x:v>зелёный, карамельный, сливочный, фруктовый, цветочный</x:v>
      </x:c>
      <x:c r="J397" s="28" t="str">
        <x:v>зелёный, землистый, сернистый</x:v>
      </x:c>
      <x:c r="K397" s="28" t="str">
        <x:v>линалоол, мезифуран, фуранеол, цис-3-гексеналь, этилбутират</x:v>
      </x:c>
      <x:c r="L397" s="28" t="str">
        <x:v>C6-альдегиды, пиразины, сернистые соединения</x:v>
      </x:c>
      <x:c r="M397" s="28" t="str">
        <x:v>зелёный</x:v>
      </x:c>
      <x:c r="N397" s="28" t="str">
        <x:v>не подтверждены; механизм не сводится к одной общей молекуле</x:v>
      </x:c>
      <x:c r="O397" s="28" t="str">
        <x:v>сходство ароматических семейств + комплементарность</x:v>
      </x:c>
      <x:c r="P397" s="28" t="str">
        <x:v>Оба компонента формируют сладко-кислый и растительный, иногда умами контур; сахар, кислота и горечь должны быть выровнены дегустацией.</x:v>
      </x:c>
      <x:c r="Q397" s="28" t="str">
        <x:v>Специфического тройничного эффекта обычно нет; кислотность усиливает слюноотделение.</x:v>
      </x:c>
      <x:c r="R397" s="28" t="str">
        <x:v>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39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397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39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97" s="28" t="str">
        <x:v>уксус или мягкий сыр</x:v>
      </x:c>
      <x:c r="W397" s="28" t="str">
        <x:v>соус, глазировка, салат, сырная подача или горячее блюдо; маринад, гастрик, чатни, кетчуп или редукция</x:v>
      </x:c>
      <x:c r="X397" s="28" t="str">
        <x:v>еда; соусы/маринады</x:v>
      </x:c>
      <x:c r="Y397" s="28" t="str">
        <x:v>Средняя</x:v>
      </x:c>
      <x:c r="Z397" s="28" t="str">
        <x:v>The Art &amp; Science of Foodpairing</x:v>
      </x:c>
      <x:c r="AA397" s="28" t="str">
        <x:v>The Art &amp; Science of Foodpairing: 233</x:v>
      </x:c>
      <x:c r="AB397" s="28" t="str">
        <x:v>Ingredient pairings with Carrot: strawberry</x:v>
      </x:c>
      <x:c r="AC397" s="28" t="n">
        <x:v>1</x:v>
      </x:c>
      <x:c r="AD397" s="28" t="n">
        <x:v>1</x:v>
      </x:c>
    </x:row>
    <x:row r="398" ht="58" customHeight="1">
      <x:c r="A398" s="28" t="str">
        <x:v>BER-0397</x:v>
      </x:c>
      <x:c r="B398" s="28" t="str">
        <x:v>Десерты и выпечка</x:v>
      </x:c>
      <x:c r="C398" s="28" t="str">
        <x:v>клубника</x:v>
      </x:c>
      <x:c r="D398" s="28" t="str">
        <x:v>Strawberry</x:v>
      </x:c>
      <x:c r="E398" s="28" t="str">
        <x:v>Ягоды и производные</x:v>
      </x:c>
      <x:c r="F398" s="28" t="str">
        <x:v>мускатный орех</x:v>
      </x:c>
      <x:c r="G398" s="28" t="str">
        <x:v>nutmeg</x:v>
      </x:c>
      <x:c r="H398" s="28" t="str">
        <x:v>Орехи и семена</x:v>
      </x:c>
      <x:c r="I398" s="28" t="str">
        <x:v>зелёный, карамельный, сливочный, фруктовый, цветочный</x:v>
      </x:c>
      <x:c r="J398" s="28" t="str">
        <x:v>жареный, миндальный, ореховый</x:v>
      </x:c>
      <x:c r="K398" s="28" t="str">
        <x:v>линалоол, мезифуран, фуранеол, цис-3-гексеналь, этилбутират</x:v>
      </x:c>
      <x:c r="L398" s="28" t="str">
        <x:v>бензальдегид, пиразины, фураны</x:v>
      </x:c>
      <x:c r="M398" s="28" t="str">
        <x:v>прямое совпадение семейств не установлено</x:v>
      </x:c>
      <x:c r="N398" s="28" t="str">
        <x:v>не подтверждены; механизм не сводится к одной общей молекуле</x:v>
      </x:c>
      <x:c r="O398" s="28" t="str">
        <x:v>контраст/комплементарность + матричный эффект</x:v>
      </x:c>
      <x:c r="P398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398" s="28" t="str">
        <x:v>Специфического тройничного эффекта обычно нет; кислотность усиливает слюноотделение.</x:v>
      </x:c>
      <x:c r="R398" s="28" t="str">
        <x:v>Жировая фаза удерживает гидрофобные одоранты и продлевает послевкусие; кислотность ягод повышает слюноотделение.</x:v>
      </x:c>
      <x:c r="S39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9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9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98" s="28" t="str">
        <x:v>ваниль или сливки</x:v>
      </x:c>
      <x:c r="W398" s="28" t="str">
        <x:v>сорбет, крем, ганаш, выпечка, джем или соус для десерта</x:v>
      </x:c>
      <x:c r="X398" s="28" t="str">
        <x:v>десерты</x:v>
      </x:c>
      <x:c r="Y398" s="28" t="str">
        <x:v>Средняя</x:v>
      </x:c>
      <x:c r="Z398" s="28" t="str">
        <x:v>The Art &amp; Science of Foodpairing</x:v>
      </x:c>
      <x:c r="AA398" s="28" t="str">
        <x:v>The Art &amp; Science of Foodpairing: 71</x:v>
      </x:c>
      <x:c r="AB398" s="28" t="str">
        <x:v>Ingredient pairings with Strawberry: nutmeg</x:v>
      </x:c>
      <x:c r="AC398" s="28" t="n">
        <x:v>1</x:v>
      </x:c>
      <x:c r="AD398" s="28" t="n">
        <x:v>1</x:v>
      </x:c>
    </x:row>
    <x:row r="399" ht="58" customHeight="1">
      <x:c r="A399" s="28" t="str">
        <x:v>BER-0398</x:v>
      </x:c>
      <x:c r="B399" s="28" t="str">
        <x:v>Универсальные</x:v>
      </x:c>
      <x:c r="C399" s="28" t="str">
        <x:v>клубника</x:v>
      </x:c>
      <x:c r="D399" s="28" t="str">
        <x:v>Strawberry</x:v>
      </x:c>
      <x:c r="E399" s="28" t="str">
        <x:v>Ягоды и производные</x:v>
      </x:c>
      <x:c r="F399" s="28" t="str">
        <x:v>мускусная дыня</x:v>
      </x:c>
      <x:c r="G399" s="28" t="str">
        <x:v>muskmelon</x:v>
      </x:c>
      <x:c r="H399" s="28" t="str">
        <x:v>Фрукты</x:v>
      </x:c>
      <x:c r="I399" s="28" t="str">
        <x:v>зелёный, карамельный, сливочный, фруктовый, цветочный</x:v>
      </x:c>
      <x:c r="J399" s="28" t="str">
        <x:v>зелёный, фруктовый, цветочный</x:v>
      </x:c>
      <x:c r="K399" s="28" t="str">
        <x:v>линалоол, мезифуран, фуранеол, цис-3-гексеналь, этилбутират</x:v>
      </x:c>
      <x:c r="L399" s="28" t="str">
        <x:v>лактоны, терпены, эфиры</x:v>
      </x:c>
      <x:c r="M399" s="28" t="str">
        <x:v>зелёный, фруктовый, цветочный</x:v>
      </x:c>
      <x:c r="N399" s="28" t="str">
        <x:v>не подтверждены; механизм не сводится к одной общей молекуле</x:v>
      </x:c>
      <x:c r="O399" s="28" t="str">
        <x:v>сходство ароматических семейств + комплементарность</x:v>
      </x:c>
      <x:c r="P399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399" s="28" t="str">
        <x:v>Специфического тройничного эффекта обычно нет; кислотность усиливает слюноотделение.</x:v>
      </x:c>
      <x:c r="R399" s="28" t="str">
        <x:v>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</x:v>
      </x:c>
      <x:c r="S39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399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39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399" s="28" t="str">
        <x:v>ваниль или лимон</x:v>
      </x:c>
      <x:c r="W39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399" s="28" t="str">
        <x:v>напитки; десерты</x:v>
      </x:c>
      <x:c r="Y399" s="28" t="str">
        <x:v>Средняя</x:v>
      </x:c>
      <x:c r="Z399" s="28" t="str">
        <x:v>The Art &amp; Science of Foodpairing</x:v>
      </x:c>
      <x:c r="AA399" s="28" t="str">
        <x:v>The Art &amp; Science of Foodpairing: 70</x:v>
      </x:c>
      <x:c r="AB399" s="28" t="str">
        <x:v>Ingredient pairings with Strawberry: muskmelon</x:v>
      </x:c>
      <x:c r="AC399" s="28" t="n">
        <x:v>1</x:v>
      </x:c>
      <x:c r="AD399" s="28" t="n">
        <x:v>1</x:v>
      </x:c>
    </x:row>
    <x:row r="400" ht="58" customHeight="1">
      <x:c r="A400" s="28" t="str">
        <x:v>BER-0399</x:v>
      </x:c>
      <x:c r="B400" s="28" t="str">
        <x:v>Десерты и выпечка</x:v>
      </x:c>
      <x:c r="C400" s="28" t="str">
        <x:v>клубника</x:v>
      </x:c>
      <x:c r="D400" s="28" t="str">
        <x:v>Клубника | клубника</x:v>
      </x:c>
      <x:c r="E400" s="28" t="str">
        <x:v>Ягоды и производные</x:v>
      </x:c>
      <x:c r="F400" s="28" t="str">
        <x:v>мягкий сыр</x:v>
      </x:c>
      <x:c r="G400" s="28" t="str">
        <x:v>Мягкий сыр | мягкий сыр</x:v>
      </x:c>
      <x:c r="H400" s="28" t="str">
        <x:v>Молочные продукты и сыры</x:v>
      </x:c>
      <x:c r="I400" s="28" t="str">
        <x:v>зелёный, карамельный, сливочный, фруктовый, цветочный</x:v>
      </x:c>
      <x:c r="J400" s="28" t="str">
        <x:v>масляный, молочный, сливочный, сырный</x:v>
      </x:c>
      <x:c r="K400" s="28" t="str">
        <x:v>линалоол, мезифуран, фуранеол, цис-3-гексеналь, этилбутират</x:v>
      </x:c>
      <x:c r="L400" s="28" t="str">
        <x:v>диацетил, жирные кислоты, лактоны</x:v>
      </x:c>
      <x:c r="M400" s="28" t="str">
        <x:v>сливочный</x:v>
      </x:c>
      <x:c r="N400" s="28" t="str">
        <x:v>не подтверждены; механизм не сводится к одной общей молекуле</x:v>
      </x:c>
      <x:c r="O400" s="28" t="str">
        <x:v>сходство ароматических семейств + комплементарность</x:v>
      </x:c>
      <x:c r="P400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400" s="28" t="str">
        <x:v>Специфического тройничного эффекта обычно нет; кислотность усиливает слюноотделение.</x:v>
      </x:c>
      <x:c r="R400" s="28" t="str">
        <x:v>Жировая фаза удерживает гидрофобные одоранты и продлевает послевкусие; кислотность ягод повышает слюноотделение.</x:v>
      </x:c>
      <x:c r="S40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400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400" s="28" t="str">
        <x:v>Высокая кислотность может свернуть молочный белок; смешивать при контролируемой температуре.</x:v>
      </x:c>
      <x:c r="V400" s="28" t="str">
        <x:v>мёд или миндаль</x:v>
      </x:c>
      <x:c r="W400" s="28" t="str">
        <x:v>сорбет, крем, ганаш, выпечка, джем или соус для десерта; соус, глазировка, салат, сырная подача или горячее блюдо</x:v>
      </x:c>
      <x:c r="X400" s="28" t="str">
        <x:v>десерты; еда</x:v>
      </x:c>
      <x:c r="Y400" s="28" t="str">
        <x:v>Высокая</x:v>
      </x:c>
      <x:c r="Z400" s="28" t="str">
        <x:v>Тезариус вкусов</x:v>
      </x:c>
      <x:c r="AA400" s="28" t="str">
        <x:v>Тезариус вкусов: 185, 696</x:v>
      </x:c>
      <x:c r="AB400" s="28" t="str">
        <x:v>Мягкий сыр и клубника. См. Клубника и мягкий сыр | Клубника и мягкий сыр. Во вкусе клубники есть и</x:v>
      </x:c>
      <x:c r="AC400" s="28" t="n">
        <x:v>1</x:v>
      </x:c>
      <x:c r="AD400" s="28" t="n">
        <x:v>2</x:v>
      </x:c>
    </x:row>
    <x:row r="401" ht="58" customHeight="1">
      <x:c r="A401" s="28" t="str">
        <x:v>BER-0400</x:v>
      </x:c>
      <x:c r="B401" s="28" t="str">
        <x:v>Еда и соусы</x:v>
      </x:c>
      <x:c r="C401" s="28" t="str">
        <x:v>клубника</x:v>
      </x:c>
      <x:c r="D401" s="28" t="str">
        <x:v>strawberry</x:v>
      </x:c>
      <x:c r="E401" s="28" t="str">
        <x:v>Ягоды и производные</x:v>
      </x:c>
      <x:c r="F401" s="28" t="str">
        <x:v>мясо</x:v>
      </x:c>
      <x:c r="G401" s="28" t="str">
        <x:v>Meat</x:v>
      </x:c>
      <x:c r="H401" s="28" t="str">
        <x:v>Мясо и птица</x:v>
      </x:c>
      <x:c r="I401" s="28" t="str">
        <x:v>зелёный, карамельный, сливочный, фруктовый, цветочный</x:v>
      </x:c>
      <x:c r="J401" s="28" t="str">
        <x:v>жареный, жирный, сернистый, умами</x:v>
      </x:c>
      <x:c r="K401" s="28" t="str">
        <x:v>линалоол, мезифуран, фуранеол, цис-3-гексеналь, этилбутират</x:v>
      </x:c>
      <x:c r="L401" s="28" t="str">
        <x:v>альдегиды, пиразины, сернистые соединения</x:v>
      </x:c>
      <x:c r="M401" s="28" t="str">
        <x:v>прямое совпадение семейств не установлено</x:v>
      </x:c>
      <x:c r="N401" s="28" t="str">
        <x:v>не подтверждены; механизм не сводится к одной общей молекуле</x:v>
      </x:c>
      <x:c r="O401" s="28" t="str">
        <x:v>контраст/комплементарность + матричный эффект</x:v>
      </x:c>
      <x:c r="P401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401" s="28" t="str">
        <x:v>Специфического тройничного эффекта обычно нет; кислотность усиливает слюноотделение.</x:v>
      </x:c>
      <x:c r="R401" s="28" t="str">
        <x:v>Жировая фаза удерживает гидрофобные одоранты и продлевает послевкусие; кислотность ягод повышает слюноотделение.</x:v>
      </x:c>
      <x:c r="S40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40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40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01" s="28" t="str">
        <x:v>красное вино или чёрный перец</x:v>
      </x:c>
      <x:c r="W401" s="28" t="str">
        <x:v>соус, глазировка, салат, сырная подача или горячее блюдо; маринад, гастрик, чатни, кетчуп или редукция</x:v>
      </x:c>
      <x:c r="X401" s="28" t="str">
        <x:v>еда; соусы/маринады</x:v>
      </x:c>
      <x:c r="Y401" s="28" t="str">
        <x:v>Средняя</x:v>
      </x:c>
      <x:c r="Z401" s="28" t="str">
        <x:v>The Art &amp; Science of Foodpairing</x:v>
      </x:c>
      <x:c r="AA401" s="28" t="str">
        <x:v>The Art &amp; Science of Foodpairing: 188, 189</x:v>
      </x:c>
      <x:c r="AB401" s="28" t="str">
        <x:v>Ingredient pairings with Meat: strawberry | Ingredient pairings with Meat: strawberry | Ingredient pairings with Meat: strawberry</x:v>
      </x:c>
      <x:c r="AC401" s="28" t="n">
        <x:v>1</x:v>
      </x:c>
      <x:c r="AD401" s="28" t="n">
        <x:v>3</x:v>
      </x:c>
    </x:row>
    <x:row r="402" ht="58" customHeight="1">
      <x:c r="A402" s="28" t="str">
        <x:v>BER-0401</x:v>
      </x:c>
      <x:c r="B402" s="28" t="str">
        <x:v>Универсальные</x:v>
      </x:c>
      <x:c r="C402" s="28" t="str">
        <x:v>клубника</x:v>
      </x:c>
      <x:c r="D402" s="28" t="str">
        <x:v>Клубника | клубника</x:v>
      </x:c>
      <x:c r="E402" s="28" t="str">
        <x:v>Ягоды и производные</x:v>
      </x:c>
      <x:c r="F402" s="28" t="str">
        <x:v>мята</x:v>
      </x:c>
      <x:c r="G402" s="28" t="str">
        <x:v>Мята | мята</x:v>
      </x:c>
      <x:c r="H402" s="28" t="str">
        <x:v>Травы и цветы</x:v>
      </x:c>
      <x:c r="I402" s="28" t="str">
        <x:v>зелёный, карамельный, сливочный, фруктовый, цветочный</x:v>
      </x:c>
      <x:c r="J402" s="28" t="str">
        <x:v>зелёный, травянистый, цветочный</x:v>
      </x:c>
      <x:c r="K402" s="28" t="str">
        <x:v>линалоол, мезифуран, фуранеол, цис-3-гексеналь, этилбутират</x:v>
      </x:c>
      <x:c r="L402" s="28" t="str">
        <x:v>гераниол, линалоол, терпены, эвгенол</x:v>
      </x:c>
      <x:c r="M402" s="28" t="str">
        <x:v>зелёный, цветочный</x:v>
      </x:c>
      <x:c r="N402" s="28" t="str">
        <x:v>линалоол</x:v>
      </x:c>
      <x:c r="O402" s="28" t="str">
        <x:v>ароматическое сходство + вкусовой баланс</x:v>
      </x:c>
      <x:c r="P402" s="28" t="str">
        <x:v>Ягодная сладость смягчает горечь и пряность, а кислотность делает горьковатый, свежий профиль ярче.</x:v>
      </x:c>
      <x:c r="Q402" s="28" t="str">
        <x:v>Специфического тройничного эффекта обычно нет; кислотность усиливает слюноотделение.</x:v>
      </x:c>
      <x:c r="R402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0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02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0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02" s="28" t="str">
        <x:v>лимон или мёд</x:v>
      </x:c>
      <x:c r="W40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402" s="28" t="str">
        <x:v>напитки; еда; соусы/маринады</x:v>
      </x:c>
      <x:c r="Y402" s="28" t="str">
        <x:v>Высокая</x:v>
      </x:c>
      <x:c r="Z402" s="28" t="str">
        <x:v>Таблица сочетаний; Тезариус вкусов</x:v>
      </x:c>
      <x:c r="AA402" s="28" t="str">
        <x:v>Тезариус вкусов: 697, 868; Таблица сочетаний: 13, 20</x:v>
      </x:c>
      <x:c r="AB402" s="28" t="str">
        <x:v>Клубника и мята. Свеженарванные листья мяты, свежевыжатый сок лимона и несколько щепоток саха- ра могут заметно усилить сладость клубники. Хестон Блументаль (Heston Blumenthal) считает мяту класси- ческим партнером для клубники, поэтому он исполь- зовал ее наряду с кокосом, черным перцем, оливко- вым маслом и вином при разработке своего блюда из мацерированной клубники с маслинами и нежного пю- ре из растертых фисташек с яичницей-болтуньей | Мята и клубника. См. Клубника и мята | Мята: клубника | Клубника: мята</x:v>
      </x:c>
      <x:c r="AC402" s="28" t="n">
        <x:v>2</x:v>
      </x:c>
      <x:c r="AD402" s="28" t="n">
        <x:v>4</x:v>
      </x:c>
    </x:row>
    <x:row r="403" ht="58" customHeight="1">
      <x:c r="A403" s="28" t="str">
        <x:v>BER-0402</x:v>
      </x:c>
      <x:c r="B403" s="28" t="str">
        <x:v>Еда и соусы</x:v>
      </x:c>
      <x:c r="C403" s="28" t="str">
        <x:v>клубника</x:v>
      </x:c>
      <x:c r="D403" s="28" t="str">
        <x:v>Strawberry</x:v>
      </x:c>
      <x:c r="E403" s="28" t="str">
        <x:v>Ягоды и производные</x:v>
      </x:c>
      <x:c r="F403" s="28" t="str">
        <x:v>на гриле turbot</x:v>
      </x:c>
      <x:c r="G403" s="28" t="str">
        <x:v>grilled turbot</x:v>
      </x:c>
      <x:c r="H403" s="28" t="str">
        <x:v>Рыба и морепродукты</x:v>
      </x:c>
      <x:c r="I403" s="28" t="str">
        <x:v>зелёный, карамельный, сливочный, фруктовый, цветочный</x:v>
      </x:c>
      <x:c r="J403" s="28" t="str">
        <x:v>жирный, морской, умами</x:v>
      </x:c>
      <x:c r="K403" s="28" t="str">
        <x:v>линалоол, мезифуран, фуранеол, цис-3-гексеналь, этилбутират</x:v>
      </x:c>
      <x:c r="L403" s="28" t="str">
        <x:v>альдегиды, амины, сернистые соединения</x:v>
      </x:c>
      <x:c r="M403" s="28" t="str">
        <x:v>прямое совпадение семейств не установлено</x:v>
      </x:c>
      <x:c r="N403" s="28" t="str">
        <x:v>не подтверждены; механизм не сводится к одной общей молекуле</x:v>
      </x:c>
      <x:c r="O403" s="28" t="str">
        <x:v>контраст/комплементарность + матричный эффект</x:v>
      </x:c>
      <x:c r="P403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403" s="28" t="str">
        <x:v>Специфического тройничного эффекта обычно нет; кислотность усиливает слюноотделение.</x:v>
      </x:c>
      <x:c r="R403" s="28" t="str">
        <x:v>Белок и жир смягчают кислоту; ягодный соус должен сохранять достаточную концентрацию и соль.</x:v>
      </x:c>
      <x:c r="S40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40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40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03" s="28" t="str">
        <x:v>цитрус или огурец</x:v>
      </x:c>
      <x:c r="W403" s="28" t="str">
        <x:v>соус, глазировка, салат, сырная подача или горячее блюдо; маринад, гастрик, чатни, кетчуп или редукция</x:v>
      </x:c>
      <x:c r="X403" s="28" t="str">
        <x:v>еда; соусы/маринады</x:v>
      </x:c>
      <x:c r="Y403" s="28" t="str">
        <x:v>Средняя</x:v>
      </x:c>
      <x:c r="Z403" s="28" t="str">
        <x:v>The Art &amp; Science of Foodpairing</x:v>
      </x:c>
      <x:c r="AA403" s="28" t="str">
        <x:v>The Art &amp; Science of Foodpairing: 71</x:v>
      </x:c>
      <x:c r="AB403" s="28" t="str">
        <x:v>Ingredient pairings with Strawberry: grilled turbot</x:v>
      </x:c>
      <x:c r="AC403" s="28" t="n">
        <x:v>1</x:v>
      </x:c>
      <x:c r="AD403" s="28" t="n">
        <x:v>1</x:v>
      </x:c>
    </x:row>
    <x:row r="404" ht="58" customHeight="1">
      <x:c r="A404" s="28" t="str">
        <x:v>BER-0403</x:v>
      </x:c>
      <x:c r="B404" s="28" t="str">
        <x:v>Универсальные</x:v>
      </x:c>
      <x:c r="C404" s="28" t="str">
        <x:v>клубника</x:v>
      </x:c>
      <x:c r="D404" s="28" t="str">
        <x:v>Strawberry | Клубника</x:v>
      </x:c>
      <x:c r="E404" s="28" t="str">
        <x:v>Ягоды и производные</x:v>
      </x:c>
      <x:c r="F404" s="28" t="str">
        <x:v>нектарин</x:v>
      </x:c>
      <x:c r="G404" s="28" t="str">
        <x:v>nectarine | нектарин</x:v>
      </x:c>
      <x:c r="H404" s="28" t="str">
        <x:v>Прочее</x:v>
      </x:c>
      <x:c r="I404" s="28" t="str">
        <x:v>зелёный, карамельный, сливочный, фруктовый, цветочный</x:v>
      </x:c>
      <x:c r="J404" s="28" t="str">
        <x:v>комплексный</x:v>
      </x:c>
      <x:c r="K404" s="28" t="str">
        <x:v>линалоол, мезифуран, фуранеол, цис-3-гексеналь, этилбутират</x:v>
      </x:c>
      <x:c r="L404" s="28" t="str">
        <x:v>нет надёжной конкретизации</x:v>
      </x:c>
      <x:c r="M404" s="28" t="str">
        <x:v>прямое совпадение семейств не установлено</x:v>
      </x:c>
      <x:c r="N404" s="28" t="str">
        <x:v>не подтверждены; механизм не сводится к одной общей молекуле</x:v>
      </x:c>
      <x:c r="O404" s="28" t="str">
        <x:v>контраст/комплементарность + матричный эффект</x:v>
      </x:c>
      <x:c r="P404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04" s="28" t="str">
        <x:v>Специфического тройничного эффекта обычно нет; кислотность усиливает слюноотделение.</x:v>
      </x:c>
      <x:c r="R404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0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0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0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04" s="28" t="str">
        <x:v>лимон или ваниль</x:v>
      </x:c>
      <x:c r="W404" s="28" t="str">
        <x:v>сенсорная проба в малой дозировке</x:v>
      </x:c>
      <x:c r="X404" s="28" t="str">
        <x:v>универсально</x:v>
      </x:c>
      <x:c r="Y404" s="28" t="str">
        <x:v>Высокая</x:v>
      </x:c>
      <x:c r="Z404" s="28" t="str">
        <x:v>The Art &amp; Science of Foodpairing; Таблица сочетаний</x:v>
      </x:c>
      <x:c r="AA404" s="28" t="str">
        <x:v>The Art &amp; Science of Foodpairing: 70; Таблица сочетаний: 20</x:v>
      </x:c>
      <x:c r="AB404" s="28" t="str">
        <x:v>Клубника: нектарин | Ingredient pairings with Strawberry: nectarine</x:v>
      </x:c>
      <x:c r="AC404" s="28" t="n">
        <x:v>2</x:v>
      </x:c>
      <x:c r="AD404" s="28" t="n">
        <x:v>2</x:v>
      </x:c>
    </x:row>
    <x:row r="405" ht="58" customHeight="1">
      <x:c r="A405" s="28" t="str">
        <x:v>BER-0404</x:v>
      </x:c>
      <x:c r="B405" s="28" t="str">
        <x:v>Еда и соусы</x:v>
      </x:c>
      <x:c r="C405" s="28" t="str">
        <x:v>клубника</x:v>
      </x:c>
      <x:c r="D405" s="28" t="str">
        <x:v>Strawberry</x:v>
      </x:c>
      <x:c r="E405" s="28" t="str">
        <x:v>Ягоды и производные</x:v>
      </x:c>
      <x:c r="F405" s="28" t="str">
        <x:v>обжаренный chicken breast fillet</x:v>
      </x:c>
      <x:c r="G405" s="28" t="str">
        <x:v>pan-fried chicken breast fillet</x:v>
      </x:c>
      <x:c r="H405" s="28" t="str">
        <x:v>Мясо и птица</x:v>
      </x:c>
      <x:c r="I405" s="28" t="str">
        <x:v>зелёный, карамельный, сливочный, фруктовый, цветочный</x:v>
      </x:c>
      <x:c r="J405" s="28" t="str">
        <x:v>жареный, жирный, сернистый, умами</x:v>
      </x:c>
      <x:c r="K405" s="28" t="str">
        <x:v>линалоол, мезифуран, фуранеол, цис-3-гексеналь, этилбутират</x:v>
      </x:c>
      <x:c r="L405" s="28" t="str">
        <x:v>альдегиды, пиразины, сернистые соединения</x:v>
      </x:c>
      <x:c r="M405" s="28" t="str">
        <x:v>прямое совпадение семейств не установлено</x:v>
      </x:c>
      <x:c r="N405" s="28" t="str">
        <x:v>не подтверждены; механизм не сводится к одной общей молекуле</x:v>
      </x:c>
      <x:c r="O405" s="28" t="str">
        <x:v>контраст/комплементарность + матричный эффект</x:v>
      </x:c>
      <x:c r="P405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405" s="28" t="str">
        <x:v>Специфического тройничного эффекта обычно нет; кислотность усиливает слюноотделение.</x:v>
      </x:c>
      <x:c r="R405" s="28" t="str">
        <x:v>Жировая фаза удерживает гидрофобные одоранты и продлевает послевкусие; кислотность ягод повышает слюноотделение.</x:v>
      </x:c>
      <x:c r="S40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40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40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05" s="28" t="str">
        <x:v>красное вино или чёрный перец</x:v>
      </x:c>
      <x:c r="W405" s="28" t="str">
        <x:v>соус, глазировка, салат, сырная подача или горячее блюдо; маринад, гастрик, чатни, кетчуп или редукция</x:v>
      </x:c>
      <x:c r="X405" s="28" t="str">
        <x:v>еда; соусы/маринады</x:v>
      </x:c>
      <x:c r="Y405" s="28" t="str">
        <x:v>Средняя</x:v>
      </x:c>
      <x:c r="Z405" s="28" t="str">
        <x:v>The Art &amp; Science of Foodpairing</x:v>
      </x:c>
      <x:c r="AA405" s="28" t="str">
        <x:v>The Art &amp; Science of Foodpairing: 70</x:v>
      </x:c>
      <x:c r="AB405" s="28" t="str">
        <x:v>Ingredient pairings with Strawberry: pan-fried chicken breast fillet</x:v>
      </x:c>
      <x:c r="AC405" s="28" t="n">
        <x:v>1</x:v>
      </x:c>
      <x:c r="AD405" s="28" t="n">
        <x:v>1</x:v>
      </x:c>
    </x:row>
    <x:row r="406" ht="58" customHeight="1">
      <x:c r="A406" s="28" t="str">
        <x:v>BER-0405</x:v>
      </x:c>
      <x:c r="B406" s="28" t="str">
        <x:v>Универсальные</x:v>
      </x:c>
      <x:c r="C406" s="28" t="str">
        <x:v>клубника</x:v>
      </x:c>
      <x:c r="D406" s="28" t="str">
        <x:v>Strawberry</x:v>
      </x:c>
      <x:c r="E406" s="28" t="str">
        <x:v>Ягоды и производные</x:v>
      </x:c>
      <x:c r="F406" s="28" t="str">
        <x:v>обжаренный duck breast</x:v>
      </x:c>
      <x:c r="G406" s="28" t="str">
        <x:v>pan-fried duck breast</x:v>
      </x:c>
      <x:c r="H406" s="28" t="str">
        <x:v>Прочее</x:v>
      </x:c>
      <x:c r="I406" s="28" t="str">
        <x:v>зелёный, карамельный, сливочный, фруктовый, цветочный</x:v>
      </x:c>
      <x:c r="J406" s="28" t="str">
        <x:v>комплексный</x:v>
      </x:c>
      <x:c r="K406" s="28" t="str">
        <x:v>линалоол, мезифуран, фуранеол, цис-3-гексеналь, этилбутират</x:v>
      </x:c>
      <x:c r="L406" s="28" t="str">
        <x:v>нет надёжной конкретизации</x:v>
      </x:c>
      <x:c r="M406" s="28" t="str">
        <x:v>прямое совпадение семейств не установлено</x:v>
      </x:c>
      <x:c r="N406" s="28" t="str">
        <x:v>не подтверждены; механизм не сводится к одной общей молекуле</x:v>
      </x:c>
      <x:c r="O406" s="28" t="str">
        <x:v>контраст/комплементарность + матричный эффект</x:v>
      </x:c>
      <x:c r="P406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06" s="28" t="str">
        <x:v>Специфического тройничного эффекта обычно нет; кислотность усиливает слюноотделение.</x:v>
      </x:c>
      <x:c r="R406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0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0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0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06" s="28" t="str">
        <x:v>лимон или ваниль</x:v>
      </x:c>
      <x:c r="W406" s="28" t="str">
        <x:v>сенсорная проба в малой дозировке</x:v>
      </x:c>
      <x:c r="X406" s="28" t="str">
        <x:v>универсально</x:v>
      </x:c>
      <x:c r="Y406" s="28" t="str">
        <x:v>Средняя</x:v>
      </x:c>
      <x:c r="Z406" s="28" t="str">
        <x:v>The Art &amp; Science of Foodpairing</x:v>
      </x:c>
      <x:c r="AA406" s="28" t="str">
        <x:v>The Art &amp; Science of Foodpairing: 71</x:v>
      </x:c>
      <x:c r="AB406" s="28" t="str">
        <x:v>Ingredient pairings with Strawberry: pan-fried duck breast</x:v>
      </x:c>
      <x:c r="AC406" s="28" t="n">
        <x:v>1</x:v>
      </x:c>
      <x:c r="AD406" s="28" t="n">
        <x:v>1</x:v>
      </x:c>
    </x:row>
    <x:row r="407" ht="58" customHeight="1">
      <x:c r="A407" s="28" t="str">
        <x:v>BER-0406</x:v>
      </x:c>
      <x:c r="B407" s="28" t="str">
        <x:v>Еда и соусы</x:v>
      </x:c>
      <x:c r="C407" s="28" t="str">
        <x:v>клубника</x:v>
      </x:c>
      <x:c r="D407" s="28" t="str">
        <x:v>Strawberry</x:v>
      </x:c>
      <x:c r="E407" s="28" t="str">
        <x:v>Ягоды и производные</x:v>
      </x:c>
      <x:c r="F407" s="28" t="str">
        <x:v>обжаренный pheasant</x:v>
      </x:c>
      <x:c r="G407" s="28" t="str">
        <x:v>pan-fried pheasant</x:v>
      </x:c>
      <x:c r="H407" s="28" t="str">
        <x:v>Мясо и птица</x:v>
      </x:c>
      <x:c r="I407" s="28" t="str">
        <x:v>зелёный, карамельный, сливочный, фруктовый, цветочный</x:v>
      </x:c>
      <x:c r="J407" s="28" t="str">
        <x:v>жареный, жирный, сернистый, умами</x:v>
      </x:c>
      <x:c r="K407" s="28" t="str">
        <x:v>линалоол, мезифуран, фуранеол, цис-3-гексеналь, этилбутират</x:v>
      </x:c>
      <x:c r="L407" s="28" t="str">
        <x:v>альдегиды, пиразины, сернистые соединения</x:v>
      </x:c>
      <x:c r="M407" s="28" t="str">
        <x:v>прямое совпадение семейств не установлено</x:v>
      </x:c>
      <x:c r="N407" s="28" t="str">
        <x:v>не подтверждены; механизм не сводится к одной общей молекуле</x:v>
      </x:c>
      <x:c r="O407" s="28" t="str">
        <x:v>контраст/комплементарность + матричный эффект</x:v>
      </x:c>
      <x:c r="P407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407" s="28" t="str">
        <x:v>Специфического тройничного эффекта обычно нет; кислотность усиливает слюноотделение.</x:v>
      </x:c>
      <x:c r="R407" s="28" t="str">
        <x:v>Жировая фаза удерживает гидрофобные одоранты и продлевает послевкусие; кислотность ягод повышает слюноотделение.</x:v>
      </x:c>
      <x:c r="S40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40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40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07" s="28" t="str">
        <x:v>красное вино или чёрный перец</x:v>
      </x:c>
      <x:c r="W407" s="28" t="str">
        <x:v>соус, глазировка, салат, сырная подача или горячее блюдо; маринад, гастрик, чатни, кетчуп или редукция</x:v>
      </x:c>
      <x:c r="X407" s="28" t="str">
        <x:v>еда; соусы/маринады</x:v>
      </x:c>
      <x:c r="Y407" s="28" t="str">
        <x:v>Средняя</x:v>
      </x:c>
      <x:c r="Z407" s="28" t="str">
        <x:v>The Art &amp; Science of Foodpairing</x:v>
      </x:c>
      <x:c r="AA407" s="28" t="str">
        <x:v>The Art &amp; Science of Foodpairing: 70</x:v>
      </x:c>
      <x:c r="AB407" s="28" t="str">
        <x:v>Ingredient pairings with Strawberry: pan-fried pheasant</x:v>
      </x:c>
      <x:c r="AC407" s="28" t="n">
        <x:v>1</x:v>
      </x:c>
      <x:c r="AD407" s="28" t="n">
        <x:v>1</x:v>
      </x:c>
    </x:row>
    <x:row r="408" ht="58" customHeight="1">
      <x:c r="A408" s="28" t="str">
        <x:v>BER-0407</x:v>
      </x:c>
      <x:c r="B408" s="28" t="str">
        <x:v>Еда и соусы</x:v>
      </x:c>
      <x:c r="C408" s="28" t="str">
        <x:v>клубника</x:v>
      </x:c>
      <x:c r="D408" s="28" t="str">
        <x:v>Strawberry</x:v>
      </x:c>
      <x:c r="E408" s="28" t="str">
        <x:v>Ягоды и производные</x:v>
      </x:c>
      <x:c r="F408" s="28" t="str">
        <x:v>обжаренный venison</x:v>
      </x:c>
      <x:c r="G408" s="28" t="str">
        <x:v>pan-fried venison</x:v>
      </x:c>
      <x:c r="H408" s="28" t="str">
        <x:v>Мясо и птица</x:v>
      </x:c>
      <x:c r="I408" s="28" t="str">
        <x:v>зелёный, карамельный, сливочный, фруктовый, цветочный</x:v>
      </x:c>
      <x:c r="J408" s="28" t="str">
        <x:v>жареный, жирный, сернистый, умами</x:v>
      </x:c>
      <x:c r="K408" s="28" t="str">
        <x:v>линалоол, мезифуран, фуранеол, цис-3-гексеналь, этилбутират</x:v>
      </x:c>
      <x:c r="L408" s="28" t="str">
        <x:v>альдегиды, пиразины, сернистые соединения</x:v>
      </x:c>
      <x:c r="M408" s="28" t="str">
        <x:v>прямое совпадение семейств не установлено</x:v>
      </x:c>
      <x:c r="N408" s="28" t="str">
        <x:v>не подтверждены; механизм не сводится к одной общей молекуле</x:v>
      </x:c>
      <x:c r="O408" s="28" t="str">
        <x:v>контраст/комплементарность + матричный эффект</x:v>
      </x:c>
      <x:c r="P408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408" s="28" t="str">
        <x:v>Специфического тройничного эффекта обычно нет; кислотность усиливает слюноотделение.</x:v>
      </x:c>
      <x:c r="R408" s="28" t="str">
        <x:v>Жировая фаза удерживает гидрофобные одоранты и продлевает послевкусие; кислотность ягод повышает слюноотделение.</x:v>
      </x:c>
      <x:c r="S40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40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40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08" s="28" t="str">
        <x:v>красное вино или чёрный перец</x:v>
      </x:c>
      <x:c r="W408" s="28" t="str">
        <x:v>соус, глазировка, салат, сырная подача или горячее блюдо; маринад, гастрик, чатни, кетчуп или редукция</x:v>
      </x:c>
      <x:c r="X408" s="28" t="str">
        <x:v>еда; соусы/маринады</x:v>
      </x:c>
      <x:c r="Y408" s="28" t="str">
        <x:v>Средняя</x:v>
      </x:c>
      <x:c r="Z408" s="28" t="str">
        <x:v>The Art &amp; Science of Foodpairing</x:v>
      </x:c>
      <x:c r="AA408" s="28" t="str">
        <x:v>The Art &amp; Science of Foodpairing: 70</x:v>
      </x:c>
      <x:c r="AB408" s="28" t="str">
        <x:v>Ingredient pairings with Strawberry: pan-fried venison</x:v>
      </x:c>
      <x:c r="AC408" s="28" t="n">
        <x:v>1</x:v>
      </x:c>
      <x:c r="AD408" s="28" t="n">
        <x:v>1</x:v>
      </x:c>
    </x:row>
    <x:row r="409" ht="58" customHeight="1">
      <x:c r="A409" s="28" t="str">
        <x:v>BER-0408</x:v>
      </x:c>
      <x:c r="B409" s="28" t="str">
        <x:v>Еда и соусы</x:v>
      </x:c>
      <x:c r="C409" s="28" t="str">
        <x:v>клубника</x:v>
      </x:c>
      <x:c r="D409" s="28" t="str">
        <x:v>клубника</x:v>
      </x:c>
      <x:c r="E409" s="28" t="str">
        <x:v>Ягоды и производные</x:v>
      </x:c>
      <x:c r="F409" s="28" t="str">
        <x:v>огурец</x:v>
      </x:c>
      <x:c r="G409" s="28" t="str">
        <x:v>Огурец</x:v>
      </x:c>
      <x:c r="H409" s="28" t="str">
        <x:v>Овощи и грибы</x:v>
      </x:c>
      <x:c r="I409" s="28" t="str">
        <x:v>зелёный, карамельный, сливочный, фруктовый, цветочный</x:v>
      </x:c>
      <x:c r="J409" s="28" t="str">
        <x:v>зелёный, землистый, сернистый</x:v>
      </x:c>
      <x:c r="K409" s="28" t="str">
        <x:v>линалоол, мезифуран, фуранеол, цис-3-гексеналь, этилбутират</x:v>
      </x:c>
      <x:c r="L409" s="28" t="str">
        <x:v>C6-альдегиды, пиразины, сернистые соединения</x:v>
      </x:c>
      <x:c r="M409" s="28" t="str">
        <x:v>зелёный</x:v>
      </x:c>
      <x:c r="N409" s="28" t="str">
        <x:v>не подтверждены; механизм не сводится к одной общей молекуле</x:v>
      </x:c>
      <x:c r="O409" s="28" t="str">
        <x:v>сходство ароматических семейств + комплементарность</x:v>
      </x:c>
      <x:c r="P409" s="28" t="str">
        <x:v>Оба компонента формируют сладко-кислый и растительный, иногда умами контур; сахар, кислота и горечь должны быть выровнены дегустацией.</x:v>
      </x:c>
      <x:c r="Q409" s="28" t="str">
        <x:v>Специфического тройничного эффекта обычно нет; кислотность усиливает слюноотделение.</x:v>
      </x:c>
      <x:c r="R409" s="28" t="str">
        <x:v>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40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409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40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09" s="28" t="str">
        <x:v>уксус или мягкий сыр</x:v>
      </x:c>
      <x:c r="W409" s="28" t="str">
        <x:v>соус, глазировка, салат, сырная подача или горячее блюдо; маринад, гастрик, чатни, кетчуп или редукция</x:v>
      </x:c>
      <x:c r="X409" s="28" t="str">
        <x:v>еда; соусы/маринады</x:v>
      </x:c>
      <x:c r="Y409" s="28" t="str">
        <x:v>Средняя</x:v>
      </x:c>
      <x:c r="Z409" s="28" t="str">
        <x:v>Таблица сочетаний</x:v>
      </x:c>
      <x:c r="AA409" s="28" t="str">
        <x:v>Таблица сочетаний: 6</x:v>
      </x:c>
      <x:c r="AB409" s="28" t="str">
        <x:v>Огурец: клубника</x:v>
      </x:c>
      <x:c r="AC409" s="28" t="n">
        <x:v>1</x:v>
      </x:c>
      <x:c r="AD409" s="28" t="n">
        <x:v>1</x:v>
      </x:c>
    </x:row>
    <x:row r="410" ht="58" customHeight="1">
      <x:c r="A410" s="28" t="str">
        <x:v>BER-0409</x:v>
      </x:c>
      <x:c r="B410" s="28" t="str">
        <x:v>Еда и соусы</x:v>
      </x:c>
      <x:c r="C410" s="28" t="str">
        <x:v>клубника</x:v>
      </x:c>
      <x:c r="D410" s="28" t="str">
        <x:v>Клубника | клубника</x:v>
      </x:c>
      <x:c r="E410" s="28" t="str">
        <x:v>Ягоды и производные</x:v>
      </x:c>
      <x:c r="F410" s="28" t="str">
        <x:v>огурцы</x:v>
      </x:c>
      <x:c r="G410" s="28" t="str">
        <x:v>Огурцы | огурцы</x:v>
      </x:c>
      <x:c r="H410" s="28" t="str">
        <x:v>Овощи и грибы</x:v>
      </x:c>
      <x:c r="I410" s="28" t="str">
        <x:v>зелёный, карамельный, сливочный, фруктовый, цветочный</x:v>
      </x:c>
      <x:c r="J410" s="28" t="str">
        <x:v>зелёный, землистый, сернистый</x:v>
      </x:c>
      <x:c r="K410" s="28" t="str">
        <x:v>линалоол, мезифуран, фуранеол, цис-3-гексеналь, этилбутират</x:v>
      </x:c>
      <x:c r="L410" s="28" t="str">
        <x:v>C6-альдегиды, пиразины, сернистые соединения</x:v>
      </x:c>
      <x:c r="M410" s="28" t="str">
        <x:v>зелёный</x:v>
      </x:c>
      <x:c r="N410" s="28" t="str">
        <x:v>не подтверждены; механизм не сводится к одной общей молекуле</x:v>
      </x:c>
      <x:c r="O410" s="28" t="str">
        <x:v>сходство ароматических семейств + комплементарность</x:v>
      </x:c>
      <x:c r="P410" s="28" t="str">
        <x:v>Оба компонента формируют сладко-кислый и растительный, иногда умами контур; сахар, кислота и горечь должны быть выровнены дегустацией.</x:v>
      </x:c>
      <x:c r="Q410" s="28" t="str">
        <x:v>Специфического тройничного эффекта обычно нет; кислотность усиливает слюноотделение.</x:v>
      </x:c>
      <x:c r="R410" s="28" t="str">
        <x:v>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4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410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41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10" s="28" t="str">
        <x:v>уксус или мягкий сыр</x:v>
      </x:c>
      <x:c r="W410" s="28" t="str">
        <x:v>соус, глазировка, салат, сырная подача или горячее блюдо; маринад, гастрик, чатни, кетчуп или редукция</x:v>
      </x:c>
      <x:c r="X410" s="28" t="str">
        <x:v>еда; соусы/маринады</x:v>
      </x:c>
      <x:c r="Y410" s="28" t="str">
        <x:v>Высокая</x:v>
      </x:c>
      <x:c r="Z410" s="28" t="str">
        <x:v>Тезариус вкусов</x:v>
      </x:c>
      <x:c r="AA410" s="28" t="str">
        <x:v>Тезариус вкусов: 492, 697</x:v>
      </x:c>
      <x:c r="AB410" s="28" t="str">
        <x:v>Огурцы и клубника. См. Клубника и огурцы | Клубника и огурцы. На свадьбах в глубинке Фран- ции молодоженам традиционно подают на завтрак суп с клубникой и бурачником (трава со вкусом огур- ца), разбавленный сметаной с сахаром. Бурачник ча- сто сажают рядом с клубникой в саду, поскольку счи- тается, что они оказывают стимулирующее влияние</x:v>
      </x:c>
      <x:c r="AC410" s="28" t="n">
        <x:v>1</x:v>
      </x:c>
      <x:c r="AD410" s="28" t="n">
        <x:v>2</x:v>
      </x:c>
    </x:row>
    <x:row r="411" ht="58" customHeight="1">
      <x:c r="A411" s="28" t="str">
        <x:v>BER-0410</x:v>
      </x:c>
      <x:c r="B411" s="28" t="str">
        <x:v>Десерты и выпечка</x:v>
      </x:c>
      <x:c r="C411" s="28" t="str">
        <x:v>клубника</x:v>
      </x:c>
      <x:c r="D411" s="28" t="str">
        <x:v>Strawberry</x:v>
      </x:c>
      <x:c r="E411" s="28" t="str">
        <x:v>Ягоды и производные</x:v>
      </x:c>
      <x:c r="F411" s="28" t="str">
        <x:v>оливковое масло Cornicabra</x:v>
      </x:c>
      <x:c r="G411" s="28" t="str">
        <x:v>Cornicabra olive oil</x:v>
      </x:c>
      <x:c r="H411" s="28" t="str">
        <x:v>Молочные продукты и сыры</x:v>
      </x:c>
      <x:c r="I411" s="28" t="str">
        <x:v>зелёный, карамельный, сливочный, фруктовый, цветочный</x:v>
      </x:c>
      <x:c r="J411" s="28" t="str">
        <x:v>масляный, молочный, сливочный, сырный</x:v>
      </x:c>
      <x:c r="K411" s="28" t="str">
        <x:v>линалоол, мезифуран, фуранеол, цис-3-гексеналь, этилбутират</x:v>
      </x:c>
      <x:c r="L411" s="28" t="str">
        <x:v>диацетил, жирные кислоты, лактоны</x:v>
      </x:c>
      <x:c r="M411" s="28" t="str">
        <x:v>сливочный</x:v>
      </x:c>
      <x:c r="N411" s="28" t="str">
        <x:v>не подтверждены; механизм не сводится к одной общей молекуле</x:v>
      </x:c>
      <x:c r="O411" s="28" t="str">
        <x:v>сходство ароматических семейств + комплементарность</x:v>
      </x:c>
      <x:c r="P411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411" s="28" t="str">
        <x:v>Специфического тройничного эффекта обычно нет; кислотность усиливает слюноотделение.</x:v>
      </x:c>
      <x:c r="R411" s="28" t="str">
        <x:v>Жировая фаза удерживает гидрофобные одоранты и продлевает послевкусие; кислотность ягод повышает слюноотделение.</x:v>
      </x:c>
      <x:c r="S4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411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411" s="28" t="str">
        <x:v>Высокая кислотность может свернуть молочный белок; смешивать при контролируемой температуре.</x:v>
      </x:c>
      <x:c r="V411" s="28" t="str">
        <x:v>мёд или миндаль</x:v>
      </x:c>
      <x:c r="W411" s="28" t="str">
        <x:v>сорбет, крем, ганаш, выпечка, джем или соус для десерта; соус, глазировка, салат, сырная подача или горячее блюдо</x:v>
      </x:c>
      <x:c r="X411" s="28" t="str">
        <x:v>десерты; еда</x:v>
      </x:c>
      <x:c r="Y411" s="28" t="str">
        <x:v>Средняя</x:v>
      </x:c>
      <x:c r="Z411" s="28" t="str">
        <x:v>The Art &amp; Science of Foodpairing</x:v>
      </x:c>
      <x:c r="AA411" s="28" t="str">
        <x:v>The Art &amp; Science of Foodpairing: 70</x:v>
      </x:c>
      <x:c r="AB411" s="28" t="str">
        <x:v>Ingredient pairings with Strawberry: Cornicabra olive oil</x:v>
      </x:c>
      <x:c r="AC411" s="28" t="n">
        <x:v>1</x:v>
      </x:c>
      <x:c r="AD411" s="28" t="n">
        <x:v>1</x:v>
      </x:c>
    </x:row>
    <x:row r="412" ht="58" customHeight="1">
      <x:c r="A412" s="28" t="str">
        <x:v>BER-0411</x:v>
      </x:c>
      <x:c r="B412" s="28" t="str">
        <x:v>Десерты и выпечка</x:v>
      </x:c>
      <x:c r="C412" s="28" t="str">
        <x:v>клубника</x:v>
      </x:c>
      <x:c r="D412" s="28" t="str">
        <x:v>Strawberry</x:v>
      </x:c>
      <x:c r="E412" s="28" t="str">
        <x:v>Ягоды и производные</x:v>
      </x:c>
      <x:c r="F412" s="28" t="str">
        <x:v>оливковое масло Picholine</x:v>
      </x:c>
      <x:c r="G412" s="28" t="str">
        <x:v>Picholine virgin olive oil</x:v>
      </x:c>
      <x:c r="H412" s="28" t="str">
        <x:v>Молочные продукты и сыры</x:v>
      </x:c>
      <x:c r="I412" s="28" t="str">
        <x:v>зелёный, карамельный, сливочный, фруктовый, цветочный</x:v>
      </x:c>
      <x:c r="J412" s="28" t="str">
        <x:v>масляный, молочный, сливочный, сырный</x:v>
      </x:c>
      <x:c r="K412" s="28" t="str">
        <x:v>линалоол, мезифуран, фуранеол, цис-3-гексеналь, этилбутират</x:v>
      </x:c>
      <x:c r="L412" s="28" t="str">
        <x:v>диацетил, жирные кислоты, лактоны</x:v>
      </x:c>
      <x:c r="M412" s="28" t="str">
        <x:v>сливочный</x:v>
      </x:c>
      <x:c r="N412" s="28" t="str">
        <x:v>не подтверждены; механизм не сводится к одной общей молекуле</x:v>
      </x:c>
      <x:c r="O412" s="28" t="str">
        <x:v>сходство ароматических семейств + комплементарность</x:v>
      </x:c>
      <x:c r="P412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412" s="28" t="str">
        <x:v>Специфического тройничного эффекта обычно нет; кислотность усиливает слюноотделение.</x:v>
      </x:c>
      <x:c r="R412" s="28" t="str">
        <x:v>Жировая фаза удерживает гидрофобные одоранты и продлевает послевкусие; кислотность ягод повышает слюноотделение.</x:v>
      </x:c>
      <x:c r="S41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412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412" s="28" t="str">
        <x:v>Высокая кислотность может свернуть молочный белок; смешивать при контролируемой температуре.</x:v>
      </x:c>
      <x:c r="V412" s="28" t="str">
        <x:v>мёд или миндаль</x:v>
      </x:c>
      <x:c r="W412" s="28" t="str">
        <x:v>сорбет, крем, ганаш, выпечка, джем или соус для десерта; соус, глазировка, салат, сырная подача или горячее блюдо</x:v>
      </x:c>
      <x:c r="X412" s="28" t="str">
        <x:v>десерты; еда</x:v>
      </x:c>
      <x:c r="Y412" s="28" t="str">
        <x:v>Средняя</x:v>
      </x:c>
      <x:c r="Z412" s="28" t="str">
        <x:v>The Art &amp; Science of Foodpairing</x:v>
      </x:c>
      <x:c r="AA412" s="28" t="str">
        <x:v>The Art &amp; Science of Foodpairing: 70</x:v>
      </x:c>
      <x:c r="AB412" s="28" t="str">
        <x:v>Ingredient pairings with Strawberry: Picholine virgin olive oil</x:v>
      </x:c>
      <x:c r="AC412" s="28" t="n">
        <x:v>1</x:v>
      </x:c>
      <x:c r="AD412" s="28" t="n">
        <x:v>1</x:v>
      </x:c>
    </x:row>
    <x:row r="413" ht="58" customHeight="1">
      <x:c r="A413" s="28" t="str">
        <x:v>BER-0412</x:v>
      </x:c>
      <x:c r="B413" s="28" t="str">
        <x:v>Десерты и выпечка</x:v>
      </x:c>
      <x:c r="C413" s="28" t="str">
        <x:v>клубника</x:v>
      </x:c>
      <x:c r="D413" s="28" t="str">
        <x:v>Strawberry</x:v>
      </x:c>
      <x:c r="E413" s="28" t="str">
        <x:v>Ягоды и производные</x:v>
      </x:c>
      <x:c r="F413" s="28" t="str">
        <x:v>оливковое масло Picual</x:v>
      </x:c>
      <x:c r="G413" s="28" t="str">
        <x:v>Picual olive oil</x:v>
      </x:c>
      <x:c r="H413" s="28" t="str">
        <x:v>Молочные продукты и сыры</x:v>
      </x:c>
      <x:c r="I413" s="28" t="str">
        <x:v>зелёный, карамельный, сливочный, фруктовый, цветочный</x:v>
      </x:c>
      <x:c r="J413" s="28" t="str">
        <x:v>масляный, молочный, сливочный, сырный</x:v>
      </x:c>
      <x:c r="K413" s="28" t="str">
        <x:v>линалоол, мезифуран, фуранеол, цис-3-гексеналь, этилбутират</x:v>
      </x:c>
      <x:c r="L413" s="28" t="str">
        <x:v>диацетил, жирные кислоты, лактоны</x:v>
      </x:c>
      <x:c r="M413" s="28" t="str">
        <x:v>сливочный</x:v>
      </x:c>
      <x:c r="N413" s="28" t="str">
        <x:v>не подтверждены; механизм не сводится к одной общей молекуле</x:v>
      </x:c>
      <x:c r="O413" s="28" t="str">
        <x:v>сходство ароматических семейств + комплементарность</x:v>
      </x:c>
      <x:c r="P413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413" s="28" t="str">
        <x:v>Специфического тройничного эффекта обычно нет; кислотность усиливает слюноотделение.</x:v>
      </x:c>
      <x:c r="R413" s="28" t="str">
        <x:v>Жировая фаза удерживает гидрофобные одоранты и продлевает послевкусие; кислотность ягод повышает слюноотделение.</x:v>
      </x:c>
      <x:c r="S41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413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413" s="28" t="str">
        <x:v>Высокая кислотность может свернуть молочный белок; смешивать при контролируемой температуре.</x:v>
      </x:c>
      <x:c r="V413" s="28" t="str">
        <x:v>мёд или миндаль</x:v>
      </x:c>
      <x:c r="W413" s="28" t="str">
        <x:v>сорбет, крем, ганаш, выпечка, джем или соус для десерта; соус, глазировка, салат, сырная подача или горячее блюдо</x:v>
      </x:c>
      <x:c r="X413" s="28" t="str">
        <x:v>десерты; еда</x:v>
      </x:c>
      <x:c r="Y413" s="28" t="str">
        <x:v>Средняя</x:v>
      </x:c>
      <x:c r="Z413" s="28" t="str">
        <x:v>The Art &amp; Science of Foodpairing</x:v>
      </x:c>
      <x:c r="AA413" s="28" t="str">
        <x:v>The Art &amp; Science of Foodpairing: 70</x:v>
      </x:c>
      <x:c r="AB413" s="28" t="str">
        <x:v>Ingredient pairings with Strawberry: Picual olive oil</x:v>
      </x:c>
      <x:c r="AC413" s="28" t="n">
        <x:v>1</x:v>
      </x:c>
      <x:c r="AD413" s="28" t="n">
        <x:v>1</x:v>
      </x:c>
    </x:row>
    <x:row r="414" ht="58" customHeight="1">
      <x:c r="A414" s="28" t="str">
        <x:v>BER-0413</x:v>
      </x:c>
      <x:c r="B414" s="28" t="str">
        <x:v>Универсальные</x:v>
      </x:c>
      <x:c r="C414" s="28" t="str">
        <x:v>клубника</x:v>
      </x:c>
      <x:c r="D414" s="28" t="str">
        <x:v>Strawberry</x:v>
      </x:c>
      <x:c r="E414" s="28" t="str">
        <x:v>Ягоды и производные</x:v>
      </x:c>
      <x:c r="F414" s="28" t="str">
        <x:v>отварной peas</x:v>
      </x:c>
      <x:c r="G414" s="28" t="str">
        <x:v>boiled peas</x:v>
      </x:c>
      <x:c r="H414" s="28" t="str">
        <x:v>Прочее</x:v>
      </x:c>
      <x:c r="I414" s="28" t="str">
        <x:v>зелёный, карамельный, сливочный, фруктовый, цветочный</x:v>
      </x:c>
      <x:c r="J414" s="28" t="str">
        <x:v>комплексный</x:v>
      </x:c>
      <x:c r="K414" s="28" t="str">
        <x:v>линалоол, мезифуран, фуранеол, цис-3-гексеналь, этилбутират</x:v>
      </x:c>
      <x:c r="L414" s="28" t="str">
        <x:v>нет надёжной конкретизации</x:v>
      </x:c>
      <x:c r="M414" s="28" t="str">
        <x:v>прямое совпадение семейств не установлено</x:v>
      </x:c>
      <x:c r="N414" s="28" t="str">
        <x:v>не подтверждены; механизм не сводится к одной общей молекуле</x:v>
      </x:c>
      <x:c r="O414" s="28" t="str">
        <x:v>контраст/комплементарность + матричный эффект</x:v>
      </x:c>
      <x:c r="P414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14" s="28" t="str">
        <x:v>Специфического тройничного эффекта обычно нет; кислотность усиливает слюноотделение.</x:v>
      </x:c>
      <x:c r="R414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1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1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1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14" s="28" t="str">
        <x:v>лимон или ваниль</x:v>
      </x:c>
      <x:c r="W414" s="28" t="str">
        <x:v>сенсорная проба в малой дозировке</x:v>
      </x:c>
      <x:c r="X414" s="28" t="str">
        <x:v>универсально</x:v>
      </x:c>
      <x:c r="Y414" s="28" t="str">
        <x:v>Средняя</x:v>
      </x:c>
      <x:c r="Z414" s="28" t="str">
        <x:v>The Art &amp; Science of Foodpairing</x:v>
      </x:c>
      <x:c r="AA414" s="28" t="str">
        <x:v>The Art &amp; Science of Foodpairing: 71</x:v>
      </x:c>
      <x:c r="AB414" s="28" t="str">
        <x:v>Ingredient pairings with Strawberry: boiled peas</x:v>
      </x:c>
      <x:c r="AC414" s="28" t="n">
        <x:v>1</x:v>
      </x:c>
      <x:c r="AD414" s="28" t="n">
        <x:v>1</x:v>
      </x:c>
    </x:row>
    <x:row r="415" ht="58" customHeight="1">
      <x:c r="A415" s="28" t="str">
        <x:v>BER-0414</x:v>
      </x:c>
      <x:c r="B415" s="28" t="str">
        <x:v>Универсальные</x:v>
      </x:c>
      <x:c r="C415" s="28" t="str">
        <x:v>клубника</x:v>
      </x:c>
      <x:c r="D415" s="28" t="str">
        <x:v>Strawberry</x:v>
      </x:c>
      <x:c r="E415" s="28" t="str">
        <x:v>Ягоды и производные</x:v>
      </x:c>
      <x:c r="F415" s="28" t="str">
        <x:v>пак-чой</x:v>
      </x:c>
      <x:c r="G415" s="28" t="str">
        <x:v>pak choi</x:v>
      </x:c>
      <x:c r="H415" s="28" t="str">
        <x:v>Прочее</x:v>
      </x:c>
      <x:c r="I415" s="28" t="str">
        <x:v>зелёный, карамельный, сливочный, фруктовый, цветочный</x:v>
      </x:c>
      <x:c r="J415" s="28" t="str">
        <x:v>комплексный</x:v>
      </x:c>
      <x:c r="K415" s="28" t="str">
        <x:v>линалоол, мезифуран, фуранеол, цис-3-гексеналь, этилбутират</x:v>
      </x:c>
      <x:c r="L415" s="28" t="str">
        <x:v>нет надёжной конкретизации</x:v>
      </x:c>
      <x:c r="M415" s="28" t="str">
        <x:v>прямое совпадение семейств не установлено</x:v>
      </x:c>
      <x:c r="N415" s="28" t="str">
        <x:v>не подтверждены; механизм не сводится к одной общей молекуле</x:v>
      </x:c>
      <x:c r="O415" s="28" t="str">
        <x:v>контраст/комплементарность + матричный эффект</x:v>
      </x:c>
      <x:c r="P415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15" s="28" t="str">
        <x:v>Специфического тройничного эффекта обычно нет; кислотность усиливает слюноотделение.</x:v>
      </x:c>
      <x:c r="R415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1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1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1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15" s="28" t="str">
        <x:v>лимон или ваниль</x:v>
      </x:c>
      <x:c r="W415" s="28" t="str">
        <x:v>сенсорная проба в малой дозировке</x:v>
      </x:c>
      <x:c r="X415" s="28" t="str">
        <x:v>универсально</x:v>
      </x:c>
      <x:c r="Y415" s="28" t="str">
        <x:v>Средняя</x:v>
      </x:c>
      <x:c r="Z415" s="28" t="str">
        <x:v>The Art &amp; Science of Foodpairing</x:v>
      </x:c>
      <x:c r="AA415" s="28" t="str">
        <x:v>The Art &amp; Science of Foodpairing: 70</x:v>
      </x:c>
      <x:c r="AB415" s="28" t="str">
        <x:v>Ingredient pairings with Strawberry: pak choi</x:v>
      </x:c>
      <x:c r="AC415" s="28" t="n">
        <x:v>1</x:v>
      </x:c>
      <x:c r="AD415" s="28" t="n">
        <x:v>1</x:v>
      </x:c>
    </x:row>
    <x:row r="416" ht="58" customHeight="1">
      <x:c r="A416" s="28" t="str">
        <x:v>BER-0415</x:v>
      </x:c>
      <x:c r="B416" s="28" t="str">
        <x:v>Универсальные</x:v>
      </x:c>
      <x:c r="C416" s="28" t="str">
        <x:v>клубника</x:v>
      </x:c>
      <x:c r="D416" s="28" t="str">
        <x:v>Клубника</x:v>
      </x:c>
      <x:c r="E416" s="28" t="str">
        <x:v>Ягоды и производные</x:v>
      </x:c>
      <x:c r="F416" s="28" t="str">
        <x:v>папайя</x:v>
      </x:c>
      <x:c r="G416" s="28" t="str">
        <x:v>папайя</x:v>
      </x:c>
      <x:c r="H416" s="28" t="str">
        <x:v>Прочее</x:v>
      </x:c>
      <x:c r="I416" s="28" t="str">
        <x:v>зелёный, карамельный, сливочный, фруктовый, цветочный</x:v>
      </x:c>
      <x:c r="J416" s="28" t="str">
        <x:v>комплексный</x:v>
      </x:c>
      <x:c r="K416" s="28" t="str">
        <x:v>линалоол, мезифуран, фуранеол, цис-3-гексеналь, этилбутират</x:v>
      </x:c>
      <x:c r="L416" s="28" t="str">
        <x:v>нет надёжной конкретизации</x:v>
      </x:c>
      <x:c r="M416" s="28" t="str">
        <x:v>прямое совпадение семейств не установлено</x:v>
      </x:c>
      <x:c r="N416" s="28" t="str">
        <x:v>не подтверждены; механизм не сводится к одной общей молекуле</x:v>
      </x:c>
      <x:c r="O416" s="28" t="str">
        <x:v>контраст/комплементарность + матричный эффект</x:v>
      </x:c>
      <x:c r="P416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16" s="28" t="str">
        <x:v>Специфического тройничного эффекта обычно нет; кислотность усиливает слюноотделение.</x:v>
      </x:c>
      <x:c r="R416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1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1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1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16" s="28" t="str">
        <x:v>лимон или ваниль</x:v>
      </x:c>
      <x:c r="W416" s="28" t="str">
        <x:v>сенсорная проба в малой дозировке</x:v>
      </x:c>
      <x:c r="X416" s="28" t="str">
        <x:v>универсально</x:v>
      </x:c>
      <x:c r="Y416" s="28" t="str">
        <x:v>Средняя</x:v>
      </x:c>
      <x:c r="Z416" s="28" t="str">
        <x:v>Таблица сочетаний</x:v>
      </x:c>
      <x:c r="AA416" s="28" t="str">
        <x:v>Таблица сочетаний: 20</x:v>
      </x:c>
      <x:c r="AB416" s="28" t="str">
        <x:v>Клубника: папайя</x:v>
      </x:c>
      <x:c r="AC416" s="28" t="n">
        <x:v>1</x:v>
      </x:c>
      <x:c r="AD416" s="28" t="n">
        <x:v>1</x:v>
      </x:c>
    </x:row>
    <x:row r="417" ht="58" customHeight="1">
      <x:c r="A417" s="28" t="str">
        <x:v>BER-0416</x:v>
      </x:c>
      <x:c r="B417" s="28" t="str">
        <x:v>Еда и соусы</x:v>
      </x:c>
      <x:c r="C417" s="28" t="str">
        <x:v>клубника</x:v>
      </x:c>
      <x:c r="D417" s="28" t="str">
        <x:v>Strawberry</x:v>
      </x:c>
      <x:c r="E417" s="28" t="str">
        <x:v>Ягоды и производные</x:v>
      </x:c>
      <x:c r="F417" s="28" t="str">
        <x:v>пастеризованный томатный сок</x:v>
      </x:c>
      <x:c r="G417" s="28" t="str">
        <x:v>pasteurized tomato juice</x:v>
      </x:c>
      <x:c r="H417" s="28" t="str">
        <x:v>Овощи и грибы</x:v>
      </x:c>
      <x:c r="I417" s="28" t="str">
        <x:v>зелёный, карамельный, сливочный, фруктовый, цветочный</x:v>
      </x:c>
      <x:c r="J417" s="28" t="str">
        <x:v>зелёный, землистый, сернистый</x:v>
      </x:c>
      <x:c r="K417" s="28" t="str">
        <x:v>линалоол, мезифуран, фуранеол, цис-3-гексеналь, этилбутират</x:v>
      </x:c>
      <x:c r="L417" s="28" t="str">
        <x:v>C6-альдегиды, пиразины, сернистые соединения</x:v>
      </x:c>
      <x:c r="M417" s="28" t="str">
        <x:v>зелёный</x:v>
      </x:c>
      <x:c r="N417" s="28" t="str">
        <x:v>не подтверждены; механизм не сводится к одной общей молекуле</x:v>
      </x:c>
      <x:c r="O417" s="28" t="str">
        <x:v>сходство ароматических семейств + комплементарность</x:v>
      </x:c>
      <x:c r="P417" s="28" t="str">
        <x:v>Оба компонента формируют сладко-кислый и растительный, иногда умами контур; сахар, кислота и горечь должны быть выровнены дегустацией.</x:v>
      </x:c>
      <x:c r="Q417" s="28" t="str">
        <x:v>Специфического тройничного эффекта обычно нет; кислотность усиливает слюноотделение.</x:v>
      </x:c>
      <x:c r="R417" s="28" t="str">
        <x:v>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41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417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41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17" s="28" t="str">
        <x:v>уксус или мягкий сыр</x:v>
      </x:c>
      <x:c r="W417" s="28" t="str">
        <x:v>соус, глазировка, салат, сырная подача или горячее блюдо; маринад, гастрик, чатни, кетчуп или редукция</x:v>
      </x:c>
      <x:c r="X417" s="28" t="str">
        <x:v>еда; соусы/маринады</x:v>
      </x:c>
      <x:c r="Y417" s="28" t="str">
        <x:v>Средняя</x:v>
      </x:c>
      <x:c r="Z417" s="28" t="str">
        <x:v>The Art &amp; Science of Foodpairing</x:v>
      </x:c>
      <x:c r="AA417" s="28" t="str">
        <x:v>The Art &amp; Science of Foodpairing: 70</x:v>
      </x:c>
      <x:c r="AB417" s="28" t="str">
        <x:v>Ingredient pairings with Strawberry: pasteurized tomato juice</x:v>
      </x:c>
      <x:c r="AC417" s="28" t="n">
        <x:v>1</x:v>
      </x:c>
      <x:c r="AD417" s="28" t="n">
        <x:v>1</x:v>
      </x:c>
    </x:row>
    <x:row r="418" ht="58" customHeight="1">
      <x:c r="A418" s="28" t="str">
        <x:v>BER-0417</x:v>
      </x:c>
      <x:c r="B418" s="28" t="str">
        <x:v>Универсальные</x:v>
      </x:c>
      <x:c r="C418" s="28" t="str">
        <x:v>клубника</x:v>
      </x:c>
      <x:c r="D418" s="28" t="str">
        <x:v>клубника</x:v>
      </x:c>
      <x:c r="E418" s="28" t="str">
        <x:v>Ягоды и производные</x:v>
      </x:c>
      <x:c r="F418" s="28" t="str">
        <x:v>перец</x:v>
      </x:c>
      <x:c r="G418" s="28" t="str">
        <x:v>Перец</x:v>
      </x:c>
      <x:c r="H418" s="28" t="str">
        <x:v>Специи</x:v>
      </x:c>
      <x:c r="I418" s="28" t="str">
        <x:v>зелёный, карамельный, сливочный, фруктовый, цветочный</x:v>
      </x:c>
      <x:c r="J418" s="28" t="str">
        <x:v>древесный, пряный, тёплый</x:v>
      </x:c>
      <x:c r="K418" s="28" t="str">
        <x:v>линалоол, мезифуран, фуранеол, цис-3-гексеналь, этилбутират</x:v>
      </x:c>
      <x:c r="L418" s="28" t="str">
        <x:v>коричный альдегид, терпены, эвгенол</x:v>
      </x:c>
      <x:c r="M418" s="28" t="str">
        <x:v>прямое совпадение семейств не установлено</x:v>
      </x:c>
      <x:c r="N418" s="28" t="str">
        <x:v>не подтверждены; механизм не сводится к одной общей молекуле</x:v>
      </x:c>
      <x:c r="O418" s="28" t="str">
        <x:v>контраст/комплементарность + матричный эффект</x:v>
      </x:c>
      <x:c r="P418" s="28" t="str">
        <x:v>Ягодная сладость смягчает горечь и пряность, а кислотность делает пряный, иногда горький профиль ярче.</x:v>
      </x:c>
      <x:c r="Q418" s="28" t="str">
        <x:v>Специфического тройничного эффекта обычно нет; кислотность усиливает слюноотделение.</x:v>
      </x:c>
      <x:c r="R418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1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1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18" s="28" t="str">
        <x:v>Пряность дозировать как акцент: она быстро перекрывает тонкие ягодные эфиры.</x:v>
      </x:c>
      <x:c r="V418" s="28" t="str">
        <x:v>мёд или цитрус</x:v>
      </x:c>
      <x:c r="W41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418" s="28" t="str">
        <x:v>напитки; десерты; еда; соусы/маринады</x:v>
      </x:c>
      <x:c r="Y418" s="28" t="str">
        <x:v>Средняя</x:v>
      </x:c>
      <x:c r="Z418" s="28" t="str">
        <x:v>Таблица сочетаний</x:v>
      </x:c>
      <x:c r="AA418" s="28" t="str">
        <x:v>Таблица сочетаний: 16</x:v>
      </x:c>
      <x:c r="AB418" s="28" t="str">
        <x:v>Перец: клубника</x:v>
      </x:c>
      <x:c r="AC418" s="28" t="n">
        <x:v>1</x:v>
      </x:c>
      <x:c r="AD418" s="28" t="n">
        <x:v>1</x:v>
      </x:c>
    </x:row>
    <x:row r="419" ht="58" customHeight="1">
      <x:c r="A419" s="28" t="str">
        <x:v>BER-0418</x:v>
      </x:c>
      <x:c r="B419" s="28" t="str">
        <x:v>Универсальные</x:v>
      </x:c>
      <x:c r="C419" s="28" t="str">
        <x:v>клубника</x:v>
      </x:c>
      <x:c r="D419" s="28" t="str">
        <x:v>strawberry</x:v>
      </x:c>
      <x:c r="E419" s="28" t="str">
        <x:v>Ягоды и производные</x:v>
      </x:c>
      <x:c r="F419" s="28" t="str">
        <x:v>перец чили</x:v>
      </x:c>
      <x:c r="G419" s="28" t="str">
        <x:v>Chilli Pepper</x:v>
      </x:c>
      <x:c r="H419" s="28" t="str">
        <x:v>Специи</x:v>
      </x:c>
      <x:c r="I419" s="28" t="str">
        <x:v>зелёный, карамельный, сливочный, фруктовый, цветочный</x:v>
      </x:c>
      <x:c r="J419" s="28" t="str">
        <x:v>древесный, пряный, тёплый</x:v>
      </x:c>
      <x:c r="K419" s="28" t="str">
        <x:v>линалоол, мезифуран, фуранеол, цис-3-гексеналь, этилбутират</x:v>
      </x:c>
      <x:c r="L419" s="28" t="str">
        <x:v>коричный альдегид, терпены, эвгенол</x:v>
      </x:c>
      <x:c r="M419" s="28" t="str">
        <x:v>прямое совпадение семейств не установлено</x:v>
      </x:c>
      <x:c r="N419" s="28" t="str">
        <x:v>не подтверждены; механизм не сводится к одной общей молекуле</x:v>
      </x:c>
      <x:c r="O419" s="28" t="str">
        <x:v>контраст/комплементарность + матричный эффект</x:v>
      </x:c>
      <x:c r="P419" s="28" t="str">
        <x:v>Ягодная сладость смягчает горечь и пряность, а кислотность делает пряный, иногда горький профиль ярче.</x:v>
      </x:c>
      <x:c r="Q419" s="28" t="str">
        <x:v>Кислотность ягоды усиливает слюноотделение, а капсаицин/пиперин/гингеролы дают тепло и покалывание; дозировка должна быть низкой.</x:v>
      </x:c>
      <x:c r="R419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1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1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19" s="28" t="str">
        <x:v>Пряность дозировать как акцент: она быстро перекрывает тонкие ягодные эфиры.</x:v>
      </x:c>
      <x:c r="V419" s="28" t="str">
        <x:v>мёд или цитрус</x:v>
      </x:c>
      <x:c r="W41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419" s="28" t="str">
        <x:v>напитки; десерты; еда; соусы/маринады</x:v>
      </x:c>
      <x:c r="Y419" s="28" t="str">
        <x:v>Средняя</x:v>
      </x:c>
      <x:c r="Z419" s="28" t="str">
        <x:v>The Art &amp; Science of Foodpairing</x:v>
      </x:c>
      <x:c r="AA419" s="28" t="str">
        <x:v>The Art &amp; Science of Foodpairing: 94</x:v>
      </x:c>
      <x:c r="AB419" s="28" t="str">
        <x:v>Ingredient pairings with Chilli Pepper: strawberry</x:v>
      </x:c>
      <x:c r="AC419" s="28" t="n">
        <x:v>1</x:v>
      </x:c>
      <x:c r="AD419" s="28" t="n">
        <x:v>1</x:v>
      </x:c>
    </x:row>
    <x:row r="420" ht="58" customHeight="1">
      <x:c r="A420" s="28" t="str">
        <x:v>BER-0419</x:v>
      </x:c>
      <x:c r="B420" s="28" t="str">
        <x:v>Универсальные</x:v>
      </x:c>
      <x:c r="C420" s="28" t="str">
        <x:v>клубника</x:v>
      </x:c>
      <x:c r="D420" s="28" t="str">
        <x:v>Strawberry | Клубника | клубника</x:v>
      </x:c>
      <x:c r="E420" s="28" t="str">
        <x:v>Ягоды и производные</x:v>
      </x:c>
      <x:c r="F420" s="28" t="str">
        <x:v>персик</x:v>
      </x:c>
      <x:c r="G420" s="28" t="str">
        <x:v>peach | Персик | персик</x:v>
      </x:c>
      <x:c r="H420" s="28" t="str">
        <x:v>Фрукты</x:v>
      </x:c>
      <x:c r="I420" s="28" t="str">
        <x:v>зелёный, карамельный, сливочный, фруктовый, цветочный</x:v>
      </x:c>
      <x:c r="J420" s="28" t="str">
        <x:v>зелёный, фруктовый, цветочный</x:v>
      </x:c>
      <x:c r="K420" s="28" t="str">
        <x:v>линалоол, мезифуран, фуранеол, цис-3-гексеналь, этилбутират</x:v>
      </x:c>
      <x:c r="L420" s="28" t="str">
        <x:v>лактоны, терпены, эфиры</x:v>
      </x:c>
      <x:c r="M420" s="28" t="str">
        <x:v>зелёный, фруктовый, цветочный</x:v>
      </x:c>
      <x:c r="N420" s="28" t="str">
        <x:v>не подтверждены; механизм не сводится к одной общей молекуле</x:v>
      </x:c>
      <x:c r="O420" s="28" t="str">
        <x:v>сходство ароматических семейств + комплементарность</x:v>
      </x:c>
      <x:c r="P420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420" s="28" t="str">
        <x:v>Специфического тройничного эффекта обычно нет; кислотность усиливает слюноотделение.</x:v>
      </x:c>
      <x:c r="R420" s="28" t="str">
        <x:v>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</x:v>
      </x:c>
      <x:c r="S42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20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2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20" s="28" t="str">
        <x:v>ваниль или лимон</x:v>
      </x:c>
      <x:c r="W42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420" s="28" t="str">
        <x:v>напитки; десерты</x:v>
      </x:c>
      <x:c r="Y420" s="28" t="str">
        <x:v>Высокая</x:v>
      </x:c>
      <x:c r="Z420" s="28" t="str">
        <x:v>The Art &amp; Science of Foodpairing; Тезариус вкусов</x:v>
      </x:c>
      <x:c r="AA420" s="28" t="str">
        <x:v>Тезариус вкусов: 698, 751; The Art &amp; Science of Foodpairing: 71</x:v>
      </x:c>
      <x:c r="AB420" s="28" t="str">
        <x:v>Клубника и персик. См. Персик и клубника | Персик и клубника. Кто лучший друг сливок – пер- сик или клубника? И тот и другая содержат молоч- ные вкусы, которые дают им естественное сродство со сливками. Оба, смешавшись со взбитыми сливка- ми, образуют простой и вкусный десерт. Не бейтесь над этой проблемой, сделайте прекрасный десерт из слоев вашерена (vacherin) (см. Кофе и черная смо- родина), положив эти свежие фрукты вместо льда | Ingredient pairings with Strawberry: peach</x:v>
      </x:c>
      <x:c r="AC420" s="28" t="n">
        <x:v>2</x:v>
      </x:c>
      <x:c r="AD420" s="28" t="n">
        <x:v>3</x:v>
      </x:c>
    </x:row>
    <x:row r="421" ht="58" customHeight="1">
      <x:c r="A421" s="28" t="str">
        <x:v>BER-0420</x:v>
      </x:c>
      <x:c r="B421" s="28" t="str">
        <x:v>Универсальные</x:v>
      </x:c>
      <x:c r="C421" s="28" t="str">
        <x:v>клубника</x:v>
      </x:c>
      <x:c r="D421" s="28" t="str">
        <x:v>клубника</x:v>
      </x:c>
      <x:c r="E421" s="28" t="str">
        <x:v>Ягоды и производные</x:v>
      </x:c>
      <x:c r="F421" s="28" t="str">
        <x:v>петрушка</x:v>
      </x:c>
      <x:c r="G421" s="28" t="str">
        <x:v>Петрушка</x:v>
      </x:c>
      <x:c r="H421" s="28" t="str">
        <x:v>Травы и цветы</x:v>
      </x:c>
      <x:c r="I421" s="28" t="str">
        <x:v>зелёный, карамельный, сливочный, фруктовый, цветочный</x:v>
      </x:c>
      <x:c r="J421" s="28" t="str">
        <x:v>зелёный, травянистый, цветочный</x:v>
      </x:c>
      <x:c r="K421" s="28" t="str">
        <x:v>линалоол, мезифуран, фуранеол, цис-3-гексеналь, этилбутират</x:v>
      </x:c>
      <x:c r="L421" s="28" t="str">
        <x:v>гераниол, линалоол, терпены, эвгенол</x:v>
      </x:c>
      <x:c r="M421" s="28" t="str">
        <x:v>зелёный, цветочный</x:v>
      </x:c>
      <x:c r="N421" s="28" t="str">
        <x:v>линалоол</x:v>
      </x:c>
      <x:c r="O421" s="28" t="str">
        <x:v>ароматическое сходство + вкусовой баланс</x:v>
      </x:c>
      <x:c r="P421" s="28" t="str">
        <x:v>Ягодная сладость смягчает горечь и пряность, а кислотность делает горьковатый, свежий профиль ярче.</x:v>
      </x:c>
      <x:c r="Q421" s="28" t="str">
        <x:v>Специфического тройничного эффекта обычно нет; кислотность усиливает слюноотделение.</x:v>
      </x:c>
      <x:c r="R421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2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21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2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21" s="28" t="str">
        <x:v>лимон или мёд</x:v>
      </x:c>
      <x:c r="W42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421" s="28" t="str">
        <x:v>напитки; еда; соусы/маринады</x:v>
      </x:c>
      <x:c r="Y421" s="28" t="str">
        <x:v>Средняя</x:v>
      </x:c>
      <x:c r="Z421" s="28" t="str">
        <x:v>Таблица сочетаний</x:v>
      </x:c>
      <x:c r="AA421" s="28" t="str">
        <x:v>Таблица сочетаний: 15</x:v>
      </x:c>
      <x:c r="AB421" s="28" t="str">
        <x:v>Петрушка: клубника</x:v>
      </x:c>
      <x:c r="AC421" s="28" t="n">
        <x:v>1</x:v>
      </x:c>
      <x:c r="AD421" s="28" t="n">
        <x:v>1</x:v>
      </x:c>
    </x:row>
    <x:row r="422" ht="58" customHeight="1">
      <x:c r="A422" s="28" t="str">
        <x:v>BER-0421</x:v>
      </x:c>
      <x:c r="B422" s="28" t="str">
        <x:v>Универсальные</x:v>
      </x:c>
      <x:c r="C422" s="28" t="str">
        <x:v>клубника</x:v>
      </x:c>
      <x:c r="D422" s="28" t="str">
        <x:v>клубника</x:v>
      </x:c>
      <x:c r="E422" s="28" t="str">
        <x:v>Ягоды и производные</x:v>
      </x:c>
      <x:c r="F422" s="28" t="str">
        <x:v>питахайя (dragon fruit)</x:v>
      </x:c>
      <x:c r="G422" s="28" t="str">
        <x:v>Питахайя (dragon fruit)</x:v>
      </x:c>
      <x:c r="H422" s="28" t="str">
        <x:v>Прочее</x:v>
      </x:c>
      <x:c r="I422" s="28" t="str">
        <x:v>зелёный, карамельный, сливочный, фруктовый, цветочный</x:v>
      </x:c>
      <x:c r="J422" s="28" t="str">
        <x:v>комплексный</x:v>
      </x:c>
      <x:c r="K422" s="28" t="str">
        <x:v>линалоол, мезифуран, фуранеол, цис-3-гексеналь, этилбутират</x:v>
      </x:c>
      <x:c r="L422" s="28" t="str">
        <x:v>нет надёжной конкретизации</x:v>
      </x:c>
      <x:c r="M422" s="28" t="str">
        <x:v>прямое совпадение семейств не установлено</x:v>
      </x:c>
      <x:c r="N422" s="28" t="str">
        <x:v>не подтверждены; механизм не сводится к одной общей молекуле</x:v>
      </x:c>
      <x:c r="O422" s="28" t="str">
        <x:v>контраст/комплементарность + матричный эффект</x:v>
      </x:c>
      <x:c r="P422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22" s="28" t="str">
        <x:v>Специфического тройничного эффекта обычно нет; кислотность усиливает слюноотделение.</x:v>
      </x:c>
      <x:c r="R422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2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2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2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22" s="28" t="str">
        <x:v>лимон или ваниль</x:v>
      </x:c>
      <x:c r="W422" s="28" t="str">
        <x:v>сенсорная проба в малой дозировке</x:v>
      </x:c>
      <x:c r="X422" s="28" t="str">
        <x:v>универсально</x:v>
      </x:c>
      <x:c r="Y422" s="28" t="str">
        <x:v>Средняя</x:v>
      </x:c>
      <x:c r="Z422" s="28" t="str">
        <x:v>Таблица сочетаний</x:v>
      </x:c>
      <x:c r="AA422" s="28" t="str">
        <x:v>Таблица сочетаний: 7</x:v>
      </x:c>
      <x:c r="AB422" s="28" t="str">
        <x:v>Питахайя (dragon fruit): клубника</x:v>
      </x:c>
      <x:c r="AC422" s="28" t="n">
        <x:v>1</x:v>
      </x:c>
      <x:c r="AD422" s="28" t="n">
        <x:v>1</x:v>
      </x:c>
    </x:row>
    <x:row r="423" ht="58" customHeight="1">
      <x:c r="A423" s="28" t="str">
        <x:v>BER-0422</x:v>
      </x:c>
      <x:c r="B423" s="28" t="str">
        <x:v>Десерты и выпечка</x:v>
      </x:c>
      <x:c r="C423" s="28" t="str">
        <x:v>клубника</x:v>
      </x:c>
      <x:c r="D423" s="28" t="str">
        <x:v>Strawberry</x:v>
      </x:c>
      <x:c r="E423" s="28" t="str">
        <x:v>Ягоды и производные</x:v>
      </x:c>
      <x:c r="F423" s="28" t="str">
        <x:v>приготовленная киноа</x:v>
      </x:c>
      <x:c r="G423" s="28" t="str">
        <x:v>cooked quinoa</x:v>
      </x:c>
      <x:c r="H423" s="28" t="str">
        <x:v>Злаки и выпечка</x:v>
      </x:c>
      <x:c r="I423" s="28" t="str">
        <x:v>зелёный, карамельный, сливочный, фруктовый, цветочный</x:v>
      </x:c>
      <x:c r="J423" s="28" t="str">
        <x:v>жареный, зерновой, солодовый</x:v>
      </x:c>
      <x:c r="K423" s="28" t="str">
        <x:v>линалоол, мезифуран, фуранеол, цис-3-гексеналь, этилбутират</x:v>
      </x:c>
      <x:c r="L423" s="28" t="str">
        <x:v>мальтол, пиразины, фураны</x:v>
      </x:c>
      <x:c r="M423" s="28" t="str">
        <x:v>прямое совпадение семейств не установлено</x:v>
      </x:c>
      <x:c r="N423" s="28" t="str">
        <x:v>не подтверждены; механизм не сводится к одной общей молекуле</x:v>
      </x:c>
      <x:c r="O423" s="28" t="str">
        <x:v>контраст/комплементарность + матричный эффект</x:v>
      </x:c>
      <x:c r="P423" s="28" t="str">
        <x:v>Оба компонента формируют сладко-кислый и крахмалистый, сладковатый контур; сахар, кислота и горечь должны быть выровнены дегустацией.</x:v>
      </x:c>
      <x:c r="Q423" s="28" t="str">
        <x:v>Специфического тройничного эффекта обычно нет; кислотность усиливает слюноотделение.</x:v>
      </x:c>
      <x:c r="R423" s="28" t="str">
        <x:v>Ягода: высокая доля воды; аромат чувствителен к перегреву. Партнёр: крахмал и сухая пористая матрица. В воде аромат раскрывается быстрее, в жире и этаноле — дольше удерживается.</x:v>
      </x:c>
      <x:c r="S42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2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зерновой, солодовый. Оба компонента формируют сладко-кислый и крахмалистый, сладковатый контур; сахар, кислота и горечь должны быть выровнены дегустацией. Ягода: высокая доля воды; аромат чувствителен к перегреву. Партнёр: крахмал и сухая пористая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2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23" s="28" t="str">
        <x:v>сливки или орехи</x:v>
      </x:c>
      <x:c r="W423" s="28" t="str">
        <x:v>сорбет, крем, ганаш, выпечка, джем или соус для десерта</x:v>
      </x:c>
      <x:c r="X423" s="28" t="str">
        <x:v>десерты</x:v>
      </x:c>
      <x:c r="Y423" s="28" t="str">
        <x:v>Средняя</x:v>
      </x:c>
      <x:c r="Z423" s="28" t="str">
        <x:v>The Art &amp; Science of Foodpairing</x:v>
      </x:c>
      <x:c r="AA423" s="28" t="str">
        <x:v>The Art &amp; Science of Foodpairing: 70, 71</x:v>
      </x:c>
      <x:c r="AB423" s="28" t="str">
        <x:v>Ingredient pairings with Strawberry: cooked quinoa | Ingredient pairings with Strawberry: cooked quinoa</x:v>
      </x:c>
      <x:c r="AC423" s="28" t="n">
        <x:v>1</x:v>
      </x:c>
      <x:c r="AD423" s="28" t="n">
        <x:v>2</x:v>
      </x:c>
    </x:row>
    <x:row r="424" ht="58" customHeight="1">
      <x:c r="A424" s="28" t="str">
        <x:v>BER-0423</x:v>
      </x:c>
      <x:c r="B424" s="28" t="str">
        <x:v>Еда и соусы</x:v>
      </x:c>
      <x:c r="C424" s="28" t="str">
        <x:v>клубника</x:v>
      </x:c>
      <x:c r="D424" s="28" t="str">
        <x:v>Strawberry</x:v>
      </x:c>
      <x:c r="E424" s="28" t="str">
        <x:v>Ягоды и производные</x:v>
      </x:c>
      <x:c r="F424" s="28" t="str">
        <x:v>приготовленные моллюски</x:v>
      </x:c>
      <x:c r="G424" s="28" t="str">
        <x:v>cooked clams</x:v>
      </x:c>
      <x:c r="H424" s="28" t="str">
        <x:v>Рыба и морепродукты</x:v>
      </x:c>
      <x:c r="I424" s="28" t="str">
        <x:v>зелёный, карамельный, сливочный, фруктовый, цветочный</x:v>
      </x:c>
      <x:c r="J424" s="28" t="str">
        <x:v>жирный, морской, умами</x:v>
      </x:c>
      <x:c r="K424" s="28" t="str">
        <x:v>линалоол, мезифуран, фуранеол, цис-3-гексеналь, этилбутират</x:v>
      </x:c>
      <x:c r="L424" s="28" t="str">
        <x:v>альдегиды, амины, сернистые соединения</x:v>
      </x:c>
      <x:c r="M424" s="28" t="str">
        <x:v>прямое совпадение семейств не установлено</x:v>
      </x:c>
      <x:c r="N424" s="28" t="str">
        <x:v>не подтверждены; механизм не сводится к одной общей молекуле</x:v>
      </x:c>
      <x:c r="O424" s="28" t="str">
        <x:v>контраст/комплементарность + матричный эффект</x:v>
      </x:c>
      <x:c r="P424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424" s="28" t="str">
        <x:v>Специфического тройничного эффекта обычно нет; кислотность усиливает слюноотделение.</x:v>
      </x:c>
      <x:c r="R424" s="28" t="str">
        <x:v>Белок и жир смягчают кислоту; ягодный соус должен сохранять достаточную концентрацию и соль.</x:v>
      </x:c>
      <x:c r="S42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42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42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24" s="28" t="str">
        <x:v>цитрус или огурец</x:v>
      </x:c>
      <x:c r="W424" s="28" t="str">
        <x:v>соус, глазировка, салат, сырная подача или горячее блюдо; маринад, гастрик, чатни, кетчуп или редукция</x:v>
      </x:c>
      <x:c r="X424" s="28" t="str">
        <x:v>еда; соусы/маринады</x:v>
      </x:c>
      <x:c r="Y424" s="28" t="str">
        <x:v>Средняя</x:v>
      </x:c>
      <x:c r="Z424" s="28" t="str">
        <x:v>The Art &amp; Science of Foodpairing</x:v>
      </x:c>
      <x:c r="AA424" s="28" t="str">
        <x:v>The Art &amp; Science of Foodpairing: 70</x:v>
      </x:c>
      <x:c r="AB424" s="28" t="str">
        <x:v>Ingredient pairings with Strawberry: cooked clams</x:v>
      </x:c>
      <x:c r="AC424" s="28" t="n">
        <x:v>1</x:v>
      </x:c>
      <x:c r="AD424" s="28" t="n">
        <x:v>1</x:v>
      </x:c>
    </x:row>
    <x:row r="425" ht="58" customHeight="1">
      <x:c r="A425" s="28" t="str">
        <x:v>BER-0424</x:v>
      </x:c>
      <x:c r="B425" s="28" t="str">
        <x:v>Десерты и выпечка</x:v>
      </x:c>
      <x:c r="C425" s="28" t="str">
        <x:v>клубника</x:v>
      </x:c>
      <x:c r="D425" s="28" t="str">
        <x:v>Strawberry</x:v>
      </x:c>
      <x:c r="E425" s="28" t="str">
        <x:v>Ягоды и производные</x:v>
      </x:c>
      <x:c r="F425" s="28" t="str">
        <x:v>приготовленный дикий рис</x:v>
      </x:c>
      <x:c r="G425" s="28" t="str">
        <x:v>cooked wild rice</x:v>
      </x:c>
      <x:c r="H425" s="28" t="str">
        <x:v>Злаки и выпечка</x:v>
      </x:c>
      <x:c r="I425" s="28" t="str">
        <x:v>зелёный, карамельный, сливочный, фруктовый, цветочный</x:v>
      </x:c>
      <x:c r="J425" s="28" t="str">
        <x:v>жареный, зерновой, солодовый</x:v>
      </x:c>
      <x:c r="K425" s="28" t="str">
        <x:v>линалоол, мезифуран, фуранеол, цис-3-гексеналь, этилбутират</x:v>
      </x:c>
      <x:c r="L425" s="28" t="str">
        <x:v>мальтол, пиразины, фураны</x:v>
      </x:c>
      <x:c r="M425" s="28" t="str">
        <x:v>прямое совпадение семейств не установлено</x:v>
      </x:c>
      <x:c r="N425" s="28" t="str">
        <x:v>не подтверждены; механизм не сводится к одной общей молекуле</x:v>
      </x:c>
      <x:c r="O425" s="28" t="str">
        <x:v>контраст/комплементарность + матричный эффект</x:v>
      </x:c>
      <x:c r="P425" s="28" t="str">
        <x:v>Оба компонента формируют сладко-кислый и крахмалистый, сладковатый контур; сахар, кислота и горечь должны быть выровнены дегустацией.</x:v>
      </x:c>
      <x:c r="Q425" s="28" t="str">
        <x:v>Специфического тройничного эффекта обычно нет; кислотность усиливает слюноотделение.</x:v>
      </x:c>
      <x:c r="R425" s="28" t="str">
        <x:v>Ягода: высокая доля воды; аромат чувствителен к перегреву. Партнёр: крахмал и сухая пористая матрица. В воде аромат раскрывается быстрее, в жире и этаноле — дольше удерживается.</x:v>
      </x:c>
      <x:c r="S42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2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зерновой, солодовый. Оба компонента формируют сладко-кислый и крахмалистый, сладковатый контур; сахар, кислота и горечь должны быть выровнены дегустацией. Ягода: высокая доля воды; аромат чувствителен к перегреву. Партнёр: крахмал и сухая пористая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2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25" s="28" t="str">
        <x:v>сливки или орехи</x:v>
      </x:c>
      <x:c r="W425" s="28" t="str">
        <x:v>сорбет, крем, ганаш, выпечка, джем или соус для десерта</x:v>
      </x:c>
      <x:c r="X425" s="28" t="str">
        <x:v>десерты</x:v>
      </x:c>
      <x:c r="Y425" s="28" t="str">
        <x:v>Средняя</x:v>
      </x:c>
      <x:c r="Z425" s="28" t="str">
        <x:v>The Art &amp; Science of Foodpairing</x:v>
      </x:c>
      <x:c r="AA425" s="28" t="str">
        <x:v>The Art &amp; Science of Foodpairing: 70</x:v>
      </x:c>
      <x:c r="AB425" s="28" t="str">
        <x:v>Ingredient pairings with Strawberry: cooked wild rice</x:v>
      </x:c>
      <x:c r="AC425" s="28" t="n">
        <x:v>1</x:v>
      </x:c>
      <x:c r="AD425" s="28" t="n">
        <x:v>1</x:v>
      </x:c>
    </x:row>
    <x:row r="426" ht="58" customHeight="1">
      <x:c r="A426" s="28" t="str">
        <x:v>BER-0425</x:v>
      </x:c>
      <x:c r="B426" s="28" t="str">
        <x:v>Еда и соусы</x:v>
      </x:c>
      <x:c r="C426" s="28" t="str">
        <x:v>клубника</x:v>
      </x:c>
      <x:c r="D426" s="28" t="str">
        <x:v>Strawberry</x:v>
      </x:c>
      <x:c r="E426" s="28" t="str">
        <x:v>Ягоды и производные</x:v>
      </x:c>
      <x:c r="F426" s="28" t="str">
        <x:v>припущенная кефаль</x:v>
      </x:c>
      <x:c r="G426" s="28" t="str">
        <x:v>poached grey mullet</x:v>
      </x:c>
      <x:c r="H426" s="28" t="str">
        <x:v>Рыба и морепродукты</x:v>
      </x:c>
      <x:c r="I426" s="28" t="str">
        <x:v>зелёный, карамельный, сливочный, фруктовый, цветочный</x:v>
      </x:c>
      <x:c r="J426" s="28" t="str">
        <x:v>жирный, морской, умами</x:v>
      </x:c>
      <x:c r="K426" s="28" t="str">
        <x:v>линалоол, мезифуран, фуранеол, цис-3-гексеналь, этилбутират</x:v>
      </x:c>
      <x:c r="L426" s="28" t="str">
        <x:v>альдегиды, амины, сернистые соединения</x:v>
      </x:c>
      <x:c r="M426" s="28" t="str">
        <x:v>прямое совпадение семейств не установлено</x:v>
      </x:c>
      <x:c r="N426" s="28" t="str">
        <x:v>не подтверждены; механизм не сводится к одной общей молекуле</x:v>
      </x:c>
      <x:c r="O426" s="28" t="str">
        <x:v>контраст/комплементарность + матричный эффект</x:v>
      </x:c>
      <x:c r="P426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426" s="28" t="str">
        <x:v>Специфического тройничного эффекта обычно нет; кислотность усиливает слюноотделение.</x:v>
      </x:c>
      <x:c r="R426" s="28" t="str">
        <x:v>Белок и жир смягчают кислоту; ягодный соус должен сохранять достаточную концентрацию и соль.</x:v>
      </x:c>
      <x:c r="S42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42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42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26" s="28" t="str">
        <x:v>цитрус или огурец</x:v>
      </x:c>
      <x:c r="W426" s="28" t="str">
        <x:v>соус, глазировка, салат, сырная подача или горячее блюдо; маринад, гастрик, чатни, кетчуп или редукция</x:v>
      </x:c>
      <x:c r="X426" s="28" t="str">
        <x:v>еда; соусы/маринады</x:v>
      </x:c>
      <x:c r="Y426" s="28" t="str">
        <x:v>Средняя</x:v>
      </x:c>
      <x:c r="Z426" s="28" t="str">
        <x:v>The Art &amp; Science of Foodpairing</x:v>
      </x:c>
      <x:c r="AA426" s="28" t="str">
        <x:v>The Art &amp; Science of Foodpairing: 70</x:v>
      </x:c>
      <x:c r="AB426" s="28" t="str">
        <x:v>Ingredient pairings with Strawberry: poached grey mullet | Ingredient pairings with Strawberry: poached grey mullet</x:v>
      </x:c>
      <x:c r="AC426" s="28" t="n">
        <x:v>1</x:v>
      </x:c>
      <x:c r="AD426" s="28" t="n">
        <x:v>2</x:v>
      </x:c>
    </x:row>
    <x:row r="427" ht="58" customHeight="1">
      <x:c r="A427" s="28" t="str">
        <x:v>BER-0426</x:v>
      </x:c>
      <x:c r="B427" s="28" t="str">
        <x:v>Универсальные</x:v>
      </x:c>
      <x:c r="C427" s="28" t="str">
        <x:v>клубника</x:v>
      </x:c>
      <x:c r="D427" s="28" t="str">
        <x:v>Strawberry</x:v>
      </x:c>
      <x:c r="E427" s="28" t="str">
        <x:v>Ягоды и производные</x:v>
      </x:c>
      <x:c r="F427" s="28" t="str">
        <x:v>припущенное крыло ската</x:v>
      </x:c>
      <x:c r="G427" s="28" t="str">
        <x:v>poached ray wing</x:v>
      </x:c>
      <x:c r="H427" s="28" t="str">
        <x:v>Прочее</x:v>
      </x:c>
      <x:c r="I427" s="28" t="str">
        <x:v>зелёный, карамельный, сливочный, фруктовый, цветочный</x:v>
      </x:c>
      <x:c r="J427" s="28" t="str">
        <x:v>комплексный</x:v>
      </x:c>
      <x:c r="K427" s="28" t="str">
        <x:v>линалоол, мезифуран, фуранеол, цис-3-гексеналь, этилбутират</x:v>
      </x:c>
      <x:c r="L427" s="28" t="str">
        <x:v>нет надёжной конкретизации</x:v>
      </x:c>
      <x:c r="M427" s="28" t="str">
        <x:v>прямое совпадение семейств не установлено</x:v>
      </x:c>
      <x:c r="N427" s="28" t="str">
        <x:v>не подтверждены; механизм не сводится к одной общей молекуле</x:v>
      </x:c>
      <x:c r="O427" s="28" t="str">
        <x:v>контраст/комплементарность + матричный эффект</x:v>
      </x:c>
      <x:c r="P427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27" s="28" t="str">
        <x:v>Специфического тройничного эффекта обычно нет; кислотность усиливает слюноотделение.</x:v>
      </x:c>
      <x:c r="R427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2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2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2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27" s="28" t="str">
        <x:v>лимон или ваниль</x:v>
      </x:c>
      <x:c r="W427" s="28" t="str">
        <x:v>сенсорная проба в малой дозировке</x:v>
      </x:c>
      <x:c r="X427" s="28" t="str">
        <x:v>универсально</x:v>
      </x:c>
      <x:c r="Y427" s="28" t="str">
        <x:v>Средняя</x:v>
      </x:c>
      <x:c r="Z427" s="28" t="str">
        <x:v>The Art &amp; Science of Foodpairing</x:v>
      </x:c>
      <x:c r="AA427" s="28" t="str">
        <x:v>The Art &amp; Science of Foodpairing: 70</x:v>
      </x:c>
      <x:c r="AB427" s="28" t="str">
        <x:v>Ingredient pairings with Strawberry: poached ray wing</x:v>
      </x:c>
      <x:c r="AC427" s="28" t="n">
        <x:v>1</x:v>
      </x:c>
      <x:c r="AD427" s="28" t="n">
        <x:v>1</x:v>
      </x:c>
    </x:row>
    <x:row r="428" ht="58" customHeight="1">
      <x:c r="A428" s="28" t="str">
        <x:v>BER-0427</x:v>
      </x:c>
      <x:c r="B428" s="28" t="str">
        <x:v>Универсальные</x:v>
      </x:c>
      <x:c r="C428" s="28" t="str">
        <x:v>клубника</x:v>
      </x:c>
      <x:c r="D428" s="28" t="str">
        <x:v>Strawberry</x:v>
      </x:c>
      <x:c r="E428" s="28" t="str">
        <x:v>Ягоды и производные</x:v>
      </x:c>
      <x:c r="F428" s="28" t="str">
        <x:v>пюре из жареного красного перца</x:v>
      </x:c>
      <x:c r="G428" s="28" t="str">
        <x:v>roasted red bell pepper puree</x:v>
      </x:c>
      <x:c r="H428" s="28" t="str">
        <x:v>Прочее</x:v>
      </x:c>
      <x:c r="I428" s="28" t="str">
        <x:v>зелёный, карамельный, сливочный, фруктовый, цветочный</x:v>
      </x:c>
      <x:c r="J428" s="28" t="str">
        <x:v>комплексный</x:v>
      </x:c>
      <x:c r="K428" s="28" t="str">
        <x:v>линалоол, мезифуран, фуранеол, цис-3-гексеналь, этилбутират</x:v>
      </x:c>
      <x:c r="L428" s="28" t="str">
        <x:v>нет надёжной конкретизации</x:v>
      </x:c>
      <x:c r="M428" s="28" t="str">
        <x:v>прямое совпадение семейств не установлено</x:v>
      </x:c>
      <x:c r="N428" s="28" t="str">
        <x:v>не подтверждены; механизм не сводится к одной общей молекуле</x:v>
      </x:c>
      <x:c r="O428" s="28" t="str">
        <x:v>контраст/комплементарность + матричный эффект</x:v>
      </x:c>
      <x:c r="P428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28" s="28" t="str">
        <x:v>Специфического тройничного эффекта обычно нет; кислотность усиливает слюноотделение.</x:v>
      </x:c>
      <x:c r="R428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2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2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2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28" s="28" t="str">
        <x:v>лимон или ваниль</x:v>
      </x:c>
      <x:c r="W428" s="28" t="str">
        <x:v>сенсорная проба в малой дозировке</x:v>
      </x:c>
      <x:c r="X428" s="28" t="str">
        <x:v>универсально</x:v>
      </x:c>
      <x:c r="Y428" s="28" t="str">
        <x:v>Средняя</x:v>
      </x:c>
      <x:c r="Z428" s="28" t="str">
        <x:v>The Art &amp; Science of Foodpairing</x:v>
      </x:c>
      <x:c r="AA428" s="28" t="str">
        <x:v>The Art &amp; Science of Foodpairing: 70</x:v>
      </x:c>
      <x:c r="AB428" s="28" t="str">
        <x:v>Ingredient pairings with Strawberry: roasted red bell pepper puree</x:v>
      </x:c>
      <x:c r="AC428" s="28" t="n">
        <x:v>1</x:v>
      </x:c>
      <x:c r="AD428" s="28" t="n">
        <x:v>1</x:v>
      </x:c>
    </x:row>
    <x:row r="429" ht="58" customHeight="1">
      <x:c r="A429" s="28" t="str">
        <x:v>BER-0428</x:v>
      </x:c>
      <x:c r="B429" s="28" t="str">
        <x:v>Универсальные</x:v>
      </x:c>
      <x:c r="C429" s="28" t="str">
        <x:v>клубника</x:v>
      </x:c>
      <x:c r="D429" s="28" t="str">
        <x:v>strawberry</x:v>
      </x:c>
      <x:c r="E429" s="28" t="str">
        <x:v>Ягоды и производные</x:v>
      </x:c>
      <x:c r="F429" s="28" t="str">
        <x:v>ракообразные</x:v>
      </x:c>
      <x:c r="G429" s="28" t="str">
        <x:v>Crustaceans</x:v>
      </x:c>
      <x:c r="H429" s="28" t="str">
        <x:v>Прочее</x:v>
      </x:c>
      <x:c r="I429" s="28" t="str">
        <x:v>зелёный, карамельный, сливочный, фруктовый, цветочный</x:v>
      </x:c>
      <x:c r="J429" s="28" t="str">
        <x:v>комплексный</x:v>
      </x:c>
      <x:c r="K429" s="28" t="str">
        <x:v>линалоол, мезифуран, фуранеол, цис-3-гексеналь, этилбутират</x:v>
      </x:c>
      <x:c r="L429" s="28" t="str">
        <x:v>нет надёжной конкретизации</x:v>
      </x:c>
      <x:c r="M429" s="28" t="str">
        <x:v>прямое совпадение семейств не установлено</x:v>
      </x:c>
      <x:c r="N429" s="28" t="str">
        <x:v>не подтверждены; механизм не сводится к одной общей молекуле</x:v>
      </x:c>
      <x:c r="O429" s="28" t="str">
        <x:v>контраст/комплементарность + матричный эффект</x:v>
      </x:c>
      <x:c r="P429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29" s="28" t="str">
        <x:v>Специфического тройничного эффекта обычно нет; кислотность усиливает слюноотделение.</x:v>
      </x:c>
      <x:c r="R429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2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2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2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29" s="28" t="str">
        <x:v>лимон или ваниль</x:v>
      </x:c>
      <x:c r="W429" s="28" t="str">
        <x:v>сенсорная проба в малой дозировке</x:v>
      </x:c>
      <x:c r="X429" s="28" t="str">
        <x:v>универсально</x:v>
      </x:c>
      <x:c r="Y429" s="28" t="str">
        <x:v>Средняя</x:v>
      </x:c>
      <x:c r="Z429" s="28" t="str">
        <x:v>The Art &amp; Science of Foodpairing</x:v>
      </x:c>
      <x:c r="AA429" s="28" t="str">
        <x:v>The Art &amp; Science of Foodpairing: 152, 153</x:v>
      </x:c>
      <x:c r="AB429" s="28" t="str">
        <x:v>Ingredient pairings with Crustaceans: strawberry | Ingredient pairings with Crustaceans: strawberry</x:v>
      </x:c>
      <x:c r="AC429" s="28" t="n">
        <x:v>1</x:v>
      </x:c>
      <x:c r="AD429" s="28" t="n">
        <x:v>2</x:v>
      </x:c>
    </x:row>
    <x:row r="430" ht="58" customHeight="1">
      <x:c r="A430" s="28" t="str">
        <x:v>BER-0429</x:v>
      </x:c>
      <x:c r="B430" s="28" t="str">
        <x:v>Универсальные</x:v>
      </x:c>
      <x:c r="C430" s="28" t="str">
        <x:v>клубника</x:v>
      </x:c>
      <x:c r="D430" s="28" t="str">
        <x:v>Strawberry | Клубника | клубника</x:v>
      </x:c>
      <x:c r="E430" s="28" t="str">
        <x:v>Ягоды и производные</x:v>
      </x:c>
      <x:c r="F430" s="28" t="str">
        <x:v>ревень</x:v>
      </x:c>
      <x:c r="G430" s="28" t="str">
        <x:v>rhubarb | Ревень | ревень</x:v>
      </x:c>
      <x:c r="H430" s="28" t="str">
        <x:v>Прочее</x:v>
      </x:c>
      <x:c r="I430" s="28" t="str">
        <x:v>зелёный, карамельный, сливочный, фруктовый, цветочный</x:v>
      </x:c>
      <x:c r="J430" s="28" t="str">
        <x:v>комплексный</x:v>
      </x:c>
      <x:c r="K430" s="28" t="str">
        <x:v>линалоол, мезифуран, фуранеол, цис-3-гексеналь, этилбутират</x:v>
      </x:c>
      <x:c r="L430" s="28" t="str">
        <x:v>нет надёжной конкретизации</x:v>
      </x:c>
      <x:c r="M430" s="28" t="str">
        <x:v>прямое совпадение семейств не установлено</x:v>
      </x:c>
      <x:c r="N430" s="28" t="str">
        <x:v>не подтверждены; механизм не сводится к одной общей молекуле</x:v>
      </x:c>
      <x:c r="O430" s="28" t="str">
        <x:v>контраст/комплементарность + матричный эффект</x:v>
      </x:c>
      <x:c r="P430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30" s="28" t="str">
        <x:v>Специфического тройничного эффекта обычно нет; кислотность усиливает слюноотделение.</x:v>
      </x:c>
      <x:c r="R430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3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3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3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30" s="28" t="str">
        <x:v>лимон или ваниль</x:v>
      </x:c>
      <x:c r="W430" s="28" t="str">
        <x:v>сенсорная проба в малой дозировке</x:v>
      </x:c>
      <x:c r="X430" s="28" t="str">
        <x:v>универсально</x:v>
      </x:c>
      <x:c r="Y430" s="28" t="str">
        <x:v>Высокая</x:v>
      </x:c>
      <x:c r="Z430" s="28" t="str">
        <x:v>The Art &amp; Science of Foodpairing; Таблица сочетаний; Тезариус вкусов</x:v>
      </x:c>
      <x:c r="AA430" s="28" t="str">
        <x:v>Тезариус вкусов: 673, 698; The Art &amp; Science of Foodpairing: 70, 71; Таблица сочетаний: 20</x:v>
      </x:c>
      <x:c r="AB430" s="28" t="str">
        <x:v>Ревень и клубника. Стандартное сочетание в США, где трудно найти пирог или торт с ревенем, но без клубники. Спелый ревень действительно демон- стрирует сочный цветочный клубничный вкус, а ре- вень и клубника имеют общие свежие, зеленые ноты. Эдмунд и Эллен Диксон (Edmund and Ellen Dixon) еще | Клубника и ревень. См. Ревень и клубника | Клубника: ревень | Ingredient pairings with Strawberry: rhubarb</x:v>
      </x:c>
      <x:c r="AC430" s="28" t="n">
        <x:v>3</x:v>
      </x:c>
      <x:c r="AD430" s="28" t="n">
        <x:v>5</x:v>
      </x:c>
    </x:row>
    <x:row r="431" ht="58" customHeight="1">
      <x:c r="A431" s="28" t="str">
        <x:v>BER-0430</x:v>
      </x:c>
      <x:c r="B431" s="28" t="str">
        <x:v>Еда и соусы</x:v>
      </x:c>
      <x:c r="C431" s="28" t="str">
        <x:v>клубника</x:v>
      </x:c>
      <x:c r="D431" s="28" t="str">
        <x:v>Strawberry</x:v>
      </x:c>
      <x:c r="E431" s="28" t="str">
        <x:v>Ягоды и производные</x:v>
      </x:c>
      <x:c r="F431" s="28" t="str">
        <x:v>редис</x:v>
      </x:c>
      <x:c r="G431" s="28" t="str">
        <x:v>radish</x:v>
      </x:c>
      <x:c r="H431" s="28" t="str">
        <x:v>Овощи и грибы</x:v>
      </x:c>
      <x:c r="I431" s="28" t="str">
        <x:v>зелёный, карамельный, сливочный, фруктовый, цветочный</x:v>
      </x:c>
      <x:c r="J431" s="28" t="str">
        <x:v>зелёный, землистый, сернистый</x:v>
      </x:c>
      <x:c r="K431" s="28" t="str">
        <x:v>линалоол, мезифуран, фуранеол, цис-3-гексеналь, этилбутират</x:v>
      </x:c>
      <x:c r="L431" s="28" t="str">
        <x:v>C6-альдегиды, пиразины, сернистые соединения</x:v>
      </x:c>
      <x:c r="M431" s="28" t="str">
        <x:v>зелёный</x:v>
      </x:c>
      <x:c r="N431" s="28" t="str">
        <x:v>не подтверждены; механизм не сводится к одной общей молекуле</x:v>
      </x:c>
      <x:c r="O431" s="28" t="str">
        <x:v>сходство ароматических семейств + комплементарность</x:v>
      </x:c>
      <x:c r="P431" s="28" t="str">
        <x:v>Оба компонента формируют сладко-кислый и растительный, иногда умами контур; сахар, кислота и горечь должны быть выровнены дегустацией.</x:v>
      </x:c>
      <x:c r="Q431" s="28" t="str">
        <x:v>Специфического тройничного эффекта обычно нет; кислотность усиливает слюноотделение.</x:v>
      </x:c>
      <x:c r="R431" s="28" t="str">
        <x:v>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43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431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43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31" s="28" t="str">
        <x:v>уксус или мягкий сыр</x:v>
      </x:c>
      <x:c r="W431" s="28" t="str">
        <x:v>соус, глазировка, салат, сырная подача или горячее блюдо; маринад, гастрик, чатни, кетчуп или редукция</x:v>
      </x:c>
      <x:c r="X431" s="28" t="str">
        <x:v>еда; соусы/маринады</x:v>
      </x:c>
      <x:c r="Y431" s="28" t="str">
        <x:v>Средняя</x:v>
      </x:c>
      <x:c r="Z431" s="28" t="str">
        <x:v>The Art &amp; Science of Foodpairing</x:v>
      </x:c>
      <x:c r="AA431" s="28" t="str">
        <x:v>The Art &amp; Science of Foodpairing: 70</x:v>
      </x:c>
      <x:c r="AB431" s="28" t="str">
        <x:v>Ingredient pairings with Strawberry: radish | Ingredient pairings with Strawberry: radish</x:v>
      </x:c>
      <x:c r="AC431" s="28" t="n">
        <x:v>1</x:v>
      </x:c>
      <x:c r="AD431" s="28" t="n">
        <x:v>2</x:v>
      </x:c>
    </x:row>
    <x:row r="432" ht="58" customHeight="1">
      <x:c r="A432" s="28" t="str">
        <x:v>BER-0431</x:v>
      </x:c>
      <x:c r="B432" s="28" t="str">
        <x:v>Еда и соусы</x:v>
      </x:c>
      <x:c r="C432" s="28" t="str">
        <x:v>клубника</x:v>
      </x:c>
      <x:c r="D432" s="28" t="str">
        <x:v>Strawberry</x:v>
      </x:c>
      <x:c r="E432" s="28" t="str">
        <x:v>Ягоды и производные</x:v>
      </x:c>
      <x:c r="F432" s="28" t="str">
        <x:v>репа</x:v>
      </x:c>
      <x:c r="G432" s="28" t="str">
        <x:v>turnip</x:v>
      </x:c>
      <x:c r="H432" s="28" t="str">
        <x:v>Овощи и грибы</x:v>
      </x:c>
      <x:c r="I432" s="28" t="str">
        <x:v>зелёный, карамельный, сливочный, фруктовый, цветочный</x:v>
      </x:c>
      <x:c r="J432" s="28" t="str">
        <x:v>зелёный, землистый, сернистый</x:v>
      </x:c>
      <x:c r="K432" s="28" t="str">
        <x:v>линалоол, мезифуран, фуранеол, цис-3-гексеналь, этилбутират</x:v>
      </x:c>
      <x:c r="L432" s="28" t="str">
        <x:v>C6-альдегиды, пиразины, сернистые соединения</x:v>
      </x:c>
      <x:c r="M432" s="28" t="str">
        <x:v>зелёный</x:v>
      </x:c>
      <x:c r="N432" s="28" t="str">
        <x:v>не подтверждены; механизм не сводится к одной общей молекуле</x:v>
      </x:c>
      <x:c r="O432" s="28" t="str">
        <x:v>сходство ароматических семейств + комплементарность</x:v>
      </x:c>
      <x:c r="P432" s="28" t="str">
        <x:v>Оба компонента формируют сладко-кислый и растительный, иногда умами контур; сахар, кислота и горечь должны быть выровнены дегустацией.</x:v>
      </x:c>
      <x:c r="Q432" s="28" t="str">
        <x:v>Специфического тройничного эффекта обычно нет; кислотность усиливает слюноотделение.</x:v>
      </x:c>
      <x:c r="R432" s="28" t="str">
        <x:v>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43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432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43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32" s="28" t="str">
        <x:v>уксус или мягкий сыр</x:v>
      </x:c>
      <x:c r="W432" s="28" t="str">
        <x:v>соус, глазировка, салат, сырная подача или горячее блюдо; маринад, гастрик, чатни, кетчуп или редукция</x:v>
      </x:c>
      <x:c r="X432" s="28" t="str">
        <x:v>еда; соусы/маринады</x:v>
      </x:c>
      <x:c r="Y432" s="28" t="str">
        <x:v>Средняя</x:v>
      </x:c>
      <x:c r="Z432" s="28" t="str">
        <x:v>The Art &amp; Science of Foodpairing</x:v>
      </x:c>
      <x:c r="AA432" s="28" t="str">
        <x:v>The Art &amp; Science of Foodpairing: 70</x:v>
      </x:c>
      <x:c r="AB432" s="28" t="str">
        <x:v>Ingredient pairings with Strawberry: turnip</x:v>
      </x:c>
      <x:c r="AC432" s="28" t="n">
        <x:v>1</x:v>
      </x:c>
      <x:c r="AD432" s="28" t="n">
        <x:v>1</x:v>
      </x:c>
    </x:row>
    <x:row r="433" ht="58" customHeight="1">
      <x:c r="A433" s="28" t="str">
        <x:v>BER-0432</x:v>
      </x:c>
      <x:c r="B433" s="28" t="str">
        <x:v>Универсальные</x:v>
      </x:c>
      <x:c r="C433" s="28" t="str">
        <x:v>клубника</x:v>
      </x:c>
      <x:c r="D433" s="28" t="str">
        <x:v>клубника</x:v>
      </x:c>
      <x:c r="E433" s="28" t="str">
        <x:v>Ягоды и производные</x:v>
      </x:c>
      <x:c r="F433" s="28" t="str">
        <x:v>роза</x:v>
      </x:c>
      <x:c r="G433" s="28" t="str">
        <x:v>Роза</x:v>
      </x:c>
      <x:c r="H433" s="28" t="str">
        <x:v>Травы и цветы</x:v>
      </x:c>
      <x:c r="I433" s="28" t="str">
        <x:v>зелёный, карамельный, сливочный, фруктовый, цветочный</x:v>
      </x:c>
      <x:c r="J433" s="28" t="str">
        <x:v>зелёный, травянистый, цветочный</x:v>
      </x:c>
      <x:c r="K433" s="28" t="str">
        <x:v>линалоол, мезифуран, фуранеол, цис-3-гексеналь, этилбутират</x:v>
      </x:c>
      <x:c r="L433" s="28" t="str">
        <x:v>гераниол, линалоол, терпены, эвгенол</x:v>
      </x:c>
      <x:c r="M433" s="28" t="str">
        <x:v>зелёный, цветочный</x:v>
      </x:c>
      <x:c r="N433" s="28" t="str">
        <x:v>линалоол</x:v>
      </x:c>
      <x:c r="O433" s="28" t="str">
        <x:v>ароматическое сходство + вкусовой баланс</x:v>
      </x:c>
      <x:c r="P433" s="28" t="str">
        <x:v>Ягодная сладость смягчает горечь и пряность, а кислотность делает горьковатый, свежий профиль ярче.</x:v>
      </x:c>
      <x:c r="Q433" s="28" t="str">
        <x:v>Специфического тройничного эффекта обычно нет; кислотность усиливает слюноотделение.</x:v>
      </x:c>
      <x:c r="R433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3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33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3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33" s="28" t="str">
        <x:v>лимон или мёд</x:v>
      </x:c>
      <x:c r="W433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433" s="28" t="str">
        <x:v>напитки; еда; соусы/маринады</x:v>
      </x:c>
      <x:c r="Y433" s="28" t="str">
        <x:v>Средняя</x:v>
      </x:c>
      <x:c r="Z433" s="28" t="str">
        <x:v>Таблица сочетаний</x:v>
      </x:c>
      <x:c r="AA433" s="28" t="str">
        <x:v>Таблица сочетаний: 19</x:v>
      </x:c>
      <x:c r="AB433" s="28" t="str">
        <x:v>Роза: клубника</x:v>
      </x:c>
      <x:c r="AC433" s="28" t="n">
        <x:v>1</x:v>
      </x:c>
      <x:c r="AD433" s="28" t="n">
        <x:v>1</x:v>
      </x:c>
    </x:row>
    <x:row r="434" ht="58" customHeight="1">
      <x:c r="A434" s="28" t="str">
        <x:v>BER-0433</x:v>
      </x:c>
      <x:c r="B434" s="28" t="str">
        <x:v>Универсальные</x:v>
      </x:c>
      <x:c r="C434" s="28" t="str">
        <x:v>клубника</x:v>
      </x:c>
      <x:c r="D434" s="28" t="str">
        <x:v>Клубника</x:v>
      </x:c>
      <x:c r="E434" s="28" t="str">
        <x:v>Ягоды и производные</x:v>
      </x:c>
      <x:c r="F434" s="28" t="str">
        <x:v>розмарин</x:v>
      </x:c>
      <x:c r="G434" s="28" t="str">
        <x:v>розмарин</x:v>
      </x:c>
      <x:c r="H434" s="28" t="str">
        <x:v>Травы и цветы</x:v>
      </x:c>
      <x:c r="I434" s="28" t="str">
        <x:v>зелёный, карамельный, сливочный, фруктовый, цветочный</x:v>
      </x:c>
      <x:c r="J434" s="28" t="str">
        <x:v>зелёный, травянистый, цветочный</x:v>
      </x:c>
      <x:c r="K434" s="28" t="str">
        <x:v>линалоол, мезифуран, фуранеол, цис-3-гексеналь, этилбутират</x:v>
      </x:c>
      <x:c r="L434" s="28" t="str">
        <x:v>гераниол, линалоол, терпены, эвгенол</x:v>
      </x:c>
      <x:c r="M434" s="28" t="str">
        <x:v>зелёный, цветочный</x:v>
      </x:c>
      <x:c r="N434" s="28" t="str">
        <x:v>линалоол</x:v>
      </x:c>
      <x:c r="O434" s="28" t="str">
        <x:v>ароматическое сходство + вкусовой баланс</x:v>
      </x:c>
      <x:c r="P434" s="28" t="str">
        <x:v>Ягодная сладость смягчает горечь и пряность, а кислотность делает горьковатый, свежий профиль ярче.</x:v>
      </x:c>
      <x:c r="Q434" s="28" t="str">
        <x:v>Специфического тройничного эффекта обычно нет; кислотность усиливает слюноотделение.</x:v>
      </x:c>
      <x:c r="R434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3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34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3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34" s="28" t="str">
        <x:v>лимон или мёд</x:v>
      </x:c>
      <x:c r="W43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434" s="28" t="str">
        <x:v>напитки; еда; соусы/маринады</x:v>
      </x:c>
      <x:c r="Y434" s="28" t="str">
        <x:v>Средняя</x:v>
      </x:c>
      <x:c r="Z434" s="28" t="str">
        <x:v>Таблица сочетаний</x:v>
      </x:c>
      <x:c r="AA434" s="28" t="str">
        <x:v>Таблица сочетаний: 20</x:v>
      </x:c>
      <x:c r="AB434" s="28" t="str">
        <x:v>Клубника: розмарин</x:v>
      </x:c>
      <x:c r="AC434" s="28" t="n">
        <x:v>1</x:v>
      </x:c>
      <x:c r="AD434" s="28" t="n">
        <x:v>1</x:v>
      </x:c>
    </x:row>
    <x:row r="435" ht="58" customHeight="1">
      <x:c r="A435" s="28" t="str">
        <x:v>BER-0434</x:v>
      </x:c>
      <x:c r="B435" s="28" t="str">
        <x:v>Универсальные</x:v>
      </x:c>
      <x:c r="C435" s="28" t="str">
        <x:v>клубника</x:v>
      </x:c>
      <x:c r="D435" s="28" t="str">
        <x:v>Strawberry</x:v>
      </x:c>
      <x:c r="E435" s="28" t="str">
        <x:v>Ягоды и производные</x:v>
      </x:c>
      <x:c r="F435" s="28" t="str">
        <x:v>свежие съедобные лепестки розы</x:v>
      </x:c>
      <x:c r="G435" s="28" t="str">
        <x:v>fresh edible rose petals</x:v>
      </x:c>
      <x:c r="H435" s="28" t="str">
        <x:v>Травы и цветы</x:v>
      </x:c>
      <x:c r="I435" s="28" t="str">
        <x:v>зелёный, карамельный, сливочный, фруктовый, цветочный</x:v>
      </x:c>
      <x:c r="J435" s="28" t="str">
        <x:v>зелёный, травянистый, цветочный</x:v>
      </x:c>
      <x:c r="K435" s="28" t="str">
        <x:v>линалоол, мезифуран, фуранеол, цис-3-гексеналь, этилбутират</x:v>
      </x:c>
      <x:c r="L435" s="28" t="str">
        <x:v>гераниол, линалоол, терпены, эвгенол</x:v>
      </x:c>
      <x:c r="M435" s="28" t="str">
        <x:v>зелёный, цветочный</x:v>
      </x:c>
      <x:c r="N435" s="28" t="str">
        <x:v>линалоол</x:v>
      </x:c>
      <x:c r="O435" s="28" t="str">
        <x:v>ароматическое сходство + вкусовой баланс</x:v>
      </x:c>
      <x:c r="P435" s="28" t="str">
        <x:v>Ягодная сладость смягчает горечь и пряность, а кислотность делает горьковатый, свежий профиль ярче.</x:v>
      </x:c>
      <x:c r="Q435" s="28" t="str">
        <x:v>Специфического тройничного эффекта обычно нет; кислотность усиливает слюноотделение.</x:v>
      </x:c>
      <x:c r="R435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3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35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3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35" s="28" t="str">
        <x:v>лимон или мёд</x:v>
      </x:c>
      <x:c r="W43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435" s="28" t="str">
        <x:v>напитки; еда; соусы/маринады</x:v>
      </x:c>
      <x:c r="Y435" s="28" t="str">
        <x:v>Средняя</x:v>
      </x:c>
      <x:c r="Z435" s="28" t="str">
        <x:v>The Art &amp; Science of Foodpairing</x:v>
      </x:c>
      <x:c r="AA435" s="28" t="str">
        <x:v>The Art &amp; Science of Foodpairing: 70</x:v>
      </x:c>
      <x:c r="AB435" s="28" t="str">
        <x:v>Ingredient pairings with Strawberry: fresh edible rose petals</x:v>
      </x:c>
      <x:c r="AC435" s="28" t="n">
        <x:v>1</x:v>
      </x:c>
      <x:c r="AD435" s="28" t="n">
        <x:v>1</x:v>
      </x:c>
    </x:row>
    <x:row r="436" ht="58" customHeight="1">
      <x:c r="A436" s="28" t="str">
        <x:v>BER-0435</x:v>
      </x:c>
      <x:c r="B436" s="28" t="str">
        <x:v>Универсальные</x:v>
      </x:c>
      <x:c r="C436" s="28" t="str">
        <x:v>клубника</x:v>
      </x:c>
      <x:c r="D436" s="28" t="str">
        <x:v>Strawberry</x:v>
      </x:c>
      <x:c r="E436" s="28" t="str">
        <x:v>Ягоды и производные</x:v>
      </x:c>
      <x:c r="F436" s="28" t="str">
        <x:v>свежий корень имбиря</x:v>
      </x:c>
      <x:c r="G436" s="28" t="str">
        <x:v>fresh root ginger</x:v>
      </x:c>
      <x:c r="H436" s="28" t="str">
        <x:v>Специи</x:v>
      </x:c>
      <x:c r="I436" s="28" t="str">
        <x:v>зелёный, карамельный, сливочный, фруктовый, цветочный</x:v>
      </x:c>
      <x:c r="J436" s="28" t="str">
        <x:v>древесный, пряный, тёплый</x:v>
      </x:c>
      <x:c r="K436" s="28" t="str">
        <x:v>линалоол, мезифуран, фуранеол, цис-3-гексеналь, этилбутират</x:v>
      </x:c>
      <x:c r="L436" s="28" t="str">
        <x:v>коричный альдегид, терпены, эвгенол</x:v>
      </x:c>
      <x:c r="M436" s="28" t="str">
        <x:v>прямое совпадение семейств не установлено</x:v>
      </x:c>
      <x:c r="N436" s="28" t="str">
        <x:v>не подтверждены; механизм не сводится к одной общей молекуле</x:v>
      </x:c>
      <x:c r="O436" s="28" t="str">
        <x:v>контраст/комплементарность + матричный эффект</x:v>
      </x:c>
      <x:c r="P436" s="28" t="str">
        <x:v>Ягодная сладость смягчает горечь и пряность, а кислотность делает пряный, иногда горький профиль ярче.</x:v>
      </x:c>
      <x:c r="Q436" s="28" t="str">
        <x:v>Кислотность ягоды усиливает слюноотделение, а капсаицин/пиперин/гингеролы дают тепло и покалывание; дозировка должна быть низкой.</x:v>
      </x:c>
      <x:c r="R436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3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3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36" s="28" t="str">
        <x:v>Пряность дозировать как акцент: она быстро перекрывает тонкие ягодные эфиры.</x:v>
      </x:c>
      <x:c r="V436" s="28" t="str">
        <x:v>мёд или цитрус</x:v>
      </x:c>
      <x:c r="W43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436" s="28" t="str">
        <x:v>напитки; десерты; еда; соусы/маринады</x:v>
      </x:c>
      <x:c r="Y436" s="28" t="str">
        <x:v>Средняя</x:v>
      </x:c>
      <x:c r="Z436" s="28" t="str">
        <x:v>The Art &amp; Science of Foodpairing</x:v>
      </x:c>
      <x:c r="AA436" s="28" t="str">
        <x:v>The Art &amp; Science of Foodpairing: 70</x:v>
      </x:c>
      <x:c r="AB436" s="28" t="str">
        <x:v>Ingredient pairings with Strawberry: fresh root ginger</x:v>
      </x:c>
      <x:c r="AC436" s="28" t="n">
        <x:v>1</x:v>
      </x:c>
      <x:c r="AD436" s="28" t="n">
        <x:v>1</x:v>
      </x:c>
    </x:row>
    <x:row r="437" ht="58" customHeight="1">
      <x:c r="A437" s="28" t="str">
        <x:v>BER-0436</x:v>
      </x:c>
      <x:c r="B437" s="28" t="str">
        <x:v>Еда и соусы</x:v>
      </x:c>
      <x:c r="C437" s="28" t="str">
        <x:v>клубника</x:v>
      </x:c>
      <x:c r="D437" s="28" t="str">
        <x:v>Strawberry | strawberry</x:v>
      </x:c>
      <x:c r="E437" s="28" t="str">
        <x:v>Ягоды и производные</x:v>
      </x:c>
      <x:c r="F437" s="28" t="str">
        <x:v>свёкла</x:v>
      </x:c>
      <x:c r="G437" s="28" t="str">
        <x:v>Beetroot | beetroot</x:v>
      </x:c>
      <x:c r="H437" s="28" t="str">
        <x:v>Овощи и грибы</x:v>
      </x:c>
      <x:c r="I437" s="28" t="str">
        <x:v>зелёный, карамельный, сливочный, фруктовый, цветочный</x:v>
      </x:c>
      <x:c r="J437" s="28" t="str">
        <x:v>зелёный, землистый, сернистый</x:v>
      </x:c>
      <x:c r="K437" s="28" t="str">
        <x:v>линалоол, мезифуран, фуранеол, цис-3-гексеналь, этилбутират</x:v>
      </x:c>
      <x:c r="L437" s="28" t="str">
        <x:v>C6-альдегиды, пиразины, сернистые соединения</x:v>
      </x:c>
      <x:c r="M437" s="28" t="str">
        <x:v>зелёный</x:v>
      </x:c>
      <x:c r="N437" s="28" t="str">
        <x:v>не подтверждены; механизм не сводится к одной общей молекуле</x:v>
      </x:c>
      <x:c r="O437" s="28" t="str">
        <x:v>сходство ароматических семейств + комплементарность</x:v>
      </x:c>
      <x:c r="P437" s="28" t="str">
        <x:v>Оба компонента формируют сладко-кислый и растительный, иногда умами контур; сахар, кислота и горечь должны быть выровнены дегустацией.</x:v>
      </x:c>
      <x:c r="Q437" s="28" t="str">
        <x:v>Специфического тройничного эффекта обычно нет; кислотность усиливает слюноотделение.</x:v>
      </x:c>
      <x:c r="R437" s="28" t="str">
        <x:v>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43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437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43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37" s="28" t="str">
        <x:v>уксус или мягкий сыр</x:v>
      </x:c>
      <x:c r="W437" s="28" t="str">
        <x:v>соус, глазировка, салат, сырная подача или горячее блюдо; маринад, гастрик, чатни, кетчуп или редукция</x:v>
      </x:c>
      <x:c r="X437" s="28" t="str">
        <x:v>еда; соусы/маринады</x:v>
      </x:c>
      <x:c r="Y437" s="28" t="str">
        <x:v>Средняя</x:v>
      </x:c>
      <x:c r="Z437" s="28" t="str">
        <x:v>The Art &amp; Science of Foodpairing</x:v>
      </x:c>
      <x:c r="AA437" s="28" t="str">
        <x:v>The Art &amp; Science of Foodpairing: 71, 225</x:v>
      </x:c>
      <x:c r="AB437" s="28" t="str">
        <x:v>Ingredient pairings with Strawberry: beetroot | Ingredient pairings with Beetroot: strawberry</x:v>
      </x:c>
      <x:c r="AC437" s="28" t="n">
        <x:v>1</x:v>
      </x:c>
      <x:c r="AD437" s="28" t="n">
        <x:v>2</x:v>
      </x:c>
    </x:row>
    <x:row r="438" ht="58" customHeight="1">
      <x:c r="A438" s="28" t="str">
        <x:v>BER-0437</x:v>
      </x:c>
      <x:c r="B438" s="28" t="str">
        <x:v>Универсальные</x:v>
      </x:c>
      <x:c r="C438" s="28" t="str">
        <x:v>клубника</x:v>
      </x:c>
      <x:c r="D438" s="28" t="str">
        <x:v>Strawberry</x:v>
      </x:c>
      <x:c r="E438" s="28" t="str">
        <x:v>Ягоды и производные</x:v>
      </x:c>
      <x:c r="F438" s="28" t="str">
        <x:v>семена кардамона</x:v>
      </x:c>
      <x:c r="G438" s="28" t="str">
        <x:v>cardamom seeds</x:v>
      </x:c>
      <x:c r="H438" s="28" t="str">
        <x:v>Специи</x:v>
      </x:c>
      <x:c r="I438" s="28" t="str">
        <x:v>зелёный, карамельный, сливочный, фруктовый, цветочный</x:v>
      </x:c>
      <x:c r="J438" s="28" t="str">
        <x:v>древесный, пряный, тёплый</x:v>
      </x:c>
      <x:c r="K438" s="28" t="str">
        <x:v>линалоол, мезифуран, фуранеол, цис-3-гексеналь, этилбутират</x:v>
      </x:c>
      <x:c r="L438" s="28" t="str">
        <x:v>коричный альдегид, терпены, эвгенол</x:v>
      </x:c>
      <x:c r="M438" s="28" t="str">
        <x:v>прямое совпадение семейств не установлено</x:v>
      </x:c>
      <x:c r="N438" s="28" t="str">
        <x:v>не подтверждены; механизм не сводится к одной общей молекуле</x:v>
      </x:c>
      <x:c r="O438" s="28" t="str">
        <x:v>контраст/комплементарность + матричный эффект</x:v>
      </x:c>
      <x:c r="P438" s="28" t="str">
        <x:v>Ягодная сладость смягчает горечь и пряность, а кислотность делает пряный, иногда горький профиль ярче.</x:v>
      </x:c>
      <x:c r="Q438" s="28" t="str">
        <x:v>Специфического тройничного эффекта обычно нет; кислотность усиливает слюноотделение.</x:v>
      </x:c>
      <x:c r="R438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3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3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38" s="28" t="str">
        <x:v>Пряность дозировать как акцент: она быстро перекрывает тонкие ягодные эфиры.</x:v>
      </x:c>
      <x:c r="V438" s="28" t="str">
        <x:v>мёд или цитрус</x:v>
      </x:c>
      <x:c r="W43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438" s="28" t="str">
        <x:v>напитки; десерты; еда; соусы/маринады</x:v>
      </x:c>
      <x:c r="Y438" s="28" t="str">
        <x:v>Средняя</x:v>
      </x:c>
      <x:c r="Z438" s="28" t="str">
        <x:v>The Art &amp; Science of Foodpairing</x:v>
      </x:c>
      <x:c r="AA438" s="28" t="str">
        <x:v>The Art &amp; Science of Foodpairing: 71</x:v>
      </x:c>
      <x:c r="AB438" s="28" t="str">
        <x:v>Ingredient pairings with Strawberry: cardamom seeds</x:v>
      </x:c>
      <x:c r="AC438" s="28" t="n">
        <x:v>1</x:v>
      </x:c>
      <x:c r="AD438" s="28" t="n">
        <x:v>1</x:v>
      </x:c>
    </x:row>
    <x:row r="439" ht="58" customHeight="1">
      <x:c r="A439" s="28" t="str">
        <x:v>BER-0438</x:v>
      </x:c>
      <x:c r="B439" s="28" t="str">
        <x:v>Универсальные</x:v>
      </x:c>
      <x:c r="C439" s="28" t="str">
        <x:v>клубника</x:v>
      </x:c>
      <x:c r="D439" s="28" t="str">
        <x:v>клубника</x:v>
      </x:c>
      <x:c r="E439" s="28" t="str">
        <x:v>Ягоды и производные</x:v>
      </x:c>
      <x:c r="F439" s="28" t="str">
        <x:v>слива</x:v>
      </x:c>
      <x:c r="G439" s="28" t="str">
        <x:v>Слива</x:v>
      </x:c>
      <x:c r="H439" s="28" t="str">
        <x:v>Прочее</x:v>
      </x:c>
      <x:c r="I439" s="28" t="str">
        <x:v>зелёный, карамельный, сливочный, фруктовый, цветочный</x:v>
      </x:c>
      <x:c r="J439" s="28" t="str">
        <x:v>комплексный</x:v>
      </x:c>
      <x:c r="K439" s="28" t="str">
        <x:v>линалоол, мезифуран, фуранеол, цис-3-гексеналь, этилбутират</x:v>
      </x:c>
      <x:c r="L439" s="28" t="str">
        <x:v>нет надёжной конкретизации</x:v>
      </x:c>
      <x:c r="M439" s="28" t="str">
        <x:v>прямое совпадение семейств не установлено</x:v>
      </x:c>
      <x:c r="N439" s="28" t="str">
        <x:v>не подтверждены; механизм не сводится к одной общей молекуле</x:v>
      </x:c>
      <x:c r="O439" s="28" t="str">
        <x:v>контраст/комплементарность + матричный эффект</x:v>
      </x:c>
      <x:c r="P439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39" s="28" t="str">
        <x:v>Специфического тройничного эффекта обычно нет; кислотность усиливает слюноотделение.</x:v>
      </x:c>
      <x:c r="R439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3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3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3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39" s="28" t="str">
        <x:v>лимон или ваниль</x:v>
      </x:c>
      <x:c r="W439" s="28" t="str">
        <x:v>сенсорная проба в малой дозировке</x:v>
      </x:c>
      <x:c r="X439" s="28" t="str">
        <x:v>универсально</x:v>
      </x:c>
      <x:c r="Y439" s="28" t="str">
        <x:v>Средняя</x:v>
      </x:c>
      <x:c r="Z439" s="28" t="str">
        <x:v>Таблица сочетаний</x:v>
      </x:c>
      <x:c r="AA439" s="28" t="str">
        <x:v>Таблица сочетаний: 17</x:v>
      </x:c>
      <x:c r="AB439" s="28" t="str">
        <x:v>Слива: клубника</x:v>
      </x:c>
      <x:c r="AC439" s="28" t="n">
        <x:v>1</x:v>
      </x:c>
      <x:c r="AD439" s="28" t="n">
        <x:v>1</x:v>
      </x:c>
    </x:row>
    <x:row r="440" ht="58" customHeight="1">
      <x:c r="A440" s="28" t="str">
        <x:v>BER-0439</x:v>
      </x:c>
      <x:c r="B440" s="28" t="str">
        <x:v>Универсальные</x:v>
      </x:c>
      <x:c r="C440" s="28" t="str">
        <x:v>клубника</x:v>
      </x:c>
      <x:c r="D440" s="28" t="str">
        <x:v>Клубника</x:v>
      </x:c>
      <x:c r="E440" s="28" t="str">
        <x:v>Ягоды и производные</x:v>
      </x:c>
      <x:c r="F440" s="28" t="str">
        <x:v>смородина</x:v>
      </x:c>
      <x:c r="G440" s="28" t="str">
        <x:v>смородина</x:v>
      </x:c>
      <x:c r="H440" s="28" t="str">
        <x:v>Ягоды и производные</x:v>
      </x:c>
      <x:c r="I440" s="28" t="str">
        <x:v>зелёный, карамельный, сливочный, фруктовый, цветочный</x:v>
      </x:c>
      <x:c r="J440" s="28" t="str">
        <x:v>зелёный, тёмно-фруктовый, цветочный</x:v>
      </x:c>
      <x:c r="K440" s="28" t="str">
        <x:v>линалоол, мезифуран, фуранеол, цис-3-гексеналь, этилбутират</x:v>
      </x:c>
      <x:c r="L440" s="28" t="str">
        <x:v>C6-альдегиды, терпены, эфиры</x:v>
      </x:c>
      <x:c r="M440" s="28" t="str">
        <x:v>зелёный, цветочный</x:v>
      </x:c>
      <x:c r="N440" s="28" t="str">
        <x:v>не подтверждены; механизм не сводится к одной общей молекуле</x:v>
      </x:c>
      <x:c r="O440" s="28" t="str">
        <x:v>сходство ароматических семейств + комплементарность</x:v>
      </x:c>
      <x:c r="P440" s="28" t="str">
        <x:v>Оба компонента формируют сладко-кислый и кисло-сладкий, терпкий контур; сахар, кислота и горечь должны быть выровнены дегустацией.</x:v>
      </x:c>
      <x:c r="Q440" s="28" t="str">
        <x:v>Специфического тройничного эффекта обычно нет; кислотность усиливает слюноотделение.</x:v>
      </x:c>
      <x:c r="R440" s="28" t="str">
        <x:v>Ягода: высокая доля воды; аромат чувствителен к перегреву. Партнёр: профиль зависит от вида смородины. В воде аромат раскрывается быстрее, в жире и этаноле — дольше удерживается.</x:v>
      </x:c>
      <x:c r="S44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40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тёмно-фруктовый, цветочный. Оба компонента формируют сладко-кислый и кисло-сладкий, терпкий контур; сахар, кислота и горечь должны быть выровнены дегустацией. Ягода: высокая доля воды; аромат чувствителен к перегреву. Партнёр: профиль зависит от вида смородины.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4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40" s="28" t="str">
        <x:v>ваниль или роза</x:v>
      </x:c>
      <x:c r="W44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440" s="28" t="str">
        <x:v>напитки; десерты</x:v>
      </x:c>
      <x:c r="Y440" s="28" t="str">
        <x:v>Средняя</x:v>
      </x:c>
      <x:c r="Z440" s="28" t="str">
        <x:v>Таблица сочетаний</x:v>
      </x:c>
      <x:c r="AA440" s="28" t="str">
        <x:v>Таблица сочетаний: 20</x:v>
      </x:c>
      <x:c r="AB440" s="28" t="str">
        <x:v>Клубника: смородина</x:v>
      </x:c>
      <x:c r="AC440" s="28" t="n">
        <x:v>1</x:v>
      </x:c>
      <x:c r="AD440" s="28" t="n">
        <x:v>1</x:v>
      </x:c>
    </x:row>
    <x:row r="441" ht="58" customHeight="1">
      <x:c r="A441" s="28" t="str">
        <x:v>BER-0440</x:v>
      </x:c>
      <x:c r="B441" s="28" t="str">
        <x:v>Универсальные</x:v>
      </x:c>
      <x:c r="C441" s="28" t="str">
        <x:v>клубника</x:v>
      </x:c>
      <x:c r="D441" s="28" t="str">
        <x:v>strawberry</x:v>
      </x:c>
      <x:c r="E441" s="28" t="str">
        <x:v>Ягоды и производные</x:v>
      </x:c>
      <x:c r="F441" s="28" t="str">
        <x:v>совиньон-блан</x:v>
      </x:c>
      <x:c r="G441" s="28" t="str">
        <x:v>Sauvignon Blanc</x:v>
      </x:c>
      <x:c r="H441" s="28" t="str">
        <x:v>Прочее</x:v>
      </x:c>
      <x:c r="I441" s="28" t="str">
        <x:v>зелёный, карамельный, сливочный, фруктовый, цветочный</x:v>
      </x:c>
      <x:c r="J441" s="28" t="str">
        <x:v>комплексный</x:v>
      </x:c>
      <x:c r="K441" s="28" t="str">
        <x:v>линалоол, мезифуран, фуранеол, цис-3-гексеналь, этилбутират</x:v>
      </x:c>
      <x:c r="L441" s="28" t="str">
        <x:v>нет надёжной конкретизации</x:v>
      </x:c>
      <x:c r="M441" s="28" t="str">
        <x:v>прямое совпадение семейств не установлено</x:v>
      </x:c>
      <x:c r="N441" s="28" t="str">
        <x:v>не подтверждены; механизм не сводится к одной общей молекуле</x:v>
      </x:c>
      <x:c r="O441" s="28" t="str">
        <x:v>контраст/комплементарность + матричный эффект</x:v>
      </x:c>
      <x:c r="P441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41" s="28" t="str">
        <x:v>Специфического тройничного эффекта обычно нет; кислотность усиливает слюноотделение.</x:v>
      </x:c>
      <x:c r="R441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4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4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4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41" s="28" t="str">
        <x:v>лимон или ваниль</x:v>
      </x:c>
      <x:c r="W441" s="28" t="str">
        <x:v>сенсорная проба в малой дозировке</x:v>
      </x:c>
      <x:c r="X441" s="28" t="str">
        <x:v>универсально</x:v>
      </x:c>
      <x:c r="Y441" s="28" t="str">
        <x:v>Средняя</x:v>
      </x:c>
      <x:c r="Z441" s="28" t="str">
        <x:v>The Art &amp; Science of Foodpairing</x:v>
      </x:c>
      <x:c r="AA441" s="28" t="str">
        <x:v>The Art &amp; Science of Foodpairing: 157</x:v>
      </x:c>
      <x:c r="AB441" s="28" t="str">
        <x:v>Ingredient pairings with Sauvignon Blanc: strawberry</x:v>
      </x:c>
      <x:c r="AC441" s="28" t="n">
        <x:v>1</x:v>
      </x:c>
      <x:c r="AD441" s="28" t="n">
        <x:v>1</x:v>
      </x:c>
    </x:row>
    <x:row r="442" ht="58" customHeight="1">
      <x:c r="A442" s="28" t="str">
        <x:v>BER-0441</x:v>
      </x:c>
      <x:c r="B442" s="28" t="str">
        <x:v>Универсальные</x:v>
      </x:c>
      <x:c r="C442" s="28" t="str">
        <x:v>клубника</x:v>
      </x:c>
      <x:c r="D442" s="28" t="str">
        <x:v>Strawberry</x:v>
      </x:c>
      <x:c r="E442" s="28" t="str">
        <x:v>Ягоды и производные</x:v>
      </x:c>
      <x:c r="F442" s="28" t="str">
        <x:v>сушёный caraway leaves</x:v>
      </x:c>
      <x:c r="G442" s="28" t="str">
        <x:v>dried caraway leaves</x:v>
      </x:c>
      <x:c r="H442" s="28" t="str">
        <x:v>Прочее</x:v>
      </x:c>
      <x:c r="I442" s="28" t="str">
        <x:v>зелёный, карамельный, сливочный, фруктовый, цветочный</x:v>
      </x:c>
      <x:c r="J442" s="28" t="str">
        <x:v>комплексный</x:v>
      </x:c>
      <x:c r="K442" s="28" t="str">
        <x:v>линалоол, мезифуран, фуранеол, цис-3-гексеналь, этилбутират</x:v>
      </x:c>
      <x:c r="L442" s="28" t="str">
        <x:v>нет надёжной конкретизации</x:v>
      </x:c>
      <x:c r="M442" s="28" t="str">
        <x:v>прямое совпадение семейств не установлено</x:v>
      </x:c>
      <x:c r="N442" s="28" t="str">
        <x:v>не подтверждены; механизм не сводится к одной общей молекуле</x:v>
      </x:c>
      <x:c r="O442" s="28" t="str">
        <x:v>контраст/комплементарность + матричный эффект</x:v>
      </x:c>
      <x:c r="P442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42" s="28" t="str">
        <x:v>Специфического тройничного эффекта обычно нет; кислотность усиливает слюноотделение.</x:v>
      </x:c>
      <x:c r="R442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4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4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4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42" s="28" t="str">
        <x:v>лимон или ваниль</x:v>
      </x:c>
      <x:c r="W442" s="28" t="str">
        <x:v>сенсорная проба в малой дозировке</x:v>
      </x:c>
      <x:c r="X442" s="28" t="str">
        <x:v>универсально</x:v>
      </x:c>
      <x:c r="Y442" s="28" t="str">
        <x:v>Средняя</x:v>
      </x:c>
      <x:c r="Z442" s="28" t="str">
        <x:v>The Art &amp; Science of Foodpairing</x:v>
      </x:c>
      <x:c r="AA442" s="28" t="str">
        <x:v>The Art &amp; Science of Foodpairing: 70</x:v>
      </x:c>
      <x:c r="AB442" s="28" t="str">
        <x:v>Ingredient pairings with Strawberry: dried caraway leaves</x:v>
      </x:c>
      <x:c r="AC442" s="28" t="n">
        <x:v>1</x:v>
      </x:c>
      <x:c r="AD442" s="28" t="n">
        <x:v>1</x:v>
      </x:c>
    </x:row>
    <x:row r="443" ht="58" customHeight="1">
      <x:c r="A443" s="28" t="str">
        <x:v>BER-0442</x:v>
      </x:c>
      <x:c r="B443" s="28" t="str">
        <x:v>Универсальные</x:v>
      </x:c>
      <x:c r="C443" s="28" t="str">
        <x:v>клубника</x:v>
      </x:c>
      <x:c r="D443" s="28" t="str">
        <x:v>Strawberry</x:v>
      </x:c>
      <x:c r="E443" s="28" t="str">
        <x:v>Ягоды и производные</x:v>
      </x:c>
      <x:c r="F443" s="28" t="str">
        <x:v>сушёный eucalyptus leaves</x:v>
      </x:c>
      <x:c r="G443" s="28" t="str">
        <x:v>dried eucalyptus leaves</x:v>
      </x:c>
      <x:c r="H443" s="28" t="str">
        <x:v>Прочее</x:v>
      </x:c>
      <x:c r="I443" s="28" t="str">
        <x:v>зелёный, карамельный, сливочный, фруктовый, цветочный</x:v>
      </x:c>
      <x:c r="J443" s="28" t="str">
        <x:v>комплексный</x:v>
      </x:c>
      <x:c r="K443" s="28" t="str">
        <x:v>линалоол, мезифуран, фуранеол, цис-3-гексеналь, этилбутират</x:v>
      </x:c>
      <x:c r="L443" s="28" t="str">
        <x:v>нет надёжной конкретизации</x:v>
      </x:c>
      <x:c r="M443" s="28" t="str">
        <x:v>прямое совпадение семейств не установлено</x:v>
      </x:c>
      <x:c r="N443" s="28" t="str">
        <x:v>не подтверждены; механизм не сводится к одной общей молекуле</x:v>
      </x:c>
      <x:c r="O443" s="28" t="str">
        <x:v>контраст/комплементарность + матричный эффект</x:v>
      </x:c>
      <x:c r="P443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43" s="28" t="str">
        <x:v>Специфического тройничного эффекта обычно нет; кислотность усиливает слюноотделение.</x:v>
      </x:c>
      <x:c r="R443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4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4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4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43" s="28" t="str">
        <x:v>лимон или ваниль</x:v>
      </x:c>
      <x:c r="W443" s="28" t="str">
        <x:v>сенсорная проба в малой дозировке</x:v>
      </x:c>
      <x:c r="X443" s="28" t="str">
        <x:v>универсально</x:v>
      </x:c>
      <x:c r="Y443" s="28" t="str">
        <x:v>Средняя</x:v>
      </x:c>
      <x:c r="Z443" s="28" t="str">
        <x:v>The Art &amp; Science of Foodpairing</x:v>
      </x:c>
      <x:c r="AA443" s="28" t="str">
        <x:v>The Art &amp; Science of Foodpairing: 71</x:v>
      </x:c>
      <x:c r="AB443" s="28" t="str">
        <x:v>Ingredient pairings with Strawberry: dried eucalyptus leaves</x:v>
      </x:c>
      <x:c r="AC443" s="28" t="n">
        <x:v>1</x:v>
      </x:c>
      <x:c r="AD443" s="28" t="n">
        <x:v>1</x:v>
      </x:c>
    </x:row>
    <x:row r="444" ht="58" customHeight="1">
      <x:c r="A444" s="28" t="str">
        <x:v>BER-0443</x:v>
      </x:c>
      <x:c r="B444" s="28" t="str">
        <x:v>Универсальные</x:v>
      </x:c>
      <x:c r="C444" s="28" t="str">
        <x:v>клубника</x:v>
      </x:c>
      <x:c r="D444" s="28" t="str">
        <x:v>Strawberry</x:v>
      </x:c>
      <x:c r="E444" s="28" t="str">
        <x:v>Ягоды и производные</x:v>
      </x:c>
      <x:c r="F444" s="28" t="str">
        <x:v>сушёный шиповник</x:v>
      </x:c>
      <x:c r="G444" s="28" t="str">
        <x:v>dried rose hip</x:v>
      </x:c>
      <x:c r="H444" s="28" t="str">
        <x:v>Прочее</x:v>
      </x:c>
      <x:c r="I444" s="28" t="str">
        <x:v>зелёный, карамельный, сливочный, фруктовый, цветочный</x:v>
      </x:c>
      <x:c r="J444" s="28" t="str">
        <x:v>комплексный</x:v>
      </x:c>
      <x:c r="K444" s="28" t="str">
        <x:v>линалоол, мезифуран, фуранеол, цис-3-гексеналь, этилбутират</x:v>
      </x:c>
      <x:c r="L444" s="28" t="str">
        <x:v>нет надёжной конкретизации</x:v>
      </x:c>
      <x:c r="M444" s="28" t="str">
        <x:v>прямое совпадение семейств не установлено</x:v>
      </x:c>
      <x:c r="N444" s="28" t="str">
        <x:v>не подтверждены; механизм не сводится к одной общей молекуле</x:v>
      </x:c>
      <x:c r="O444" s="28" t="str">
        <x:v>контраст/комплементарность + матричный эффект</x:v>
      </x:c>
      <x:c r="P444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44" s="28" t="str">
        <x:v>Специфического тройничного эффекта обычно нет; кислотность усиливает слюноотделение.</x:v>
      </x:c>
      <x:c r="R444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4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4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4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44" s="28" t="str">
        <x:v>лимон или ваниль</x:v>
      </x:c>
      <x:c r="W444" s="28" t="str">
        <x:v>сенсорная проба в малой дозировке</x:v>
      </x:c>
      <x:c r="X444" s="28" t="str">
        <x:v>универсально</x:v>
      </x:c>
      <x:c r="Y444" s="28" t="str">
        <x:v>Средняя</x:v>
      </x:c>
      <x:c r="Z444" s="28" t="str">
        <x:v>The Art &amp; Science of Foodpairing</x:v>
      </x:c>
      <x:c r="AA444" s="28" t="str">
        <x:v>The Art &amp; Science of Foodpairing: 70</x:v>
      </x:c>
      <x:c r="AB444" s="28" t="str">
        <x:v>Ingredient pairings with Strawberry: dried rose hip</x:v>
      </x:c>
      <x:c r="AC444" s="28" t="n">
        <x:v>1</x:v>
      </x:c>
      <x:c r="AD444" s="28" t="n">
        <x:v>1</x:v>
      </x:c>
    </x:row>
    <x:row r="445" ht="58" customHeight="1">
      <x:c r="A445" s="28" t="str">
        <x:v>BER-0444</x:v>
      </x:c>
      <x:c r="B445" s="28" t="str">
        <x:v>Универсальные</x:v>
      </x:c>
      <x:c r="C445" s="28" t="str">
        <x:v>клубника</x:v>
      </x:c>
      <x:c r="D445" s="28" t="str">
        <x:v>Strawberry</x:v>
      </x:c>
      <x:c r="E445" s="28" t="str">
        <x:v>Ягоды и производные</x:v>
      </x:c>
      <x:c r="F445" s="28" t="str">
        <x:v>таитянская ваниль</x:v>
      </x:c>
      <x:c r="G445" s="28" t="str">
        <x:v>Tahitian vanilla</x:v>
      </x:c>
      <x:c r="H445" s="28" t="str">
        <x:v>Прочее</x:v>
      </x:c>
      <x:c r="I445" s="28" t="str">
        <x:v>зелёный, карамельный, сливочный, фруктовый, цветочный</x:v>
      </x:c>
      <x:c r="J445" s="28" t="str">
        <x:v>комплексный</x:v>
      </x:c>
      <x:c r="K445" s="28" t="str">
        <x:v>линалоол, мезифуран, фуранеол, цис-3-гексеналь, этилбутират</x:v>
      </x:c>
      <x:c r="L445" s="28" t="str">
        <x:v>нет надёжной конкретизации</x:v>
      </x:c>
      <x:c r="M445" s="28" t="str">
        <x:v>прямое совпадение семейств не установлено</x:v>
      </x:c>
      <x:c r="N445" s="28" t="str">
        <x:v>не подтверждены; механизм не сводится к одной общей молекуле</x:v>
      </x:c>
      <x:c r="O445" s="28" t="str">
        <x:v>контраст/комплементарность + матричный эффект</x:v>
      </x:c>
      <x:c r="P445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45" s="28" t="str">
        <x:v>Специфического тройничного эффекта обычно нет; кислотность усиливает слюноотделение.</x:v>
      </x:c>
      <x:c r="R445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4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4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4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45" s="28" t="str">
        <x:v>лимон или ваниль</x:v>
      </x:c>
      <x:c r="W445" s="28" t="str">
        <x:v>сенсорная проба в малой дозировке</x:v>
      </x:c>
      <x:c r="X445" s="28" t="str">
        <x:v>универсально</x:v>
      </x:c>
      <x:c r="Y445" s="28" t="str">
        <x:v>Средняя</x:v>
      </x:c>
      <x:c r="Z445" s="28" t="str">
        <x:v>The Art &amp; Science of Foodpairing</x:v>
      </x:c>
      <x:c r="AA445" s="28" t="str">
        <x:v>The Art &amp; Science of Foodpairing: 70</x:v>
      </x:c>
      <x:c r="AB445" s="28" t="str">
        <x:v>Ingredient pairings with Strawberry: Tahitian vanilla</x:v>
      </x:c>
      <x:c r="AC445" s="28" t="n">
        <x:v>1</x:v>
      </x:c>
      <x:c r="AD445" s="28" t="n">
        <x:v>1</x:v>
      </x:c>
    </x:row>
    <x:row r="446" ht="58" customHeight="1">
      <x:c r="A446" s="28" t="str">
        <x:v>BER-0445</x:v>
      </x:c>
      <x:c r="B446" s="28" t="str">
        <x:v>Универсальные</x:v>
      </x:c>
      <x:c r="C446" s="28" t="str">
        <x:v>клубника</x:v>
      </x:c>
      <x:c r="D446" s="28" t="str">
        <x:v>Клубника</x:v>
      </x:c>
      <x:c r="E446" s="28" t="str">
        <x:v>Ягоды и производные</x:v>
      </x:c>
      <x:c r="F446" s="28" t="str">
        <x:v>тимьян</x:v>
      </x:c>
      <x:c r="G446" s="28" t="str">
        <x:v>тимьян</x:v>
      </x:c>
      <x:c r="H446" s="28" t="str">
        <x:v>Травы и цветы</x:v>
      </x:c>
      <x:c r="I446" s="28" t="str">
        <x:v>зелёный, карамельный, сливочный, фруктовый, цветочный</x:v>
      </x:c>
      <x:c r="J446" s="28" t="str">
        <x:v>зелёный, травянистый, цветочный</x:v>
      </x:c>
      <x:c r="K446" s="28" t="str">
        <x:v>линалоол, мезифуран, фуранеол, цис-3-гексеналь, этилбутират</x:v>
      </x:c>
      <x:c r="L446" s="28" t="str">
        <x:v>гераниол, линалоол, терпены, эвгенол</x:v>
      </x:c>
      <x:c r="M446" s="28" t="str">
        <x:v>зелёный, цветочный</x:v>
      </x:c>
      <x:c r="N446" s="28" t="str">
        <x:v>линалоол</x:v>
      </x:c>
      <x:c r="O446" s="28" t="str">
        <x:v>ароматическое сходство + вкусовой баланс</x:v>
      </x:c>
      <x:c r="P446" s="28" t="str">
        <x:v>Ягодная сладость смягчает горечь и пряность, а кислотность делает горьковатый, свежий профиль ярче.</x:v>
      </x:c>
      <x:c r="Q446" s="28" t="str">
        <x:v>Специфического тройничного эффекта обычно нет; кислотность усиливает слюноотделение.</x:v>
      </x:c>
      <x:c r="R446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4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46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4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46" s="28" t="str">
        <x:v>лимон или мёд</x:v>
      </x:c>
      <x:c r="W44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446" s="28" t="str">
        <x:v>напитки; еда; соусы/маринады</x:v>
      </x:c>
      <x:c r="Y446" s="28" t="str">
        <x:v>Средняя</x:v>
      </x:c>
      <x:c r="Z446" s="28" t="str">
        <x:v>Таблица сочетаний</x:v>
      </x:c>
      <x:c r="AA446" s="28" t="str">
        <x:v>Таблица сочетаний: 20</x:v>
      </x:c>
      <x:c r="AB446" s="28" t="str">
        <x:v>Клубника: тимьян</x:v>
      </x:c>
      <x:c r="AC446" s="28" t="n">
        <x:v>1</x:v>
      </x:c>
      <x:c r="AD446" s="28" t="n">
        <x:v>1</x:v>
      </x:c>
    </x:row>
    <x:row r="447" ht="58" customHeight="1">
      <x:c r="A447" s="28" t="str">
        <x:v>BER-0446</x:v>
      </x:c>
      <x:c r="B447" s="28" t="str">
        <x:v>Еда и соусы</x:v>
      </x:c>
      <x:c r="C447" s="28" t="str">
        <x:v>клубника</x:v>
      </x:c>
      <x:c r="D447" s="28" t="str">
        <x:v>Strawberry | клубника</x:v>
      </x:c>
      <x:c r="E447" s="28" t="str">
        <x:v>Ягоды и производные</x:v>
      </x:c>
      <x:c r="F447" s="28" t="str">
        <x:v>томат</x:v>
      </x:c>
      <x:c r="G447" s="28" t="str">
        <x:v>tomato | Томат</x:v>
      </x:c>
      <x:c r="H447" s="28" t="str">
        <x:v>Овощи и грибы</x:v>
      </x:c>
      <x:c r="I447" s="28" t="str">
        <x:v>зелёный, карамельный, сливочный, фруктовый, цветочный</x:v>
      </x:c>
      <x:c r="J447" s="28" t="str">
        <x:v>зелёный, землистый, сернистый</x:v>
      </x:c>
      <x:c r="K447" s="28" t="str">
        <x:v>линалоол, мезифуран, фуранеол, цис-3-гексеналь, этилбутират</x:v>
      </x:c>
      <x:c r="L447" s="28" t="str">
        <x:v>C6-альдегиды, пиразины, сернистые соединения</x:v>
      </x:c>
      <x:c r="M447" s="28" t="str">
        <x:v>зелёный</x:v>
      </x:c>
      <x:c r="N447" s="28" t="str">
        <x:v>не подтверждены; механизм не сводится к одной общей молекуле</x:v>
      </x:c>
      <x:c r="O447" s="28" t="str">
        <x:v>сходство ароматических семейств + комплементарность</x:v>
      </x:c>
      <x:c r="P447" s="28" t="str">
        <x:v>Оба компонента формируют сладко-кислый и растительный, иногда умами контур; сахар, кислота и горечь должны быть выровнены дегустацией.</x:v>
      </x:c>
      <x:c r="Q447" s="28" t="str">
        <x:v>Специфического тройничного эффекта обычно нет; кислотность усиливает слюноотделение.</x:v>
      </x:c>
      <x:c r="R447" s="28" t="str">
        <x:v>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44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447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44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47" s="28" t="str">
        <x:v>уксус или мягкий сыр</x:v>
      </x:c>
      <x:c r="W447" s="28" t="str">
        <x:v>соус, глазировка, салат, сырная подача или горячее блюдо; маринад, гастрик, чатни, кетчуп или редукция</x:v>
      </x:c>
      <x:c r="X447" s="28" t="str">
        <x:v>еда; соусы/маринады</x:v>
      </x:c>
      <x:c r="Y447" s="28" t="str">
        <x:v>Высокая</x:v>
      </x:c>
      <x:c r="Z447" s="28" t="str">
        <x:v>The Art &amp; Science of Foodpairing; Таблица сочетаний</x:v>
      </x:c>
      <x:c r="AA447" s="28" t="str">
        <x:v>The Art &amp; Science of Foodpairing: 70; Таблица сочетаний: 21</x:v>
      </x:c>
      <x:c r="AB447" s="28" t="str">
        <x:v>Томат: клубника | Ingredient pairings with Strawberry: tomato</x:v>
      </x:c>
      <x:c r="AC447" s="28" t="n">
        <x:v>2</x:v>
      </x:c>
      <x:c r="AD447" s="28" t="n">
        <x:v>2</x:v>
      </x:c>
    </x:row>
    <x:row r="448" ht="58" customHeight="1">
      <x:c r="A448" s="28" t="str">
        <x:v>BER-0447</x:v>
      </x:c>
      <x:c r="B448" s="28" t="str">
        <x:v>Еда и соусы</x:v>
      </x:c>
      <x:c r="C448" s="28" t="str">
        <x:v>клубника</x:v>
      </x:c>
      <x:c r="D448" s="28" t="str">
        <x:v>Клубника | клубника</x:v>
      </x:c>
      <x:c r="E448" s="28" t="str">
        <x:v>Ягоды и производные</x:v>
      </x:c>
      <x:c r="F448" s="28" t="str">
        <x:v>томаты</x:v>
      </x:c>
      <x:c r="G448" s="28" t="str">
        <x:v>Томаты | томаты</x:v>
      </x:c>
      <x:c r="H448" s="28" t="str">
        <x:v>Овощи и грибы</x:v>
      </x:c>
      <x:c r="I448" s="28" t="str">
        <x:v>зелёный, карамельный, сливочный, фруктовый, цветочный</x:v>
      </x:c>
      <x:c r="J448" s="28" t="str">
        <x:v>зелёный, землистый, сернистый</x:v>
      </x:c>
      <x:c r="K448" s="28" t="str">
        <x:v>линалоол, мезифуран, фуранеол, цис-3-гексеналь, этилбутират</x:v>
      </x:c>
      <x:c r="L448" s="28" t="str">
        <x:v>C6-альдегиды, пиразины, сернистые соединения</x:v>
      </x:c>
      <x:c r="M448" s="28" t="str">
        <x:v>зелёный</x:v>
      </x:c>
      <x:c r="N448" s="28" t="str">
        <x:v>не подтверждены; механизм не сводится к одной общей молекуле</x:v>
      </x:c>
      <x:c r="O448" s="28" t="str">
        <x:v>сходство ароматических семейств + комплементарность</x:v>
      </x:c>
      <x:c r="P448" s="28" t="str">
        <x:v>Оба компонента формируют сладко-кислый и растительный, иногда умами контур; сахар, кислота и горечь должны быть выровнены дегустацией.</x:v>
      </x:c>
      <x:c r="Q448" s="28" t="str">
        <x:v>Специфического тройничного эффекта обычно нет; кислотность усиливает слюноотделение.</x:v>
      </x:c>
      <x:c r="R448" s="28" t="str">
        <x:v>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44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448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44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48" s="28" t="str">
        <x:v>уксус или мягкий сыр</x:v>
      </x:c>
      <x:c r="W448" s="28" t="str">
        <x:v>соус, глазировка, салат, сырная подача или горячее блюдо; маринад, гастрик, чатни, кетчуп или редукция</x:v>
      </x:c>
      <x:c r="X448" s="28" t="str">
        <x:v>еда; соусы/маринады</x:v>
      </x:c>
      <x:c r="Y448" s="28" t="str">
        <x:v>Высокая</x:v>
      </x:c>
      <x:c r="Z448" s="28" t="str">
        <x:v>Тезариус вкусов</x:v>
      </x:c>
      <x:c r="AA448" s="28" t="str">
        <x:v>Тезариус вкусов: 686, 698</x:v>
      </x:c>
      <x:c r="AB448" s="28" t="str">
        <x:v>Томаты и клубника. По мнению некоторых науч- но подкованных поваров, эти продукты взаимозаме- няемы, так как имеют много общих вкусовых соеди- нений. В середине 1990-х годов Рон Г. Баттери (Ron G. Buttery) и его сотрудники обнаружили, что томаты содержат так называемый клубничный фуранон, ко- торый также присутствует в малине, ананасе, говяди- не, жареном фундуке и попкорне. Более поздние ис- следования обнаружили, что самые высокие концен- трации фуранона достигаются в огородных томатах в разгар лета. Попробуйте заменить один из этих ком- понентов другим в ваших любимых блюдах из клубни- ки и из томатов. Наверное, салат из клубники, авокадо  | Клубника и томаты. См. Томаты и клубника</x:v>
      </x:c>
      <x:c r="AC448" s="28" t="n">
        <x:v>1</x:v>
      </x:c>
      <x:c r="AD448" s="28" t="n">
        <x:v>2</x:v>
      </x:c>
    </x:row>
    <x:row r="449" ht="58" customHeight="1">
      <x:c r="A449" s="28" t="str">
        <x:v>BER-0448</x:v>
      </x:c>
      <x:c r="B449" s="28" t="str">
        <x:v>Еда и соусы</x:v>
      </x:c>
      <x:c r="C449" s="28" t="str">
        <x:v>клубника</x:v>
      </x:c>
      <x:c r="D449" s="28" t="str">
        <x:v>клубника</x:v>
      </x:c>
      <x:c r="E449" s="28" t="str">
        <x:v>Ягоды и производные</x:v>
      </x:c>
      <x:c r="F449" s="28" t="str">
        <x:v>тыква</x:v>
      </x:c>
      <x:c r="G449" s="28" t="str">
        <x:v>Тыква</x:v>
      </x:c>
      <x:c r="H449" s="28" t="str">
        <x:v>Овощи и грибы</x:v>
      </x:c>
      <x:c r="I449" s="28" t="str">
        <x:v>зелёный, карамельный, сливочный, фруктовый, цветочный</x:v>
      </x:c>
      <x:c r="J449" s="28" t="str">
        <x:v>зелёный, землистый, сернистый</x:v>
      </x:c>
      <x:c r="K449" s="28" t="str">
        <x:v>линалоол, мезифуран, фуранеол, цис-3-гексеналь, этилбутират</x:v>
      </x:c>
      <x:c r="L449" s="28" t="str">
        <x:v>C6-альдегиды, пиразины, сернистые соединения</x:v>
      </x:c>
      <x:c r="M449" s="28" t="str">
        <x:v>зелёный</x:v>
      </x:c>
      <x:c r="N449" s="28" t="str">
        <x:v>не подтверждены; механизм не сводится к одной общей молекуле</x:v>
      </x:c>
      <x:c r="O449" s="28" t="str">
        <x:v>сходство ароматических семейств + комплементарность</x:v>
      </x:c>
      <x:c r="P449" s="28" t="str">
        <x:v>Оба компонента формируют сладко-кислый и растительный, иногда умами контур; сахар, кислота и горечь должны быть выровнены дегустацией.</x:v>
      </x:c>
      <x:c r="Q449" s="28" t="str">
        <x:v>Специфического тройничного эффекта обычно нет; кислотность усиливает слюноотделение.</x:v>
      </x:c>
      <x:c r="R449" s="28" t="str">
        <x:v>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44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449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44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49" s="28" t="str">
        <x:v>уксус или мягкий сыр</x:v>
      </x:c>
      <x:c r="W449" s="28" t="str">
        <x:v>соус, глазировка, салат, сырная подача или горячее блюдо; маринад, гастрик, чатни, кетчуп или редукция</x:v>
      </x:c>
      <x:c r="X449" s="28" t="str">
        <x:v>еда; соусы/маринады</x:v>
      </x:c>
      <x:c r="Y449" s="28" t="str">
        <x:v>Средняя</x:v>
      </x:c>
      <x:c r="Z449" s="28" t="str">
        <x:v>Таблица сочетаний</x:v>
      </x:c>
      <x:c r="AA449" s="28" t="str">
        <x:v>Таблица сочетаний: 18</x:v>
      </x:c>
      <x:c r="AB449" s="28" t="str">
        <x:v>Тыква: клубника</x:v>
      </x:c>
      <x:c r="AC449" s="28" t="n">
        <x:v>1</x:v>
      </x:c>
      <x:c r="AD449" s="28" t="n">
        <x:v>1</x:v>
      </x:c>
    </x:row>
    <x:row r="450" ht="58" customHeight="1">
      <x:c r="A450" s="28" t="str">
        <x:v>BER-0449</x:v>
      </x:c>
      <x:c r="B450" s="28" t="str">
        <x:v>Универсальные</x:v>
      </x:c>
      <x:c r="C450" s="28" t="str">
        <x:v>клубника</x:v>
      </x:c>
      <x:c r="D450" s="28" t="str">
        <x:v>клубника</x:v>
      </x:c>
      <x:c r="E450" s="28" t="str">
        <x:v>Ягоды и производные</x:v>
      </x:c>
      <x:c r="F450" s="28" t="str">
        <x:v>фенхель</x:v>
      </x:c>
      <x:c r="G450" s="28" t="str">
        <x:v>Фенхель</x:v>
      </x:c>
      <x:c r="H450" s="28" t="str">
        <x:v>Прочее</x:v>
      </x:c>
      <x:c r="I450" s="28" t="str">
        <x:v>зелёный, карамельный, сливочный, фруктовый, цветочный</x:v>
      </x:c>
      <x:c r="J450" s="28" t="str">
        <x:v>комплексный</x:v>
      </x:c>
      <x:c r="K450" s="28" t="str">
        <x:v>линалоол, мезифуран, фуранеол, цис-3-гексеналь, этилбутират</x:v>
      </x:c>
      <x:c r="L450" s="28" t="str">
        <x:v>нет надёжной конкретизации</x:v>
      </x:c>
      <x:c r="M450" s="28" t="str">
        <x:v>прямое совпадение семейств не установлено</x:v>
      </x:c>
      <x:c r="N450" s="28" t="str">
        <x:v>не подтверждены; механизм не сводится к одной общей молекуле</x:v>
      </x:c>
      <x:c r="O450" s="28" t="str">
        <x:v>контраст/комплементарность + матричный эффект</x:v>
      </x:c>
      <x:c r="P450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50" s="28" t="str">
        <x:v>Специфического тройничного эффекта обычно нет; кислотность усиливает слюноотделение.</x:v>
      </x:c>
      <x:c r="R450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5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5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5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50" s="28" t="str">
        <x:v>лимон или ваниль</x:v>
      </x:c>
      <x:c r="W450" s="28" t="str">
        <x:v>сенсорная проба в малой дозировке</x:v>
      </x:c>
      <x:c r="X450" s="28" t="str">
        <x:v>универсально</x:v>
      </x:c>
      <x:c r="Y450" s="28" t="str">
        <x:v>Средняя</x:v>
      </x:c>
      <x:c r="Z450" s="28" t="str">
        <x:v>Таблица сочетаний</x:v>
      </x:c>
      <x:c r="AA450" s="28" t="str">
        <x:v>Таблица сочетаний: 8</x:v>
      </x:c>
      <x:c r="AB450" s="28" t="str">
        <x:v>Фенхель: клубника</x:v>
      </x:c>
      <x:c r="AC450" s="28" t="n">
        <x:v>1</x:v>
      </x:c>
      <x:c r="AD450" s="28" t="n">
        <x:v>1</x:v>
      </x:c>
    </x:row>
    <x:row r="451" ht="58" customHeight="1">
      <x:c r="A451" s="28" t="str">
        <x:v>BER-0450</x:v>
      </x:c>
      <x:c r="B451" s="28" t="str">
        <x:v>Десерты и выпечка</x:v>
      </x:c>
      <x:c r="C451" s="28" t="str">
        <x:v>клубника</x:v>
      </x:c>
      <x:c r="D451" s="28" t="str">
        <x:v>Клубника | клубника</x:v>
      </x:c>
      <x:c r="E451" s="28" t="str">
        <x:v>Ягоды и производные</x:v>
      </x:c>
      <x:c r="F451" s="28" t="str">
        <x:v>фундук</x:v>
      </x:c>
      <x:c r="G451" s="28" t="str">
        <x:v>Фундук | фундук</x:v>
      </x:c>
      <x:c r="H451" s="28" t="str">
        <x:v>Орехи и семена</x:v>
      </x:c>
      <x:c r="I451" s="28" t="str">
        <x:v>зелёный, карамельный, сливочный, фруктовый, цветочный</x:v>
      </x:c>
      <x:c r="J451" s="28" t="str">
        <x:v>жареный, миндальный, ореховый</x:v>
      </x:c>
      <x:c r="K451" s="28" t="str">
        <x:v>линалоол, мезифуран, фуранеол, цис-3-гексеналь, этилбутират</x:v>
      </x:c>
      <x:c r="L451" s="28" t="str">
        <x:v>бензальдегид, пиразины, фураны</x:v>
      </x:c>
      <x:c r="M451" s="28" t="str">
        <x:v>прямое совпадение семейств не установлено</x:v>
      </x:c>
      <x:c r="N451" s="28" t="str">
        <x:v>не подтверждены; механизм не сводится к одной общей молекуле</x:v>
      </x:c>
      <x:c r="O451" s="28" t="str">
        <x:v>контраст/комплементарность + матричный эффект</x:v>
      </x:c>
      <x:c r="P451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451" s="28" t="str">
        <x:v>Специфического тройничного эффекта обычно нет; кислотность усиливает слюноотделение.</x:v>
      </x:c>
      <x:c r="R451" s="28" t="str">
        <x:v>Жировая фаза удерживает гидрофобные одоранты и продлевает послевкусие; кислотность ягод повышает слюноотделение.</x:v>
      </x:c>
      <x:c r="S45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5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5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51" s="28" t="str">
        <x:v>ваниль или сливки</x:v>
      </x:c>
      <x:c r="W451" s="28" t="str">
        <x:v>сорбет, крем, ганаш, выпечка, джем или соус для десерта</x:v>
      </x:c>
      <x:c r="X451" s="28" t="str">
        <x:v>десерты</x:v>
      </x:c>
      <x:c r="Y451" s="28" t="str">
        <x:v>Высокая</x:v>
      </x:c>
      <x:c r="Z451" s="28" t="str">
        <x:v>Таблица сочетаний; Тезариус вкусов</x:v>
      </x:c>
      <x:c r="AA451" s="28" t="str">
        <x:v>Тезариус вкусов: 635, 698; Таблица сочетаний: 20</x:v>
      </x:c>
      <x:c r="AB451" s="28" t="str">
        <x:v>Фундук и клубника. См. Клубника и фундук | Клубника и фундук. Вкус жареного фундука глубо- кий, но не подавляющий. Это позволяет сочетать его с клубникой, ибо фундук не замывает вкус ягод, как это нередко происходит с шоколадом. Данное сочетание оказывается даже лучше, если сладость клубники до- полнительно подчеркивается сахаром – скажем, в ру- лете-безе из фундука с клубникой и взбитыми слив- ками. Для приготовления такого рулета взбейте четы- ре белка от больших яиц до образования мягких пи- ков. Продолжая взбивать белки, постепенно добавьте 225 г сахарной пудры. Положите 100 г молотого под- жаренного фундука и распределите смесь по форме для выпекания размерами 25×35 см, застеленн | Клубника: фундук</x:v>
      </x:c>
      <x:c r="AC451" s="28" t="n">
        <x:v>2</x:v>
      </x:c>
      <x:c r="AD451" s="28" t="n">
        <x:v>3</x:v>
      </x:c>
    </x:row>
    <x:row r="452" ht="58" customHeight="1">
      <x:c r="A452" s="28" t="str">
        <x:v>BER-0451</x:v>
      </x:c>
      <x:c r="B452" s="28" t="str">
        <x:v>Универсальные</x:v>
      </x:c>
      <x:c r="C452" s="28" t="str">
        <x:v>клубника</x:v>
      </x:c>
      <x:c r="D452" s="28" t="str">
        <x:v>strawberry</x:v>
      </x:c>
      <x:c r="E452" s="28" t="str">
        <x:v>Ягоды и производные</x:v>
      </x:c>
      <x:c r="F452" s="28" t="str">
        <x:v>цветы жасмина</x:v>
      </x:c>
      <x:c r="G452" s="28" t="str">
        <x:v>Jasmine Blossom</x:v>
      </x:c>
      <x:c r="H452" s="28" t="str">
        <x:v>Травы и цветы</x:v>
      </x:c>
      <x:c r="I452" s="28" t="str">
        <x:v>зелёный, карамельный, сливочный, фруктовый, цветочный</x:v>
      </x:c>
      <x:c r="J452" s="28" t="str">
        <x:v>зелёный, травянистый, цветочный</x:v>
      </x:c>
      <x:c r="K452" s="28" t="str">
        <x:v>линалоол, мезифуран, фуранеол, цис-3-гексеналь, этилбутират</x:v>
      </x:c>
      <x:c r="L452" s="28" t="str">
        <x:v>гераниол, линалоол, терпены, эвгенол</x:v>
      </x:c>
      <x:c r="M452" s="28" t="str">
        <x:v>зелёный, цветочный</x:v>
      </x:c>
      <x:c r="N452" s="28" t="str">
        <x:v>линалоол</x:v>
      </x:c>
      <x:c r="O452" s="28" t="str">
        <x:v>ароматическое сходство + вкусовой баланс</x:v>
      </x:c>
      <x:c r="P452" s="28" t="str">
        <x:v>Ягодная сладость смягчает горечь и пряность, а кислотность делает горьковатый, свежий профиль ярче.</x:v>
      </x:c>
      <x:c r="Q452" s="28" t="str">
        <x:v>Специфического тройничного эффекта обычно нет; кислотность усиливает слюноотделение.</x:v>
      </x:c>
      <x:c r="R452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5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52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5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52" s="28" t="str">
        <x:v>лимон или мёд</x:v>
      </x:c>
      <x:c r="W45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452" s="28" t="str">
        <x:v>напитки; еда; соусы/маринады</x:v>
      </x:c>
      <x:c r="Y452" s="28" t="str">
        <x:v>Средняя</x:v>
      </x:c>
      <x:c r="Z452" s="28" t="str">
        <x:v>The Art &amp; Science of Foodpairing</x:v>
      </x:c>
      <x:c r="AA452" s="28" t="str">
        <x:v>The Art &amp; Science of Foodpairing: 210</x:v>
      </x:c>
      <x:c r="AB452" s="28" t="str">
        <x:v>Ingredient pairings with Jasmine Blossom: strawberry</x:v>
      </x:c>
      <x:c r="AC452" s="28" t="n">
        <x:v>1</x:v>
      </x:c>
      <x:c r="AD452" s="28" t="n">
        <x:v>1</x:v>
      </x:c>
    </x:row>
    <x:row r="453" ht="58" customHeight="1">
      <x:c r="A453" s="28" t="str">
        <x:v>BER-0452</x:v>
      </x:c>
      <x:c r="B453" s="28" t="str">
        <x:v>Универсальные</x:v>
      </x:c>
      <x:c r="C453" s="28" t="str">
        <x:v>клубника</x:v>
      </x:c>
      <x:c r="D453" s="28" t="str">
        <x:v>Strawberry</x:v>
      </x:c>
      <x:c r="E453" s="28" t="str">
        <x:v>Ягоды и производные</x:v>
      </x:c>
      <x:c r="F453" s="28" t="str">
        <x:v>цветы фиалки</x:v>
      </x:c>
      <x:c r="G453" s="28" t="str">
        <x:v>violet flower</x:v>
      </x:c>
      <x:c r="H453" s="28" t="str">
        <x:v>Травы и цветы</x:v>
      </x:c>
      <x:c r="I453" s="28" t="str">
        <x:v>зелёный, карамельный, сливочный, фруктовый, цветочный</x:v>
      </x:c>
      <x:c r="J453" s="28" t="str">
        <x:v>зелёный, травянистый, цветочный</x:v>
      </x:c>
      <x:c r="K453" s="28" t="str">
        <x:v>линалоол, мезифуран, фуранеол, цис-3-гексеналь, этилбутират</x:v>
      </x:c>
      <x:c r="L453" s="28" t="str">
        <x:v>гераниол, линалоол, терпены, эвгенол</x:v>
      </x:c>
      <x:c r="M453" s="28" t="str">
        <x:v>зелёный, цветочный</x:v>
      </x:c>
      <x:c r="N453" s="28" t="str">
        <x:v>линалоол</x:v>
      </x:c>
      <x:c r="O453" s="28" t="str">
        <x:v>ароматическое сходство + вкусовой баланс</x:v>
      </x:c>
      <x:c r="P453" s="28" t="str">
        <x:v>Ягодная сладость смягчает горечь и пряность, а кислотность делает горьковатый, свежий профиль ярче.</x:v>
      </x:c>
      <x:c r="Q453" s="28" t="str">
        <x:v>Специфического тройничного эффекта обычно нет; кислотность усиливает слюноотделение.</x:v>
      </x:c>
      <x:c r="R453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5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53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5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53" s="28" t="str">
        <x:v>лимон или мёд</x:v>
      </x:c>
      <x:c r="W453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453" s="28" t="str">
        <x:v>напитки; еда; соусы/маринады</x:v>
      </x:c>
      <x:c r="Y453" s="28" t="str">
        <x:v>Средняя</x:v>
      </x:c>
      <x:c r="Z453" s="28" t="str">
        <x:v>The Art &amp; Science of Foodpairing</x:v>
      </x:c>
      <x:c r="AA453" s="28" t="str">
        <x:v>The Art &amp; Science of Foodpairing: 70</x:v>
      </x:c>
      <x:c r="AB453" s="28" t="str">
        <x:v>Ingredient pairings with Strawberry: violet flower</x:v>
      </x:c>
      <x:c r="AC453" s="28" t="n">
        <x:v>1</x:v>
      </x:c>
      <x:c r="AD453" s="28" t="n">
        <x:v>1</x:v>
      </x:c>
    </x:row>
    <x:row r="454" ht="58" customHeight="1">
      <x:c r="A454" s="28" t="str">
        <x:v>BER-0453</x:v>
      </x:c>
      <x:c r="B454" s="28" t="str">
        <x:v>Напитки</x:v>
      </x:c>
      <x:c r="C454" s="28" t="str">
        <x:v>клубника</x:v>
      </x:c>
      <x:c r="D454" s="28" t="str">
        <x:v>Strawberry</x:v>
      </x:c>
      <x:c r="E454" s="28" t="str">
        <x:v>Ягоды и производные</x:v>
      </x:c>
      <x:c r="F454" s="28" t="str">
        <x:v>цедра горького апельсина</x:v>
      </x:c>
      <x:c r="G454" s="28" t="str">
        <x:v>bitter orange peel</x:v>
      </x:c>
      <x:c r="H454" s="28" t="str">
        <x:v>Цитрусовые</x:v>
      </x:c>
      <x:c r="I454" s="28" t="str">
        <x:v>зелёный, карамельный, сливочный, фруктовый, цветочный</x:v>
      </x:c>
      <x:c r="J454" s="28" t="str">
        <x:v>зелёный, цветочный, цитрусовый</x:v>
      </x:c>
      <x:c r="K454" s="28" t="str">
        <x:v>линалоол, мезифуран, фуранеол, цис-3-гексеналь, этилбутират</x:v>
      </x:c>
      <x:c r="L454" s="28" t="str">
        <x:v>лимонен, линалоол, цитраль</x:v>
      </x:c>
      <x:c r="M454" s="28" t="str">
        <x:v>зелёный, цветочный</x:v>
      </x:c>
      <x:c r="N454" s="28" t="str">
        <x:v>линалоол</x:v>
      </x:c>
      <x:c r="O454" s="28" t="str">
        <x:v>ароматическое сходство + вкусовой баланс</x:v>
      </x:c>
      <x:c r="P454" s="28" t="str">
        <x:v>Оба компонента формируют сладко-кислый и кислый, свежий контур; сахар, кислота и горечь должны быть выровнены дегустацией.</x:v>
      </x:c>
      <x:c r="Q454" s="28" t="str">
        <x:v>Специфического тройничного эффекта обычно нет; кислотность усиливает слюноотделение.</x:v>
      </x:c>
      <x:c r="R454" s="28" t="str">
        <x:v>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</x:v>
      </x:c>
      <x:c r="S45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54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5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54" s="28" t="str">
        <x:v>мёд или базилик</x:v>
      </x:c>
      <x:c r="W454" s="28" t="str">
        <x:v>кордиал, лимонад, чай, коктейль, настой или ферментированный напиток; маринад, гастрик, чатни, кетчуп или редукция</x:v>
      </x:c>
      <x:c r="X454" s="28" t="str">
        <x:v>напитки; соусы/маринады</x:v>
      </x:c>
      <x:c r="Y454" s="28" t="str">
        <x:v>Средняя</x:v>
      </x:c>
      <x:c r="Z454" s="28" t="str">
        <x:v>The Art &amp; Science of Foodpairing</x:v>
      </x:c>
      <x:c r="AA454" s="28" t="str">
        <x:v>The Art &amp; Science of Foodpairing: 70</x:v>
      </x:c>
      <x:c r="AB454" s="28" t="str">
        <x:v>Ingredient pairings with Strawberry: bitter orange peel</x:v>
      </x:c>
      <x:c r="AC454" s="28" t="n">
        <x:v>1</x:v>
      </x:c>
      <x:c r="AD454" s="28" t="n">
        <x:v>1</x:v>
      </x:c>
    </x:row>
    <x:row r="455" ht="58" customHeight="1">
      <x:c r="A455" s="28" t="str">
        <x:v>BER-0454</x:v>
      </x:c>
      <x:c r="B455" s="28" t="str">
        <x:v>Напитки</x:v>
      </x:c>
      <x:c r="C455" s="28" t="str">
        <x:v>клубника</x:v>
      </x:c>
      <x:c r="D455" s="28" t="str">
        <x:v>Клубника</x:v>
      </x:c>
      <x:c r="E455" s="28" t="str">
        <x:v>Ягоды и производные</x:v>
      </x:c>
      <x:c r="F455" s="28" t="str">
        <x:v>цитрусовые</x:v>
      </x:c>
      <x:c r="G455" s="28" t="str">
        <x:v>цитрусовые</x:v>
      </x:c>
      <x:c r="H455" s="28" t="str">
        <x:v>Цитрусовые</x:v>
      </x:c>
      <x:c r="I455" s="28" t="str">
        <x:v>зелёный, карамельный, сливочный, фруктовый, цветочный</x:v>
      </x:c>
      <x:c r="J455" s="28" t="str">
        <x:v>зелёный, цветочный, цитрусовый</x:v>
      </x:c>
      <x:c r="K455" s="28" t="str">
        <x:v>линалоол, мезифуран, фуранеол, цис-3-гексеналь, этилбутират</x:v>
      </x:c>
      <x:c r="L455" s="28" t="str">
        <x:v>лимонен, линалоол, цитраль</x:v>
      </x:c>
      <x:c r="M455" s="28" t="str">
        <x:v>зелёный, цветочный</x:v>
      </x:c>
      <x:c r="N455" s="28" t="str">
        <x:v>линалоол</x:v>
      </x:c>
      <x:c r="O455" s="28" t="str">
        <x:v>ароматическое сходство + вкусовой баланс</x:v>
      </x:c>
      <x:c r="P455" s="28" t="str">
        <x:v>Оба компонента формируют сладко-кислый и кислый, свежий контур; сахар, кислота и горечь должны быть выровнены дегустацией.</x:v>
      </x:c>
      <x:c r="Q455" s="28" t="str">
        <x:v>Специфического тройничного эффекта обычно нет; кислотность усиливает слюноотделение.</x:v>
      </x:c>
      <x:c r="R455" s="28" t="str">
        <x:v>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</x:v>
      </x:c>
      <x:c r="S45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55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5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55" s="28" t="str">
        <x:v>мёд или базилик</x:v>
      </x:c>
      <x:c r="W455" s="28" t="str">
        <x:v>кордиал, лимонад, чай, коктейль, настой или ферментированный напиток; маринад, гастрик, чатни, кетчуп или редукция</x:v>
      </x:c>
      <x:c r="X455" s="28" t="str">
        <x:v>напитки; соусы/маринады</x:v>
      </x:c>
      <x:c r="Y455" s="28" t="str">
        <x:v>Средняя</x:v>
      </x:c>
      <x:c r="Z455" s="28" t="str">
        <x:v>Таблица сочетаний</x:v>
      </x:c>
      <x:c r="AA455" s="28" t="str">
        <x:v>Таблица сочетаний: 20</x:v>
      </x:c>
      <x:c r="AB455" s="28" t="str">
        <x:v>Клубника: цитрусовые</x:v>
      </x:c>
      <x:c r="AC455" s="28" t="n">
        <x:v>1</x:v>
      </x:c>
      <x:c r="AD455" s="28" t="n">
        <x:v>1</x:v>
      </x:c>
    </x:row>
    <x:row r="456" ht="58" customHeight="1">
      <x:c r="A456" s="28" t="str">
        <x:v>BER-0455</x:v>
      </x:c>
      <x:c r="B456" s="28" t="str">
        <x:v>Универсальные</x:v>
      </x:c>
      <x:c r="C456" s="28" t="str">
        <x:v>клубника</x:v>
      </x:c>
      <x:c r="D456" s="28" t="str">
        <x:v>Strawberry</x:v>
      </x:c>
      <x:c r="E456" s="28" t="str">
        <x:v>Ягоды и производные</x:v>
      </x:c>
      <x:c r="F456" s="28" t="str">
        <x:v>черешня</x:v>
      </x:c>
      <x:c r="G456" s="28" t="str">
        <x:v>sweet cherry</x:v>
      </x:c>
      <x:c r="H456" s="28" t="str">
        <x:v>Ягоды и производные</x:v>
      </x:c>
      <x:c r="I456" s="28" t="str">
        <x:v>зелёный, карамельный, сливочный, фруктовый, цветочный</x:v>
      </x:c>
      <x:c r="J456" s="28" t="str">
        <x:v>миндальный, сладко-фруктовый, цветочный</x:v>
      </x:c>
      <x:c r="K456" s="28" t="str">
        <x:v>линалоол, мезифуран, фуранеол, цис-3-гексеналь, этилбутират</x:v>
      </x:c>
      <x:c r="L456" s="28" t="str">
        <x:v>бензальдегид, бета-дамасценон, эфиры</x:v>
      </x:c>
      <x:c r="M456" s="28" t="str">
        <x:v>цветочный</x:v>
      </x:c>
      <x:c r="N456" s="28" t="str">
        <x:v>не подтверждены; механизм не сводится к одной общей молекуле</x:v>
      </x:c>
      <x:c r="O456" s="28" t="str">
        <x:v>сходство ароматических семейств + комплементарность</x:v>
      </x:c>
      <x:c r="P456" s="28" t="str">
        <x:v>Оба компонента формируют сладко-кислый и сладкий, умеренно кислый контур; сахар, кислота и горечь должны быть выровнены дегустацией.</x:v>
      </x:c>
      <x:c r="Q456" s="28" t="str">
        <x:v>Специфического тройничного эффекта обычно нет; кислотность усиливает слюноотделение.</x:v>
      </x:c>
      <x:c r="R456" s="28" t="str">
        <x:v>Ягода: высокая доля воды; аромат чувствителен к перегреву. Партнёр: нежнее кислой вишни; легко становится приторной. В воде аромат раскрывается быстрее, в жире и этаноле — дольше удерживается.</x:v>
      </x:c>
      <x:c r="S45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56" s="28" t="str">
        <x:v>Общие ароматические семейства: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миндальный, сладко-фруктовый, цветочный. Оба компонента формируют сладко-кислый и сладкий, умеренно кислый контур; сахар, кислота и горечь должны быть выровнены дегустацией. Ягода: высокая доля воды; аромат чувствителен к перегреву. Партнёр: нежнее кислой вишни; легко становится приторной.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5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56" s="28" t="str">
        <x:v>ваниль или роза</x:v>
      </x:c>
      <x:c r="W45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456" s="28" t="str">
        <x:v>напитки; десерты</x:v>
      </x:c>
      <x:c r="Y456" s="28" t="str">
        <x:v>Средняя</x:v>
      </x:c>
      <x:c r="Z456" s="28" t="str">
        <x:v>The Art &amp; Science of Foodpairing</x:v>
      </x:c>
      <x:c r="AA456" s="28" t="str">
        <x:v>The Art &amp; Science of Foodpairing: 71</x:v>
      </x:c>
      <x:c r="AB456" s="28" t="str">
        <x:v>Ingredient pairings with Strawberry: sweet cherry</x:v>
      </x:c>
      <x:c r="AC456" s="28" t="n">
        <x:v>1</x:v>
      </x:c>
      <x:c r="AD456" s="28" t="n">
        <x:v>1</x:v>
      </x:c>
    </x:row>
    <x:row r="457" ht="58" customHeight="1">
      <x:c r="A457" s="28" t="str">
        <x:v>BER-0456</x:v>
      </x:c>
      <x:c r="B457" s="28" t="str">
        <x:v>Универсальные</x:v>
      </x:c>
      <x:c r="C457" s="28" t="str">
        <x:v>клубника</x:v>
      </x:c>
      <x:c r="D457" s="28" t="str">
        <x:v>клубника</x:v>
      </x:c>
      <x:c r="E457" s="28" t="str">
        <x:v>Ягоды и производные</x:v>
      </x:c>
      <x:c r="F457" s="28" t="str">
        <x:v>чёрная смородина</x:v>
      </x:c>
      <x:c r="G457" s="28" t="str">
        <x:v>Чёрная смородина</x:v>
      </x:c>
      <x:c r="H457" s="28" t="str">
        <x:v>Ягоды и производные</x:v>
      </x:c>
      <x:c r="I457" s="28" t="str">
        <x:v>зелёный, карамельный, сливочный, фруктовый, цветочный</x:v>
      </x:c>
      <x:c r="J457" s="28" t="str">
        <x:v>зелёный, листовой, сернистый, тёмно-фруктовый, цветочный</x:v>
      </x:c>
      <x:c r="K457" s="28" t="str">
        <x:v>линалоол, мезифуран, фуранеол, цис-3-гексеналь, этилбутират</x:v>
      </x:c>
      <x:c r="L457" s="28" t="str">
        <x:v>3-меркаптогексанол, 3-меркаптогексилацетат, 4-метокси-2-метил-2-бутантиол, терпены</x:v>
      </x:c>
      <x:c r="M457" s="28" t="str">
        <x:v>зелёный, цветочный</x:v>
      </x:c>
      <x:c r="N457" s="28" t="str">
        <x:v>не подтверждены; механизм не сводится к одной общей молекуле</x:v>
      </x:c>
      <x:c r="O457" s="28" t="str">
        <x:v>сходство ароматических семейств + комплементарность</x:v>
      </x:c>
      <x:c r="P457" s="28" t="str">
        <x:v>Оба компонента формируют сладко-кислый и ярко-кислый, терпкий контур; сахар, кислота и горечь должны быть выровнены дегустацией.</x:v>
      </x:c>
      <x:c r="Q457" s="28" t="str">
        <x:v>Специфического тройничного эффекта обычно нет; кислотность усиливает слюноотделение.</x:v>
      </x:c>
      <x:c r="R457" s="28" t="str">
        <x:v>Ягода: высокая доля воды; аромат чувствителен к перегреву. Партнёр: следовые тиолы чрезвычайно мощные; передозировка даёт «кошачий» тон. В воде аромат раскрывается быстрее, в жире и этаноле — дольше удерживается.</x:v>
      </x:c>
      <x:c r="S45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57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листовой, сернистый, тёмно-фруктовый, цветочный. Оба компонента формируют сладко-кислый и ярко-кислый, терпкий контур; сахар, кислота и горечь должны быть выровнены дегустацией. Ягода: высокая доля воды; аромат чувствителен к перегреву. Партнёр: следовые тиолы чрезвычайно мощные; передозировка даёт «кошачий» тон.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5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57" s="28" t="str">
        <x:v>ваниль или роза</x:v>
      </x:c>
      <x:c r="W45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457" s="28" t="str">
        <x:v>напитки; десерты</x:v>
      </x:c>
      <x:c r="Y457" s="28" t="str">
        <x:v>Средняя</x:v>
      </x:c>
      <x:c r="Z457" s="28" t="str">
        <x:v>Таблица сочетаний</x:v>
      </x:c>
      <x:c r="AA457" s="28" t="str">
        <x:v>Таблица сочетаний: 2</x:v>
      </x:c>
      <x:c r="AB457" s="28" t="str">
        <x:v>Чёрная смородина: клубника</x:v>
      </x:c>
      <x:c r="AC457" s="28" t="n">
        <x:v>1</x:v>
      </x:c>
      <x:c r="AD457" s="28" t="n">
        <x:v>1</x:v>
      </x:c>
    </x:row>
    <x:row r="458" ht="58" customHeight="1">
      <x:c r="A458" s="28" t="str">
        <x:v>BER-0457</x:v>
      </x:c>
      <x:c r="B458" s="28" t="str">
        <x:v>Универсальные</x:v>
      </x:c>
      <x:c r="C458" s="28" t="str">
        <x:v>клубника</x:v>
      </x:c>
      <x:c r="D458" s="28" t="str">
        <x:v>strawberry | Клубника</x:v>
      </x:c>
      <x:c r="E458" s="28" t="str">
        <x:v>Ягоды и производные</x:v>
      </x:c>
      <x:c r="F458" s="28" t="str">
        <x:v>чёрный перец</x:v>
      </x:c>
      <x:c r="G458" s="28" t="str">
        <x:v>Black Peppercorns | чёрный перец</x:v>
      </x:c>
      <x:c r="H458" s="28" t="str">
        <x:v>Специи</x:v>
      </x:c>
      <x:c r="I458" s="28" t="str">
        <x:v>зелёный, карамельный, сливочный, фруктовый, цветочный</x:v>
      </x:c>
      <x:c r="J458" s="28" t="str">
        <x:v>древесный, пряный, тёплый</x:v>
      </x:c>
      <x:c r="K458" s="28" t="str">
        <x:v>линалоол, мезифуран, фуранеол, цис-3-гексеналь, этилбутират</x:v>
      </x:c>
      <x:c r="L458" s="28" t="str">
        <x:v>коричный альдегид, терпены, эвгенол</x:v>
      </x:c>
      <x:c r="M458" s="28" t="str">
        <x:v>прямое совпадение семейств не установлено</x:v>
      </x:c>
      <x:c r="N458" s="28" t="str">
        <x:v>не подтверждены; механизм не сводится к одной общей молекуле</x:v>
      </x:c>
      <x:c r="O458" s="28" t="str">
        <x:v>контраст/комплементарность + матричный эффект</x:v>
      </x:c>
      <x:c r="P458" s="28" t="str">
        <x:v>Ягодная сладость смягчает горечь и пряность, а кислотность делает пряный, иногда горький профиль ярче.</x:v>
      </x:c>
      <x:c r="Q458" s="28" t="str">
        <x:v>Специфического тройничного эффекта обычно нет; кислотность усиливает слюноотделение.</x:v>
      </x:c>
      <x:c r="R458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5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5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58" s="28" t="str">
        <x:v>Пряность дозировать как акцент: она быстро перекрывает тонкие ягодные эфиры.</x:v>
      </x:c>
      <x:c r="V458" s="28" t="str">
        <x:v>мёд или цитрус</x:v>
      </x:c>
      <x:c r="W45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458" s="28" t="str">
        <x:v>напитки; десерты; еда; соусы/маринады</x:v>
      </x:c>
      <x:c r="Y458" s="28" t="str">
        <x:v>Высокая</x:v>
      </x:c>
      <x:c r="Z458" s="28" t="str">
        <x:v>The Art &amp; Science of Foodpairing; Таблица сочетаний</x:v>
      </x:c>
      <x:c r="AA458" s="28" t="str">
        <x:v>The Art &amp; Science of Foodpairing: 273; Таблица сочетаний: 20</x:v>
      </x:c>
      <x:c r="AB458" s="28" t="str">
        <x:v>Клубника: чёрный перец | Ingredient pairings with Black Peppercorns: strawberry</x:v>
      </x:c>
      <x:c r="AC458" s="28" t="n">
        <x:v>2</x:v>
      </x:c>
      <x:c r="AD458" s="28" t="n">
        <x:v>2</x:v>
      </x:c>
    </x:row>
    <x:row r="459" ht="58" customHeight="1">
      <x:c r="A459" s="28" t="str">
        <x:v>BER-0458</x:v>
      </x:c>
      <x:c r="B459" s="28" t="str">
        <x:v>Универсальные</x:v>
      </x:c>
      <x:c r="C459" s="28" t="str">
        <x:v>клубника</x:v>
      </x:c>
      <x:c r="D459" s="28" t="str">
        <x:v>strawberry</x:v>
      </x:c>
      <x:c r="E459" s="28" t="str">
        <x:v>Ягоды и производные</x:v>
      </x:c>
      <x:c r="F459" s="28" t="str">
        <x:v>чеснок</x:v>
      </x:c>
      <x:c r="G459" s="28" t="str">
        <x:v>Garlic</x:v>
      </x:c>
      <x:c r="H459" s="28" t="str">
        <x:v>Прочее</x:v>
      </x:c>
      <x:c r="I459" s="28" t="str">
        <x:v>зелёный, карамельный, сливочный, фруктовый, цветочный</x:v>
      </x:c>
      <x:c r="J459" s="28" t="str">
        <x:v>комплексный</x:v>
      </x:c>
      <x:c r="K459" s="28" t="str">
        <x:v>линалоол, мезифуран, фуранеол, цис-3-гексеналь, этилбутират</x:v>
      </x:c>
      <x:c r="L459" s="28" t="str">
        <x:v>нет надёжной конкретизации</x:v>
      </x:c>
      <x:c r="M459" s="28" t="str">
        <x:v>прямое совпадение семейств не установлено</x:v>
      </x:c>
      <x:c r="N459" s="28" t="str">
        <x:v>не подтверждены; механизм не сводится к одной общей молекуле</x:v>
      </x:c>
      <x:c r="O459" s="28" t="str">
        <x:v>контраст/комплементарность + матричный эффект</x:v>
      </x:c>
      <x:c r="P459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59" s="28" t="str">
        <x:v>Специфического тройничного эффекта обычно нет; кислотность усиливает слюноотделение.</x:v>
      </x:c>
      <x:c r="R459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5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5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5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59" s="28" t="str">
        <x:v>лимон или ваниль</x:v>
      </x:c>
      <x:c r="W459" s="28" t="str">
        <x:v>сенсорная проба в малой дозировке</x:v>
      </x:c>
      <x:c r="X459" s="28" t="str">
        <x:v>универсально</x:v>
      </x:c>
      <x:c r="Y459" s="28" t="str">
        <x:v>Средняя</x:v>
      </x:c>
      <x:c r="Z459" s="28" t="str">
        <x:v>The Art &amp; Science of Foodpairing</x:v>
      </x:c>
      <x:c r="AA459" s="28" t="str">
        <x:v>The Art &amp; Science of Foodpairing: 113</x:v>
      </x:c>
      <x:c r="AB459" s="28" t="str">
        <x:v>Ingredient pairings with Garlic: strawberry</x:v>
      </x:c>
      <x:c r="AC459" s="28" t="n">
        <x:v>1</x:v>
      </x:c>
      <x:c r="AD459" s="28" t="n">
        <x:v>1</x:v>
      </x:c>
    </x:row>
    <x:row r="460" ht="58" customHeight="1">
      <x:c r="A460" s="28" t="str">
        <x:v>BER-0459</x:v>
      </x:c>
      <x:c r="B460" s="28" t="str">
        <x:v>Универсальные</x:v>
      </x:c>
      <x:c r="C460" s="28" t="str">
        <x:v>клубника</x:v>
      </x:c>
      <x:c r="D460" s="28" t="str">
        <x:v>Strawberry</x:v>
      </x:c>
      <x:c r="E460" s="28" t="str">
        <x:v>Ягоды и производные</x:v>
      </x:c>
      <x:c r="F460" s="28" t="str">
        <x:v>чили ахи мирасоль</x:v>
      </x:c>
      <x:c r="G460" s="28" t="str">
        <x:v>aji mirasol chilli</x:v>
      </x:c>
      <x:c r="H460" s="28" t="str">
        <x:v>Специи</x:v>
      </x:c>
      <x:c r="I460" s="28" t="str">
        <x:v>зелёный, карамельный, сливочный, фруктовый, цветочный</x:v>
      </x:c>
      <x:c r="J460" s="28" t="str">
        <x:v>древесный, пряный, тёплый</x:v>
      </x:c>
      <x:c r="K460" s="28" t="str">
        <x:v>линалоол, мезифуран, фуранеол, цис-3-гексеналь, этилбутират</x:v>
      </x:c>
      <x:c r="L460" s="28" t="str">
        <x:v>коричный альдегид, терпены, эвгенол</x:v>
      </x:c>
      <x:c r="M460" s="28" t="str">
        <x:v>прямое совпадение семейств не установлено</x:v>
      </x:c>
      <x:c r="N460" s="28" t="str">
        <x:v>не подтверждены; механизм не сводится к одной общей молекуле</x:v>
      </x:c>
      <x:c r="O460" s="28" t="str">
        <x:v>контраст/комплементарность + матричный эффект</x:v>
      </x:c>
      <x:c r="P460" s="28" t="str">
        <x:v>Ягодная сладость смягчает горечь и пряность, а кислотность делает пряный, иногда горький профиль ярче.</x:v>
      </x:c>
      <x:c r="Q460" s="28" t="str">
        <x:v>Кислотность ягоды усиливает слюноотделение, а капсаицин/пиперин/гингеролы дают тепло и покалывание; дозировка должна быть низкой.</x:v>
      </x:c>
      <x:c r="R460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6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6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60" s="28" t="str">
        <x:v>Пряность дозировать как акцент: она быстро перекрывает тонкие ягодные эфиры.</x:v>
      </x:c>
      <x:c r="V460" s="28" t="str">
        <x:v>мёд или цитрус</x:v>
      </x:c>
      <x:c r="W46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460" s="28" t="str">
        <x:v>напитки; десерты; еда; соусы/маринады</x:v>
      </x:c>
      <x:c r="Y460" s="28" t="str">
        <x:v>Средняя</x:v>
      </x:c>
      <x:c r="Z460" s="28" t="str">
        <x:v>The Art &amp; Science of Foodpairing</x:v>
      </x:c>
      <x:c r="AA460" s="28" t="str">
        <x:v>The Art &amp; Science of Foodpairing: 70</x:v>
      </x:c>
      <x:c r="AB460" s="28" t="str">
        <x:v>Ingredient pairings with Strawberry: aji mirasol chilli</x:v>
      </x:c>
      <x:c r="AC460" s="28" t="n">
        <x:v>1</x:v>
      </x:c>
      <x:c r="AD460" s="28" t="n">
        <x:v>1</x:v>
      </x:c>
    </x:row>
    <x:row r="461" ht="58" customHeight="1">
      <x:c r="A461" s="28" t="str">
        <x:v>BER-0460</x:v>
      </x:c>
      <x:c r="B461" s="28" t="str">
        <x:v>Универсальные</x:v>
      </x:c>
      <x:c r="C461" s="28" t="str">
        <x:v>клубника</x:v>
      </x:c>
      <x:c r="D461" s="28" t="str">
        <x:v>Клубника</x:v>
      </x:c>
      <x:c r="E461" s="28" t="str">
        <x:v>Ягоды и производные</x:v>
      </x:c>
      <x:c r="F461" s="28" t="str">
        <x:v>шалфей</x:v>
      </x:c>
      <x:c r="G461" s="28" t="str">
        <x:v>шалфей</x:v>
      </x:c>
      <x:c r="H461" s="28" t="str">
        <x:v>Травы и цветы</x:v>
      </x:c>
      <x:c r="I461" s="28" t="str">
        <x:v>зелёный, карамельный, сливочный, фруктовый, цветочный</x:v>
      </x:c>
      <x:c r="J461" s="28" t="str">
        <x:v>зелёный, травянистый, цветочный</x:v>
      </x:c>
      <x:c r="K461" s="28" t="str">
        <x:v>линалоол, мезифуран, фуранеол, цис-3-гексеналь, этилбутират</x:v>
      </x:c>
      <x:c r="L461" s="28" t="str">
        <x:v>гераниол, линалоол, терпены, эвгенол</x:v>
      </x:c>
      <x:c r="M461" s="28" t="str">
        <x:v>зелёный, цветочный</x:v>
      </x:c>
      <x:c r="N461" s="28" t="str">
        <x:v>линалоол</x:v>
      </x:c>
      <x:c r="O461" s="28" t="str">
        <x:v>ароматическое сходство + вкусовой баланс</x:v>
      </x:c>
      <x:c r="P461" s="28" t="str">
        <x:v>Ягодная сладость смягчает горечь и пряность, а кислотность делает горьковатый, свежий профиль ярче.</x:v>
      </x:c>
      <x:c r="Q461" s="28" t="str">
        <x:v>Специфического тройничного эффекта обычно нет; кислотность усиливает слюноотделение.</x:v>
      </x:c>
      <x:c r="R461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6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61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6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61" s="28" t="str">
        <x:v>лимон или мёд</x:v>
      </x:c>
      <x:c r="W46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461" s="28" t="str">
        <x:v>напитки; еда; соусы/маринады</x:v>
      </x:c>
      <x:c r="Y461" s="28" t="str">
        <x:v>Средняя</x:v>
      </x:c>
      <x:c r="Z461" s="28" t="str">
        <x:v>Таблица сочетаний</x:v>
      </x:c>
      <x:c r="AA461" s="28" t="str">
        <x:v>Таблица сочетаний: 20</x:v>
      </x:c>
      <x:c r="AB461" s="28" t="str">
        <x:v>Клубника: шалфей</x:v>
      </x:c>
      <x:c r="AC461" s="28" t="n">
        <x:v>1</x:v>
      </x:c>
      <x:c r="AD461" s="28" t="n">
        <x:v>1</x:v>
      </x:c>
    </x:row>
    <x:row r="462" ht="58" customHeight="1">
      <x:c r="A462" s="28" t="str">
        <x:v>BER-0461</x:v>
      </x:c>
      <x:c r="B462" s="28" t="str">
        <x:v>Универсальные</x:v>
      </x:c>
      <x:c r="C462" s="28" t="str">
        <x:v>клубника</x:v>
      </x:c>
      <x:c r="D462" s="28" t="str">
        <x:v>Strawberry</x:v>
      </x:c>
      <x:c r="E462" s="28" t="str">
        <x:v>Ягоды и производные</x:v>
      </x:c>
      <x:c r="F462" s="28" t="str">
        <x:v>шампиньон</x:v>
      </x:c>
      <x:c r="G462" s="28" t="str">
        <x:v>white button mushroom</x:v>
      </x:c>
      <x:c r="H462" s="28" t="str">
        <x:v>Прочее</x:v>
      </x:c>
      <x:c r="I462" s="28" t="str">
        <x:v>зелёный, карамельный, сливочный, фруктовый, цветочный</x:v>
      </x:c>
      <x:c r="J462" s="28" t="str">
        <x:v>комплексный</x:v>
      </x:c>
      <x:c r="K462" s="28" t="str">
        <x:v>линалоол, мезифуран, фуранеол, цис-3-гексеналь, этилбутират</x:v>
      </x:c>
      <x:c r="L462" s="28" t="str">
        <x:v>нет надёжной конкретизации</x:v>
      </x:c>
      <x:c r="M462" s="28" t="str">
        <x:v>прямое совпадение семейств не установлено</x:v>
      </x:c>
      <x:c r="N462" s="28" t="str">
        <x:v>не подтверждены; механизм не сводится к одной общей молекуле</x:v>
      </x:c>
      <x:c r="O462" s="28" t="str">
        <x:v>контраст/комплементарность + матричный эффект</x:v>
      </x:c>
      <x:c r="P462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62" s="28" t="str">
        <x:v>Специфического тройничного эффекта обычно нет; кислотность усиливает слюноотделение.</x:v>
      </x:c>
      <x:c r="R462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6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6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6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62" s="28" t="str">
        <x:v>лимон или ваниль</x:v>
      </x:c>
      <x:c r="W462" s="28" t="str">
        <x:v>сенсорная проба в малой дозировке</x:v>
      </x:c>
      <x:c r="X462" s="28" t="str">
        <x:v>универсально</x:v>
      </x:c>
      <x:c r="Y462" s="28" t="str">
        <x:v>Средняя</x:v>
      </x:c>
      <x:c r="Z462" s="28" t="str">
        <x:v>The Art &amp; Science of Foodpairing</x:v>
      </x:c>
      <x:c r="AA462" s="28" t="str">
        <x:v>The Art &amp; Science of Foodpairing: 70</x:v>
      </x:c>
      <x:c r="AB462" s="28" t="str">
        <x:v>Ingredient pairings with Strawberry: white button mushroom</x:v>
      </x:c>
      <x:c r="AC462" s="28" t="n">
        <x:v>1</x:v>
      </x:c>
      <x:c r="AD462" s="28" t="n">
        <x:v>1</x:v>
      </x:c>
    </x:row>
    <x:row r="463" ht="58" customHeight="1">
      <x:c r="A463" s="28" t="str">
        <x:v>BER-0462</x:v>
      </x:c>
      <x:c r="B463" s="28" t="str">
        <x:v>Универсальные</x:v>
      </x:c>
      <x:c r="C463" s="28" t="str">
        <x:v>клубника</x:v>
      </x:c>
      <x:c r="D463" s="28" t="str">
        <x:v>Strawberry</x:v>
      </x:c>
      <x:c r="E463" s="28" t="str">
        <x:v>Ягоды и производные</x:v>
      </x:c>
      <x:c r="F463" s="28" t="str">
        <x:v>шафран</x:v>
      </x:c>
      <x:c r="G463" s="28" t="str">
        <x:v>saffron</x:v>
      </x:c>
      <x:c r="H463" s="28" t="str">
        <x:v>Специи</x:v>
      </x:c>
      <x:c r="I463" s="28" t="str">
        <x:v>зелёный, карамельный, сливочный, фруктовый, цветочный</x:v>
      </x:c>
      <x:c r="J463" s="28" t="str">
        <x:v>древесный, пряный, тёплый</x:v>
      </x:c>
      <x:c r="K463" s="28" t="str">
        <x:v>линалоол, мезифуран, фуранеол, цис-3-гексеналь, этилбутират</x:v>
      </x:c>
      <x:c r="L463" s="28" t="str">
        <x:v>коричный альдегид, терпены, эвгенол</x:v>
      </x:c>
      <x:c r="M463" s="28" t="str">
        <x:v>прямое совпадение семейств не установлено</x:v>
      </x:c>
      <x:c r="N463" s="28" t="str">
        <x:v>не подтверждены; механизм не сводится к одной общей молекуле</x:v>
      </x:c>
      <x:c r="O463" s="28" t="str">
        <x:v>контраст/комплементарность + матричный эффект</x:v>
      </x:c>
      <x:c r="P463" s="28" t="str">
        <x:v>Ягодная сладость смягчает горечь и пряность, а кислотность делает пряный, иногда горький профиль ярче.</x:v>
      </x:c>
      <x:c r="Q463" s="28" t="str">
        <x:v>Специфического тройничного эффекта обычно нет; кислотность усиливает слюноотделение.</x:v>
      </x:c>
      <x:c r="R463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6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6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63" s="28" t="str">
        <x:v>Пряность дозировать как акцент: она быстро перекрывает тонкие ягодные эфиры.</x:v>
      </x:c>
      <x:c r="V463" s="28" t="str">
        <x:v>мёд или цитрус</x:v>
      </x:c>
      <x:c r="W46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463" s="28" t="str">
        <x:v>напитки; десерты; еда; соусы/маринады</x:v>
      </x:c>
      <x:c r="Y463" s="28" t="str">
        <x:v>Средняя</x:v>
      </x:c>
      <x:c r="Z463" s="28" t="str">
        <x:v>The Art &amp; Science of Foodpairing</x:v>
      </x:c>
      <x:c r="AA463" s="28" t="str">
        <x:v>The Art &amp; Science of Foodpairing: 70</x:v>
      </x:c>
      <x:c r="AB463" s="28" t="str">
        <x:v>Ingredient pairings with Strawberry: saffron</x:v>
      </x:c>
      <x:c r="AC463" s="28" t="n">
        <x:v>1</x:v>
      </x:c>
      <x:c r="AD463" s="28" t="n">
        <x:v>1</x:v>
      </x:c>
    </x:row>
    <x:row r="464" ht="58" customHeight="1">
      <x:c r="A464" s="28" t="str">
        <x:v>BER-0463</x:v>
      </x:c>
      <x:c r="B464" s="28" t="str">
        <x:v>Универсальные</x:v>
      </x:c>
      <x:c r="C464" s="28" t="str">
        <x:v>клубника</x:v>
      </x:c>
      <x:c r="D464" s="28" t="str">
        <x:v>strawberry</x:v>
      </x:c>
      <x:c r="E464" s="28" t="str">
        <x:v>Ягоды и производные</x:v>
      </x:c>
      <x:c r="F464" s="28" t="str">
        <x:v>шиитаке</x:v>
      </x:c>
      <x:c r="G464" s="28" t="str">
        <x:v>Shiitake Mushroom</x:v>
      </x:c>
      <x:c r="H464" s="28" t="str">
        <x:v>Прочее</x:v>
      </x:c>
      <x:c r="I464" s="28" t="str">
        <x:v>зелёный, карамельный, сливочный, фруктовый, цветочный</x:v>
      </x:c>
      <x:c r="J464" s="28" t="str">
        <x:v>комплексный</x:v>
      </x:c>
      <x:c r="K464" s="28" t="str">
        <x:v>линалоол, мезифуран, фуранеол, цис-3-гексеналь, этилбутират</x:v>
      </x:c>
      <x:c r="L464" s="28" t="str">
        <x:v>нет надёжной конкретизации</x:v>
      </x:c>
      <x:c r="M464" s="28" t="str">
        <x:v>прямое совпадение семейств не установлено</x:v>
      </x:c>
      <x:c r="N464" s="28" t="str">
        <x:v>не подтверждены; механизм не сводится к одной общей молекуле</x:v>
      </x:c>
      <x:c r="O464" s="28" t="str">
        <x:v>контраст/комплементарность + матричный эффект</x:v>
      </x:c>
      <x:c r="P464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64" s="28" t="str">
        <x:v>Специфического тройничного эффекта обычно нет; кислотность усиливает слюноотделение.</x:v>
      </x:c>
      <x:c r="R464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6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6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6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64" s="28" t="str">
        <x:v>лимон или ваниль</x:v>
      </x:c>
      <x:c r="W464" s="28" t="str">
        <x:v>сенсорная проба в малой дозировке</x:v>
      </x:c>
      <x:c r="X464" s="28" t="str">
        <x:v>универсально</x:v>
      </x:c>
      <x:c r="Y464" s="28" t="str">
        <x:v>Средняя</x:v>
      </x:c>
      <x:c r="Z464" s="28" t="str">
        <x:v>The Art &amp; Science of Foodpairing</x:v>
      </x:c>
      <x:c r="AA464" s="28" t="str">
        <x:v>The Art &amp; Science of Foodpairing: 126</x:v>
      </x:c>
      <x:c r="AB464" s="28" t="str">
        <x:v>Ingredient pairings with Shiitake Mushroom: strawberry</x:v>
      </x:c>
      <x:c r="AC464" s="28" t="n">
        <x:v>1</x:v>
      </x:c>
      <x:c r="AD464" s="28" t="n">
        <x:v>1</x:v>
      </x:c>
    </x:row>
    <x:row r="465" ht="58" customHeight="1">
      <x:c r="A465" s="28" t="str">
        <x:v>BER-0464</x:v>
      </x:c>
      <x:c r="B465" s="28" t="str">
        <x:v>Десерты и выпечка</x:v>
      </x:c>
      <x:c r="C465" s="28" t="str">
        <x:v>клубника</x:v>
      </x:c>
      <x:c r="D465" s="28" t="str">
        <x:v>Клубника | клубника</x:v>
      </x:c>
      <x:c r="E465" s="28" t="str">
        <x:v>Ягоды и производные</x:v>
      </x:c>
      <x:c r="F465" s="28" t="str">
        <x:v>шоколад</x:v>
      </x:c>
      <x:c r="G465" s="28" t="str">
        <x:v>Шоколад | шоколад</x:v>
      </x:c>
      <x:c r="H465" s="28" t="str">
        <x:v>Шоколад, кофе и жареные продукты</x:v>
      </x:c>
      <x:c r="I465" s="28" t="str">
        <x:v>зелёный, карамельный, сливочный, фруктовый, цветочный</x:v>
      </x:c>
      <x:c r="J465" s="28" t="str">
        <x:v>горький, жареный, карамельный, ореховый</x:v>
      </x:c>
      <x:c r="K465" s="28" t="str">
        <x:v>линалоол, мезифуран, фуранеол, цис-3-гексеналь, этилбутират</x:v>
      </x:c>
      <x:c r="L465" s="28" t="str">
        <x:v>ванилин, пиразины, фураны</x:v>
      </x:c>
      <x:c r="M465" s="28" t="str">
        <x:v>карамельный</x:v>
      </x:c>
      <x:c r="N465" s="28" t="str">
        <x:v>не подтверждены; механизм не сводится к одной общей молекуле</x:v>
      </x:c>
      <x:c r="O465" s="28" t="str">
        <x:v>сходство ароматических семейств + комплементарность</x:v>
      </x:c>
      <x:c r="P465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465" s="28" t="str">
        <x:v>Специфического тройничного эффекта обычно нет; кислотность усиливает слюноотделение.</x:v>
      </x:c>
      <x:c r="R465" s="28" t="str">
        <x:v>Жировая фаза удерживает гидрофобные одоранты и продлевает послевкусие; кислотность ягод повышает слюноотделение.</x:v>
      </x:c>
      <x:c r="S46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65" s="28" t="str">
        <x:v>Общие ароматические семейства: карамельный;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6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65" s="28" t="str">
        <x:v>ваниль или орехи</x:v>
      </x:c>
      <x:c r="W465" s="28" t="str">
        <x:v>сорбет, крем, ганаш, выпечка, джем или соус для десерта</x:v>
      </x:c>
      <x:c r="X465" s="28" t="str">
        <x:v>десерты</x:v>
      </x:c>
      <x:c r="Y465" s="28" t="str">
        <x:v>Высокая</x:v>
      </x:c>
      <x:c r="Z465" s="28" t="str">
        <x:v>Таблица сочетаний; Тезариус вкусов</x:v>
      </x:c>
      <x:c r="AA465" s="28" t="str">
        <x:v>Тезариус вкусов: 31, 699; Таблица сочетаний: 5, 20</x:v>
      </x:c>
      <x:c r="AB465" s="28" t="str">
        <x:v>Шоколад и клубника. Не такая уж это идеальная пара, как принято считать. Конечно, не нужно обла- дать сильным воображением, чтобы соединить алое сердечко клубники с шоколадом, который по умол- чанию служит символом любви. Но разве клубника, политая шоколадом, не выглядит как некий «фрукт» в больших трусиках? И разве не этим изыском поклон- ники стриптиза угощают девушек по вызову в гости- ничных номерах с кремовыми обоями? В любом слу- чае я ставлю шоколад с фундуком выше этой парочки | Клубника и шоколад. См. Шоколад и клубника | Шоколад: клубника | Клубника: шоколад</x:v>
      </x:c>
      <x:c r="AC465" s="28" t="n">
        <x:v>2</x:v>
      </x:c>
      <x:c r="AD465" s="28" t="n">
        <x:v>4</x:v>
      </x:c>
    </x:row>
    <x:row r="466" ht="58" customHeight="1">
      <x:c r="A466" s="28" t="str">
        <x:v>BER-0465</x:v>
      </x:c>
      <x:c r="B466" s="28" t="str">
        <x:v>Универсальные</x:v>
      </x:c>
      <x:c r="C466" s="28" t="str">
        <x:v>клубника</x:v>
      </x:c>
      <x:c r="D466" s="28" t="str">
        <x:v>Strawberry</x:v>
      </x:c>
      <x:c r="E466" s="28" t="str">
        <x:v>Ягоды и производные</x:v>
      </x:c>
      <x:c r="F466" s="28" t="str">
        <x:v>эстрагон</x:v>
      </x:c>
      <x:c r="G466" s="28" t="str">
        <x:v>tarragon</x:v>
      </x:c>
      <x:c r="H466" s="28" t="str">
        <x:v>Травы и цветы</x:v>
      </x:c>
      <x:c r="I466" s="28" t="str">
        <x:v>зелёный, карамельный, сливочный, фруктовый, цветочный</x:v>
      </x:c>
      <x:c r="J466" s="28" t="str">
        <x:v>зелёный, травянистый, цветочный</x:v>
      </x:c>
      <x:c r="K466" s="28" t="str">
        <x:v>линалоол, мезифуран, фуранеол, цис-3-гексеналь, этилбутират</x:v>
      </x:c>
      <x:c r="L466" s="28" t="str">
        <x:v>гераниол, линалоол, терпены, эвгенол</x:v>
      </x:c>
      <x:c r="M466" s="28" t="str">
        <x:v>зелёный, цветочный</x:v>
      </x:c>
      <x:c r="N466" s="28" t="str">
        <x:v>линалоол</x:v>
      </x:c>
      <x:c r="O466" s="28" t="str">
        <x:v>ароматическое сходство + вкусовой баланс</x:v>
      </x:c>
      <x:c r="P466" s="28" t="str">
        <x:v>Ягодная сладость смягчает горечь и пряность, а кислотность делает горьковатый, свежий профиль ярче.</x:v>
      </x:c>
      <x:c r="Q466" s="28" t="str">
        <x:v>Специфического тройничного эффекта обычно нет; кислотность усиливает слюноотделение.</x:v>
      </x:c>
      <x:c r="R466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6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66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6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66" s="28" t="str">
        <x:v>лимон или мёд</x:v>
      </x:c>
      <x:c r="W46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466" s="28" t="str">
        <x:v>напитки; еда; соусы/маринады</x:v>
      </x:c>
      <x:c r="Y466" s="28" t="str">
        <x:v>Средняя</x:v>
      </x:c>
      <x:c r="Z466" s="28" t="str">
        <x:v>The Art &amp; Science of Foodpairing</x:v>
      </x:c>
      <x:c r="AA466" s="28" t="str">
        <x:v>The Art &amp; Science of Foodpairing: 70</x:v>
      </x:c>
      <x:c r="AB466" s="28" t="str">
        <x:v>Ingredient pairings with Strawberry: tarragon</x:v>
      </x:c>
      <x:c r="AC466" s="28" t="n">
        <x:v>1</x:v>
      </x:c>
      <x:c r="AD466" s="28" t="n">
        <x:v>1</x:v>
      </x:c>
    </x:row>
    <x:row r="467" ht="58" customHeight="1">
      <x:c r="A467" s="28" t="str">
        <x:v>BER-0466</x:v>
      </x:c>
      <x:c r="B467" s="28" t="str">
        <x:v>Универсальные</x:v>
      </x:c>
      <x:c r="C467" s="28" t="str">
        <x:v>клубника</x:v>
      </x:c>
      <x:c r="D467" s="28" t="str">
        <x:v>strawberry</x:v>
      </x:c>
      <x:c r="E467" s="28" t="str">
        <x:v>Ягоды и производные</x:v>
      </x:c>
      <x:c r="F467" s="28" t="str">
        <x:v>яблоко</x:v>
      </x:c>
      <x:c r="G467" s="28" t="str">
        <x:v>Apple</x:v>
      </x:c>
      <x:c r="H467" s="28" t="str">
        <x:v>Фрукты</x:v>
      </x:c>
      <x:c r="I467" s="28" t="str">
        <x:v>зелёный, карамельный, сливочный, фруктовый, цветочный</x:v>
      </x:c>
      <x:c r="J467" s="28" t="str">
        <x:v>зелёный, фруктовый, цветочный</x:v>
      </x:c>
      <x:c r="K467" s="28" t="str">
        <x:v>линалоол, мезифуран, фуранеол, цис-3-гексеналь, этилбутират</x:v>
      </x:c>
      <x:c r="L467" s="28" t="str">
        <x:v>лактоны, терпены, эфиры</x:v>
      </x:c>
      <x:c r="M467" s="28" t="str">
        <x:v>зелёный, фруктовый, цветочный</x:v>
      </x:c>
      <x:c r="N467" s="28" t="str">
        <x:v>не подтверждены; механизм не сводится к одной общей молекуле</x:v>
      </x:c>
      <x:c r="O467" s="28" t="str">
        <x:v>сходство ароматических семейств + комплементарность</x:v>
      </x:c>
      <x:c r="P467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467" s="28" t="str">
        <x:v>Специфического тройничного эффекта обычно нет; кислотность усиливает слюноотделение.</x:v>
      </x:c>
      <x:c r="R467" s="28" t="str">
        <x:v>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</x:v>
      </x:c>
      <x:c r="S46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67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6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67" s="28" t="str">
        <x:v>ваниль или лимон</x:v>
      </x:c>
      <x:c r="W46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467" s="28" t="str">
        <x:v>напитки; десерты</x:v>
      </x:c>
      <x:c r="Y467" s="28" t="str">
        <x:v>Средняя</x:v>
      </x:c>
      <x:c r="Z467" s="28" t="str">
        <x:v>The Art &amp; Science of Foodpairing</x:v>
      </x:c>
      <x:c r="AA467" s="28" t="str">
        <x:v>The Art &amp; Science of Foodpairing: 48, 49</x:v>
      </x:c>
      <x:c r="AB467" s="28" t="str">
        <x:v>Ingredient pairings with Apple: strawberry | Ingredient pairings with Apple: strawberry</x:v>
      </x:c>
      <x:c r="AC467" s="28" t="n">
        <x:v>1</x:v>
      </x:c>
      <x:c r="AD467" s="28" t="n">
        <x:v>2</x:v>
      </x:c>
    </x:row>
    <x:row r="468" ht="58" customHeight="1">
      <x:c r="A468" s="28" t="str">
        <x:v>BER-0467</x:v>
      </x:c>
      <x:c r="B468" s="28" t="str">
        <x:v>Универсальные</x:v>
      </x:c>
      <x:c r="C468" s="28" t="str">
        <x:v>клубника</x:v>
      </x:c>
      <x:c r="D468" s="28" t="str">
        <x:v>Strawberry</x:v>
      </x:c>
      <x:c r="E468" s="28" t="str">
        <x:v>Ягоды и производные</x:v>
      </x:c>
      <x:c r="F468" s="28" t="str">
        <x:v>яблоко Pink Lady</x:v>
      </x:c>
      <x:c r="G468" s="28" t="str">
        <x:v>Pink Lady apple</x:v>
      </x:c>
      <x:c r="H468" s="28" t="str">
        <x:v>Фрукты</x:v>
      </x:c>
      <x:c r="I468" s="28" t="str">
        <x:v>зелёный, карамельный, сливочный, фруктовый, цветочный</x:v>
      </x:c>
      <x:c r="J468" s="28" t="str">
        <x:v>зелёный, фруктовый, цветочный</x:v>
      </x:c>
      <x:c r="K468" s="28" t="str">
        <x:v>линалоол, мезифуран, фуранеол, цис-3-гексеналь, этилбутират</x:v>
      </x:c>
      <x:c r="L468" s="28" t="str">
        <x:v>лактоны, терпены, эфиры</x:v>
      </x:c>
      <x:c r="M468" s="28" t="str">
        <x:v>зелёный, фруктовый, цветочный</x:v>
      </x:c>
      <x:c r="N468" s="28" t="str">
        <x:v>не подтверждены; механизм не сводится к одной общей молекуле</x:v>
      </x:c>
      <x:c r="O468" s="28" t="str">
        <x:v>сходство ароматических семейств + комплементарность</x:v>
      </x:c>
      <x:c r="P468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468" s="28" t="str">
        <x:v>Специфического тройничного эффекта обычно нет; кислотность усиливает слюноотделение.</x:v>
      </x:c>
      <x:c r="R468" s="28" t="str">
        <x:v>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</x:v>
      </x:c>
      <x:c r="S46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68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6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68" s="28" t="str">
        <x:v>ваниль или лимон</x:v>
      </x:c>
      <x:c r="W46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468" s="28" t="str">
        <x:v>напитки; десерты</x:v>
      </x:c>
      <x:c r="Y468" s="28" t="str">
        <x:v>Средняя</x:v>
      </x:c>
      <x:c r="Z468" s="28" t="str">
        <x:v>The Art &amp; Science of Foodpairing</x:v>
      </x:c>
      <x:c r="AA468" s="28" t="str">
        <x:v>The Art &amp; Science of Foodpairing: 70</x:v>
      </x:c>
      <x:c r="AB468" s="28" t="str">
        <x:v>Ingredient pairings with Strawberry: Pink Lady apple</x:v>
      </x:c>
      <x:c r="AC468" s="28" t="n">
        <x:v>1</x:v>
      </x:c>
      <x:c r="AD468" s="28" t="n">
        <x:v>1</x:v>
      </x:c>
    </x:row>
    <x:row r="469" ht="58" customHeight="1">
      <x:c r="A469" s="28" t="str">
        <x:v>BER-0468</x:v>
      </x:c>
      <x:c r="B469" s="28" t="str">
        <x:v>Универсальные</x:v>
      </x:c>
      <x:c r="C469" s="28" t="str">
        <x:v>клубника</x:v>
      </x:c>
      <x:c r="D469" s="28" t="str">
        <x:v>Клубника</x:v>
      </x:c>
      <x:c r="E469" s="28" t="str">
        <x:v>Ягоды и производные</x:v>
      </x:c>
      <x:c r="F469" s="28" t="str">
        <x:v>ягоды</x:v>
      </x:c>
      <x:c r="G469" s="28" t="str">
        <x:v>ягоды</x:v>
      </x:c>
      <x:c r="H469" s="28" t="str">
        <x:v>Прочее</x:v>
      </x:c>
      <x:c r="I469" s="28" t="str">
        <x:v>зелёный, карамельный, сливочный, фруктовый, цветочный</x:v>
      </x:c>
      <x:c r="J469" s="28" t="str">
        <x:v>комплексный</x:v>
      </x:c>
      <x:c r="K469" s="28" t="str">
        <x:v>линалоол, мезифуран, фуранеол, цис-3-гексеналь, этилбутират</x:v>
      </x:c>
      <x:c r="L469" s="28" t="str">
        <x:v>нет надёжной конкретизации</x:v>
      </x:c>
      <x:c r="M469" s="28" t="str">
        <x:v>прямое совпадение семейств не установлено</x:v>
      </x:c>
      <x:c r="N469" s="28" t="str">
        <x:v>не подтверждены; механизм не сводится к одной общей молекуле</x:v>
      </x:c>
      <x:c r="O469" s="28" t="str">
        <x:v>контраст/комплементарность + матричный эффект</x:v>
      </x:c>
      <x:c r="P469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69" s="28" t="str">
        <x:v>Специфического тройничного эффекта обычно нет; кислотность усиливает слюноотделение.</x:v>
      </x:c>
      <x:c r="R469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6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6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6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69" s="28" t="str">
        <x:v>лимон или ваниль</x:v>
      </x:c>
      <x:c r="W469" s="28" t="str">
        <x:v>сенсорная проба в малой дозировке</x:v>
      </x:c>
      <x:c r="X469" s="28" t="str">
        <x:v>универсально</x:v>
      </x:c>
      <x:c r="Y469" s="28" t="str">
        <x:v>Средняя</x:v>
      </x:c>
      <x:c r="Z469" s="28" t="str">
        <x:v>Таблица сочетаний</x:v>
      </x:c>
      <x:c r="AA469" s="28" t="str">
        <x:v>Таблица сочетаний: 20</x:v>
      </x:c>
      <x:c r="AB469" s="28" t="str">
        <x:v>Клубника: ягоды</x:v>
      </x:c>
      <x:c r="AC469" s="28" t="n">
        <x:v>1</x:v>
      </x:c>
      <x:c r="AD469" s="28" t="n">
        <x:v>1</x:v>
      </x:c>
    </x:row>
    <x:row r="470" ht="58" customHeight="1">
      <x:c r="A470" s="28" t="str">
        <x:v>BER-0469</x:v>
      </x:c>
      <x:c r="B470" s="28" t="str">
        <x:v>Универсальные</x:v>
      </x:c>
      <x:c r="C470" s="28" t="str">
        <x:v>клубника</x:v>
      </x:c>
      <x:c r="D470" s="28" t="str">
        <x:v>клубника</x:v>
      </x:c>
      <x:c r="E470" s="28" t="str">
        <x:v>Ягоды и производные</x:v>
      </x:c>
      <x:c r="F470" s="28" t="str">
        <x:v>ягоды годжи</x:v>
      </x:c>
      <x:c r="G470" s="28" t="str">
        <x:v>Ягоды годжи</x:v>
      </x:c>
      <x:c r="H470" s="28" t="str">
        <x:v>Ягоды и производные</x:v>
      </x:c>
      <x:c r="I470" s="28" t="str">
        <x:v>зелёный, карамельный, сливочный, фруктовый, цветочный</x:v>
      </x:c>
      <x:c r="J470" s="28" t="str">
        <x:v>комплексный</x:v>
      </x:c>
      <x:c r="K470" s="28" t="str">
        <x:v>линалоол, мезифуран, фуранеол, цис-3-гексеналь, этилбутират</x:v>
      </x:c>
      <x:c r="L470" s="28" t="str">
        <x:v>нет надёжной конкретизации</x:v>
      </x:c>
      <x:c r="M470" s="28" t="str">
        <x:v>прямое совпадение семейств не установлено</x:v>
      </x:c>
      <x:c r="N470" s="28" t="str">
        <x:v>не подтверждены; механизм не сводится к одной общей молекуле</x:v>
      </x:c>
      <x:c r="O470" s="28" t="str">
        <x:v>контраст/комплементарность + матричный эффект</x:v>
      </x:c>
      <x:c r="P470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70" s="28" t="str">
        <x:v>Специфического тройничного эффекта обычно нет; кислотность усиливает слюноотделение.</x:v>
      </x:c>
      <x:c r="R470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7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7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7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70" s="28" t="str">
        <x:v>лимон или ваниль</x:v>
      </x:c>
      <x:c r="W470" s="28" t="str">
        <x:v>сенсорная проба в малой дозировке</x:v>
      </x:c>
      <x:c r="X470" s="28" t="str">
        <x:v>универсально</x:v>
      </x:c>
      <x:c r="Y470" s="28" t="str">
        <x:v>Средняя</x:v>
      </x:c>
      <x:c r="Z470" s="28" t="str">
        <x:v>Таблица сочетаний</x:v>
      </x:c>
      <x:c r="AA470" s="28" t="str">
        <x:v>Таблица сочетаний: 8</x:v>
      </x:c>
      <x:c r="AB470" s="28" t="str">
        <x:v>Ягоды годжи: клубника</x:v>
      </x:c>
      <x:c r="AC470" s="28" t="n">
        <x:v>1</x:v>
      </x:c>
      <x:c r="AD470" s="28" t="n">
        <x:v>1</x:v>
      </x:c>
    </x:row>
    <x:row r="471" ht="58" customHeight="1">
      <x:c r="A471" s="28" t="str">
        <x:v>BER-0470</x:v>
      </x:c>
      <x:c r="B471" s="28" t="str">
        <x:v>Универсальные</x:v>
      </x:c>
      <x:c r="C471" s="28" t="str">
        <x:v>клубника</x:v>
      </x:c>
      <x:c r="D471" s="28" t="str">
        <x:v>клубника</x:v>
      </x:c>
      <x:c r="E471" s="28" t="str">
        <x:v>Ягоды и производные</x:v>
      </x:c>
      <x:c r="F471" s="28" t="str">
        <x:v>ягоды можжевельника</x:v>
      </x:c>
      <x:c r="G471" s="28" t="str">
        <x:v>Ягоды можжевельника</x:v>
      </x:c>
      <x:c r="H471" s="28" t="str">
        <x:v>Прочее</x:v>
      </x:c>
      <x:c r="I471" s="28" t="str">
        <x:v>зелёный, карамельный, сливочный, фруктовый, цветочный</x:v>
      </x:c>
      <x:c r="J471" s="28" t="str">
        <x:v>комплексный</x:v>
      </x:c>
      <x:c r="K471" s="28" t="str">
        <x:v>линалоол, мезифуран, фуранеол, цис-3-гексеналь, этилбутират</x:v>
      </x:c>
      <x:c r="L471" s="28" t="str">
        <x:v>нет надёжной конкретизации</x:v>
      </x:c>
      <x:c r="M471" s="28" t="str">
        <x:v>прямое совпадение семейств не установлено</x:v>
      </x:c>
      <x:c r="N471" s="28" t="str">
        <x:v>не подтверждены; механизм не сводится к одной общей молекуле</x:v>
      </x:c>
      <x:c r="O471" s="28" t="str">
        <x:v>контраст/комплементарность + матричный эффект</x:v>
      </x:c>
      <x:c r="P471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471" s="28" t="str">
        <x:v>Специфического тройничного эффекта обычно нет; кислотность усиливает слюноотделение.</x:v>
      </x:c>
      <x:c r="R471" s="28" t="str">
        <x:v>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</x:v>
      </x:c>
      <x:c r="S47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7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высокая доля воды; аромат чувствителен к перегреву.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7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71" s="28" t="str">
        <x:v>лимон или ваниль</x:v>
      </x:c>
      <x:c r="W471" s="28" t="str">
        <x:v>сенсорная проба в малой дозировке</x:v>
      </x:c>
      <x:c r="X471" s="28" t="str">
        <x:v>универсально</x:v>
      </x:c>
      <x:c r="Y471" s="28" t="str">
        <x:v>Средняя</x:v>
      </x:c>
      <x:c r="Z471" s="28" t="str">
        <x:v>Таблица сочетаний</x:v>
      </x:c>
      <x:c r="AA471" s="28" t="str">
        <x:v>Таблица сочетаний: 10</x:v>
      </x:c>
      <x:c r="AB471" s="28" t="str">
        <x:v>Ягоды можжевельника: клубника</x:v>
      </x:c>
      <x:c r="AC471" s="28" t="n">
        <x:v>1</x:v>
      </x:c>
      <x:c r="AD471" s="28" t="n">
        <x:v>1</x:v>
      </x:c>
    </x:row>
    <x:row r="472" ht="58" customHeight="1">
      <x:c r="A472" s="28" t="str">
        <x:v>BER-0471</x:v>
      </x:c>
      <x:c r="B472" s="28" t="str">
        <x:v>Еда и соусы</x:v>
      </x:c>
      <x:c r="C472" s="28" t="str">
        <x:v>клубника сорта Elsanta</x:v>
      </x:c>
      <x:c r="D472" s="28" t="str">
        <x:v>elsanta strawberry</x:v>
      </x:c>
      <x:c r="E472" s="28" t="str">
        <x:v>Ягоды и производные</x:v>
      </x:c>
      <x:c r="F472" s="28" t="str">
        <x:v>чоризо</x:v>
      </x:c>
      <x:c r="G472" s="28" t="str">
        <x:v>Chorizo</x:v>
      </x:c>
      <x:c r="H472" s="28" t="str">
        <x:v>Мясо и птица</x:v>
      </x:c>
      <x:c r="I472" s="28" t="str">
        <x:v>зелёный, карамельный, сливочный, фруктовый, цветочный</x:v>
      </x:c>
      <x:c r="J472" s="28" t="str">
        <x:v>жареный, жирный, сернистый, умами</x:v>
      </x:c>
      <x:c r="K472" s="28" t="str">
        <x:v>линалоол, мезифуран, фуранеол, цис-3-гексеналь, этилбутират</x:v>
      </x:c>
      <x:c r="L472" s="28" t="str">
        <x:v>альдегиды, пиразины, сернистые соединения</x:v>
      </x:c>
      <x:c r="M472" s="28" t="str">
        <x:v>прямое совпадение семейств не установлено</x:v>
      </x:c>
      <x:c r="N472" s="28" t="str">
        <x:v>не подтверждены; механизм не сводится к одной общей молекуле</x:v>
      </x:c>
      <x:c r="O472" s="28" t="str">
        <x:v>контраст/комплементарность + матричный эффект</x:v>
      </x:c>
      <x:c r="P472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472" s="28" t="str">
        <x:v>Специфического тройничного эффекта обычно нет; кислотность усиливает слюноотделение.</x:v>
      </x:c>
      <x:c r="R472" s="28" t="str">
        <x:v>Жировая фаза удерживает гидрофобные одоранты и продлевает послевкусие; кислотность ягод повышает слюноотделение.</x:v>
      </x:c>
      <x:c r="S47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47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47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72" s="28" t="str">
        <x:v>красное вино или чёрный перец</x:v>
      </x:c>
      <x:c r="W472" s="28" t="str">
        <x:v>соус, глазировка, салат, сырная подача или горячее блюдо; маринад, гастрик, чатни, кетчуп или редукция</x:v>
      </x:c>
      <x:c r="X472" s="28" t="str">
        <x:v>еда; соусы/маринады</x:v>
      </x:c>
      <x:c r="Y472" s="28" t="str">
        <x:v>Средняя</x:v>
      </x:c>
      <x:c r="Z472" s="28" t="str">
        <x:v>The Art &amp; Science of Foodpairing</x:v>
      </x:c>
      <x:c r="AA472" s="28" t="str">
        <x:v>The Art &amp; Science of Foodpairing: 289</x:v>
      </x:c>
      <x:c r="AB472" s="28" t="str">
        <x:v>Ingredient pairings with Chorizo: elsanta strawberry</x:v>
      </x:c>
      <x:c r="AC472" s="28" t="n">
        <x:v>1</x:v>
      </x:c>
      <x:c r="AD472" s="28" t="n">
        <x:v>1</x:v>
      </x:c>
    </x:row>
    <x:row r="473" ht="58" customHeight="1">
      <x:c r="A473" s="28" t="str">
        <x:v>BER-0472</x:v>
      </x:c>
      <x:c r="B473" s="28" t="str">
        <x:v>Универсальные</x:v>
      </x:c>
      <x:c r="C473" s="28" t="str">
        <x:v>клубника сорта Mara des Bois</x:v>
      </x:c>
      <x:c r="D473" s="28" t="str">
        <x:v>mara des bois strawberry</x:v>
      </x:c>
      <x:c r="E473" s="28" t="str">
        <x:v>Ягоды и производные</x:v>
      </x:c>
      <x:c r="F473" s="28" t="str">
        <x:v>груша</x:v>
      </x:c>
      <x:c r="G473" s="28" t="str">
        <x:v>Pear</x:v>
      </x:c>
      <x:c r="H473" s="28" t="str">
        <x:v>Фрукты</x:v>
      </x:c>
      <x:c r="I473" s="28" t="str">
        <x:v>зелёный, карамельный, сливочный, фруктовый, цветочный</x:v>
      </x:c>
      <x:c r="J473" s="28" t="str">
        <x:v>зелёный, фруктовый, цветочный</x:v>
      </x:c>
      <x:c r="K473" s="28" t="str">
        <x:v>линалоол, мезифуран, фуранеол, цис-3-гексеналь, этилбутират</x:v>
      </x:c>
      <x:c r="L473" s="28" t="str">
        <x:v>лактоны, терпены, эфиры</x:v>
      </x:c>
      <x:c r="M473" s="28" t="str">
        <x:v>зелёный, фруктовый, цветочный</x:v>
      </x:c>
      <x:c r="N473" s="28" t="str">
        <x:v>не подтверждены; механизм не сводится к одной общей молекуле</x:v>
      </x:c>
      <x:c r="O473" s="28" t="str">
        <x:v>сходство ароматических семейств + комплементарность</x:v>
      </x:c>
      <x:c r="P473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473" s="28" t="str">
        <x:v>Специфического тройничного эффекта обычно нет; кислотность усиливает слюноотделение.</x:v>
      </x:c>
      <x:c r="R473" s="28" t="str">
        <x:v>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</x:v>
      </x:c>
      <x:c r="S47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73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7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73" s="28" t="str">
        <x:v>ваниль или лимон</x:v>
      </x:c>
      <x:c r="W47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473" s="28" t="str">
        <x:v>напитки; десерты</x:v>
      </x:c>
      <x:c r="Y473" s="28" t="str">
        <x:v>Средняя</x:v>
      </x:c>
      <x:c r="Z473" s="28" t="str">
        <x:v>The Art &amp; Science of Foodpairing</x:v>
      </x:c>
      <x:c r="AA473" s="28" t="str">
        <x:v>The Art &amp; Science of Foodpairing: 350</x:v>
      </x:c>
      <x:c r="AB473" s="28" t="str">
        <x:v>Ingredient pairings with Pear: mara des bois strawberry</x:v>
      </x:c>
      <x:c r="AC473" s="28" t="n">
        <x:v>1</x:v>
      </x:c>
      <x:c r="AD473" s="28" t="n">
        <x:v>1</x:v>
      </x:c>
    </x:row>
    <x:row r="474" ht="58" customHeight="1">
      <x:c r="A474" s="28" t="str">
        <x:v>BER-0473</x:v>
      </x:c>
      <x:c r="B474" s="28" t="str">
        <x:v>Десерты и выпечка</x:v>
      </x:c>
      <x:c r="C474" s="28" t="str">
        <x:v>клубника сорта Mara des Bois</x:v>
      </x:c>
      <x:c r="D474" s="28" t="str">
        <x:v>mara des bois strawberry</x:v>
      </x:c>
      <x:c r="E474" s="28" t="str">
        <x:v>Ягоды и производные</x:v>
      </x:c>
      <x:c r="F474" s="28" t="str">
        <x:v>картофель фри</x:v>
      </x:c>
      <x:c r="G474" s="28" t="str">
        <x:v>French Fries</x:v>
      </x:c>
      <x:c r="H474" s="28" t="str">
        <x:v>Злаки и выпечка</x:v>
      </x:c>
      <x:c r="I474" s="28" t="str">
        <x:v>зелёный, карамельный, сливочный, фруктовый, цветочный</x:v>
      </x:c>
      <x:c r="J474" s="28" t="str">
        <x:v>жареный, зерновой, солодовый</x:v>
      </x:c>
      <x:c r="K474" s="28" t="str">
        <x:v>линалоол, мезифуран, фуранеол, цис-3-гексеналь, этилбутират</x:v>
      </x:c>
      <x:c r="L474" s="28" t="str">
        <x:v>мальтол, пиразины, фураны</x:v>
      </x:c>
      <x:c r="M474" s="28" t="str">
        <x:v>прямое совпадение семейств не установлено</x:v>
      </x:c>
      <x:c r="N474" s="28" t="str">
        <x:v>не подтверждены; механизм не сводится к одной общей молекуле</x:v>
      </x:c>
      <x:c r="O474" s="28" t="str">
        <x:v>контраст/комплементарность + матричный эффект</x:v>
      </x:c>
      <x:c r="P474" s="28" t="str">
        <x:v>Оба компонента формируют сладко-кислый и крахмалистый, сладковатый контур; сахар, кислота и горечь должны быть выровнены дегустацией.</x:v>
      </x:c>
      <x:c r="Q474" s="28" t="str">
        <x:v>Специфического тройничного эффекта обычно нет; кислотность усиливает слюноотделение.</x:v>
      </x:c>
      <x:c r="R474" s="28" t="str">
        <x:v>Ягода: высокая доля воды; аромат чувствителен к перегреву. Партнёр: крахмал и сухая пористая матрица. В воде аромат раскрывается быстрее, в жире и этаноле — дольше удерживается.</x:v>
      </x:c>
      <x:c r="S47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7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зерновой, солодовый. Оба компонента формируют сладко-кислый и крахмалистый, сладковатый контур; сахар, кислота и горечь должны быть выровнены дегустацией. Ягода: высокая доля воды; аромат чувствителен к перегреву. Партнёр: крахмал и сухая пористая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7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74" s="28" t="str">
        <x:v>сливки или орехи</x:v>
      </x:c>
      <x:c r="W474" s="28" t="str">
        <x:v>сорбет, крем, ганаш, выпечка, джем или соус для десерта</x:v>
      </x:c>
      <x:c r="X474" s="28" t="str">
        <x:v>десерты</x:v>
      </x:c>
      <x:c r="Y474" s="28" t="str">
        <x:v>Средняя</x:v>
      </x:c>
      <x:c r="Z474" s="28" t="str">
        <x:v>The Art &amp; Science of Foodpairing</x:v>
      </x:c>
      <x:c r="AA474" s="28" t="str">
        <x:v>The Art &amp; Science of Foodpairing: 197</x:v>
      </x:c>
      <x:c r="AB474" s="28" t="str">
        <x:v>Ingredient pairings with French Fries: mara des bois strawberry</x:v>
      </x:c>
      <x:c r="AC474" s="28" t="n">
        <x:v>1</x:v>
      </x:c>
      <x:c r="AD474" s="28" t="n">
        <x:v>1</x:v>
      </x:c>
    </x:row>
    <x:row r="475" ht="58" customHeight="1">
      <x:c r="A475" s="28" t="str">
        <x:v>BER-0474</x:v>
      </x:c>
      <x:c r="B475" s="28" t="str">
        <x:v>Еда и соусы</x:v>
      </x:c>
      <x:c r="C475" s="28" t="str">
        <x:v>клубника сорта Mara des Bois</x:v>
      </x:c>
      <x:c r="D475" s="28" t="str">
        <x:v>mara des bois strawberry</x:v>
      </x:c>
      <x:c r="E475" s="28" t="str">
        <x:v>Ягоды и производные</x:v>
      </x:c>
      <x:c r="F475" s="28" t="str">
        <x:v>морковь</x:v>
      </x:c>
      <x:c r="G475" s="28" t="str">
        <x:v>Carrot</x:v>
      </x:c>
      <x:c r="H475" s="28" t="str">
        <x:v>Овощи и грибы</x:v>
      </x:c>
      <x:c r="I475" s="28" t="str">
        <x:v>зелёный, карамельный, сливочный, фруктовый, цветочный</x:v>
      </x:c>
      <x:c r="J475" s="28" t="str">
        <x:v>зелёный, землистый, сернистый</x:v>
      </x:c>
      <x:c r="K475" s="28" t="str">
        <x:v>линалоол, мезифуран, фуранеол, цис-3-гексеналь, этилбутират</x:v>
      </x:c>
      <x:c r="L475" s="28" t="str">
        <x:v>C6-альдегиды, пиразины, сернистые соединения</x:v>
      </x:c>
      <x:c r="M475" s="28" t="str">
        <x:v>зелёный</x:v>
      </x:c>
      <x:c r="N475" s="28" t="str">
        <x:v>не подтверждены; механизм не сводится к одной общей молекуле</x:v>
      </x:c>
      <x:c r="O475" s="28" t="str">
        <x:v>сходство ароматических семейств + комплементарность</x:v>
      </x:c>
      <x:c r="P475" s="28" t="str">
        <x:v>Оба компонента формируют сладко-кислый и растительный, иногда умами контур; сахар, кислота и горечь должны быть выровнены дегустацией.</x:v>
      </x:c>
      <x:c r="Q475" s="28" t="str">
        <x:v>Специфического тройничного эффекта обычно нет; кислотность усиливает слюноотделение.</x:v>
      </x:c>
      <x:c r="R475" s="28" t="str">
        <x:v>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47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475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47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75" s="28" t="str">
        <x:v>уксус или мягкий сыр</x:v>
      </x:c>
      <x:c r="W475" s="28" t="str">
        <x:v>соус, глазировка, салат, сырная подача или горячее блюдо; маринад, гастрик, чатни, кетчуп или редукция</x:v>
      </x:c>
      <x:c r="X475" s="28" t="str">
        <x:v>еда; соусы/маринады</x:v>
      </x:c>
      <x:c r="Y475" s="28" t="str">
        <x:v>Средняя</x:v>
      </x:c>
      <x:c r="Z475" s="28" t="str">
        <x:v>The Art &amp; Science of Foodpairing</x:v>
      </x:c>
      <x:c r="AA475" s="28" t="str">
        <x:v>The Art &amp; Science of Foodpairing: 232</x:v>
      </x:c>
      <x:c r="AB475" s="28" t="str">
        <x:v>Ingredient pairings with Carrot: mara des bois strawberry</x:v>
      </x:c>
      <x:c r="AC475" s="28" t="n">
        <x:v>1</x:v>
      </x:c>
      <x:c r="AD475" s="28" t="n">
        <x:v>1</x:v>
      </x:c>
    </x:row>
    <x:row r="476" ht="58" customHeight="1">
      <x:c r="A476" s="28" t="str">
        <x:v>BER-0475</x:v>
      </x:c>
      <x:c r="B476" s="28" t="str">
        <x:v>Универсальные</x:v>
      </x:c>
      <x:c r="C476" s="28" t="str">
        <x:v>клюква</x:v>
      </x:c>
      <x:c r="D476" s="28" t="str">
        <x:v>cranberry</x:v>
      </x:c>
      <x:c r="E476" s="28" t="str">
        <x:v>Ягоды и производные</x:v>
      </x:c>
      <x:c r="F476" s="28" t="str">
        <x:v>авокадо</x:v>
      </x:c>
      <x:c r="G476" s="28" t="str">
        <x:v>Avocado</x:v>
      </x:c>
      <x:c r="H476" s="28" t="str">
        <x:v>Прочее</x:v>
      </x:c>
      <x:c r="I476" s="28" t="str">
        <x:v>древесный, зелёный, кислый, красно-фруктовый</x:v>
      </x:c>
      <x:c r="J476" s="28" t="str">
        <x:v>комплексный</x:v>
      </x:c>
      <x:c r="K476" s="28" t="str">
        <x:v>C6-альдегиды, бензойная кислота, терпены, эфиры</x:v>
      </x:c>
      <x:c r="L476" s="28" t="str">
        <x:v>нет надёжной конкретизации</x:v>
      </x:c>
      <x:c r="M476" s="28" t="str">
        <x:v>прямое совпадение семейств не установлено</x:v>
      </x:c>
      <x:c r="N476" s="28" t="str">
        <x:v>не подтверждены; механизм не сводится к одной общей молекуле</x:v>
      </x:c>
      <x:c r="O476" s="28" t="str">
        <x:v>контраст/комплементарность + матричный эффект</x:v>
      </x:c>
      <x:c r="P476" s="28" t="str">
        <x:v>Оба компонента формируют очень кислый, терпкий и зависит от ингредиента контур; сахар, кислота и горечь должны быть выровнены дегустацией.</x:v>
      </x:c>
      <x:c r="Q476" s="28" t="str">
        <x:v>Специфического тройничного эффекта обычно нет; кислотность усиливает слюноотделение.</x:v>
      </x:c>
      <x:c r="R476" s="28" t="str">
        <x:v>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</x:v>
      </x:c>
      <x:c r="S47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7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комплексный. Оба компонента формируют очень кислый, терпкий и зависит от ингредиента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7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76" s="28" t="str">
        <x:v>лимон или ваниль</x:v>
      </x:c>
      <x:c r="W476" s="28" t="str">
        <x:v>сенсорная проба в малой дозировке</x:v>
      </x:c>
      <x:c r="X476" s="28" t="str">
        <x:v>универсально</x:v>
      </x:c>
      <x:c r="Y476" s="28" t="str">
        <x:v>Средняя</x:v>
      </x:c>
      <x:c r="Z476" s="28" t="str">
        <x:v>The Art &amp; Science of Foodpairing</x:v>
      </x:c>
      <x:c r="AA476" s="28" t="str">
        <x:v>The Art &amp; Science of Foodpairing: 355</x:v>
      </x:c>
      <x:c r="AB476" s="28" t="str">
        <x:v>Ingredient pairings with Avocado: cranberry</x:v>
      </x:c>
      <x:c r="AC476" s="28" t="n">
        <x:v>1</x:v>
      </x:c>
      <x:c r="AD476" s="28" t="n">
        <x:v>1</x:v>
      </x:c>
    </x:row>
    <x:row r="477" ht="58" customHeight="1">
      <x:c r="A477" s="28" t="str">
        <x:v>BER-0476</x:v>
      </x:c>
      <x:c r="B477" s="28" t="str">
        <x:v>Универсальные</x:v>
      </x:c>
      <x:c r="C477" s="28" t="str">
        <x:v>клюква</x:v>
      </x:c>
      <x:c r="D477" s="28" t="str">
        <x:v>клюква</x:v>
      </x:c>
      <x:c r="E477" s="28" t="str">
        <x:v>Ягоды и производные</x:v>
      </x:c>
      <x:c r="F477" s="28" t="str">
        <x:v>айва</x:v>
      </x:c>
      <x:c r="G477" s="28" t="str">
        <x:v>Айва</x:v>
      </x:c>
      <x:c r="H477" s="28" t="str">
        <x:v>Прочее</x:v>
      </x:c>
      <x:c r="I477" s="28" t="str">
        <x:v>древесный, зелёный, кислый, красно-фруктовый</x:v>
      </x:c>
      <x:c r="J477" s="28" t="str">
        <x:v>комплексный</x:v>
      </x:c>
      <x:c r="K477" s="28" t="str">
        <x:v>C6-альдегиды, бензойная кислота, терпены, эфиры</x:v>
      </x:c>
      <x:c r="L477" s="28" t="str">
        <x:v>нет надёжной конкретизации</x:v>
      </x:c>
      <x:c r="M477" s="28" t="str">
        <x:v>прямое совпадение семейств не установлено</x:v>
      </x:c>
      <x:c r="N477" s="28" t="str">
        <x:v>не подтверждены; механизм не сводится к одной общей молекуле</x:v>
      </x:c>
      <x:c r="O477" s="28" t="str">
        <x:v>контраст/комплементарность + матричный эффект</x:v>
      </x:c>
      <x:c r="P477" s="28" t="str">
        <x:v>Оба компонента формируют очень кислый, терпкий и зависит от ингредиента контур; сахар, кислота и горечь должны быть выровнены дегустацией.</x:v>
      </x:c>
      <x:c r="Q477" s="28" t="str">
        <x:v>Специфического тройничного эффекта обычно нет; кислотность усиливает слюноотделение.</x:v>
      </x:c>
      <x:c r="R477" s="28" t="str">
        <x:v>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</x:v>
      </x:c>
      <x:c r="S47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7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комплексный. Оба компонента формируют очень кислый, терпкий и зависит от ингредиента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7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77" s="28" t="str">
        <x:v>лимон или ваниль</x:v>
      </x:c>
      <x:c r="W477" s="28" t="str">
        <x:v>сенсорная проба в малой дозировке</x:v>
      </x:c>
      <x:c r="X477" s="28" t="str">
        <x:v>универсально</x:v>
      </x:c>
      <x:c r="Y477" s="28" t="str">
        <x:v>Средняя</x:v>
      </x:c>
      <x:c r="Z477" s="28" t="str">
        <x:v>Таблица сочетаний</x:v>
      </x:c>
      <x:c r="AA477" s="28" t="str">
        <x:v>Таблица сочетаний: 18</x:v>
      </x:c>
      <x:c r="AB477" s="28" t="str">
        <x:v>Айва: клюква</x:v>
      </x:c>
      <x:c r="AC477" s="28" t="n">
        <x:v>1</x:v>
      </x:c>
      <x:c r="AD477" s="28" t="n">
        <x:v>1</x:v>
      </x:c>
    </x:row>
    <x:row r="478" ht="58" customHeight="1">
      <x:c r="A478" s="28" t="str">
        <x:v>BER-0477</x:v>
      </x:c>
      <x:c r="B478" s="28" t="str">
        <x:v>Универсальные</x:v>
      </x:c>
      <x:c r="C478" s="28" t="str">
        <x:v>клюква</x:v>
      </x:c>
      <x:c r="D478" s="28" t="str">
        <x:v>cranberry</x:v>
      </x:c>
      <x:c r="E478" s="28" t="str">
        <x:v>Ягоды и производные</x:v>
      </x:c>
      <x:c r="F478" s="28" t="str">
        <x:v>ананас</x:v>
      </x:c>
      <x:c r="G478" s="28" t="str">
        <x:v>Pineapple</x:v>
      </x:c>
      <x:c r="H478" s="28" t="str">
        <x:v>Фрукты</x:v>
      </x:c>
      <x:c r="I478" s="28" t="str">
        <x:v>древесный, зелёный, кислый, красно-фруктовый</x:v>
      </x:c>
      <x:c r="J478" s="28" t="str">
        <x:v>зелёный, фруктовый, цветочный</x:v>
      </x:c>
      <x:c r="K478" s="28" t="str">
        <x:v>C6-альдегиды, бензойная кислота, терпены, эфиры</x:v>
      </x:c>
      <x:c r="L478" s="28" t="str">
        <x:v>лактоны, терпены, эфиры</x:v>
      </x:c>
      <x:c r="M478" s="28" t="str">
        <x:v>зелёный</x:v>
      </x:c>
      <x:c r="N478" s="28" t="str">
        <x:v>терпены, эфиры</x:v>
      </x:c>
      <x:c r="O478" s="28" t="str">
        <x:v>ароматическое сходство + вкусовой баланс</x:v>
      </x:c>
      <x:c r="P478" s="28" t="str">
        <x:v>Оба компонента формируют очень кислый, терпкий и сладко-кислый контур; сахар, кислота и горечь должны быть выровнены дегустацией.</x:v>
      </x:c>
      <x:c r="Q478" s="28" t="str">
        <x:v>Специфического тройничного эффекта обычно нет; кислотность усиливает слюноотделение.</x:v>
      </x:c>
      <x:c r="R478" s="28" t="str">
        <x:v>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</x:v>
      </x:c>
      <x:c r="S47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78" s="28" t="str">
        <x:v>Прямой вероятный молекулярный мост: терпены,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очень кислый, терпкий и сладко-кислый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7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78" s="28" t="str">
        <x:v>ваниль или лимон</x:v>
      </x:c>
      <x:c r="W47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478" s="28" t="str">
        <x:v>напитки; десерты</x:v>
      </x:c>
      <x:c r="Y478" s="28" t="str">
        <x:v>Средняя</x:v>
      </x:c>
      <x:c r="Z478" s="28" t="str">
        <x:v>The Art &amp; Science of Foodpairing</x:v>
      </x:c>
      <x:c r="AA478" s="28" t="str">
        <x:v>The Art &amp; Science of Foodpairing: 243</x:v>
      </x:c>
      <x:c r="AB478" s="28" t="str">
        <x:v>Ingredient pairings with Pineapple: cranberry</x:v>
      </x:c>
      <x:c r="AC478" s="28" t="n">
        <x:v>1</x:v>
      </x:c>
      <x:c r="AD478" s="28" t="n">
        <x:v>1</x:v>
      </x:c>
    </x:row>
    <x:row r="479" ht="58" customHeight="1">
      <x:c r="A479" s="28" t="str">
        <x:v>BER-0478</x:v>
      </x:c>
      <x:c r="B479" s="28" t="str">
        <x:v>Напитки</x:v>
      </x:c>
      <x:c r="C479" s="28" t="str">
        <x:v>клюква</x:v>
      </x:c>
      <x:c r="D479" s="28" t="str">
        <x:v>Клюква</x:v>
      </x:c>
      <x:c r="E479" s="28" t="str">
        <x:v>Ягоды и производные</x:v>
      </x:c>
      <x:c r="F479" s="28" t="str">
        <x:v>апельсин</x:v>
      </x:c>
      <x:c r="G479" s="28" t="str">
        <x:v>апельсин</x:v>
      </x:c>
      <x:c r="H479" s="28" t="str">
        <x:v>Цитрусовые</x:v>
      </x:c>
      <x:c r="I479" s="28" t="str">
        <x:v>древесный, зелёный, кислый, красно-фруктовый</x:v>
      </x:c>
      <x:c r="J479" s="28" t="str">
        <x:v>зелёный, цветочный, цитрусовый</x:v>
      </x:c>
      <x:c r="K479" s="28" t="str">
        <x:v>C6-альдегиды, бензойная кислота, терпены, эфиры</x:v>
      </x:c>
      <x:c r="L479" s="28" t="str">
        <x:v>лимонен, линалоол, цитраль</x:v>
      </x:c>
      <x:c r="M479" s="28" t="str">
        <x:v>зелёный</x:v>
      </x:c>
      <x:c r="N479" s="28" t="str">
        <x:v>не подтверждены; механизм не сводится к одной общей молекуле</x:v>
      </x:c>
      <x:c r="O479" s="28" t="str">
        <x:v>сходство ароматических семейств + комплементарность</x:v>
      </x:c>
      <x:c r="P479" s="28" t="str">
        <x:v>Оба компонента формируют очень кислый, терпкий и кислый, свежий контур; сахар, кислота и горечь должны быть выровнены дегустацией.</x:v>
      </x:c>
      <x:c r="Q479" s="28" t="str">
        <x:v>Специфического тройничного эффекта обычно нет; кислотность усиливает слюноотделение.</x:v>
      </x:c>
      <x:c r="R479" s="28" t="str">
        <x:v>Ягода: бензойная кислота нелетучая; важна для вкуса и стабильности, не для аромата. Партнёр: вода и эфирные масла; цедра гидрофобна. В воде аромат раскрывается быстрее, в жире и этаноле — дольше удерживается.</x:v>
      </x:c>
      <x:c r="S47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79" s="28" t="str">
        <x:v>Общие ароматические семейства: зелёный; конкретная доля одорантов зависит от сорта и обработки. Ягодный компонент несёт семейства древесный, зелёный, кислый, красно-фруктовый; партнёр — зелёный, цветочный, цитрусовый. Оба компонента формируют очень кислый, терпкий и кислый, свежий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7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79" s="28" t="str">
        <x:v>мёд или базилик</x:v>
      </x:c>
      <x:c r="W479" s="28" t="str">
        <x:v>кордиал, лимонад, чай, коктейль, настой или ферментированный напиток; маринад, гастрик, чатни, кетчуп или редукция</x:v>
      </x:c>
      <x:c r="X479" s="28" t="str">
        <x:v>напитки; соусы/маринады</x:v>
      </x:c>
      <x:c r="Y479" s="28" t="str">
        <x:v>Средняя</x:v>
      </x:c>
      <x:c r="Z479" s="28" t="str">
        <x:v>Таблица сочетаний</x:v>
      </x:c>
      <x:c r="AA479" s="28" t="str">
        <x:v>Таблица сочетаний: 6</x:v>
      </x:c>
      <x:c r="AB479" s="28" t="str">
        <x:v>Клюква: апельсин</x:v>
      </x:c>
      <x:c r="AC479" s="28" t="n">
        <x:v>1</x:v>
      </x:c>
      <x:c r="AD479" s="28" t="n">
        <x:v>1</x:v>
      </x:c>
    </x:row>
    <x:row r="480" ht="58" customHeight="1">
      <x:c r="A480" s="28" t="str">
        <x:v>BER-0479</x:v>
      </x:c>
      <x:c r="B480" s="28" t="str">
        <x:v>Универсальные</x:v>
      </x:c>
      <x:c r="C480" s="28" t="str">
        <x:v>клюква</x:v>
      </x:c>
      <x:c r="D480" s="28" t="str">
        <x:v>клюква</x:v>
      </x:c>
      <x:c r="E480" s="28" t="str">
        <x:v>Ягоды и производные</x:v>
      </x:c>
      <x:c r="F480" s="28" t="str">
        <x:v>арбуз</x:v>
      </x:c>
      <x:c r="G480" s="28" t="str">
        <x:v>Арбуз</x:v>
      </x:c>
      <x:c r="H480" s="28" t="str">
        <x:v>Фрукты</x:v>
      </x:c>
      <x:c r="I480" s="28" t="str">
        <x:v>древесный, зелёный, кислый, красно-фруктовый</x:v>
      </x:c>
      <x:c r="J480" s="28" t="str">
        <x:v>зелёный, фруктовый, цветочный</x:v>
      </x:c>
      <x:c r="K480" s="28" t="str">
        <x:v>C6-альдегиды, бензойная кислота, терпены, эфиры</x:v>
      </x:c>
      <x:c r="L480" s="28" t="str">
        <x:v>лактоны, терпены, эфиры</x:v>
      </x:c>
      <x:c r="M480" s="28" t="str">
        <x:v>зелёный</x:v>
      </x:c>
      <x:c r="N480" s="28" t="str">
        <x:v>терпены, эфиры</x:v>
      </x:c>
      <x:c r="O480" s="28" t="str">
        <x:v>ароматическое сходство + вкусовой баланс</x:v>
      </x:c>
      <x:c r="P480" s="28" t="str">
        <x:v>Оба компонента формируют очень кислый, терпкий и сладко-кислый контур; сахар, кислота и горечь должны быть выровнены дегустацией.</x:v>
      </x:c>
      <x:c r="Q480" s="28" t="str">
        <x:v>Специфического тройничного эффекта обычно нет; кислотность усиливает слюноотделение.</x:v>
      </x:c>
      <x:c r="R480" s="28" t="str">
        <x:v>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</x:v>
      </x:c>
      <x:c r="S48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80" s="28" t="str">
        <x:v>Прямой вероятный молекулярный мост: терпены,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очень кислый, терпкий и сладко-кислый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8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80" s="28" t="str">
        <x:v>ваниль или лимон</x:v>
      </x:c>
      <x:c r="W48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480" s="28" t="str">
        <x:v>напитки; десерты</x:v>
      </x:c>
      <x:c r="Y480" s="28" t="str">
        <x:v>Средняя</x:v>
      </x:c>
      <x:c r="Z480" s="28" t="str">
        <x:v>Таблица сочетаний</x:v>
      </x:c>
      <x:c r="AA480" s="28" t="str">
        <x:v>Таблица сочетаний: 22</x:v>
      </x:c>
      <x:c r="AB480" s="28" t="str">
        <x:v>Арбуз: клюква</x:v>
      </x:c>
      <x:c r="AC480" s="28" t="n">
        <x:v>1</x:v>
      </x:c>
      <x:c r="AD480" s="28" t="n">
        <x:v>1</x:v>
      </x:c>
    </x:row>
    <x:row r="481" ht="58" customHeight="1">
      <x:c r="A481" s="28" t="str">
        <x:v>BER-0480</x:v>
      </x:c>
      <x:c r="B481" s="28" t="str">
        <x:v>Десерты и выпечка</x:v>
      </x:c>
      <x:c r="C481" s="28" t="str">
        <x:v>клюква</x:v>
      </x:c>
      <x:c r="D481" s="28" t="str">
        <x:v>Клюква</x:v>
      </x:c>
      <x:c r="E481" s="28" t="str">
        <x:v>Ягоды и производные</x:v>
      </x:c>
      <x:c r="F481" s="28" t="str">
        <x:v>белый шоколад</x:v>
      </x:c>
      <x:c r="G481" s="28" t="str">
        <x:v>белый шоколад</x:v>
      </x:c>
      <x:c r="H481" s="28" t="str">
        <x:v>Шоколад, кофе и жареные продукты</x:v>
      </x:c>
      <x:c r="I481" s="28" t="str">
        <x:v>древесный, зелёный, кислый, красно-фруктовый</x:v>
      </x:c>
      <x:c r="J481" s="28" t="str">
        <x:v>горький, жареный, карамельный, ореховый</x:v>
      </x:c>
      <x:c r="K481" s="28" t="str">
        <x:v>C6-альдегиды, бензойная кислота, терпены, эфиры</x:v>
      </x:c>
      <x:c r="L481" s="28" t="str">
        <x:v>ванилин, пиразины, фураны</x:v>
      </x:c>
      <x:c r="M481" s="28" t="str">
        <x:v>прямое совпадение семейств не установлено</x:v>
      </x:c>
      <x:c r="N481" s="28" t="str">
        <x:v>не подтверждены; механизм не сводится к одной общей молекуле</x:v>
      </x:c>
      <x:c r="O481" s="28" t="str">
        <x:v>контраст/комплементарность + матричный эффект</x:v>
      </x:c>
      <x:c r="P481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481" s="28" t="str">
        <x:v>Специфического тройничного эффекта обычно нет; кислотность усиливает слюноотделение.</x:v>
      </x:c>
      <x:c r="R481" s="28" t="str">
        <x:v>Жировая фаза удерживает гидрофобные одоранты и продлевает послевкусие; кислотность ягод повышает слюноотделение.</x:v>
      </x:c>
      <x:c r="S48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8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8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81" s="28" t="str">
        <x:v>ваниль или орехи</x:v>
      </x:c>
      <x:c r="W481" s="28" t="str">
        <x:v>сорбет, крем, ганаш, выпечка, джем или соус для десерта</x:v>
      </x:c>
      <x:c r="X481" s="28" t="str">
        <x:v>десерты</x:v>
      </x:c>
      <x:c r="Y481" s="28" t="str">
        <x:v>Средняя</x:v>
      </x:c>
      <x:c r="Z481" s="28" t="str">
        <x:v>Таблица сочетаний</x:v>
      </x:c>
      <x:c r="AA481" s="28" t="str">
        <x:v>Таблица сочетаний: 6</x:v>
      </x:c>
      <x:c r="AB481" s="28" t="str">
        <x:v>Клюква: белый шоколад</x:v>
      </x:c>
      <x:c r="AC481" s="28" t="n">
        <x:v>1</x:v>
      </x:c>
      <x:c r="AD481" s="28" t="n">
        <x:v>1</x:v>
      </x:c>
    </x:row>
    <x:row r="482" ht="58" customHeight="1">
      <x:c r="A482" s="28" t="str">
        <x:v>BER-0481</x:v>
      </x:c>
      <x:c r="B482" s="28" t="str">
        <x:v>Универсальные</x:v>
      </x:c>
      <x:c r="C482" s="28" t="str">
        <x:v>клюква</x:v>
      </x:c>
      <x:c r="D482" s="28" t="str">
        <x:v>Клюква</x:v>
      </x:c>
      <x:c r="E482" s="28" t="str">
        <x:v>Ягоды и производные</x:v>
      </x:c>
      <x:c r="F482" s="28" t="str">
        <x:v>гвоздика</x:v>
      </x:c>
      <x:c r="G482" s="28" t="str">
        <x:v>гвоздика</x:v>
      </x:c>
      <x:c r="H482" s="28" t="str">
        <x:v>Специи</x:v>
      </x:c>
      <x:c r="I482" s="28" t="str">
        <x:v>древесный, зелёный, кислый, красно-фруктовый</x:v>
      </x:c>
      <x:c r="J482" s="28" t="str">
        <x:v>древесный, пряный, тёплый</x:v>
      </x:c>
      <x:c r="K482" s="28" t="str">
        <x:v>C6-альдегиды, бензойная кислота, терпены, эфиры</x:v>
      </x:c>
      <x:c r="L482" s="28" t="str">
        <x:v>коричный альдегид, терпены, эвгенол</x:v>
      </x:c>
      <x:c r="M482" s="28" t="str">
        <x:v>древесный</x:v>
      </x:c>
      <x:c r="N482" s="28" t="str">
        <x:v>терпены</x:v>
      </x:c>
      <x:c r="O482" s="28" t="str">
        <x:v>ароматическое сходство + вкусовой баланс</x:v>
      </x:c>
      <x:c r="P482" s="28" t="str">
        <x:v>Ягодная сладость смягчает горечь и пряность, а кислотность делает пряный, иногда горький профиль ярче.</x:v>
      </x:c>
      <x:c r="Q482" s="28" t="str">
        <x:v>Специфического тройничного эффекта обычно нет; кислотность усиливает слюноотделение.</x:v>
      </x:c>
      <x:c r="R482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8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82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82" s="28" t="str">
        <x:v>Пряность дозировать как акцент: она быстро перекрывает тонкие ягодные эфиры.</x:v>
      </x:c>
      <x:c r="V482" s="28" t="str">
        <x:v>мёд или цитрус</x:v>
      </x:c>
      <x:c r="W48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482" s="28" t="str">
        <x:v>напитки; десерты; еда; соусы/маринады</x:v>
      </x:c>
      <x:c r="Y482" s="28" t="str">
        <x:v>Средняя</x:v>
      </x:c>
      <x:c r="Z482" s="28" t="str">
        <x:v>Таблица сочетаний</x:v>
      </x:c>
      <x:c r="AA482" s="28" t="str">
        <x:v>Таблица сочетаний: 6</x:v>
      </x:c>
      <x:c r="AB482" s="28" t="str">
        <x:v>Клюква: гвоздика</x:v>
      </x:c>
      <x:c r="AC482" s="28" t="n">
        <x:v>1</x:v>
      </x:c>
      <x:c r="AD482" s="28" t="n">
        <x:v>1</x:v>
      </x:c>
    </x:row>
    <x:row r="483" ht="58" customHeight="1">
      <x:c r="A483" s="28" t="str">
        <x:v>BER-0482</x:v>
      </x:c>
      <x:c r="B483" s="28" t="str">
        <x:v>Универсальные</x:v>
      </x:c>
      <x:c r="C483" s="28" t="str">
        <x:v>клюква</x:v>
      </x:c>
      <x:c r="D483" s="28" t="str">
        <x:v>клюква</x:v>
      </x:c>
      <x:c r="E483" s="28" t="str">
        <x:v>Ягоды и производные</x:v>
      </x:c>
      <x:c r="F483" s="28" t="str">
        <x:v>гибискус</x:v>
      </x:c>
      <x:c r="G483" s="28" t="str">
        <x:v>Гибискус</x:v>
      </x:c>
      <x:c r="H483" s="28" t="str">
        <x:v>Прочее</x:v>
      </x:c>
      <x:c r="I483" s="28" t="str">
        <x:v>древесный, зелёный, кислый, красно-фруктовый</x:v>
      </x:c>
      <x:c r="J483" s="28" t="str">
        <x:v>комплексный</x:v>
      </x:c>
      <x:c r="K483" s="28" t="str">
        <x:v>C6-альдегиды, бензойная кислота, терпены, эфиры</x:v>
      </x:c>
      <x:c r="L483" s="28" t="str">
        <x:v>нет надёжной конкретизации</x:v>
      </x:c>
      <x:c r="M483" s="28" t="str">
        <x:v>прямое совпадение семейств не установлено</x:v>
      </x:c>
      <x:c r="N483" s="28" t="str">
        <x:v>не подтверждены; механизм не сводится к одной общей молекуле</x:v>
      </x:c>
      <x:c r="O483" s="28" t="str">
        <x:v>контраст/комплементарность + матричный эффект</x:v>
      </x:c>
      <x:c r="P483" s="28" t="str">
        <x:v>Оба компонента формируют очень кислый, терпкий и зависит от ингредиента контур; сахар, кислота и горечь должны быть выровнены дегустацией.</x:v>
      </x:c>
      <x:c r="Q483" s="28" t="str">
        <x:v>Специфического тройничного эффекта обычно нет; кислотность усиливает слюноотделение.</x:v>
      </x:c>
      <x:c r="R483" s="28" t="str">
        <x:v>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</x:v>
      </x:c>
      <x:c r="S48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8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комплексный. Оба компонента формируют очень кислый, терпкий и зависит от ингредиента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8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83" s="28" t="str">
        <x:v>лимон или ваниль</x:v>
      </x:c>
      <x:c r="W483" s="28" t="str">
        <x:v>сенсорная проба в малой дозировке</x:v>
      </x:c>
      <x:c r="X483" s="28" t="str">
        <x:v>универсально</x:v>
      </x:c>
      <x:c r="Y483" s="28" t="str">
        <x:v>Средняя</x:v>
      </x:c>
      <x:c r="Z483" s="28" t="str">
        <x:v>Таблица сочетаний</x:v>
      </x:c>
      <x:c r="AA483" s="28" t="str">
        <x:v>Таблица сочетаний: 9</x:v>
      </x:c>
      <x:c r="AB483" s="28" t="str">
        <x:v>Гибискус: клюква</x:v>
      </x:c>
      <x:c r="AC483" s="28" t="n">
        <x:v>1</x:v>
      </x:c>
      <x:c r="AD483" s="28" t="n">
        <x:v>1</x:v>
      </x:c>
    </x:row>
    <x:row r="484" ht="58" customHeight="1">
      <x:c r="A484" s="28" t="str">
        <x:v>BER-0483</x:v>
      </x:c>
      <x:c r="B484" s="28" t="str">
        <x:v>Универсальные</x:v>
      </x:c>
      <x:c r="C484" s="28" t="str">
        <x:v>клюква</x:v>
      </x:c>
      <x:c r="D484" s="28" t="str">
        <x:v>клюква</x:v>
      </x:c>
      <x:c r="E484" s="28" t="str">
        <x:v>Ягоды и производные</x:v>
      </x:c>
      <x:c r="F484" s="28" t="str">
        <x:v>гранат</x:v>
      </x:c>
      <x:c r="G484" s="28" t="str">
        <x:v>Гранат</x:v>
      </x:c>
      <x:c r="H484" s="28" t="str">
        <x:v>Фрукты</x:v>
      </x:c>
      <x:c r="I484" s="28" t="str">
        <x:v>древесный, зелёный, кислый, красно-фруктовый</x:v>
      </x:c>
      <x:c r="J484" s="28" t="str">
        <x:v>зелёный, фруктовый, цветочный</x:v>
      </x:c>
      <x:c r="K484" s="28" t="str">
        <x:v>C6-альдегиды, бензойная кислота, терпены, эфиры</x:v>
      </x:c>
      <x:c r="L484" s="28" t="str">
        <x:v>лактоны, терпены, эфиры</x:v>
      </x:c>
      <x:c r="M484" s="28" t="str">
        <x:v>зелёный</x:v>
      </x:c>
      <x:c r="N484" s="28" t="str">
        <x:v>терпены, эфиры</x:v>
      </x:c>
      <x:c r="O484" s="28" t="str">
        <x:v>ароматическое сходство + вкусовой баланс</x:v>
      </x:c>
      <x:c r="P484" s="28" t="str">
        <x:v>Оба компонента формируют очень кислый, терпкий и сладко-кислый контур; сахар, кислота и горечь должны быть выровнены дегустацией.</x:v>
      </x:c>
      <x:c r="Q484" s="28" t="str">
        <x:v>Специфического тройничного эффекта обычно нет; кислотность усиливает слюноотделение.</x:v>
      </x:c>
      <x:c r="R484" s="28" t="str">
        <x:v>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</x:v>
      </x:c>
      <x:c r="S48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84" s="28" t="str">
        <x:v>Прямой вероятный молекулярный мост: терпены,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очень кислый, терпкий и сладко-кислый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8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84" s="28" t="str">
        <x:v>ваниль или лимон</x:v>
      </x:c>
      <x:c r="W48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484" s="28" t="str">
        <x:v>напитки; десерты</x:v>
      </x:c>
      <x:c r="Y484" s="28" t="str">
        <x:v>Средняя</x:v>
      </x:c>
      <x:c r="Z484" s="28" t="str">
        <x:v>Таблица сочетаний</x:v>
      </x:c>
      <x:c r="AA484" s="28" t="str">
        <x:v>Таблица сочетаний: 17</x:v>
      </x:c>
      <x:c r="AB484" s="28" t="str">
        <x:v>Гранат: клюква</x:v>
      </x:c>
      <x:c r="AC484" s="28" t="n">
        <x:v>1</x:v>
      </x:c>
      <x:c r="AD484" s="28" t="n">
        <x:v>1</x:v>
      </x:c>
    </x:row>
    <x:row r="485" ht="58" customHeight="1">
      <x:c r="A485" s="28" t="str">
        <x:v>BER-0484</x:v>
      </x:c>
      <x:c r="B485" s="28" t="str">
        <x:v>Десерты и выпечка</x:v>
      </x:c>
      <x:c r="C485" s="28" t="str">
        <x:v>клюква</x:v>
      </x:c>
      <x:c r="D485" s="28" t="str">
        <x:v>Клюква | клюква</x:v>
      </x:c>
      <x:c r="E485" s="28" t="str">
        <x:v>Ягоды и производные</x:v>
      </x:c>
      <x:c r="F485" s="28" t="str">
        <x:v>грецкий орех</x:v>
      </x:c>
      <x:c r="G485" s="28" t="str">
        <x:v>Грецкий орех | грецкий орех</x:v>
      </x:c>
      <x:c r="H485" s="28" t="str">
        <x:v>Орехи и семена</x:v>
      </x:c>
      <x:c r="I485" s="28" t="str">
        <x:v>древесный, зелёный, кислый, красно-фруктовый</x:v>
      </x:c>
      <x:c r="J485" s="28" t="str">
        <x:v>жареный, миндальный, ореховый</x:v>
      </x:c>
      <x:c r="K485" s="28" t="str">
        <x:v>C6-альдегиды, бензойная кислота, терпены, эфиры</x:v>
      </x:c>
      <x:c r="L485" s="28" t="str">
        <x:v>бензальдегид, пиразины, фураны</x:v>
      </x:c>
      <x:c r="M485" s="28" t="str">
        <x:v>прямое совпадение семейств не установлено</x:v>
      </x:c>
      <x:c r="N485" s="28" t="str">
        <x:v>не подтверждены; механизм не сводится к одной общей молекуле</x:v>
      </x:c>
      <x:c r="O485" s="28" t="str">
        <x:v>контраст/комплементарность + матричный эффект</x:v>
      </x:c>
      <x:c r="P485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485" s="28" t="str">
        <x:v>Специфического тройничного эффекта обычно нет; кислотность усиливает слюноотделение.</x:v>
      </x:c>
      <x:c r="R485" s="28" t="str">
        <x:v>Жировая фаза удерживает гидрофобные одоранты и продлевает послевкусие; кислотность ягод повышает слюноотделение.</x:v>
      </x:c>
      <x:c r="S48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8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8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85" s="28" t="str">
        <x:v>ваниль или сливки</x:v>
      </x:c>
      <x:c r="W485" s="28" t="str">
        <x:v>сорбет, крем, ганаш, выпечка, джем или соус для десерта</x:v>
      </x:c>
      <x:c r="X485" s="28" t="str">
        <x:v>десерты</x:v>
      </x:c>
      <x:c r="Y485" s="28" t="str">
        <x:v>Средняя</x:v>
      </x:c>
      <x:c r="Z485" s="28" t="str">
        <x:v>Таблица сочетаний</x:v>
      </x:c>
      <x:c r="AA485" s="28" t="str">
        <x:v>Таблица сочетаний: 6, 22</x:v>
      </x:c>
      <x:c r="AB485" s="28" t="str">
        <x:v>Клюква: грецкий орех | Грецкий орех: клюква</x:v>
      </x:c>
      <x:c r="AC485" s="28" t="n">
        <x:v>1</x:v>
      </x:c>
      <x:c r="AD485" s="28" t="n">
        <x:v>2</x:v>
      </x:c>
    </x:row>
    <x:row r="486" ht="58" customHeight="1">
      <x:c r="A486" s="28" t="str">
        <x:v>BER-0485</x:v>
      </x:c>
      <x:c r="B486" s="28" t="str">
        <x:v>Универсальные</x:v>
      </x:c>
      <x:c r="C486" s="28" t="str">
        <x:v>клюква</x:v>
      </x:c>
      <x:c r="D486" s="28" t="str">
        <x:v>cranberry | Клюква | клюква</x:v>
      </x:c>
      <x:c r="E486" s="28" t="str">
        <x:v>Ягоды и производные</x:v>
      </x:c>
      <x:c r="F486" s="28" t="str">
        <x:v>груша</x:v>
      </x:c>
      <x:c r="G486" s="28" t="str">
        <x:v>Pear | Груша | груша</x:v>
      </x:c>
      <x:c r="H486" s="28" t="str">
        <x:v>Фрукты</x:v>
      </x:c>
      <x:c r="I486" s="28" t="str">
        <x:v>древесный, зелёный, кислый, красно-фруктовый</x:v>
      </x:c>
      <x:c r="J486" s="28" t="str">
        <x:v>зелёный, фруктовый, цветочный</x:v>
      </x:c>
      <x:c r="K486" s="28" t="str">
        <x:v>C6-альдегиды, бензойная кислота, терпены, эфиры</x:v>
      </x:c>
      <x:c r="L486" s="28" t="str">
        <x:v>лактоны, терпены, эфиры</x:v>
      </x:c>
      <x:c r="M486" s="28" t="str">
        <x:v>зелёный</x:v>
      </x:c>
      <x:c r="N486" s="28" t="str">
        <x:v>терпены, эфиры</x:v>
      </x:c>
      <x:c r="O486" s="28" t="str">
        <x:v>ароматическое сходство + вкусовой баланс</x:v>
      </x:c>
      <x:c r="P486" s="28" t="str">
        <x:v>Оба компонента формируют очень кислый, терпкий и сладко-кислый контур; сахар, кислота и горечь должны быть выровнены дегустацией.</x:v>
      </x:c>
      <x:c r="Q486" s="28" t="str">
        <x:v>Специфического тройничного эффекта обычно нет; кислотность усиливает слюноотделение.</x:v>
      </x:c>
      <x:c r="R486" s="28" t="str">
        <x:v>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</x:v>
      </x:c>
      <x:c r="S48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86" s="28" t="str">
        <x:v>Прямой вероятный молекулярный мост: терпены,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очень кислый, терпкий и сладко-кислый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8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86" s="28" t="str">
        <x:v>ваниль или лимон</x:v>
      </x:c>
      <x:c r="W48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486" s="28" t="str">
        <x:v>напитки; десерты</x:v>
      </x:c>
      <x:c r="Y486" s="28" t="str">
        <x:v>Высокая</x:v>
      </x:c>
      <x:c r="Z486" s="28" t="str">
        <x:v>The Art &amp; Science of Foodpairing; Таблица сочетаний</x:v>
      </x:c>
      <x:c r="AA486" s="28" t="str">
        <x:v>The Art &amp; Science of Foodpairing: 351; Таблица сочетаний: 6, 16</x:v>
      </x:c>
      <x:c r="AB486" s="28" t="str">
        <x:v>Клюква: груша | Груша: клюква | Ingredient pairings with Pear: cranberry</x:v>
      </x:c>
      <x:c r="AC486" s="28" t="n">
        <x:v>2</x:v>
      </x:c>
      <x:c r="AD486" s="28" t="n">
        <x:v>3</x:v>
      </x:c>
    </x:row>
    <x:row r="487" ht="58" customHeight="1">
      <x:c r="A487" s="28" t="str">
        <x:v>BER-0486</x:v>
      </x:c>
      <x:c r="B487" s="28" t="str">
        <x:v>Универсальные</x:v>
      </x:c>
      <x:c r="C487" s="28" t="str">
        <x:v>клюква</x:v>
      </x:c>
      <x:c r="D487" s="28" t="str">
        <x:v>Клюква</x:v>
      </x:c>
      <x:c r="E487" s="28" t="str">
        <x:v>Ягоды и производные</x:v>
      </x:c>
      <x:c r="F487" s="28" t="str">
        <x:v>имбирь</x:v>
      </x:c>
      <x:c r="G487" s="28" t="str">
        <x:v>имбирь</x:v>
      </x:c>
      <x:c r="H487" s="28" t="str">
        <x:v>Специи</x:v>
      </x:c>
      <x:c r="I487" s="28" t="str">
        <x:v>древесный, зелёный, кислый, красно-фруктовый</x:v>
      </x:c>
      <x:c r="J487" s="28" t="str">
        <x:v>древесный, пряный, тёплый</x:v>
      </x:c>
      <x:c r="K487" s="28" t="str">
        <x:v>C6-альдегиды, бензойная кислота, терпены, эфиры</x:v>
      </x:c>
      <x:c r="L487" s="28" t="str">
        <x:v>коричный альдегид, терпены, эвгенол</x:v>
      </x:c>
      <x:c r="M487" s="28" t="str">
        <x:v>древесный</x:v>
      </x:c>
      <x:c r="N487" s="28" t="str">
        <x:v>терпены</x:v>
      </x:c>
      <x:c r="O487" s="28" t="str">
        <x:v>ароматическое сходство + вкусовой баланс</x:v>
      </x:c>
      <x:c r="P487" s="28" t="str">
        <x:v>Ягодная сладость смягчает горечь и пряность, а кислотность делает пряный, иногда горький профиль ярче.</x:v>
      </x:c>
      <x:c r="Q487" s="28" t="str">
        <x:v>Кислотность ягоды усиливает слюноотделение, а капсаицин/пиперин/гингеролы дают тепло и покалывание; дозировка должна быть низкой.</x:v>
      </x:c>
      <x:c r="R487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8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87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87" s="28" t="str">
        <x:v>Пряность дозировать как акцент: она быстро перекрывает тонкие ягодные эфиры.</x:v>
      </x:c>
      <x:c r="V487" s="28" t="str">
        <x:v>мёд или цитрус</x:v>
      </x:c>
      <x:c r="W48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487" s="28" t="str">
        <x:v>напитки; десерты; еда; соусы/маринады</x:v>
      </x:c>
      <x:c r="Y487" s="28" t="str">
        <x:v>Средняя</x:v>
      </x:c>
      <x:c r="Z487" s="28" t="str">
        <x:v>Таблица сочетаний</x:v>
      </x:c>
      <x:c r="AA487" s="28" t="str">
        <x:v>Таблица сочетаний: 6</x:v>
      </x:c>
      <x:c r="AB487" s="28" t="str">
        <x:v>Клюква: имбирь</x:v>
      </x:c>
      <x:c r="AC487" s="28" t="n">
        <x:v>1</x:v>
      </x:c>
      <x:c r="AD487" s="28" t="n">
        <x:v>1</x:v>
      </x:c>
    </x:row>
    <x:row r="488" ht="58" customHeight="1">
      <x:c r="A488" s="28" t="str">
        <x:v>BER-0487</x:v>
      </x:c>
      <x:c r="B488" s="28" t="str">
        <x:v>Десерты и выпечка</x:v>
      </x:c>
      <x:c r="C488" s="28" t="str">
        <x:v>клюква</x:v>
      </x:c>
      <x:c r="D488" s="28" t="str">
        <x:v>клюква</x:v>
      </x:c>
      <x:c r="E488" s="28" t="str">
        <x:v>Ягоды и производные</x:v>
      </x:c>
      <x:c r="F488" s="28" t="str">
        <x:v>карамель</x:v>
      </x:c>
      <x:c r="G488" s="28" t="str">
        <x:v>Карамель</x:v>
      </x:c>
      <x:c r="H488" s="28" t="str">
        <x:v>Шоколад, кофе и жареные продукты</x:v>
      </x:c>
      <x:c r="I488" s="28" t="str">
        <x:v>древесный, зелёный, кислый, красно-фруктовый</x:v>
      </x:c>
      <x:c r="J488" s="28" t="str">
        <x:v>горький, жареный, карамельный, ореховый</x:v>
      </x:c>
      <x:c r="K488" s="28" t="str">
        <x:v>C6-альдегиды, бензойная кислота, терпены, эфиры</x:v>
      </x:c>
      <x:c r="L488" s="28" t="str">
        <x:v>ванилин, пиразины, фураны</x:v>
      </x:c>
      <x:c r="M488" s="28" t="str">
        <x:v>прямое совпадение семейств не установлено</x:v>
      </x:c>
      <x:c r="N488" s="28" t="str">
        <x:v>не подтверждены; механизм не сводится к одной общей молекуле</x:v>
      </x:c>
      <x:c r="O488" s="28" t="str">
        <x:v>контраст/комплементарность + матричный эффект</x:v>
      </x:c>
      <x:c r="P488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488" s="28" t="str">
        <x:v>Специфического тройничного эффекта обычно нет; кислотность усиливает слюноотделение.</x:v>
      </x:c>
      <x:c r="R488" s="28" t="str">
        <x:v>Жировая фаза удерживает гидрофобные одоранты и продлевает послевкусие; кислотность ягод повышает слюноотделение.</x:v>
      </x:c>
      <x:c r="S48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8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8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88" s="28" t="str">
        <x:v>ваниль или орехи</x:v>
      </x:c>
      <x:c r="W488" s="28" t="str">
        <x:v>сорбет, крем, ганаш, выпечка, джем или соус для десерта</x:v>
      </x:c>
      <x:c r="X488" s="28" t="str">
        <x:v>десерты</x:v>
      </x:c>
      <x:c r="Y488" s="28" t="str">
        <x:v>Средняя</x:v>
      </x:c>
      <x:c r="Z488" s="28" t="str">
        <x:v>Таблица сочетаний</x:v>
      </x:c>
      <x:c r="AA488" s="28" t="str">
        <x:v>Таблица сочетаний: 3</x:v>
      </x:c>
      <x:c r="AB488" s="28" t="str">
        <x:v>Карамель: клюква</x:v>
      </x:c>
      <x:c r="AC488" s="28" t="n">
        <x:v>1</x:v>
      </x:c>
      <x:c r="AD488" s="28" t="n">
        <x:v>1</x:v>
      </x:c>
    </x:row>
    <x:row r="489" ht="58" customHeight="1">
      <x:c r="A489" s="28" t="str">
        <x:v>BER-0488</x:v>
      </x:c>
      <x:c r="B489" s="28" t="str">
        <x:v>Универсальные</x:v>
      </x:c>
      <x:c r="C489" s="28" t="str">
        <x:v>клюква</x:v>
      </x:c>
      <x:c r="D489" s="28" t="str">
        <x:v>Клюква</x:v>
      </x:c>
      <x:c r="E489" s="28" t="str">
        <x:v>Ягоды и производные</x:v>
      </x:c>
      <x:c r="F489" s="28" t="str">
        <x:v>кардамон</x:v>
      </x:c>
      <x:c r="G489" s="28" t="str">
        <x:v>кардамон</x:v>
      </x:c>
      <x:c r="H489" s="28" t="str">
        <x:v>Специи</x:v>
      </x:c>
      <x:c r="I489" s="28" t="str">
        <x:v>древесный, зелёный, кислый, красно-фруктовый</x:v>
      </x:c>
      <x:c r="J489" s="28" t="str">
        <x:v>древесный, пряный, тёплый</x:v>
      </x:c>
      <x:c r="K489" s="28" t="str">
        <x:v>C6-альдегиды, бензойная кислота, терпены, эфиры</x:v>
      </x:c>
      <x:c r="L489" s="28" t="str">
        <x:v>коричный альдегид, терпены, эвгенол</x:v>
      </x:c>
      <x:c r="M489" s="28" t="str">
        <x:v>древесный</x:v>
      </x:c>
      <x:c r="N489" s="28" t="str">
        <x:v>терпены</x:v>
      </x:c>
      <x:c r="O489" s="28" t="str">
        <x:v>ароматическое сходство + вкусовой баланс</x:v>
      </x:c>
      <x:c r="P489" s="28" t="str">
        <x:v>Ягодная сладость смягчает горечь и пряность, а кислотность делает пряный, иногда горький профиль ярче.</x:v>
      </x:c>
      <x:c r="Q489" s="28" t="str">
        <x:v>Специфического тройничного эффекта обычно нет; кислотность усиливает слюноотделение.</x:v>
      </x:c>
      <x:c r="R489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8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89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89" s="28" t="str">
        <x:v>Пряность дозировать как акцент: она быстро перекрывает тонкие ягодные эфиры.</x:v>
      </x:c>
      <x:c r="V489" s="28" t="str">
        <x:v>мёд или цитрус</x:v>
      </x:c>
      <x:c r="W48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489" s="28" t="str">
        <x:v>напитки; десерты; еда; соусы/маринады</x:v>
      </x:c>
      <x:c r="Y489" s="28" t="str">
        <x:v>Средняя</x:v>
      </x:c>
      <x:c r="Z489" s="28" t="str">
        <x:v>Таблица сочетаний</x:v>
      </x:c>
      <x:c r="AA489" s="28" t="str">
        <x:v>Таблица сочетаний: 6</x:v>
      </x:c>
      <x:c r="AB489" s="28" t="str">
        <x:v>Клюква: кардамон</x:v>
      </x:c>
      <x:c r="AC489" s="28" t="n">
        <x:v>1</x:v>
      </x:c>
      <x:c r="AD489" s="28" t="n">
        <x:v>1</x:v>
      </x:c>
    </x:row>
    <x:row r="490" ht="58" customHeight="1">
      <x:c r="A490" s="28" t="str">
        <x:v>BER-0489</x:v>
      </x:c>
      <x:c r="B490" s="28" t="str">
        <x:v>Еда и соусы</x:v>
      </x:c>
      <x:c r="C490" s="28" t="str">
        <x:v>клюква</x:v>
      </x:c>
      <x:c r="D490" s="28" t="str">
        <x:v>cranberry</x:v>
      </x:c>
      <x:c r="E490" s="28" t="str">
        <x:v>Ягоды и производные</x:v>
      </x:c>
      <x:c r="F490" s="28" t="str">
        <x:v>кимчи</x:v>
      </x:c>
      <x:c r="G490" s="28" t="str">
        <x:v>Kimchi</x:v>
      </x:c>
      <x:c r="H490" s="28" t="str">
        <x:v>Ферментированные продукты, соусы и уксусы</x:v>
      </x:c>
      <x:c r="I490" s="28" t="str">
        <x:v>древесный, зелёный, кислый, красно-фруктовый</x:v>
      </x:c>
      <x:c r="J490" s="28" t="str">
        <x:v>кислый, умами, ферментированный</x:v>
      </x:c>
      <x:c r="K490" s="28" t="str">
        <x:v>C6-альдегиды, бензойная кислота, терпены, эфиры</x:v>
      </x:c>
      <x:c r="L490" s="28" t="str">
        <x:v>аминокислоты, органические кислоты, эфиры</x:v>
      </x:c>
      <x:c r="M490" s="28" t="str">
        <x:v>кислый</x:v>
      </x:c>
      <x:c r="N490" s="28" t="str">
        <x:v>эфиры</x:v>
      </x:c>
      <x:c r="O490" s="28" t="str">
        <x:v>ароматическое сходство + вкусовой баланс</x:v>
      </x:c>
      <x:c r="P490" s="28" t="str">
        <x:v>Оба компонента формируют очень кислый, терпкий и кислый/солёный/умами контур; сахар, кислота и горечь должны быть выровнены дегустацией.</x:v>
      </x:c>
      <x:c r="Q490" s="28" t="str">
        <x:v>Специфического тройничного эффекта обычно нет; кислотность усиливает слюноотделение.</x:v>
      </x:c>
      <x:c r="R490" s="28" t="str">
        <x:v>Ягода: бензойная кислота нелетучая; важна для вкуса и стабильности, не для аромата. Партнёр: вода, соль и продукты ферментации. В воде аромат раскрывается быстрее, в жире и этаноле — дольше удерживается.</x:v>
      </x:c>
      <x:c r="S49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90" s="28" t="str">
        <x:v>Прямой вероятный молекулярный мост: эфиры. Ягодный компонент несёт семейства древесный, зелёный, кислый, красно-фруктовый; партнёр — кислый, умами, ферментированный. Оба компонента формируют очень кислый, терпкий и кислый/солёный/умами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9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90" s="28" t="str">
        <x:v>мёд или соевый соус</x:v>
      </x:c>
      <x:c r="W490" s="28" t="str">
        <x:v>соус, глазировка, салат, сырная подача или горячее блюдо; маринад, гастрик, чатни, кетчуп или редукция</x:v>
      </x:c>
      <x:c r="X490" s="28" t="str">
        <x:v>еда; соусы/маринады</x:v>
      </x:c>
      <x:c r="Y490" s="28" t="str">
        <x:v>Средняя</x:v>
      </x:c>
      <x:c r="Z490" s="28" t="str">
        <x:v>The Art &amp; Science of Foodpairing</x:v>
      </x:c>
      <x:c r="AA490" s="28" t="str">
        <x:v>The Art &amp; Science of Foodpairing: 304</x:v>
      </x:c>
      <x:c r="AB490" s="28" t="str">
        <x:v>Ingredient pairings with Kimchi: cranberry</x:v>
      </x:c>
      <x:c r="AC490" s="28" t="n">
        <x:v>1</x:v>
      </x:c>
      <x:c r="AD490" s="28" t="n">
        <x:v>1</x:v>
      </x:c>
    </x:row>
    <x:row r="491" ht="58" customHeight="1">
      <x:c r="A491" s="28" t="str">
        <x:v>BER-0490</x:v>
      </x:c>
      <x:c r="B491" s="28" t="str">
        <x:v>Универсальные</x:v>
      </x:c>
      <x:c r="C491" s="28" t="str">
        <x:v>клюква</x:v>
      </x:c>
      <x:c r="D491" s="28" t="str">
        <x:v>cranberry</x:v>
      </x:c>
      <x:c r="E491" s="28" t="str">
        <x:v>Ягоды и производные</x:v>
      </x:c>
      <x:c r="F491" s="28" t="str">
        <x:v>кориандр</x:v>
      </x:c>
      <x:c r="G491" s="28" t="str">
        <x:v>Coriander</x:v>
      </x:c>
      <x:c r="H491" s="28" t="str">
        <x:v>Прочее</x:v>
      </x:c>
      <x:c r="I491" s="28" t="str">
        <x:v>древесный, зелёный, кислый, красно-фруктовый</x:v>
      </x:c>
      <x:c r="J491" s="28" t="str">
        <x:v>комплексный</x:v>
      </x:c>
      <x:c r="K491" s="28" t="str">
        <x:v>C6-альдегиды, бензойная кислота, терпены, эфиры</x:v>
      </x:c>
      <x:c r="L491" s="28" t="str">
        <x:v>нет надёжной конкретизации</x:v>
      </x:c>
      <x:c r="M491" s="28" t="str">
        <x:v>прямое совпадение семейств не установлено</x:v>
      </x:c>
      <x:c r="N491" s="28" t="str">
        <x:v>не подтверждены; механизм не сводится к одной общей молекуле</x:v>
      </x:c>
      <x:c r="O491" s="28" t="str">
        <x:v>контраст/комплементарность + матричный эффект</x:v>
      </x:c>
      <x:c r="P491" s="28" t="str">
        <x:v>Оба компонента формируют очень кислый, терпкий и зависит от ингредиента контур; сахар, кислота и горечь должны быть выровнены дегустацией.</x:v>
      </x:c>
      <x:c r="Q491" s="28" t="str">
        <x:v>Специфического тройничного эффекта обычно нет; кислотность усиливает слюноотделение.</x:v>
      </x:c>
      <x:c r="R491" s="28" t="str">
        <x:v>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</x:v>
      </x:c>
      <x:c r="S49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9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комплексный. Оба компонента формируют очень кислый, терпкий и зависит от ингредиента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9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91" s="28" t="str">
        <x:v>лимон или ваниль</x:v>
      </x:c>
      <x:c r="W491" s="28" t="str">
        <x:v>сенсорная проба в малой дозировке</x:v>
      </x:c>
      <x:c r="X491" s="28" t="str">
        <x:v>универсально</x:v>
      </x:c>
      <x:c r="Y491" s="28" t="str">
        <x:v>Средняя</x:v>
      </x:c>
      <x:c r="Z491" s="28" t="str">
        <x:v>The Art &amp; Science of Foodpairing</x:v>
      </x:c>
      <x:c r="AA491" s="28" t="str">
        <x:v>The Art &amp; Science of Foodpairing: 99</x:v>
      </x:c>
      <x:c r="AB491" s="28" t="str">
        <x:v>Ingredient pairings with Coriander: cranberry</x:v>
      </x:c>
      <x:c r="AC491" s="28" t="n">
        <x:v>1</x:v>
      </x:c>
      <x:c r="AD491" s="28" t="n">
        <x:v>1</x:v>
      </x:c>
    </x:row>
    <x:row r="492" ht="58" customHeight="1">
      <x:c r="A492" s="28" t="str">
        <x:v>BER-0491</x:v>
      </x:c>
      <x:c r="B492" s="28" t="str">
        <x:v>Универсальные</x:v>
      </x:c>
      <x:c r="C492" s="28" t="str">
        <x:v>клюква</x:v>
      </x:c>
      <x:c r="D492" s="28" t="str">
        <x:v>cranberry | Клюква</x:v>
      </x:c>
      <x:c r="E492" s="28" t="str">
        <x:v>Ягоды и производные</x:v>
      </x:c>
      <x:c r="F492" s="28" t="str">
        <x:v>корица</x:v>
      </x:c>
      <x:c r="G492" s="28" t="str">
        <x:v>Cinnamon | корица</x:v>
      </x:c>
      <x:c r="H492" s="28" t="str">
        <x:v>Специи</x:v>
      </x:c>
      <x:c r="I492" s="28" t="str">
        <x:v>древесный, зелёный, кислый, красно-фруктовый</x:v>
      </x:c>
      <x:c r="J492" s="28" t="str">
        <x:v>древесный, пряный, тёплый</x:v>
      </x:c>
      <x:c r="K492" s="28" t="str">
        <x:v>C6-альдегиды, бензойная кислота, терпены, эфиры</x:v>
      </x:c>
      <x:c r="L492" s="28" t="str">
        <x:v>коричный альдегид, терпены, эвгенол</x:v>
      </x:c>
      <x:c r="M492" s="28" t="str">
        <x:v>древесный</x:v>
      </x:c>
      <x:c r="N492" s="28" t="str">
        <x:v>терпены</x:v>
      </x:c>
      <x:c r="O492" s="28" t="str">
        <x:v>ароматическое сходство + вкусовой баланс</x:v>
      </x:c>
      <x:c r="P492" s="28" t="str">
        <x:v>Ягодная сладость смягчает горечь и пряность, а кислотность делает пряный, иногда горький профиль ярче.</x:v>
      </x:c>
      <x:c r="Q492" s="28" t="str">
        <x:v>Специфического тройничного эффекта обычно нет; кислотность усиливает слюноотделение.</x:v>
      </x:c>
      <x:c r="R492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49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92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92" s="28" t="str">
        <x:v>Пряность дозировать как акцент: она быстро перекрывает тонкие ягодные эфиры.</x:v>
      </x:c>
      <x:c r="V492" s="28" t="str">
        <x:v>мёд или цитрус</x:v>
      </x:c>
      <x:c r="W49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492" s="28" t="str">
        <x:v>напитки; десерты; еда; соусы/маринады</x:v>
      </x:c>
      <x:c r="Y492" s="28" t="str">
        <x:v>Высокая</x:v>
      </x:c>
      <x:c r="Z492" s="28" t="str">
        <x:v>The Art &amp; Science of Foodpairing; Таблица сочетаний</x:v>
      </x:c>
      <x:c r="AA492" s="28" t="str">
        <x:v>The Art &amp; Science of Foodpairing: 130, 131; Таблица сочетаний: 6</x:v>
      </x:c>
      <x:c r="AB492" s="28" t="str">
        <x:v>Клюква: корица | Ingredient pairings with Cinnamon: cranberry | Ingredient pairings with Cinnamon: cranberry</x:v>
      </x:c>
      <x:c r="AC492" s="28" t="n">
        <x:v>2</x:v>
      </x:c>
      <x:c r="AD492" s="28" t="n">
        <x:v>3</x:v>
      </x:c>
    </x:row>
    <x:row r="493" ht="58" customHeight="1">
      <x:c r="A493" s="28" t="str">
        <x:v>BER-0492</x:v>
      </x:c>
      <x:c r="B493" s="28" t="str">
        <x:v>Напитки</x:v>
      </x:c>
      <x:c r="C493" s="28" t="str">
        <x:v>клюква</x:v>
      </x:c>
      <x:c r="D493" s="28" t="str">
        <x:v>Клюква</x:v>
      </x:c>
      <x:c r="E493" s="28" t="str">
        <x:v>Ягоды и производные</x:v>
      </x:c>
      <x:c r="F493" s="28" t="str">
        <x:v>лайм</x:v>
      </x:c>
      <x:c r="G493" s="28" t="str">
        <x:v>лайм</x:v>
      </x:c>
      <x:c r="H493" s="28" t="str">
        <x:v>Цитрусовые</x:v>
      </x:c>
      <x:c r="I493" s="28" t="str">
        <x:v>древесный, зелёный, кислый, красно-фруктовый</x:v>
      </x:c>
      <x:c r="J493" s="28" t="str">
        <x:v>зелёный, цветочный, цитрусовый</x:v>
      </x:c>
      <x:c r="K493" s="28" t="str">
        <x:v>C6-альдегиды, бензойная кислота, терпены, эфиры</x:v>
      </x:c>
      <x:c r="L493" s="28" t="str">
        <x:v>лимонен, линалоол, цитраль</x:v>
      </x:c>
      <x:c r="M493" s="28" t="str">
        <x:v>зелёный</x:v>
      </x:c>
      <x:c r="N493" s="28" t="str">
        <x:v>не подтверждены; механизм не сводится к одной общей молекуле</x:v>
      </x:c>
      <x:c r="O493" s="28" t="str">
        <x:v>сходство ароматических семейств + комплементарность</x:v>
      </x:c>
      <x:c r="P493" s="28" t="str">
        <x:v>Оба компонента формируют очень кислый, терпкий и кислый, свежий контур; сахар, кислота и горечь должны быть выровнены дегустацией.</x:v>
      </x:c>
      <x:c r="Q493" s="28" t="str">
        <x:v>Специфического тройничного эффекта обычно нет; кислотность усиливает слюноотделение.</x:v>
      </x:c>
      <x:c r="R493" s="28" t="str">
        <x:v>Ягода: бензойная кислота нелетучая; важна для вкуса и стабильности, не для аромата. Партнёр: вода и эфирные масла; цедра гидрофобна. В воде аромат раскрывается быстрее, в жире и этаноле — дольше удерживается.</x:v>
      </x:c>
      <x:c r="S49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93" s="28" t="str">
        <x:v>Общие ароматические семейства: зелёный; конкретная доля одорантов зависит от сорта и обработки. Ягодный компонент несёт семейства древесный, зелёный, кислый, красно-фруктовый; партнёр — зелёный, цветочный, цитрусовый. Оба компонента формируют очень кислый, терпкий и кислый, свежий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9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93" s="28" t="str">
        <x:v>мёд или базилик</x:v>
      </x:c>
      <x:c r="W493" s="28" t="str">
        <x:v>кордиал, лимонад, чай, коктейль, настой или ферментированный напиток; маринад, гастрик, чатни, кетчуп или редукция</x:v>
      </x:c>
      <x:c r="X493" s="28" t="str">
        <x:v>напитки; соусы/маринады</x:v>
      </x:c>
      <x:c r="Y493" s="28" t="str">
        <x:v>Средняя</x:v>
      </x:c>
      <x:c r="Z493" s="28" t="str">
        <x:v>Таблица сочетаний</x:v>
      </x:c>
      <x:c r="AA493" s="28" t="str">
        <x:v>Таблица сочетаний: 6</x:v>
      </x:c>
      <x:c r="AB493" s="28" t="str">
        <x:v>Клюква: лайм</x:v>
      </x:c>
      <x:c r="AC493" s="28" t="n">
        <x:v>1</x:v>
      </x:c>
      <x:c r="AD493" s="28" t="n">
        <x:v>1</x:v>
      </x:c>
    </x:row>
    <x:row r="494" ht="58" customHeight="1">
      <x:c r="A494" s="28" t="str">
        <x:v>BER-0493</x:v>
      </x:c>
      <x:c r="B494" s="28" t="str">
        <x:v>Напитки</x:v>
      </x:c>
      <x:c r="C494" s="28" t="str">
        <x:v>клюква</x:v>
      </x:c>
      <x:c r="D494" s="28" t="str">
        <x:v>Клюква</x:v>
      </x:c>
      <x:c r="E494" s="28" t="str">
        <x:v>Ягоды и производные</x:v>
      </x:c>
      <x:c r="F494" s="28" t="str">
        <x:v>лимон</x:v>
      </x:c>
      <x:c r="G494" s="28" t="str">
        <x:v>лимон</x:v>
      </x:c>
      <x:c r="H494" s="28" t="str">
        <x:v>Цитрусовые</x:v>
      </x:c>
      <x:c r="I494" s="28" t="str">
        <x:v>древесный, зелёный, кислый, красно-фруктовый</x:v>
      </x:c>
      <x:c r="J494" s="28" t="str">
        <x:v>зелёный, цветочный, цитрусовый</x:v>
      </x:c>
      <x:c r="K494" s="28" t="str">
        <x:v>C6-альдегиды, бензойная кислота, терпены, эфиры</x:v>
      </x:c>
      <x:c r="L494" s="28" t="str">
        <x:v>лимонен, линалоол, цитраль</x:v>
      </x:c>
      <x:c r="M494" s="28" t="str">
        <x:v>зелёный</x:v>
      </x:c>
      <x:c r="N494" s="28" t="str">
        <x:v>не подтверждены; механизм не сводится к одной общей молекуле</x:v>
      </x:c>
      <x:c r="O494" s="28" t="str">
        <x:v>сходство ароматических семейств + комплементарность</x:v>
      </x:c>
      <x:c r="P494" s="28" t="str">
        <x:v>Оба компонента формируют очень кислый, терпкий и кислый, свежий контур; сахар, кислота и горечь должны быть выровнены дегустацией.</x:v>
      </x:c>
      <x:c r="Q494" s="28" t="str">
        <x:v>Специфического тройничного эффекта обычно нет; кислотность усиливает слюноотделение.</x:v>
      </x:c>
      <x:c r="R494" s="28" t="str">
        <x:v>Ягода: бензойная кислота нелетучая; важна для вкуса и стабильности, не для аромата. Партнёр: вода и эфирные масла; цедра гидрофобна. В воде аромат раскрывается быстрее, в жире и этаноле — дольше удерживается.</x:v>
      </x:c>
      <x:c r="S49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94" s="28" t="str">
        <x:v>Общие ароматические семейства: зелёный; конкретная доля одорантов зависит от сорта и обработки. Ягодный компонент несёт семейства древесный, зелёный, кислый, красно-фруктовый; партнёр — зелёный, цветочный, цитрусовый. Оба компонента формируют очень кислый, терпкий и кислый, свежий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9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94" s="28" t="str">
        <x:v>мёд или базилик</x:v>
      </x:c>
      <x:c r="W494" s="28" t="str">
        <x:v>кордиал, лимонад, чай, коктейль, настой или ферментированный напиток; маринад, гастрик, чатни, кетчуп или редукция</x:v>
      </x:c>
      <x:c r="X494" s="28" t="str">
        <x:v>напитки; соусы/маринады</x:v>
      </x:c>
      <x:c r="Y494" s="28" t="str">
        <x:v>Средняя</x:v>
      </x:c>
      <x:c r="Z494" s="28" t="str">
        <x:v>Таблица сочетаний</x:v>
      </x:c>
      <x:c r="AA494" s="28" t="str">
        <x:v>Таблица сочетаний: 6</x:v>
      </x:c>
      <x:c r="AB494" s="28" t="str">
        <x:v>Клюква: лимон</x:v>
      </x:c>
      <x:c r="AC494" s="28" t="n">
        <x:v>1</x:v>
      </x:c>
      <x:c r="AD494" s="28" t="n">
        <x:v>1</x:v>
      </x:c>
    </x:row>
    <x:row r="495" ht="58" customHeight="1">
      <x:c r="A495" s="28" t="str">
        <x:v>BER-0494</x:v>
      </x:c>
      <x:c r="B495" s="28" t="str">
        <x:v>Универсальные</x:v>
      </x:c>
      <x:c r="C495" s="28" t="str">
        <x:v>клюква</x:v>
      </x:c>
      <x:c r="D495" s="28" t="str">
        <x:v>cranberry</x:v>
      </x:c>
      <x:c r="E495" s="28" t="str">
        <x:v>Ягоды и производные</x:v>
      </x:c>
      <x:c r="F495" s="28" t="str">
        <x:v>маниок</x:v>
      </x:c>
      <x:c r="G495" s="28" t="str">
        <x:v>Cassava</x:v>
      </x:c>
      <x:c r="H495" s="28" t="str">
        <x:v>Прочее</x:v>
      </x:c>
      <x:c r="I495" s="28" t="str">
        <x:v>древесный, зелёный, кислый, красно-фруктовый</x:v>
      </x:c>
      <x:c r="J495" s="28" t="str">
        <x:v>комплексный</x:v>
      </x:c>
      <x:c r="K495" s="28" t="str">
        <x:v>C6-альдегиды, бензойная кислота, терпены, эфиры</x:v>
      </x:c>
      <x:c r="L495" s="28" t="str">
        <x:v>нет надёжной конкретизации</x:v>
      </x:c>
      <x:c r="M495" s="28" t="str">
        <x:v>прямое совпадение семейств не установлено</x:v>
      </x:c>
      <x:c r="N495" s="28" t="str">
        <x:v>не подтверждены; механизм не сводится к одной общей молекуле</x:v>
      </x:c>
      <x:c r="O495" s="28" t="str">
        <x:v>контраст/комплементарность + матричный эффект</x:v>
      </x:c>
      <x:c r="P495" s="28" t="str">
        <x:v>Оба компонента формируют очень кислый, терпкий и зависит от ингредиента контур; сахар, кислота и горечь должны быть выровнены дегустацией.</x:v>
      </x:c>
      <x:c r="Q495" s="28" t="str">
        <x:v>Специфического тройничного эффекта обычно нет; кислотность усиливает слюноотделение.</x:v>
      </x:c>
      <x:c r="R495" s="28" t="str">
        <x:v>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</x:v>
      </x:c>
      <x:c r="S49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9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комплексный. Оба компонента формируют очень кислый, терпкий и зависит от ингредиента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9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95" s="28" t="str">
        <x:v>лимон или ваниль</x:v>
      </x:c>
      <x:c r="W495" s="28" t="str">
        <x:v>сенсорная проба в малой дозировке</x:v>
      </x:c>
      <x:c r="X495" s="28" t="str">
        <x:v>универсально</x:v>
      </x:c>
      <x:c r="Y495" s="28" t="str">
        <x:v>Средняя</x:v>
      </x:c>
      <x:c r="Z495" s="28" t="str">
        <x:v>The Art &amp; Science of Foodpairing</x:v>
      </x:c>
      <x:c r="AA495" s="28" t="str">
        <x:v>The Art &amp; Science of Foodpairing: 251</x:v>
      </x:c>
      <x:c r="AB495" s="28" t="str">
        <x:v>Ingredient pairings with Cassava: cranberry</x:v>
      </x:c>
      <x:c r="AC495" s="28" t="n">
        <x:v>1</x:v>
      </x:c>
      <x:c r="AD495" s="28" t="n">
        <x:v>1</x:v>
      </x:c>
    </x:row>
    <x:row r="496" ht="58" customHeight="1">
      <x:c r="A496" s="28" t="str">
        <x:v>BER-0495</x:v>
      </x:c>
      <x:c r="B496" s="28" t="str">
        <x:v>Универсальные</x:v>
      </x:c>
      <x:c r="C496" s="28" t="str">
        <x:v>клюква</x:v>
      </x:c>
      <x:c r="D496" s="28" t="str">
        <x:v>Клюква | клюква</x:v>
      </x:c>
      <x:c r="E496" s="28" t="str">
        <x:v>Ягоды и производные</x:v>
      </x:c>
      <x:c r="F496" s="28" t="str">
        <x:v>мёд</x:v>
      </x:c>
      <x:c r="G496" s="28" t="str">
        <x:v>Мёд | мёд</x:v>
      </x:c>
      <x:c r="H496" s="28" t="str">
        <x:v>Прочее</x:v>
      </x:c>
      <x:c r="I496" s="28" t="str">
        <x:v>древесный, зелёный, кислый, красно-фруктовый</x:v>
      </x:c>
      <x:c r="J496" s="28" t="str">
        <x:v>комплексный</x:v>
      </x:c>
      <x:c r="K496" s="28" t="str">
        <x:v>C6-альдегиды, бензойная кислота, терпены, эфиры</x:v>
      </x:c>
      <x:c r="L496" s="28" t="str">
        <x:v>нет надёжной конкретизации</x:v>
      </x:c>
      <x:c r="M496" s="28" t="str">
        <x:v>прямое совпадение семейств не установлено</x:v>
      </x:c>
      <x:c r="N496" s="28" t="str">
        <x:v>не подтверждены; механизм не сводится к одной общей молекуле</x:v>
      </x:c>
      <x:c r="O496" s="28" t="str">
        <x:v>контраст/комплементарность + матричный эффект</x:v>
      </x:c>
      <x:c r="P496" s="28" t="str">
        <x:v>Оба компонента формируют очень кислый, терпкий и зависит от ингредиента контур; сахар, кислота и горечь должны быть выровнены дегустацией.</x:v>
      </x:c>
      <x:c r="Q496" s="28" t="str">
        <x:v>Специфического тройничного эффекта обычно нет; кислотность усиливает слюноотделение.</x:v>
      </x:c>
      <x:c r="R496" s="28" t="str">
        <x:v>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</x:v>
      </x:c>
      <x:c r="S49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9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комплексный. Оба компонента формируют очень кислый, терпкий и зависит от ингредиента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9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96" s="28" t="str">
        <x:v>лимон или ваниль</x:v>
      </x:c>
      <x:c r="W496" s="28" t="str">
        <x:v>сенсорная проба в малой дозировке</x:v>
      </x:c>
      <x:c r="X496" s="28" t="str">
        <x:v>универсально</x:v>
      </x:c>
      <x:c r="Y496" s="28" t="str">
        <x:v>Средняя</x:v>
      </x:c>
      <x:c r="Z496" s="28" t="str">
        <x:v>Таблица сочетаний</x:v>
      </x:c>
      <x:c r="AA496" s="28" t="str">
        <x:v>Таблица сочетаний: 6, 9</x:v>
      </x:c>
      <x:c r="AB496" s="28" t="str">
        <x:v>Клюква: мёд | Мёд: клюква</x:v>
      </x:c>
      <x:c r="AC496" s="28" t="n">
        <x:v>1</x:v>
      </x:c>
      <x:c r="AD496" s="28" t="n">
        <x:v>2</x:v>
      </x:c>
    </x:row>
    <x:row r="497" ht="58" customHeight="1">
      <x:c r="A497" s="28" t="str">
        <x:v>BER-0496</x:v>
      </x:c>
      <x:c r="B497" s="28" t="str">
        <x:v>Десерты и выпечка</x:v>
      </x:c>
      <x:c r="C497" s="28" t="str">
        <x:v>клюква</x:v>
      </x:c>
      <x:c r="D497" s="28" t="str">
        <x:v>Клюква</x:v>
      </x:c>
      <x:c r="E497" s="28" t="str">
        <x:v>Ягоды и производные</x:v>
      </x:c>
      <x:c r="F497" s="28" t="str">
        <x:v>миндаль</x:v>
      </x:c>
      <x:c r="G497" s="28" t="str">
        <x:v>миндаль</x:v>
      </x:c>
      <x:c r="H497" s="28" t="str">
        <x:v>Орехи и семена</x:v>
      </x:c>
      <x:c r="I497" s="28" t="str">
        <x:v>древесный, зелёный, кислый, красно-фруктовый</x:v>
      </x:c>
      <x:c r="J497" s="28" t="str">
        <x:v>жареный, миндальный, ореховый</x:v>
      </x:c>
      <x:c r="K497" s="28" t="str">
        <x:v>C6-альдегиды, бензойная кислота, терпены, эфиры</x:v>
      </x:c>
      <x:c r="L497" s="28" t="str">
        <x:v>бензальдегид, пиразины, фураны</x:v>
      </x:c>
      <x:c r="M497" s="28" t="str">
        <x:v>прямое совпадение семейств не установлено</x:v>
      </x:c>
      <x:c r="N497" s="28" t="str">
        <x:v>не подтверждены; механизм не сводится к одной общей молекуле</x:v>
      </x:c>
      <x:c r="O497" s="28" t="str">
        <x:v>контраст/комплементарность + матричный эффект</x:v>
      </x:c>
      <x:c r="P497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497" s="28" t="str">
        <x:v>Специфического тройничного эффекта обычно нет; кислотность усиливает слюноотделение.</x:v>
      </x:c>
      <x:c r="R497" s="28" t="str">
        <x:v>Жировая фаза удерживает гидрофобные одоранты и продлевает послевкусие; кислотность ягод повышает слюноотделение.</x:v>
      </x:c>
      <x:c r="S49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9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9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97" s="28" t="str">
        <x:v>ваниль или сливки</x:v>
      </x:c>
      <x:c r="W497" s="28" t="str">
        <x:v>сорбет, крем, ганаш, выпечка, джем или соус для десерта</x:v>
      </x:c>
      <x:c r="X497" s="28" t="str">
        <x:v>десерты</x:v>
      </x:c>
      <x:c r="Y497" s="28" t="str">
        <x:v>Средняя</x:v>
      </x:c>
      <x:c r="Z497" s="28" t="str">
        <x:v>Таблица сочетаний</x:v>
      </x:c>
      <x:c r="AA497" s="28" t="str">
        <x:v>Таблица сочетаний: 6</x:v>
      </x:c>
      <x:c r="AB497" s="28" t="str">
        <x:v>Клюква: миндаль</x:v>
      </x:c>
      <x:c r="AC497" s="28" t="n">
        <x:v>1</x:v>
      </x:c>
      <x:c r="AD497" s="28" t="n">
        <x:v>1</x:v>
      </x:c>
    </x:row>
    <x:row r="498" ht="58" customHeight="1">
      <x:c r="A498" s="28" t="str">
        <x:v>BER-0497</x:v>
      </x:c>
      <x:c r="B498" s="28" t="str">
        <x:v>Еда и соусы</x:v>
      </x:c>
      <x:c r="C498" s="28" t="str">
        <x:v>клюква</x:v>
      </x:c>
      <x:c r="D498" s="28" t="str">
        <x:v>cranberry</x:v>
      </x:c>
      <x:c r="E498" s="28" t="str">
        <x:v>Ягоды и производные</x:v>
      </x:c>
      <x:c r="F498" s="28" t="str">
        <x:v>морковь</x:v>
      </x:c>
      <x:c r="G498" s="28" t="str">
        <x:v>Carrot</x:v>
      </x:c>
      <x:c r="H498" s="28" t="str">
        <x:v>Овощи и грибы</x:v>
      </x:c>
      <x:c r="I498" s="28" t="str">
        <x:v>древесный, зелёный, кислый, красно-фруктовый</x:v>
      </x:c>
      <x:c r="J498" s="28" t="str">
        <x:v>зелёный, землистый, сернистый</x:v>
      </x:c>
      <x:c r="K498" s="28" t="str">
        <x:v>C6-альдегиды, бензойная кислота, терпены, эфиры</x:v>
      </x:c>
      <x:c r="L498" s="28" t="str">
        <x:v>C6-альдегиды, пиразины, сернистые соединения</x:v>
      </x:c>
      <x:c r="M498" s="28" t="str">
        <x:v>зелёный</x:v>
      </x:c>
      <x:c r="N498" s="28" t="str">
        <x:v>C6-альдегиды</x:v>
      </x:c>
      <x:c r="O498" s="28" t="str">
        <x:v>ароматическое сходство + вкусовой баланс</x:v>
      </x:c>
      <x:c r="P498" s="28" t="str">
        <x:v>Оба компонента формируют очень кислый, терпкий и растительный, иногда умами контур; сахар, кислота и горечь должны быть выровнены дегустацией.</x:v>
      </x:c>
      <x:c r="Q498" s="28" t="str">
        <x:v>Специфического тройничного эффекта обычно нет; кислотность усиливает слюноотделение.</x:v>
      </x:c>
      <x:c r="R498" s="28" t="str">
        <x:v>Ягода: бензойная кислота нелетучая; важна для вкуса и стабильности, не для аромата.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49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498" s="28" t="str">
        <x:v>Прямой вероятный молекулярный мост: C6-альдегиды. Ягодный компонент несёт семейства древесный, зелёный, кислый, красно-фруктовый; партнёр — зелёный, землистый, сернистый. Оба компонента формируют очень кислый, терпкий и растительный, иногда умами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49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98" s="28" t="str">
        <x:v>уксус или мягкий сыр</x:v>
      </x:c>
      <x:c r="W498" s="28" t="str">
        <x:v>соус, глазировка, салат, сырная подача или горячее блюдо; маринад, гастрик, чатни, кетчуп или редукция</x:v>
      </x:c>
      <x:c r="X498" s="28" t="str">
        <x:v>еда; соусы/маринады</x:v>
      </x:c>
      <x:c r="Y498" s="28" t="str">
        <x:v>Средняя</x:v>
      </x:c>
      <x:c r="Z498" s="28" t="str">
        <x:v>The Art &amp; Science of Foodpairing</x:v>
      </x:c>
      <x:c r="AA498" s="28" t="str">
        <x:v>The Art &amp; Science of Foodpairing: 232</x:v>
      </x:c>
      <x:c r="AB498" s="28" t="str">
        <x:v>Ingredient pairings with Carrot: cranberry</x:v>
      </x:c>
      <x:c r="AC498" s="28" t="n">
        <x:v>1</x:v>
      </x:c>
      <x:c r="AD498" s="28" t="n">
        <x:v>1</x:v>
      </x:c>
    </x:row>
    <x:row r="499" ht="58" customHeight="1">
      <x:c r="A499" s="28" t="str">
        <x:v>BER-0498</x:v>
      </x:c>
      <x:c r="B499" s="28" t="str">
        <x:v>Универсальные</x:v>
      </x:c>
      <x:c r="C499" s="28" t="str">
        <x:v>клюква</x:v>
      </x:c>
      <x:c r="D499" s="28" t="str">
        <x:v>клюква</x:v>
      </x:c>
      <x:c r="E499" s="28" t="str">
        <x:v>Ягоды и производные</x:v>
      </x:c>
      <x:c r="F499" s="28" t="str">
        <x:v>мушмула (loquat)</x:v>
      </x:c>
      <x:c r="G499" s="28" t="str">
        <x:v>Мушмула (loquat)</x:v>
      </x:c>
      <x:c r="H499" s="28" t="str">
        <x:v>Прочее</x:v>
      </x:c>
      <x:c r="I499" s="28" t="str">
        <x:v>древесный, зелёный, кислый, красно-фруктовый</x:v>
      </x:c>
      <x:c r="J499" s="28" t="str">
        <x:v>комплексный</x:v>
      </x:c>
      <x:c r="K499" s="28" t="str">
        <x:v>C6-альдегиды, бензойная кислота, терпены, эфиры</x:v>
      </x:c>
      <x:c r="L499" s="28" t="str">
        <x:v>нет надёжной конкретизации</x:v>
      </x:c>
      <x:c r="M499" s="28" t="str">
        <x:v>прямое совпадение семейств не установлено</x:v>
      </x:c>
      <x:c r="N499" s="28" t="str">
        <x:v>не подтверждены; механизм не сводится к одной общей молекуле</x:v>
      </x:c>
      <x:c r="O499" s="28" t="str">
        <x:v>контраст/комплементарность + матричный эффект</x:v>
      </x:c>
      <x:c r="P499" s="28" t="str">
        <x:v>Оба компонента формируют очень кислый, терпкий и зависит от ингредиента контур; сахар, кислота и горечь должны быть выровнены дегустацией.</x:v>
      </x:c>
      <x:c r="Q499" s="28" t="str">
        <x:v>Специфического тройничного эффекта обычно нет; кислотность усиливает слюноотделение.</x:v>
      </x:c>
      <x:c r="R499" s="28" t="str">
        <x:v>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</x:v>
      </x:c>
      <x:c r="S49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49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комплексный. Оба компонента формируют очень кислый, терпкий и зависит от ингредиента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49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499" s="28" t="str">
        <x:v>лимон или ваниль</x:v>
      </x:c>
      <x:c r="W499" s="28" t="str">
        <x:v>сенсорная проба в малой дозировке</x:v>
      </x:c>
      <x:c r="X499" s="28" t="str">
        <x:v>универсально</x:v>
      </x:c>
      <x:c r="Y499" s="28" t="str">
        <x:v>Средняя</x:v>
      </x:c>
      <x:c r="Z499" s="28" t="str">
        <x:v>Таблица сочетаний</x:v>
      </x:c>
      <x:c r="AA499" s="28" t="str">
        <x:v>Таблица сочетаний: 12</x:v>
      </x:c>
      <x:c r="AB499" s="28" t="str">
        <x:v>Мушмула (loquat): клюква</x:v>
      </x:c>
      <x:c r="AC499" s="28" t="n">
        <x:v>1</x:v>
      </x:c>
      <x:c r="AD499" s="28" t="n">
        <x:v>1</x:v>
      </x:c>
    </x:row>
    <x:row r="500" ht="58" customHeight="1">
      <x:c r="A500" s="28" t="str">
        <x:v>BER-0499</x:v>
      </x:c>
      <x:c r="B500" s="28" t="str">
        <x:v>Универсальные</x:v>
      </x:c>
      <x:c r="C500" s="28" t="str">
        <x:v>клюква</x:v>
      </x:c>
      <x:c r="D500" s="28" t="str">
        <x:v>Клюква</x:v>
      </x:c>
      <x:c r="E500" s="28" t="str">
        <x:v>Ягоды и производные</x:v>
      </x:c>
      <x:c r="F500" s="28" t="str">
        <x:v>мята</x:v>
      </x:c>
      <x:c r="G500" s="28" t="str">
        <x:v>мята</x:v>
      </x:c>
      <x:c r="H500" s="28" t="str">
        <x:v>Травы и цветы</x:v>
      </x:c>
      <x:c r="I500" s="28" t="str">
        <x:v>древесный, зелёный, кислый, красно-фруктовый</x:v>
      </x:c>
      <x:c r="J500" s="28" t="str">
        <x:v>зелёный, травянистый, цветочный</x:v>
      </x:c>
      <x:c r="K500" s="28" t="str">
        <x:v>C6-альдегиды, бензойная кислота, терпены, эфиры</x:v>
      </x:c>
      <x:c r="L500" s="28" t="str">
        <x:v>гераниол, линалоол, терпены, эвгенол</x:v>
      </x:c>
      <x:c r="M500" s="28" t="str">
        <x:v>зелёный</x:v>
      </x:c>
      <x:c r="N500" s="28" t="str">
        <x:v>терпены</x:v>
      </x:c>
      <x:c r="O500" s="28" t="str">
        <x:v>ароматическое сходство + вкусовой баланс</x:v>
      </x:c>
      <x:c r="P500" s="28" t="str">
        <x:v>Ягодная сладость смягчает горечь и пряность, а кислотность делает горьковатый, свежий профиль ярче.</x:v>
      </x:c>
      <x:c r="Q500" s="28" t="str">
        <x:v>Специфического тройничного эффекта обычно нет; кислотность усиливает слюноотделение.</x:v>
      </x:c>
      <x:c r="R500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0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00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0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00" s="28" t="str">
        <x:v>лимон или мёд</x:v>
      </x:c>
      <x:c r="W50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500" s="28" t="str">
        <x:v>напитки; еда; соусы/маринады</x:v>
      </x:c>
      <x:c r="Y500" s="28" t="str">
        <x:v>Средняя</x:v>
      </x:c>
      <x:c r="Z500" s="28" t="str">
        <x:v>Таблица сочетаний</x:v>
      </x:c>
      <x:c r="AA500" s="28" t="str">
        <x:v>Таблица сочетаний: 6</x:v>
      </x:c>
      <x:c r="AB500" s="28" t="str">
        <x:v>Клюква: мята</x:v>
      </x:c>
      <x:c r="AC500" s="28" t="n">
        <x:v>1</x:v>
      </x:c>
      <x:c r="AD500" s="28" t="n">
        <x:v>1</x:v>
      </x:c>
    </x:row>
    <x:row r="501" ht="58" customHeight="1">
      <x:c r="A501" s="28" t="str">
        <x:v>BER-0500</x:v>
      </x:c>
      <x:c r="B501" s="28" t="str">
        <x:v>Универсальные</x:v>
      </x:c>
      <x:c r="C501" s="28" t="str">
        <x:v>клюква</x:v>
      </x:c>
      <x:c r="D501" s="28" t="str">
        <x:v>клюква</x:v>
      </x:c>
      <x:c r="E501" s="28" t="str">
        <x:v>Ягоды и производные</x:v>
      </x:c>
      <x:c r="F501" s="28" t="str">
        <x:v>нектарин</x:v>
      </x:c>
      <x:c r="G501" s="28" t="str">
        <x:v>Нектарин</x:v>
      </x:c>
      <x:c r="H501" s="28" t="str">
        <x:v>Прочее</x:v>
      </x:c>
      <x:c r="I501" s="28" t="str">
        <x:v>древесный, зелёный, кислый, красно-фруктовый</x:v>
      </x:c>
      <x:c r="J501" s="28" t="str">
        <x:v>комплексный</x:v>
      </x:c>
      <x:c r="K501" s="28" t="str">
        <x:v>C6-альдегиды, бензойная кислота, терпены, эфиры</x:v>
      </x:c>
      <x:c r="L501" s="28" t="str">
        <x:v>нет надёжной конкретизации</x:v>
      </x:c>
      <x:c r="M501" s="28" t="str">
        <x:v>прямое совпадение семейств не установлено</x:v>
      </x:c>
      <x:c r="N501" s="28" t="str">
        <x:v>не подтверждены; механизм не сводится к одной общей молекуле</x:v>
      </x:c>
      <x:c r="O501" s="28" t="str">
        <x:v>контраст/комплементарность + матричный эффект</x:v>
      </x:c>
      <x:c r="P501" s="28" t="str">
        <x:v>Оба компонента формируют очень кислый, терпкий и зависит от ингредиента контур; сахар, кислота и горечь должны быть выровнены дегустацией.</x:v>
      </x:c>
      <x:c r="Q501" s="28" t="str">
        <x:v>Специфического тройничного эффекта обычно нет; кислотность усиливает слюноотделение.</x:v>
      </x:c>
      <x:c r="R501" s="28" t="str">
        <x:v>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</x:v>
      </x:c>
      <x:c r="S50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0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комплексный. Оба компонента формируют очень кислый, терпкий и зависит от ингредиента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0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01" s="28" t="str">
        <x:v>лимон или ваниль</x:v>
      </x:c>
      <x:c r="W501" s="28" t="str">
        <x:v>сенсорная проба в малой дозировке</x:v>
      </x:c>
      <x:c r="X501" s="28" t="str">
        <x:v>универсально</x:v>
      </x:c>
      <x:c r="Y501" s="28" t="str">
        <x:v>Средняя</x:v>
      </x:c>
      <x:c r="Z501" s="28" t="str">
        <x:v>Таблица сочетаний</x:v>
      </x:c>
      <x:c r="AA501" s="28" t="str">
        <x:v>Таблица сочетаний: 14</x:v>
      </x:c>
      <x:c r="AB501" s="28" t="str">
        <x:v>Нектарин: клюква</x:v>
      </x:c>
      <x:c r="AC501" s="28" t="n">
        <x:v>1</x:v>
      </x:c>
      <x:c r="AD501" s="28" t="n">
        <x:v>1</x:v>
      </x:c>
    </x:row>
    <x:row r="502" ht="58" customHeight="1">
      <x:c r="A502" s="28" t="str">
        <x:v>BER-0501</x:v>
      </x:c>
      <x:c r="B502" s="28" t="str">
        <x:v>Универсальные</x:v>
      </x:c>
      <x:c r="C502" s="28" t="str">
        <x:v>клюква</x:v>
      </x:c>
      <x:c r="D502" s="28" t="str">
        <x:v>cranberry</x:v>
      </x:c>
      <x:c r="E502" s="28" t="str">
        <x:v>Ягоды и производные</x:v>
      </x:c>
      <x:c r="F502" s="28" t="str">
        <x:v>перец чили</x:v>
      </x:c>
      <x:c r="G502" s="28" t="str">
        <x:v>Chilli Pepper</x:v>
      </x:c>
      <x:c r="H502" s="28" t="str">
        <x:v>Специи</x:v>
      </x:c>
      <x:c r="I502" s="28" t="str">
        <x:v>древесный, зелёный, кислый, красно-фруктовый</x:v>
      </x:c>
      <x:c r="J502" s="28" t="str">
        <x:v>древесный, пряный, тёплый</x:v>
      </x:c>
      <x:c r="K502" s="28" t="str">
        <x:v>C6-альдегиды, бензойная кислота, терпены, эфиры</x:v>
      </x:c>
      <x:c r="L502" s="28" t="str">
        <x:v>коричный альдегид, терпены, эвгенол</x:v>
      </x:c>
      <x:c r="M502" s="28" t="str">
        <x:v>древесный</x:v>
      </x:c>
      <x:c r="N502" s="28" t="str">
        <x:v>терпены</x:v>
      </x:c>
      <x:c r="O502" s="28" t="str">
        <x:v>ароматическое сходство + вкусовой баланс</x:v>
      </x:c>
      <x:c r="P502" s="28" t="str">
        <x:v>Ягодная сладость смягчает горечь и пряность, а кислотность делает пряный, иногда горький профиль ярче.</x:v>
      </x:c>
      <x:c r="Q502" s="28" t="str">
        <x:v>Кислотность ягоды усиливает слюноотделение, а капсаицин/пиперин/гингеролы дают тепло и покалывание; дозировка должна быть низкой.</x:v>
      </x:c>
      <x:c r="R502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0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02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02" s="28" t="str">
        <x:v>Пряность дозировать как акцент: она быстро перекрывает тонкие ягодные эфиры.</x:v>
      </x:c>
      <x:c r="V502" s="28" t="str">
        <x:v>мёд или цитрус</x:v>
      </x:c>
      <x:c r="W50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502" s="28" t="str">
        <x:v>напитки; десерты; еда; соусы/маринады</x:v>
      </x:c>
      <x:c r="Y502" s="28" t="str">
        <x:v>Средняя</x:v>
      </x:c>
      <x:c r="Z502" s="28" t="str">
        <x:v>The Art &amp; Science of Foodpairing</x:v>
      </x:c>
      <x:c r="AA502" s="28" t="str">
        <x:v>The Art &amp; Science of Foodpairing: 95</x:v>
      </x:c>
      <x:c r="AB502" s="28" t="str">
        <x:v>Ingredient pairings with Chilli Pepper: cranberry</x:v>
      </x:c>
      <x:c r="AC502" s="28" t="n">
        <x:v>1</x:v>
      </x:c>
      <x:c r="AD502" s="28" t="n">
        <x:v>1</x:v>
      </x:c>
    </x:row>
    <x:row r="503" ht="58" customHeight="1">
      <x:c r="A503" s="28" t="str">
        <x:v>BER-0502</x:v>
      </x:c>
      <x:c r="B503" s="28" t="str">
        <x:v>Универсальные</x:v>
      </x:c>
      <x:c r="C503" s="28" t="str">
        <x:v>клюква</x:v>
      </x:c>
      <x:c r="D503" s="28" t="str">
        <x:v>Клюква</x:v>
      </x:c>
      <x:c r="E503" s="28" t="str">
        <x:v>Ягоды и производные</x:v>
      </x:c>
      <x:c r="F503" s="28" t="str">
        <x:v>персик</x:v>
      </x:c>
      <x:c r="G503" s="28" t="str">
        <x:v>персик</x:v>
      </x:c>
      <x:c r="H503" s="28" t="str">
        <x:v>Фрукты</x:v>
      </x:c>
      <x:c r="I503" s="28" t="str">
        <x:v>древесный, зелёный, кислый, красно-фруктовый</x:v>
      </x:c>
      <x:c r="J503" s="28" t="str">
        <x:v>зелёный, фруктовый, цветочный</x:v>
      </x:c>
      <x:c r="K503" s="28" t="str">
        <x:v>C6-альдегиды, бензойная кислота, терпены, эфиры</x:v>
      </x:c>
      <x:c r="L503" s="28" t="str">
        <x:v>лактоны, терпены, эфиры</x:v>
      </x:c>
      <x:c r="M503" s="28" t="str">
        <x:v>зелёный</x:v>
      </x:c>
      <x:c r="N503" s="28" t="str">
        <x:v>терпены, эфиры</x:v>
      </x:c>
      <x:c r="O503" s="28" t="str">
        <x:v>ароматическое сходство + вкусовой баланс</x:v>
      </x:c>
      <x:c r="P503" s="28" t="str">
        <x:v>Оба компонента формируют очень кислый, терпкий и сладко-кислый контур; сахар, кислота и горечь должны быть выровнены дегустацией.</x:v>
      </x:c>
      <x:c r="Q503" s="28" t="str">
        <x:v>Специфического тройничного эффекта обычно нет; кислотность усиливает слюноотделение.</x:v>
      </x:c>
      <x:c r="R503" s="28" t="str">
        <x:v>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</x:v>
      </x:c>
      <x:c r="S50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03" s="28" t="str">
        <x:v>Прямой вероятный молекулярный мост: терпены,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очень кислый, терпкий и сладко-кислый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0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03" s="28" t="str">
        <x:v>ваниль или лимон</x:v>
      </x:c>
      <x:c r="W50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503" s="28" t="str">
        <x:v>напитки; десерты</x:v>
      </x:c>
      <x:c r="Y503" s="28" t="str">
        <x:v>Средняя</x:v>
      </x:c>
      <x:c r="Z503" s="28" t="str">
        <x:v>Таблица сочетаний</x:v>
      </x:c>
      <x:c r="AA503" s="28" t="str">
        <x:v>Таблица сочетаний: 6</x:v>
      </x:c>
      <x:c r="AB503" s="28" t="str">
        <x:v>Клюква: персик</x:v>
      </x:c>
      <x:c r="AC503" s="28" t="n">
        <x:v>1</x:v>
      </x:c>
      <x:c r="AD503" s="28" t="n">
        <x:v>1</x:v>
      </x:c>
    </x:row>
    <x:row r="504" ht="58" customHeight="1">
      <x:c r="A504" s="28" t="str">
        <x:v>BER-0503</x:v>
      </x:c>
      <x:c r="B504" s="28" t="str">
        <x:v>Универсальные</x:v>
      </x:c>
      <x:c r="C504" s="28" t="str">
        <x:v>клюква</x:v>
      </x:c>
      <x:c r="D504" s="28" t="str">
        <x:v>клюква</x:v>
      </x:c>
      <x:c r="E504" s="28" t="str">
        <x:v>Ягоды и производные</x:v>
      </x:c>
      <x:c r="F504" s="28" t="str">
        <x:v>розмарин</x:v>
      </x:c>
      <x:c r="G504" s="28" t="str">
        <x:v>Розмарин</x:v>
      </x:c>
      <x:c r="H504" s="28" t="str">
        <x:v>Травы и цветы</x:v>
      </x:c>
      <x:c r="I504" s="28" t="str">
        <x:v>древесный, зелёный, кислый, красно-фруктовый</x:v>
      </x:c>
      <x:c r="J504" s="28" t="str">
        <x:v>зелёный, травянистый, цветочный</x:v>
      </x:c>
      <x:c r="K504" s="28" t="str">
        <x:v>C6-альдегиды, бензойная кислота, терпены, эфиры</x:v>
      </x:c>
      <x:c r="L504" s="28" t="str">
        <x:v>гераниол, линалоол, терпены, эвгенол</x:v>
      </x:c>
      <x:c r="M504" s="28" t="str">
        <x:v>зелёный</x:v>
      </x:c>
      <x:c r="N504" s="28" t="str">
        <x:v>терпены</x:v>
      </x:c>
      <x:c r="O504" s="28" t="str">
        <x:v>ароматическое сходство + вкусовой баланс</x:v>
      </x:c>
      <x:c r="P504" s="28" t="str">
        <x:v>Ягодная сладость смягчает горечь и пряность, а кислотность делает горьковатый, свежий профиль ярче.</x:v>
      </x:c>
      <x:c r="Q504" s="28" t="str">
        <x:v>Специфического тройничного эффекта обычно нет; кислотность усиливает слюноотделение.</x:v>
      </x:c>
      <x:c r="R504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0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04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0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04" s="28" t="str">
        <x:v>лимон или мёд</x:v>
      </x:c>
      <x:c r="W50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504" s="28" t="str">
        <x:v>напитки; еда; соусы/маринады</x:v>
      </x:c>
      <x:c r="Y504" s="28" t="str">
        <x:v>Средняя</x:v>
      </x:c>
      <x:c r="Z504" s="28" t="str">
        <x:v>Таблица сочетаний</x:v>
      </x:c>
      <x:c r="AA504" s="28" t="str">
        <x:v>Таблица сочетаний: 19</x:v>
      </x:c>
      <x:c r="AB504" s="28" t="str">
        <x:v>Розмарин: клюква</x:v>
      </x:c>
      <x:c r="AC504" s="28" t="n">
        <x:v>1</x:v>
      </x:c>
      <x:c r="AD504" s="28" t="n">
        <x:v>1</x:v>
      </x:c>
    </x:row>
    <x:row r="505" ht="58" customHeight="1">
      <x:c r="A505" s="28" t="str">
        <x:v>BER-0504</x:v>
      </x:c>
      <x:c r="B505" s="28" t="str">
        <x:v>Еда и соусы</x:v>
      </x:c>
      <x:c r="C505" s="28" t="str">
        <x:v>клюква</x:v>
      </x:c>
      <x:c r="D505" s="28" t="str">
        <x:v>cranberry</x:v>
      </x:c>
      <x:c r="E505" s="28" t="str">
        <x:v>Ягоды и производные</x:v>
      </x:c>
      <x:c r="F505" s="28" t="str">
        <x:v>рыба</x:v>
      </x:c>
      <x:c r="G505" s="28" t="str">
        <x:v>Fish</x:v>
      </x:c>
      <x:c r="H505" s="28" t="str">
        <x:v>Рыба и морепродукты</x:v>
      </x:c>
      <x:c r="I505" s="28" t="str">
        <x:v>древесный, зелёный, кислый, красно-фруктовый</x:v>
      </x:c>
      <x:c r="J505" s="28" t="str">
        <x:v>жирный, морской, умами</x:v>
      </x:c>
      <x:c r="K505" s="28" t="str">
        <x:v>C6-альдегиды, бензойная кислота, терпены, эфиры</x:v>
      </x:c>
      <x:c r="L505" s="28" t="str">
        <x:v>альдегиды, амины, сернистые соединения</x:v>
      </x:c>
      <x:c r="M505" s="28" t="str">
        <x:v>прямое совпадение семейств не установлено</x:v>
      </x:c>
      <x:c r="N505" s="28" t="str">
        <x:v>не подтверждены; механизм не сводится к одной общей молекуле</x:v>
      </x:c>
      <x:c r="O505" s="28" t="str">
        <x:v>контраст/комплементарность + матричный эффект</x:v>
      </x:c>
      <x:c r="P505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505" s="28" t="str">
        <x:v>Специфического тройничного эффекта обычно нет; кислотность усиливает слюноотделение.</x:v>
      </x:c>
      <x:c r="R505" s="28" t="str">
        <x:v>Белок и жир смягчают кислоту; ягодный соус должен сохранять достаточную концентрацию и соль.</x:v>
      </x:c>
      <x:c r="S50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50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50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05" s="28" t="str">
        <x:v>цитрус или огурец</x:v>
      </x:c>
      <x:c r="W505" s="28" t="str">
        <x:v>соус, глазировка, салат, сырная подача или горячее блюдо; маринад, гастрик, чатни, кетчуп или редукция</x:v>
      </x:c>
      <x:c r="X505" s="28" t="str">
        <x:v>еда; соусы/маринады</x:v>
      </x:c>
      <x:c r="Y505" s="28" t="str">
        <x:v>Средняя</x:v>
      </x:c>
      <x:c r="Z505" s="28" t="str">
        <x:v>The Art &amp; Science of Foodpairing</x:v>
      </x:c>
      <x:c r="AA505" s="28" t="str">
        <x:v>The Art &amp; Science of Foodpairing: 105</x:v>
      </x:c>
      <x:c r="AB505" s="28" t="str">
        <x:v>Ingredient pairings with Fish: cranberry</x:v>
      </x:c>
      <x:c r="AC505" s="28" t="n">
        <x:v>1</x:v>
      </x:c>
      <x:c r="AD505" s="28" t="n">
        <x:v>1</x:v>
      </x:c>
    </x:row>
    <x:row r="506" ht="58" customHeight="1">
      <x:c r="A506" s="28" t="str">
        <x:v>BER-0505</x:v>
      </x:c>
      <x:c r="B506" s="28" t="str">
        <x:v>Универсальные</x:v>
      </x:c>
      <x:c r="C506" s="28" t="str">
        <x:v>клюква</x:v>
      </x:c>
      <x:c r="D506" s="28" t="str">
        <x:v>клюква</x:v>
      </x:c>
      <x:c r="E506" s="28" t="str">
        <x:v>Ягоды и производные</x:v>
      </x:c>
      <x:c r="F506" s="28" t="str">
        <x:v>слива</x:v>
      </x:c>
      <x:c r="G506" s="28" t="str">
        <x:v>Слива</x:v>
      </x:c>
      <x:c r="H506" s="28" t="str">
        <x:v>Прочее</x:v>
      </x:c>
      <x:c r="I506" s="28" t="str">
        <x:v>древесный, зелёный, кислый, красно-фруктовый</x:v>
      </x:c>
      <x:c r="J506" s="28" t="str">
        <x:v>комплексный</x:v>
      </x:c>
      <x:c r="K506" s="28" t="str">
        <x:v>C6-альдегиды, бензойная кислота, терпены, эфиры</x:v>
      </x:c>
      <x:c r="L506" s="28" t="str">
        <x:v>нет надёжной конкретизации</x:v>
      </x:c>
      <x:c r="M506" s="28" t="str">
        <x:v>прямое совпадение семейств не установлено</x:v>
      </x:c>
      <x:c r="N506" s="28" t="str">
        <x:v>не подтверждены; механизм не сводится к одной общей молекуле</x:v>
      </x:c>
      <x:c r="O506" s="28" t="str">
        <x:v>контраст/комплементарность + матричный эффект</x:v>
      </x:c>
      <x:c r="P506" s="28" t="str">
        <x:v>Оба компонента формируют очень кислый, терпкий и зависит от ингредиента контур; сахар, кислота и горечь должны быть выровнены дегустацией.</x:v>
      </x:c>
      <x:c r="Q506" s="28" t="str">
        <x:v>Специфического тройничного эффекта обычно нет; кислотность усиливает слюноотделение.</x:v>
      </x:c>
      <x:c r="R506" s="28" t="str">
        <x:v>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</x:v>
      </x:c>
      <x:c r="S50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0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комплексный. Оба компонента формируют очень кислый, терпкий и зависит от ингредиента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0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06" s="28" t="str">
        <x:v>лимон или ваниль</x:v>
      </x:c>
      <x:c r="W506" s="28" t="str">
        <x:v>сенсорная проба в малой дозировке</x:v>
      </x:c>
      <x:c r="X506" s="28" t="str">
        <x:v>универсально</x:v>
      </x:c>
      <x:c r="Y506" s="28" t="str">
        <x:v>Средняя</x:v>
      </x:c>
      <x:c r="Z506" s="28" t="str">
        <x:v>Таблица сочетаний</x:v>
      </x:c>
      <x:c r="AA506" s="28" t="str">
        <x:v>Таблица сочетаний: 17</x:v>
      </x:c>
      <x:c r="AB506" s="28" t="str">
        <x:v>Слива: клюква</x:v>
      </x:c>
      <x:c r="AC506" s="28" t="n">
        <x:v>1</x:v>
      </x:c>
      <x:c r="AD506" s="28" t="n">
        <x:v>1</x:v>
      </x:c>
    </x:row>
    <x:row r="507" ht="58" customHeight="1">
      <x:c r="A507" s="28" t="str">
        <x:v>BER-0506</x:v>
      </x:c>
      <x:c r="B507" s="28" t="str">
        <x:v>Еда и соусы</x:v>
      </x:c>
      <x:c r="C507" s="28" t="str">
        <x:v>клюква</x:v>
      </x:c>
      <x:c r="D507" s="28" t="str">
        <x:v>Клюква | клюква</x:v>
      </x:c>
      <x:c r="E507" s="28" t="str">
        <x:v>Ягоды и производные</x:v>
      </x:c>
      <x:c r="F507" s="28" t="str">
        <x:v>тыква</x:v>
      </x:c>
      <x:c r="G507" s="28" t="str">
        <x:v>Тыква | тыква</x:v>
      </x:c>
      <x:c r="H507" s="28" t="str">
        <x:v>Овощи и грибы</x:v>
      </x:c>
      <x:c r="I507" s="28" t="str">
        <x:v>древесный, зелёный, кислый, красно-фруктовый</x:v>
      </x:c>
      <x:c r="J507" s="28" t="str">
        <x:v>зелёный, землистый, сернистый</x:v>
      </x:c>
      <x:c r="K507" s="28" t="str">
        <x:v>C6-альдегиды, бензойная кислота, терпены, эфиры</x:v>
      </x:c>
      <x:c r="L507" s="28" t="str">
        <x:v>C6-альдегиды, пиразины, сернистые соединения</x:v>
      </x:c>
      <x:c r="M507" s="28" t="str">
        <x:v>зелёный</x:v>
      </x:c>
      <x:c r="N507" s="28" t="str">
        <x:v>C6-альдегиды</x:v>
      </x:c>
      <x:c r="O507" s="28" t="str">
        <x:v>ароматическое сходство + вкусовой баланс</x:v>
      </x:c>
      <x:c r="P507" s="28" t="str">
        <x:v>Оба компонента формируют очень кислый, терпкий и растительный, иногда умами контур; сахар, кислота и горечь должны быть выровнены дегустацией.</x:v>
      </x:c>
      <x:c r="Q507" s="28" t="str">
        <x:v>Специфического тройничного эффекта обычно нет; кислотность усиливает слюноотделение.</x:v>
      </x:c>
      <x:c r="R507" s="28" t="str">
        <x:v>Ягода: бензойная кислота нелетучая; важна для вкуса и стабильности, не для аромата.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50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507" s="28" t="str">
        <x:v>Прямой вероятный молекулярный мост: C6-альдегиды. Ягодный компонент несёт семейства древесный, зелёный, кислый, красно-фруктовый; партнёр — зелёный, землистый, сернистый. Оба компонента формируют очень кислый, терпкий и растительный, иногда умами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50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07" s="28" t="str">
        <x:v>уксус или мягкий сыр</x:v>
      </x:c>
      <x:c r="W507" s="28" t="str">
        <x:v>соус, глазировка, салат, сырная подача или горячее блюдо; маринад, гастрик, чатни, кетчуп или редукция</x:v>
      </x:c>
      <x:c r="X507" s="28" t="str">
        <x:v>еда; соусы/маринады</x:v>
      </x:c>
      <x:c r="Y507" s="28" t="str">
        <x:v>Средняя</x:v>
      </x:c>
      <x:c r="Z507" s="28" t="str">
        <x:v>Таблица сочетаний</x:v>
      </x:c>
      <x:c r="AA507" s="28" t="str">
        <x:v>Таблица сочетаний: 6, 18</x:v>
      </x:c>
      <x:c r="AB507" s="28" t="str">
        <x:v>Клюква: тыква | Тыква: клюква</x:v>
      </x:c>
      <x:c r="AC507" s="28" t="n">
        <x:v>1</x:v>
      </x:c>
      <x:c r="AD507" s="28" t="n">
        <x:v>2</x:v>
      </x:c>
    </x:row>
    <x:row r="508" ht="58" customHeight="1">
      <x:c r="A508" s="28" t="str">
        <x:v>BER-0507</x:v>
      </x:c>
      <x:c r="B508" s="28" t="str">
        <x:v>Еда и соусы</x:v>
      </x:c>
      <x:c r="C508" s="28" t="str">
        <x:v>клюква</x:v>
      </x:c>
      <x:c r="D508" s="28" t="str">
        <x:v>cranberry</x:v>
      </x:c>
      <x:c r="E508" s="28" t="str">
        <x:v>Ягоды и производные</x:v>
      </x:c>
      <x:c r="F508" s="28" t="str">
        <x:v>устрица</x:v>
      </x:c>
      <x:c r="G508" s="28" t="str">
        <x:v>Oyster</x:v>
      </x:c>
      <x:c r="H508" s="28" t="str">
        <x:v>Рыба и морепродукты</x:v>
      </x:c>
      <x:c r="I508" s="28" t="str">
        <x:v>древесный, зелёный, кислый, красно-фруктовый</x:v>
      </x:c>
      <x:c r="J508" s="28" t="str">
        <x:v>жирный, морской, умами</x:v>
      </x:c>
      <x:c r="K508" s="28" t="str">
        <x:v>C6-альдегиды, бензойная кислота, терпены, эфиры</x:v>
      </x:c>
      <x:c r="L508" s="28" t="str">
        <x:v>альдегиды, амины, сернистые соединения</x:v>
      </x:c>
      <x:c r="M508" s="28" t="str">
        <x:v>прямое совпадение семейств не установлено</x:v>
      </x:c>
      <x:c r="N508" s="28" t="str">
        <x:v>не подтверждены; механизм не сводится к одной общей молекуле</x:v>
      </x:c>
      <x:c r="O508" s="28" t="str">
        <x:v>контраст/комплементарность + матричный эффект</x:v>
      </x:c>
      <x:c r="P508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508" s="28" t="str">
        <x:v>Специфического тройничного эффекта обычно нет; кислотность усиливает слюноотделение.</x:v>
      </x:c>
      <x:c r="R508" s="28" t="str">
        <x:v>Белок и жир смягчают кислоту; ягодный соус должен сохранять достаточную концентрацию и соль.</x:v>
      </x:c>
      <x:c r="S50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50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50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08" s="28" t="str">
        <x:v>цитрус или огурец</x:v>
      </x:c>
      <x:c r="W508" s="28" t="str">
        <x:v>соус, глазировка, салат, сырная подача или горячее блюдо; маринад, гастрик, чатни, кетчуп или редукция</x:v>
      </x:c>
      <x:c r="X508" s="28" t="str">
        <x:v>еда; соусы/маринады</x:v>
      </x:c>
      <x:c r="Y508" s="28" t="str">
        <x:v>Средняя</x:v>
      </x:c>
      <x:c r="Z508" s="28" t="str">
        <x:v>The Art &amp; Science of Foodpairing</x:v>
      </x:c>
      <x:c r="AA508" s="28" t="str">
        <x:v>The Art &amp; Science of Foodpairing: 370</x:v>
      </x:c>
      <x:c r="AB508" s="28" t="str">
        <x:v>Ingredient pairings with Oyster: cranberry</x:v>
      </x:c>
      <x:c r="AC508" s="28" t="n">
        <x:v>1</x:v>
      </x:c>
      <x:c r="AD508" s="28" t="n">
        <x:v>1</x:v>
      </x:c>
    </x:row>
    <x:row r="509" ht="58" customHeight="1">
      <x:c r="A509" s="28" t="str">
        <x:v>BER-0508</x:v>
      </x:c>
      <x:c r="B509" s="28" t="str">
        <x:v>Универсальные</x:v>
      </x:c>
      <x:c r="C509" s="28" t="str">
        <x:v>клюква</x:v>
      </x:c>
      <x:c r="D509" s="28" t="str">
        <x:v>клюква</x:v>
      </x:c>
      <x:c r="E509" s="28" t="str">
        <x:v>Ягоды и производные</x:v>
      </x:c>
      <x:c r="F509" s="28" t="str">
        <x:v>фиалка</x:v>
      </x:c>
      <x:c r="G509" s="28" t="str">
        <x:v>Фиалка</x:v>
      </x:c>
      <x:c r="H509" s="28" t="str">
        <x:v>Травы и цветы</x:v>
      </x:c>
      <x:c r="I509" s="28" t="str">
        <x:v>древесный, зелёный, кислый, красно-фруктовый</x:v>
      </x:c>
      <x:c r="J509" s="28" t="str">
        <x:v>зелёный, травянистый, цветочный</x:v>
      </x:c>
      <x:c r="K509" s="28" t="str">
        <x:v>C6-альдегиды, бензойная кислота, терпены, эфиры</x:v>
      </x:c>
      <x:c r="L509" s="28" t="str">
        <x:v>гераниол, линалоол, терпены, эвгенол</x:v>
      </x:c>
      <x:c r="M509" s="28" t="str">
        <x:v>зелёный</x:v>
      </x:c>
      <x:c r="N509" s="28" t="str">
        <x:v>терпены</x:v>
      </x:c>
      <x:c r="O509" s="28" t="str">
        <x:v>ароматическое сходство + вкусовой баланс</x:v>
      </x:c>
      <x:c r="P509" s="28" t="str">
        <x:v>Ягодная сладость смягчает горечь и пряность, а кислотность делает горьковатый, свежий профиль ярче.</x:v>
      </x:c>
      <x:c r="Q509" s="28" t="str">
        <x:v>Специфического тройничного эффекта обычно нет; кислотность усиливает слюноотделение.</x:v>
      </x:c>
      <x:c r="R509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0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09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0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09" s="28" t="str">
        <x:v>лимон или мёд</x:v>
      </x:c>
      <x:c r="W50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509" s="28" t="str">
        <x:v>напитки; еда; соусы/маринады</x:v>
      </x:c>
      <x:c r="Y509" s="28" t="str">
        <x:v>Средняя</x:v>
      </x:c>
      <x:c r="Z509" s="28" t="str">
        <x:v>Таблица сочетаний</x:v>
      </x:c>
      <x:c r="AA509" s="28" t="str">
        <x:v>Таблица сочетаний: 21</x:v>
      </x:c>
      <x:c r="AB509" s="28" t="str">
        <x:v>Фиалка: клюква</x:v>
      </x:c>
      <x:c r="AC509" s="28" t="n">
        <x:v>1</x:v>
      </x:c>
      <x:c r="AD509" s="28" t="n">
        <x:v>1</x:v>
      </x:c>
    </x:row>
    <x:row r="510" ht="58" customHeight="1">
      <x:c r="A510" s="28" t="str">
        <x:v>BER-0509</x:v>
      </x:c>
      <x:c r="B510" s="28" t="str">
        <x:v>Универсальные</x:v>
      </x:c>
      <x:c r="C510" s="28" t="str">
        <x:v>клюква</x:v>
      </x:c>
      <x:c r="D510" s="28" t="str">
        <x:v>клюква</x:v>
      </x:c>
      <x:c r="E510" s="28" t="str">
        <x:v>Ягоды и производные</x:v>
      </x:c>
      <x:c r="F510" s="28" t="str">
        <x:v>финик</x:v>
      </x:c>
      <x:c r="G510" s="28" t="str">
        <x:v>Финик</x:v>
      </x:c>
      <x:c r="H510" s="28" t="str">
        <x:v>Прочее</x:v>
      </x:c>
      <x:c r="I510" s="28" t="str">
        <x:v>древесный, зелёный, кислый, красно-фруктовый</x:v>
      </x:c>
      <x:c r="J510" s="28" t="str">
        <x:v>комплексный</x:v>
      </x:c>
      <x:c r="K510" s="28" t="str">
        <x:v>C6-альдегиды, бензойная кислота, терпены, эфиры</x:v>
      </x:c>
      <x:c r="L510" s="28" t="str">
        <x:v>нет надёжной конкретизации</x:v>
      </x:c>
      <x:c r="M510" s="28" t="str">
        <x:v>прямое совпадение семейств не установлено</x:v>
      </x:c>
      <x:c r="N510" s="28" t="str">
        <x:v>не подтверждены; механизм не сводится к одной общей молекуле</x:v>
      </x:c>
      <x:c r="O510" s="28" t="str">
        <x:v>контраст/комплементарность + матричный эффект</x:v>
      </x:c>
      <x:c r="P510" s="28" t="str">
        <x:v>Оба компонента формируют очень кислый, терпкий и зависит от ингредиента контур; сахар, кислота и горечь должны быть выровнены дегустацией.</x:v>
      </x:c>
      <x:c r="Q510" s="28" t="str">
        <x:v>Специфического тройничного эффекта обычно нет; кислотность усиливает слюноотделение.</x:v>
      </x:c>
      <x:c r="R510" s="28" t="str">
        <x:v>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</x:v>
      </x:c>
      <x:c r="S5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1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комплексный. Оба компонента формируют очень кислый, терпкий и зависит от ингредиента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1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10" s="28" t="str">
        <x:v>лимон или ваниль</x:v>
      </x:c>
      <x:c r="W510" s="28" t="str">
        <x:v>сенсорная проба в малой дозировке</x:v>
      </x:c>
      <x:c r="X510" s="28" t="str">
        <x:v>универсально</x:v>
      </x:c>
      <x:c r="Y510" s="28" t="str">
        <x:v>Средняя</x:v>
      </x:c>
      <x:c r="Z510" s="28" t="str">
        <x:v>Таблица сочетаний</x:v>
      </x:c>
      <x:c r="AA510" s="28" t="str">
        <x:v>Таблица сочетаний: 7</x:v>
      </x:c>
      <x:c r="AB510" s="28" t="str">
        <x:v>Финик: клюква</x:v>
      </x:c>
      <x:c r="AC510" s="28" t="n">
        <x:v>1</x:v>
      </x:c>
      <x:c r="AD510" s="28" t="n">
        <x:v>1</x:v>
      </x:c>
    </x:row>
    <x:row r="511" ht="58" customHeight="1">
      <x:c r="A511" s="28" t="str">
        <x:v>BER-0510</x:v>
      </x:c>
      <x:c r="B511" s="28" t="str">
        <x:v>Десерты и выпечка</x:v>
      </x:c>
      <x:c r="C511" s="28" t="str">
        <x:v>клюква</x:v>
      </x:c>
      <x:c r="D511" s="28" t="str">
        <x:v>Клюква | клюква</x:v>
      </x:c>
      <x:c r="E511" s="28" t="str">
        <x:v>Ягоды и производные</x:v>
      </x:c>
      <x:c r="F511" s="28" t="str">
        <x:v>фисташка</x:v>
      </x:c>
      <x:c r="G511" s="28" t="str">
        <x:v>Фисташка | фисташка</x:v>
      </x:c>
      <x:c r="H511" s="28" t="str">
        <x:v>Орехи и семена</x:v>
      </x:c>
      <x:c r="I511" s="28" t="str">
        <x:v>древесный, зелёный, кислый, красно-фруктовый</x:v>
      </x:c>
      <x:c r="J511" s="28" t="str">
        <x:v>жареный, миндальный, ореховый</x:v>
      </x:c>
      <x:c r="K511" s="28" t="str">
        <x:v>C6-альдегиды, бензойная кислота, терпены, эфиры</x:v>
      </x:c>
      <x:c r="L511" s="28" t="str">
        <x:v>бензальдегид, пиразины, фураны</x:v>
      </x:c>
      <x:c r="M511" s="28" t="str">
        <x:v>прямое совпадение семейств не установлено</x:v>
      </x:c>
      <x:c r="N511" s="28" t="str">
        <x:v>не подтверждены; механизм не сводится к одной общей молекуле</x:v>
      </x:c>
      <x:c r="O511" s="28" t="str">
        <x:v>контраст/комплементарность + матричный эффект</x:v>
      </x:c>
      <x:c r="P511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511" s="28" t="str">
        <x:v>Специфического тройничного эффекта обычно нет; кислотность усиливает слюноотделение.</x:v>
      </x:c>
      <x:c r="R511" s="28" t="str">
        <x:v>Жировая фаза удерживает гидрофобные одоранты и продлевает послевкусие; кислотность ягод повышает слюноотделение.</x:v>
      </x:c>
      <x:c r="S5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1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1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11" s="28" t="str">
        <x:v>ваниль или сливки</x:v>
      </x:c>
      <x:c r="W511" s="28" t="str">
        <x:v>сорбет, крем, ганаш, выпечка, джем или соус для десерта</x:v>
      </x:c>
      <x:c r="X511" s="28" t="str">
        <x:v>десерты</x:v>
      </x:c>
      <x:c r="Y511" s="28" t="str">
        <x:v>Средняя</x:v>
      </x:c>
      <x:c r="Z511" s="28" t="str">
        <x:v>Таблица сочетаний</x:v>
      </x:c>
      <x:c r="AA511" s="28" t="str">
        <x:v>Таблица сочетаний: 6, 17</x:v>
      </x:c>
      <x:c r="AB511" s="28" t="str">
        <x:v>Клюква: фисташка | Фисташка: клюква</x:v>
      </x:c>
      <x:c r="AC511" s="28" t="n">
        <x:v>1</x:v>
      </x:c>
      <x:c r="AD511" s="28" t="n">
        <x:v>2</x:v>
      </x:c>
    </x:row>
    <x:row r="512" ht="58" customHeight="1">
      <x:c r="A512" s="28" t="str">
        <x:v>BER-0511</x:v>
      </x:c>
      <x:c r="B512" s="28" t="str">
        <x:v>Десерты и выпечка</x:v>
      </x:c>
      <x:c r="C512" s="28" t="str">
        <x:v>клюква</x:v>
      </x:c>
      <x:c r="D512" s="28" t="str">
        <x:v>cranberry | Клюква</x:v>
      </x:c>
      <x:c r="E512" s="28" t="str">
        <x:v>Ягоды и производные</x:v>
      </x:c>
      <x:c r="F512" s="28" t="str">
        <x:v>фундук</x:v>
      </x:c>
      <x:c r="G512" s="28" t="str">
        <x:v>Hazelnut | фундук</x:v>
      </x:c>
      <x:c r="H512" s="28" t="str">
        <x:v>Орехи и семена</x:v>
      </x:c>
      <x:c r="I512" s="28" t="str">
        <x:v>древесный, зелёный, кислый, красно-фруктовый</x:v>
      </x:c>
      <x:c r="J512" s="28" t="str">
        <x:v>жареный, миндальный, ореховый</x:v>
      </x:c>
      <x:c r="K512" s="28" t="str">
        <x:v>C6-альдегиды, бензойная кислота, терпены, эфиры</x:v>
      </x:c>
      <x:c r="L512" s="28" t="str">
        <x:v>бензальдегид, пиразины, фураны</x:v>
      </x:c>
      <x:c r="M512" s="28" t="str">
        <x:v>прямое совпадение семейств не установлено</x:v>
      </x:c>
      <x:c r="N512" s="28" t="str">
        <x:v>не подтверждены; механизм не сводится к одной общей молекуле</x:v>
      </x:c>
      <x:c r="O512" s="28" t="str">
        <x:v>контраст/комплементарность + матричный эффект</x:v>
      </x:c>
      <x:c r="P512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512" s="28" t="str">
        <x:v>Специфического тройничного эффекта обычно нет; кислотность усиливает слюноотделение.</x:v>
      </x:c>
      <x:c r="R512" s="28" t="str">
        <x:v>Жировая фаза удерживает гидрофобные одоранты и продлевает послевкусие; кислотность ягод повышает слюноотделение.</x:v>
      </x:c>
      <x:c r="S51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1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1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12" s="28" t="str">
        <x:v>ваниль или сливки</x:v>
      </x:c>
      <x:c r="W512" s="28" t="str">
        <x:v>сорбет, крем, ганаш, выпечка, джем или соус для десерта</x:v>
      </x:c>
      <x:c r="X512" s="28" t="str">
        <x:v>десерты</x:v>
      </x:c>
      <x:c r="Y512" s="28" t="str">
        <x:v>Высокая</x:v>
      </x:c>
      <x:c r="Z512" s="28" t="str">
        <x:v>The Art &amp; Science of Foodpairing; Таблица сочетаний</x:v>
      </x:c>
      <x:c r="AA512" s="28" t="str">
        <x:v>The Art &amp; Science of Foodpairing: 332; Таблица сочетаний: 6</x:v>
      </x:c>
      <x:c r="AB512" s="28" t="str">
        <x:v>Клюква: фундук | Ingredient pairings with Hazelnut: cranberry</x:v>
      </x:c>
      <x:c r="AC512" s="28" t="n">
        <x:v>2</x:v>
      </x:c>
      <x:c r="AD512" s="28" t="n">
        <x:v>2</x:v>
      </x:c>
    </x:row>
    <x:row r="513" ht="58" customHeight="1">
      <x:c r="A513" s="28" t="str">
        <x:v>BER-0512</x:v>
      </x:c>
      <x:c r="B513" s="28" t="str">
        <x:v>Еда и соусы</x:v>
      </x:c>
      <x:c r="C513" s="28" t="str">
        <x:v>клюква</x:v>
      </x:c>
      <x:c r="D513" s="28" t="str">
        <x:v>cranberry</x:v>
      </x:c>
      <x:c r="E513" s="28" t="str">
        <x:v>Ягоды и производные</x:v>
      </x:c>
      <x:c r="F513" s="28" t="str">
        <x:v>хамон иберико</x:v>
      </x:c>
      <x:c r="G513" s="28" t="str">
        <x:v>Iberico Ham</x:v>
      </x:c>
      <x:c r="H513" s="28" t="str">
        <x:v>Мясо и птица</x:v>
      </x:c>
      <x:c r="I513" s="28" t="str">
        <x:v>древесный, зелёный, кислый, красно-фруктовый</x:v>
      </x:c>
      <x:c r="J513" s="28" t="str">
        <x:v>жареный, жирный, сернистый, умами</x:v>
      </x:c>
      <x:c r="K513" s="28" t="str">
        <x:v>C6-альдегиды, бензойная кислота, терпены, эфиры</x:v>
      </x:c>
      <x:c r="L513" s="28" t="str">
        <x:v>альдегиды, пиразины, сернистые соединения</x:v>
      </x:c>
      <x:c r="M513" s="28" t="str">
        <x:v>прямое совпадение семейств не установлено</x:v>
      </x:c>
      <x:c r="N513" s="28" t="str">
        <x:v>не подтверждены; механизм не сводится к одной общей молекуле</x:v>
      </x:c>
      <x:c r="O513" s="28" t="str">
        <x:v>контраст/комплементарность + матричный эффект</x:v>
      </x:c>
      <x:c r="P513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513" s="28" t="str">
        <x:v>Специфического тройничного эффекта обычно нет; кислотность усиливает слюноотделение.</x:v>
      </x:c>
      <x:c r="R513" s="28" t="str">
        <x:v>Жировая фаза удерживает гидрофобные одоранты и продлевает послевкусие; кислотность ягод повышает слюноотделение.</x:v>
      </x:c>
      <x:c r="S51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51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51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13" s="28" t="str">
        <x:v>красное вино или чёрный перец</x:v>
      </x:c>
      <x:c r="W513" s="28" t="str">
        <x:v>соус, глазировка, салат, сырная подача или горячее блюдо; маринад, гастрик, чатни, кетчуп или редукция</x:v>
      </x:c>
      <x:c r="X513" s="28" t="str">
        <x:v>еда; соусы/маринады</x:v>
      </x:c>
      <x:c r="Y513" s="28" t="str">
        <x:v>Средняя</x:v>
      </x:c>
      <x:c r="Z513" s="28" t="str">
        <x:v>The Art &amp; Science of Foodpairing</x:v>
      </x:c>
      <x:c r="AA513" s="28" t="str">
        <x:v>The Art &amp; Science of Foodpairing: 278</x:v>
      </x:c>
      <x:c r="AB513" s="28" t="str">
        <x:v>Ingredient pairings with Iberico Ham: cranberry</x:v>
      </x:c>
      <x:c r="AC513" s="28" t="n">
        <x:v>1</x:v>
      </x:c>
      <x:c r="AD513" s="28" t="n">
        <x:v>1</x:v>
      </x:c>
    </x:row>
    <x:row r="514" ht="58" customHeight="1">
      <x:c r="A514" s="28" t="str">
        <x:v>BER-0513</x:v>
      </x:c>
      <x:c r="B514" s="28" t="str">
        <x:v>Универсальные</x:v>
      </x:c>
      <x:c r="C514" s="28" t="str">
        <x:v>клюква</x:v>
      </x:c>
      <x:c r="D514" s="28" t="str">
        <x:v>клюква</x:v>
      </x:c>
      <x:c r="E514" s="28" t="str">
        <x:v>Ягоды и производные</x:v>
      </x:c>
      <x:c r="F514" s="28" t="str">
        <x:v>хурма</x:v>
      </x:c>
      <x:c r="G514" s="28" t="str">
        <x:v>Хурма</x:v>
      </x:c>
      <x:c r="H514" s="28" t="str">
        <x:v>Прочее</x:v>
      </x:c>
      <x:c r="I514" s="28" t="str">
        <x:v>древесный, зелёный, кислый, красно-фруктовый</x:v>
      </x:c>
      <x:c r="J514" s="28" t="str">
        <x:v>комплексный</x:v>
      </x:c>
      <x:c r="K514" s="28" t="str">
        <x:v>C6-альдегиды, бензойная кислота, терпены, эфиры</x:v>
      </x:c>
      <x:c r="L514" s="28" t="str">
        <x:v>нет надёжной конкретизации</x:v>
      </x:c>
      <x:c r="M514" s="28" t="str">
        <x:v>прямое совпадение семейств не установлено</x:v>
      </x:c>
      <x:c r="N514" s="28" t="str">
        <x:v>не подтверждены; механизм не сводится к одной общей молекуле</x:v>
      </x:c>
      <x:c r="O514" s="28" t="str">
        <x:v>контраст/комплементарность + матричный эффект</x:v>
      </x:c>
      <x:c r="P514" s="28" t="str">
        <x:v>Оба компонента формируют очень кислый, терпкий и зависит от ингредиента контур; сахар, кислота и горечь должны быть выровнены дегустацией.</x:v>
      </x:c>
      <x:c r="Q514" s="28" t="str">
        <x:v>Специфического тройничного эффекта обычно нет; кислотность усиливает слюноотделение.</x:v>
      </x:c>
      <x:c r="R514" s="28" t="str">
        <x:v>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</x:v>
      </x:c>
      <x:c r="S51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1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комплексный. Оба компонента формируют очень кислый, терпкий и зависит от ингредиента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1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14" s="28" t="str">
        <x:v>лимон или ваниль</x:v>
      </x:c>
      <x:c r="W514" s="28" t="str">
        <x:v>сенсорная проба в малой дозировке</x:v>
      </x:c>
      <x:c r="X514" s="28" t="str">
        <x:v>универсально</x:v>
      </x:c>
      <x:c r="Y514" s="28" t="str">
        <x:v>Средняя</x:v>
      </x:c>
      <x:c r="Z514" s="28" t="str">
        <x:v>Таблица сочетаний</x:v>
      </x:c>
      <x:c r="AA514" s="28" t="str">
        <x:v>Таблица сочетаний: 16</x:v>
      </x:c>
      <x:c r="AB514" s="28" t="str">
        <x:v>Хурма: клюква</x:v>
      </x:c>
      <x:c r="AC514" s="28" t="n">
        <x:v>1</x:v>
      </x:c>
      <x:c r="AD514" s="28" t="n">
        <x:v>1</x:v>
      </x:c>
    </x:row>
    <x:row r="515" ht="58" customHeight="1">
      <x:c r="A515" s="28" t="str">
        <x:v>BER-0514</x:v>
      </x:c>
      <x:c r="B515" s="28" t="str">
        <x:v>Универсальные</x:v>
      </x:c>
      <x:c r="C515" s="28" t="str">
        <x:v>клюква</x:v>
      </x:c>
      <x:c r="D515" s="28" t="str">
        <x:v>Клюква</x:v>
      </x:c>
      <x:c r="E515" s="28" t="str">
        <x:v>Ягоды и производные</x:v>
      </x:c>
      <x:c r="F515" s="28" t="str">
        <x:v>шалфей</x:v>
      </x:c>
      <x:c r="G515" s="28" t="str">
        <x:v>шалфей</x:v>
      </x:c>
      <x:c r="H515" s="28" t="str">
        <x:v>Травы и цветы</x:v>
      </x:c>
      <x:c r="I515" s="28" t="str">
        <x:v>древесный, зелёный, кислый, красно-фруктовый</x:v>
      </x:c>
      <x:c r="J515" s="28" t="str">
        <x:v>зелёный, травянистый, цветочный</x:v>
      </x:c>
      <x:c r="K515" s="28" t="str">
        <x:v>C6-альдегиды, бензойная кислота, терпены, эфиры</x:v>
      </x:c>
      <x:c r="L515" s="28" t="str">
        <x:v>гераниол, линалоол, терпены, эвгенол</x:v>
      </x:c>
      <x:c r="M515" s="28" t="str">
        <x:v>зелёный</x:v>
      </x:c>
      <x:c r="N515" s="28" t="str">
        <x:v>терпены</x:v>
      </x:c>
      <x:c r="O515" s="28" t="str">
        <x:v>ароматическое сходство + вкусовой баланс</x:v>
      </x:c>
      <x:c r="P515" s="28" t="str">
        <x:v>Ягодная сладость смягчает горечь и пряность, а кислотность делает горьковатый, свежий профиль ярче.</x:v>
      </x:c>
      <x:c r="Q515" s="28" t="str">
        <x:v>Специфического тройничного эффекта обычно нет; кислотность усиливает слюноотделение.</x:v>
      </x:c>
      <x:c r="R515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1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15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1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15" s="28" t="str">
        <x:v>лимон или мёд</x:v>
      </x:c>
      <x:c r="W51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515" s="28" t="str">
        <x:v>напитки; еда; соусы/маринады</x:v>
      </x:c>
      <x:c r="Y515" s="28" t="str">
        <x:v>Средняя</x:v>
      </x:c>
      <x:c r="Z515" s="28" t="str">
        <x:v>Таблица сочетаний</x:v>
      </x:c>
      <x:c r="AA515" s="28" t="str">
        <x:v>Таблица сочетаний: 6</x:v>
      </x:c>
      <x:c r="AB515" s="28" t="str">
        <x:v>Клюква: шалфей</x:v>
      </x:c>
      <x:c r="AC515" s="28" t="n">
        <x:v>1</x:v>
      </x:c>
      <x:c r="AD515" s="28" t="n">
        <x:v>1</x:v>
      </x:c>
    </x:row>
    <x:row r="516" ht="58" customHeight="1">
      <x:c r="A516" s="28" t="str">
        <x:v>BER-0515</x:v>
      </x:c>
      <x:c r="B516" s="28" t="str">
        <x:v>Десерты и выпечка</x:v>
      </x:c>
      <x:c r="C516" s="28" t="str">
        <x:v>клюква</x:v>
      </x:c>
      <x:c r="D516" s="28" t="str">
        <x:v>cranberry</x:v>
      </x:c>
      <x:c r="E516" s="28" t="str">
        <x:v>Ягоды и производные</x:v>
      </x:c>
      <x:c r="F516" s="28" t="str">
        <x:v>шоколад</x:v>
      </x:c>
      <x:c r="G516" s="28" t="str">
        <x:v>Chocolate</x:v>
      </x:c>
      <x:c r="H516" s="28" t="str">
        <x:v>Шоколад, кофе и жареные продукты</x:v>
      </x:c>
      <x:c r="I516" s="28" t="str">
        <x:v>древесный, зелёный, кислый, красно-фруктовый</x:v>
      </x:c>
      <x:c r="J516" s="28" t="str">
        <x:v>горький, жареный, карамельный, ореховый</x:v>
      </x:c>
      <x:c r="K516" s="28" t="str">
        <x:v>C6-альдегиды, бензойная кислота, терпены, эфиры</x:v>
      </x:c>
      <x:c r="L516" s="28" t="str">
        <x:v>ванилин, пиразины, фураны</x:v>
      </x:c>
      <x:c r="M516" s="28" t="str">
        <x:v>прямое совпадение семейств не установлено</x:v>
      </x:c>
      <x:c r="N516" s="28" t="str">
        <x:v>не подтверждены; механизм не сводится к одной общей молекуле</x:v>
      </x:c>
      <x:c r="O516" s="28" t="str">
        <x:v>контраст/комплементарность + матричный эффект</x:v>
      </x:c>
      <x:c r="P516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516" s="28" t="str">
        <x:v>Специфического тройничного эффекта обычно нет; кислотность усиливает слюноотделение.</x:v>
      </x:c>
      <x:c r="R516" s="28" t="str">
        <x:v>Жировая фаза удерживает гидрофобные одоранты и продлевает послевкусие; кислотность ягод повышает слюноотделение.</x:v>
      </x:c>
      <x:c r="S51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1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1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16" s="28" t="str">
        <x:v>ваниль или орехи</x:v>
      </x:c>
      <x:c r="W516" s="28" t="str">
        <x:v>сорбет, крем, ганаш, выпечка, джем или соус для десерта</x:v>
      </x:c>
      <x:c r="X516" s="28" t="str">
        <x:v>десерты</x:v>
      </x:c>
      <x:c r="Y516" s="28" t="str">
        <x:v>Средняя</x:v>
      </x:c>
      <x:c r="Z516" s="28" t="str">
        <x:v>The Art &amp; Science of Foodpairing</x:v>
      </x:c>
      <x:c r="AA516" s="28" t="str">
        <x:v>The Art &amp; Science of Foodpairing: 62</x:v>
      </x:c>
      <x:c r="AB516" s="28" t="str">
        <x:v>Ingredient pairings with Chocolate: cranberry</x:v>
      </x:c>
      <x:c r="AC516" s="28" t="n">
        <x:v>1</x:v>
      </x:c>
      <x:c r="AD516" s="28" t="n">
        <x:v>1</x:v>
      </x:c>
    </x:row>
    <x:row r="517" ht="58" customHeight="1">
      <x:c r="A517" s="28" t="str">
        <x:v>BER-0516</x:v>
      </x:c>
      <x:c r="B517" s="28" t="str">
        <x:v>Универсальные</x:v>
      </x:c>
      <x:c r="C517" s="28" t="str">
        <x:v>клюква</x:v>
      </x:c>
      <x:c r="D517" s="28" t="str">
        <x:v>Клюква | клюква</x:v>
      </x:c>
      <x:c r="E517" s="28" t="str">
        <x:v>Ягоды и производные</x:v>
      </x:c>
      <x:c r="F517" s="28" t="str">
        <x:v>яблоко</x:v>
      </x:c>
      <x:c r="G517" s="28" t="str">
        <x:v>Яблоко | яблоко</x:v>
      </x:c>
      <x:c r="H517" s="28" t="str">
        <x:v>Фрукты</x:v>
      </x:c>
      <x:c r="I517" s="28" t="str">
        <x:v>древесный, зелёный, кислый, красно-фруктовый</x:v>
      </x:c>
      <x:c r="J517" s="28" t="str">
        <x:v>зелёный, фруктовый, цветочный</x:v>
      </x:c>
      <x:c r="K517" s="28" t="str">
        <x:v>C6-альдегиды, бензойная кислота, терпены, эфиры</x:v>
      </x:c>
      <x:c r="L517" s="28" t="str">
        <x:v>лактоны, терпены, эфиры</x:v>
      </x:c>
      <x:c r="M517" s="28" t="str">
        <x:v>зелёный</x:v>
      </x:c>
      <x:c r="N517" s="28" t="str">
        <x:v>терпены, эфиры</x:v>
      </x:c>
      <x:c r="O517" s="28" t="str">
        <x:v>ароматическое сходство + вкусовой баланс</x:v>
      </x:c>
      <x:c r="P517" s="28" t="str">
        <x:v>Оба компонента формируют очень кислый, терпкий и сладко-кислый контур; сахар, кислота и горечь должны быть выровнены дегустацией.</x:v>
      </x:c>
      <x:c r="Q517" s="28" t="str">
        <x:v>Специфического тройничного эффекта обычно нет; кислотность усиливает слюноотделение.</x:v>
      </x:c>
      <x:c r="R517" s="28" t="str">
        <x:v>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</x:v>
      </x:c>
      <x:c r="S51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17" s="28" t="str">
        <x:v>Прямой вероятный молекулярный мост: терпены,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очень кислый, терпкий и сладко-кислый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1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17" s="28" t="str">
        <x:v>ваниль или лимон</x:v>
      </x:c>
      <x:c r="W51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517" s="28" t="str">
        <x:v>напитки; десерты</x:v>
      </x:c>
      <x:c r="Y517" s="28" t="str">
        <x:v>Средняя</x:v>
      </x:c>
      <x:c r="Z517" s="28" t="str">
        <x:v>Таблица сочетаний</x:v>
      </x:c>
      <x:c r="AA517" s="28" t="str">
        <x:v>Таблица сочетаний: 1, 6</x:v>
      </x:c>
      <x:c r="AB517" s="28" t="str">
        <x:v>Яблоко: клюква | Яблоко: клюква | Клюква: яблоко</x:v>
      </x:c>
      <x:c r="AC517" s="28" t="n">
        <x:v>1</x:v>
      </x:c>
      <x:c r="AD517" s="28" t="n">
        <x:v>3</x:v>
      </x:c>
    </x:row>
    <x:row r="518" ht="58" customHeight="1">
      <x:c r="A518" s="28" t="str">
        <x:v>BER-0517</x:v>
      </x:c>
      <x:c r="B518" s="28" t="str">
        <x:v>Универсальные</x:v>
      </x:c>
      <x:c r="C518" s="28" t="str">
        <x:v>клюквенный сок</x:v>
      </x:c>
      <x:c r="D518" s="28" t="str">
        <x:v>cranberry juice</x:v>
      </x:c>
      <x:c r="E518" s="28" t="str">
        <x:v>Ягоды и производные</x:v>
      </x:c>
      <x:c r="F518" s="28" t="str">
        <x:v>базилик</x:v>
      </x:c>
      <x:c r="G518" s="28" t="str">
        <x:v>Basil</x:v>
      </x:c>
      <x:c r="H518" s="28" t="str">
        <x:v>Травы и цветы</x:v>
      </x:c>
      <x:c r="I518" s="28" t="str">
        <x:v>комплексный</x:v>
      </x:c>
      <x:c r="J518" s="28" t="str">
        <x:v>зелёный, травянистый, цветочный</x:v>
      </x:c>
      <x:c r="K518" s="28" t="str">
        <x:v>нет надёжной конкретизации</x:v>
      </x:c>
      <x:c r="L518" s="28" t="str">
        <x:v>гераниол, линалоол, терпены, эвгенол</x:v>
      </x:c>
      <x:c r="M518" s="28" t="str">
        <x:v>прямое совпадение семейств не установлено</x:v>
      </x:c>
      <x:c r="N518" s="28" t="str">
        <x:v>не подтверждены; механизм не сводится к одной общей молекуле</x:v>
      </x:c>
      <x:c r="O518" s="28" t="str">
        <x:v>контраст/комплементарность + матричный эффект</x:v>
      </x:c>
      <x:c r="P518" s="28" t="str">
        <x:v>Ягодная сладость смягчает горечь и пряность, а кислотность делает горьковатый, свежий профиль ярче.</x:v>
      </x:c>
      <x:c r="Q518" s="28" t="str">
        <x:v>Специфического тройничного эффекта обычно нет; кислотность усиливает слюноотделение.</x:v>
      </x:c>
      <x:c r="R518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1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1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1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18" s="28" t="str">
        <x:v>лимон или мёд</x:v>
      </x:c>
      <x:c r="W51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518" s="28" t="str">
        <x:v>напитки; еда; соусы/маринады</x:v>
      </x:c>
      <x:c r="Y518" s="28" t="str">
        <x:v>Средняя</x:v>
      </x:c>
      <x:c r="Z518" s="28" t="str">
        <x:v>The Art &amp; Science of Foodpairing</x:v>
      </x:c>
      <x:c r="AA518" s="28" t="str">
        <x:v>The Art &amp; Science of Foodpairing: 74</x:v>
      </x:c>
      <x:c r="AB518" s="28" t="str">
        <x:v>Ingredient pairings with Basil: cranberry juice</x:v>
      </x:c>
      <x:c r="AC518" s="28" t="n">
        <x:v>1</x:v>
      </x:c>
      <x:c r="AD518" s="28" t="n">
        <x:v>1</x:v>
      </x:c>
    </x:row>
    <x:row r="519" ht="58" customHeight="1">
      <x:c r="A519" s="28" t="str">
        <x:v>BER-0518</x:v>
      </x:c>
      <x:c r="B519" s="28" t="str">
        <x:v>Универсальные</x:v>
      </x:c>
      <x:c r="C519" s="28" t="str">
        <x:v>клюквенный сок</x:v>
      </x:c>
      <x:c r="D519" s="28" t="str">
        <x:v>cranberry juice</x:v>
      </x:c>
      <x:c r="E519" s="28" t="str">
        <x:v>Ягоды и производные</x:v>
      </x:c>
      <x:c r="F519" s="28" t="str">
        <x:v>батат</x:v>
      </x:c>
      <x:c r="G519" s="28" t="str">
        <x:v>Sweet Potato</x:v>
      </x:c>
      <x:c r="H519" s="28" t="str">
        <x:v>Прочее</x:v>
      </x:c>
      <x:c r="I519" s="28" t="str">
        <x:v>комплексный</x:v>
      </x:c>
      <x:c r="J519" s="28" t="str">
        <x:v>комплексный</x:v>
      </x:c>
      <x:c r="K519" s="28" t="str">
        <x:v>нет надёжной конкретизации</x:v>
      </x:c>
      <x:c r="L519" s="28" t="str">
        <x:v>нет надёжной конкретизации</x:v>
      </x:c>
      <x:c r="M519" s="28" t="str">
        <x:v>комплексный</x:v>
      </x:c>
      <x:c r="N519" s="28" t="str">
        <x:v>не подтверждены; механизм не сводится к одной общей молекуле</x:v>
      </x:c>
      <x:c r="O519" s="28" t="str">
        <x:v>сходство ароматических семейств + комплементарность</x:v>
      </x:c>
      <x:c r="P519" s="28" t="str">
        <x:v>Оба компонента формируют зависит от ингредиента и зависит от ингредиента контур; сахар, кислота и горечь должны быть выровнены дегустацией.</x:v>
      </x:c>
      <x:c r="Q519" s="28" t="str">
        <x:v>Специфического тройничного эффекта обычно нет; кислотность усиливает слюноотделение.</x:v>
      </x:c>
      <x:c r="R519" s="28" t="str">
        <x:v>Ягода: механизм зависит от конкретного продукта. Партнёр: механизм зависит от конкретного продукта. В воде аромат раскрывается быстрее, в жире и этаноле — дольше удерживается.</x:v>
      </x:c>
      <x:c r="S51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19" s="28" t="str">
        <x:v>Общие ароматические семейства: комплексный; конкретная доля одорантов зависит от сорта и обработки. Ягодный компонент несёт семейства комплексный; партнёр — комплексный. Оба компонента формируют зависит от ингредиента и зависит от ингредиента контур; сахар, кислота и горечь должны быть выровнены дегустацией. Ягода: механизм зависит от конкретного продукта.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1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19" s="28" t="str">
        <x:v>лимон или ваниль</x:v>
      </x:c>
      <x:c r="W519" s="28" t="str">
        <x:v>сенсорная проба в малой дозировке</x:v>
      </x:c>
      <x:c r="X519" s="28" t="str">
        <x:v>универсально</x:v>
      </x:c>
      <x:c r="Y519" s="28" t="str">
        <x:v>Средняя</x:v>
      </x:c>
      <x:c r="Z519" s="28" t="str">
        <x:v>The Art &amp; Science of Foodpairing</x:v>
      </x:c>
      <x:c r="AA519" s="28" t="str">
        <x:v>The Art &amp; Science of Foodpairing: 119</x:v>
      </x:c>
      <x:c r="AB519" s="28" t="str">
        <x:v>Ingredient pairings with Sweet Potato: cranberry juice</x:v>
      </x:c>
      <x:c r="AC519" s="28" t="n">
        <x:v>1</x:v>
      </x:c>
      <x:c r="AD519" s="28" t="n">
        <x:v>1</x:v>
      </x:c>
    </x:row>
    <x:row r="520" ht="58" customHeight="1">
      <x:c r="A520" s="28" t="str">
        <x:v>BER-0519</x:v>
      </x:c>
      <x:c r="B520" s="28" t="str">
        <x:v>Еда и соусы</x:v>
      </x:c>
      <x:c r="C520" s="28" t="str">
        <x:v>клюквенный сок</x:v>
      </x:c>
      <x:c r="D520" s="28" t="str">
        <x:v>cranberry juice</x:v>
      </x:c>
      <x:c r="E520" s="28" t="str">
        <x:v>Ягоды и производные</x:v>
      </x:c>
      <x:c r="F520" s="28" t="str">
        <x:v>доджанг</x:v>
      </x:c>
      <x:c r="G520" s="28" t="str">
        <x:v>Doenjang</x:v>
      </x:c>
      <x:c r="H520" s="28" t="str">
        <x:v>Ферментированные продукты, соусы и уксусы</x:v>
      </x:c>
      <x:c r="I520" s="28" t="str">
        <x:v>комплексный</x:v>
      </x:c>
      <x:c r="J520" s="28" t="str">
        <x:v>кислый, умами, ферментированный</x:v>
      </x:c>
      <x:c r="K520" s="28" t="str">
        <x:v>нет надёжной конкретизации</x:v>
      </x:c>
      <x:c r="L520" s="28" t="str">
        <x:v>аминокислоты, органические кислоты, эфиры</x:v>
      </x:c>
      <x:c r="M520" s="28" t="str">
        <x:v>прямое совпадение семейств не установлено</x:v>
      </x:c>
      <x:c r="N520" s="28" t="str">
        <x:v>не подтверждены; механизм не сводится к одной общей молекуле</x:v>
      </x:c>
      <x:c r="O520" s="28" t="str">
        <x:v>контраст/комплементарность + матричный эффект</x:v>
      </x:c>
      <x:c r="P520" s="28" t="str">
        <x:v>Оба компонента формируют зависит от ингредиента и кислый/солёный/умами контур; сахар, кислота и горечь должны быть выровнены дегустацией.</x:v>
      </x:c>
      <x:c r="Q520" s="28" t="str">
        <x:v>Специфического тройничного эффекта обычно нет; кислотность усиливает слюноотделение.</x:v>
      </x:c>
      <x:c r="R520" s="28" t="str">
        <x:v>Ягода: механизм зависит от конкретного продукта. Партнёр: вода, соль и продукты ферментации. В воде аромат раскрывается быстрее, в жире и этаноле — дольше удерживается.</x:v>
      </x:c>
      <x:c r="S52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2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кислый, умами, ферментированный. Оба компонента формируют зависит от ингредиента и кислый/солёный/умами контур; сахар, кислота и горечь должны быть выровнены дегустацией. Ягода: механизм зависит от конкретного продукта.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2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20" s="28" t="str">
        <x:v>мёд или соевый соус</x:v>
      </x:c>
      <x:c r="W520" s="28" t="str">
        <x:v>соус, глазировка, салат, сырная подача или горячее блюдо; маринад, гастрик, чатни, кетчуп или редукция</x:v>
      </x:c>
      <x:c r="X520" s="28" t="str">
        <x:v>еда; соусы/маринады</x:v>
      </x:c>
      <x:c r="Y520" s="28" t="str">
        <x:v>Средняя</x:v>
      </x:c>
      <x:c r="Z520" s="28" t="str">
        <x:v>The Art &amp; Science of Foodpairing</x:v>
      </x:c>
      <x:c r="AA520" s="28" t="str">
        <x:v>The Art &amp; Science of Foodpairing: 246</x:v>
      </x:c>
      <x:c r="AB520" s="28" t="str">
        <x:v>Ingredient pairings with Doenjang: cranberry juice</x:v>
      </x:c>
      <x:c r="AC520" s="28" t="n">
        <x:v>1</x:v>
      </x:c>
      <x:c r="AD520" s="28" t="n">
        <x:v>1</x:v>
      </x:c>
    </x:row>
    <x:row r="521" ht="58" customHeight="1">
      <x:c r="A521" s="28" t="str">
        <x:v>BER-0520</x:v>
      </x:c>
      <x:c r="B521" s="28" t="str">
        <x:v>Универсальные</x:v>
      </x:c>
      <x:c r="C521" s="28" t="str">
        <x:v>клюквенный сок</x:v>
      </x:c>
      <x:c r="D521" s="28" t="str">
        <x:v>cranberry juice</x:v>
      </x:c>
      <x:c r="E521" s="28" t="str">
        <x:v>Ягоды и производные</x:v>
      </x:c>
      <x:c r="F521" s="28" t="str">
        <x:v>кардамон</x:v>
      </x:c>
      <x:c r="G521" s="28" t="str">
        <x:v>Cardamom</x:v>
      </x:c>
      <x:c r="H521" s="28" t="str">
        <x:v>Специи</x:v>
      </x:c>
      <x:c r="I521" s="28" t="str">
        <x:v>комплексный</x:v>
      </x:c>
      <x:c r="J521" s="28" t="str">
        <x:v>древесный, пряный, тёплый</x:v>
      </x:c>
      <x:c r="K521" s="28" t="str">
        <x:v>нет надёжной конкретизации</x:v>
      </x:c>
      <x:c r="L521" s="28" t="str">
        <x:v>коричный альдегид, терпены, эвгенол</x:v>
      </x:c>
      <x:c r="M521" s="28" t="str">
        <x:v>прямое совпадение семейств не установлено</x:v>
      </x:c>
      <x:c r="N521" s="28" t="str">
        <x:v>не подтверждены; механизм не сводится к одной общей молекуле</x:v>
      </x:c>
      <x:c r="O521" s="28" t="str">
        <x:v>контраст/комплементарность + матричный эффект</x:v>
      </x:c>
      <x:c r="P521" s="28" t="str">
        <x:v>Ягодная сладость смягчает горечь и пряность, а кислотность делает пряный, иногда горький профиль ярче.</x:v>
      </x:c>
      <x:c r="Q521" s="28" t="str">
        <x:v>Специфического тройничного эффекта обычно нет; кислотность усиливает слюноотделение.</x:v>
      </x:c>
      <x:c r="R521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2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2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21" s="28" t="str">
        <x:v>Пряность дозировать как акцент: она быстро перекрывает тонкие ягодные эфиры.</x:v>
      </x:c>
      <x:c r="V521" s="28" t="str">
        <x:v>мёд или цитрус</x:v>
      </x:c>
      <x:c r="W52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521" s="28" t="str">
        <x:v>напитки; десерты; еда; соусы/маринады</x:v>
      </x:c>
      <x:c r="Y521" s="28" t="str">
        <x:v>Средняя</x:v>
      </x:c>
      <x:c r="Z521" s="28" t="str">
        <x:v>The Art &amp; Science of Foodpairing</x:v>
      </x:c>
      <x:c r="AA521" s="28" t="str">
        <x:v>The Art &amp; Science of Foodpairing: 256</x:v>
      </x:c>
      <x:c r="AB521" s="28" t="str">
        <x:v>Ingredient pairings with Cardamom: cranberry juice</x:v>
      </x:c>
      <x:c r="AC521" s="28" t="n">
        <x:v>1</x:v>
      </x:c>
      <x:c r="AD521" s="28" t="n">
        <x:v>1</x:v>
      </x:c>
    </x:row>
    <x:row r="522" ht="58" customHeight="1">
      <x:c r="A522" s="28" t="str">
        <x:v>BER-0521</x:v>
      </x:c>
      <x:c r="B522" s="28" t="str">
        <x:v>Универсальные</x:v>
      </x:c>
      <x:c r="C522" s="28" t="str">
        <x:v>красная смородина</x:v>
      </x:c>
      <x:c r="D522" s="28" t="str">
        <x:v>redcurrant</x:v>
      </x:c>
      <x:c r="E522" s="28" t="str">
        <x:v>Ягоды и производные</x:v>
      </x:c>
      <x:c r="F522" s="28" t="str">
        <x:v>чёрный перец</x:v>
      </x:c>
      <x:c r="G522" s="28" t="str">
        <x:v>Black Peppercorns</x:v>
      </x:c>
      <x:c r="H522" s="28" t="str">
        <x:v>Специи</x:v>
      </x:c>
      <x:c r="I522" s="28" t="str">
        <x:v>зелёный, кислый, красно-фруктовый</x:v>
      </x:c>
      <x:c r="J522" s="28" t="str">
        <x:v>древесный, пряный, тёплый</x:v>
      </x:c>
      <x:c r="K522" s="28" t="str">
        <x:v>C6-альдегиды, терпены, эфиры</x:v>
      </x:c>
      <x:c r="L522" s="28" t="str">
        <x:v>коричный альдегид, терпены, эвгенол</x:v>
      </x:c>
      <x:c r="M522" s="28" t="str">
        <x:v>прямое совпадение семейств не установлено</x:v>
      </x:c>
      <x:c r="N522" s="28" t="str">
        <x:v>терпены</x:v>
      </x:c>
      <x:c r="O522" s="28" t="str">
        <x:v>ароматическое сходство + вкусовой баланс</x:v>
      </x:c>
      <x:c r="P522" s="28" t="str">
        <x:v>Ягодная сладость смягчает горечь и пряность, а кислотность делает пряный, иногда горький профиль ярче.</x:v>
      </x:c>
      <x:c r="Q522" s="28" t="str">
        <x:v>Специфического тройничного эффекта обычно нет; кислотность усиливает слюноотделение.</x:v>
      </x:c>
      <x:c r="R522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2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22" s="28" t="str">
        <x:v>Прямой вероятный молекулярный мост: терпены. Ягодный компонент несёт семейства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22" s="28" t="str">
        <x:v>Пряность дозировать как акцент: она быстро перекрывает тонкие ягодные эфиры.</x:v>
      </x:c>
      <x:c r="V522" s="28" t="str">
        <x:v>мёд или цитрус</x:v>
      </x:c>
      <x:c r="W52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522" s="28" t="str">
        <x:v>напитки; десерты; еда; соусы/маринады</x:v>
      </x:c>
      <x:c r="Y522" s="28" t="str">
        <x:v>Средняя</x:v>
      </x:c>
      <x:c r="Z522" s="28" t="str">
        <x:v>The Art &amp; Science of Foodpairing</x:v>
      </x:c>
      <x:c r="AA522" s="28" t="str">
        <x:v>The Art &amp; Science of Foodpairing: 275</x:v>
      </x:c>
      <x:c r="AB522" s="28" t="str">
        <x:v>Ingredient pairings with Black Peppercorns: redcurrant</x:v>
      </x:c>
      <x:c r="AC522" s="28" t="n">
        <x:v>1</x:v>
      </x:c>
      <x:c r="AD522" s="28" t="n">
        <x:v>1</x:v>
      </x:c>
    </x:row>
    <x:row r="523" ht="58" customHeight="1">
      <x:c r="A523" s="28" t="str">
        <x:v>BER-0522</x:v>
      </x:c>
      <x:c r="B523" s="28" t="str">
        <x:v>Десерты и выпечка</x:v>
      </x:c>
      <x:c r="C523" s="28" t="str">
        <x:v>крыжовник</x:v>
      </x:c>
      <x:c r="D523" s="28" t="str">
        <x:v>Крыжовник</x:v>
      </x:c>
      <x:c r="E523" s="28" t="str">
        <x:v>Ягоды и производные</x:v>
      </x:c>
      <x:c r="F523" s="28" t="str">
        <x:v>белый шоколад</x:v>
      </x:c>
      <x:c r="G523" s="28" t="str">
        <x:v>белый шоколад</x:v>
      </x:c>
      <x:c r="H523" s="28" t="str">
        <x:v>Шоколад, кофе и жареные продукты</x:v>
      </x:c>
      <x:c r="I523" s="28" t="str">
        <x:v>зелёный, кислый, травянистый, тропический</x:v>
      </x:c>
      <x:c r="J523" s="28" t="str">
        <x:v>горький, жареный, карамельный, ореховый</x:v>
      </x:c>
      <x:c r="K523" s="28" t="str">
        <x:v>C6-альдегиды, следовые тиолы, эфиры</x:v>
      </x:c>
      <x:c r="L523" s="28" t="str">
        <x:v>ванилин, пиразины, фураны</x:v>
      </x:c>
      <x:c r="M523" s="28" t="str">
        <x:v>прямое совпадение семейств не установлено</x:v>
      </x:c>
      <x:c r="N523" s="28" t="str">
        <x:v>не подтверждены; механизм не сводится к одной общей молекуле</x:v>
      </x:c>
      <x:c r="O523" s="28" t="str">
        <x:v>контраст/комплементарность + матричный эффект</x:v>
      </x:c>
      <x:c r="P523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523" s="28" t="str">
        <x:v>Специфического тройничного эффекта обычно нет; кислотность усиливает слюноотделение.</x:v>
      </x:c>
      <x:c r="R523" s="28" t="str">
        <x:v>Жировая фаза удерживает гидрофобные одоранты и продлевает послевкусие; кислотность ягод повышает слюноотделение.</x:v>
      </x:c>
      <x:c r="S52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2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кислый, травянистый, тропический;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2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23" s="28" t="str">
        <x:v>ваниль или орехи</x:v>
      </x:c>
      <x:c r="W523" s="28" t="str">
        <x:v>сорбет, крем, ганаш, выпечка, джем или соус для десерта</x:v>
      </x:c>
      <x:c r="X523" s="28" t="str">
        <x:v>десерты</x:v>
      </x:c>
      <x:c r="Y523" s="28" t="str">
        <x:v>Средняя</x:v>
      </x:c>
      <x:c r="Z523" s="28" t="str">
        <x:v>Таблица сочетаний</x:v>
      </x:c>
      <x:c r="AA523" s="28" t="str">
        <x:v>Таблица сочетаний: 8</x:v>
      </x:c>
      <x:c r="AB523" s="28" t="str">
        <x:v>Крыжовник: белый шоколад</x:v>
      </x:c>
      <x:c r="AC523" s="28" t="n">
        <x:v>1</x:v>
      </x:c>
      <x:c r="AD523" s="28" t="n">
        <x:v>1</x:v>
      </x:c>
    </x:row>
    <x:row r="524" ht="58" customHeight="1">
      <x:c r="A524" s="28" t="str">
        <x:v>BER-0523</x:v>
      </x:c>
      <x:c r="B524" s="28" t="str">
        <x:v>Универсальные</x:v>
      </x:c>
      <x:c r="C524" s="28" t="str">
        <x:v>крыжовник</x:v>
      </x:c>
      <x:c r="D524" s="28" t="str">
        <x:v>Крыжовник</x:v>
      </x:c>
      <x:c r="E524" s="28" t="str">
        <x:v>Ягоды и производные</x:v>
      </x:c>
      <x:c r="F524" s="28" t="str">
        <x:v>имбирь</x:v>
      </x:c>
      <x:c r="G524" s="28" t="str">
        <x:v>имбирь</x:v>
      </x:c>
      <x:c r="H524" s="28" t="str">
        <x:v>Специи</x:v>
      </x:c>
      <x:c r="I524" s="28" t="str">
        <x:v>зелёный, кислый, травянистый, тропический</x:v>
      </x:c>
      <x:c r="J524" s="28" t="str">
        <x:v>древесный, пряный, тёплый</x:v>
      </x:c>
      <x:c r="K524" s="28" t="str">
        <x:v>C6-альдегиды, следовые тиолы, эфиры</x:v>
      </x:c>
      <x:c r="L524" s="28" t="str">
        <x:v>коричный альдегид, терпены, эвгенол</x:v>
      </x:c>
      <x:c r="M524" s="28" t="str">
        <x:v>прямое совпадение семейств не установлено</x:v>
      </x:c>
      <x:c r="N524" s="28" t="str">
        <x:v>не подтверждены; механизм не сводится к одной общей молекуле</x:v>
      </x:c>
      <x:c r="O524" s="28" t="str">
        <x:v>контраст/комплементарность + матричный эффект</x:v>
      </x:c>
      <x:c r="P524" s="28" t="str">
        <x:v>Ягодная сладость смягчает горечь и пряность, а кислотность делает пряный, иногда горький профиль ярче.</x:v>
      </x:c>
      <x:c r="Q524" s="28" t="str">
        <x:v>Кислотность ягоды усиливает слюноотделение, а капсаицин/пиперин/гингеролы дают тепло и покалывание; дозировка должна быть низкой.</x:v>
      </x:c>
      <x:c r="R524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2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2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кислый, травянистый, тропический;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24" s="28" t="str">
        <x:v>Пряность дозировать как акцент: она быстро перекрывает тонкие ягодные эфиры.</x:v>
      </x:c>
      <x:c r="V524" s="28" t="str">
        <x:v>мёд или цитрус</x:v>
      </x:c>
      <x:c r="W52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524" s="28" t="str">
        <x:v>напитки; десерты; еда; соусы/маринады</x:v>
      </x:c>
      <x:c r="Y524" s="28" t="str">
        <x:v>Средняя</x:v>
      </x:c>
      <x:c r="Z524" s="28" t="str">
        <x:v>Таблица сочетаний</x:v>
      </x:c>
      <x:c r="AA524" s="28" t="str">
        <x:v>Таблица сочетаний: 8</x:v>
      </x:c>
      <x:c r="AB524" s="28" t="str">
        <x:v>Крыжовник: имбирь</x:v>
      </x:c>
      <x:c r="AC524" s="28" t="n">
        <x:v>1</x:v>
      </x:c>
      <x:c r="AD524" s="28" t="n">
        <x:v>1</x:v>
      </x:c>
    </x:row>
    <x:row r="525" ht="58" customHeight="1">
      <x:c r="A525" s="28" t="str">
        <x:v>BER-0524</x:v>
      </x:c>
      <x:c r="B525" s="28" t="str">
        <x:v>Напитки</x:v>
      </x:c>
      <x:c r="C525" s="28" t="str">
        <x:v>крыжовник</x:v>
      </x:c>
      <x:c r="D525" s="28" t="str">
        <x:v>Крыжовник</x:v>
      </x:c>
      <x:c r="E525" s="28" t="str">
        <x:v>Ягоды и производные</x:v>
      </x:c>
      <x:c r="F525" s="28" t="str">
        <x:v>лайм</x:v>
      </x:c>
      <x:c r="G525" s="28" t="str">
        <x:v>лайм</x:v>
      </x:c>
      <x:c r="H525" s="28" t="str">
        <x:v>Цитрусовые</x:v>
      </x:c>
      <x:c r="I525" s="28" t="str">
        <x:v>зелёный, кислый, травянистый, тропический</x:v>
      </x:c>
      <x:c r="J525" s="28" t="str">
        <x:v>зелёный, цветочный, цитрусовый</x:v>
      </x:c>
      <x:c r="K525" s="28" t="str">
        <x:v>C6-альдегиды, следовые тиолы, эфиры</x:v>
      </x:c>
      <x:c r="L525" s="28" t="str">
        <x:v>лимонен, линалоол, цитраль</x:v>
      </x:c>
      <x:c r="M525" s="28" t="str">
        <x:v>зелёный</x:v>
      </x:c>
      <x:c r="N525" s="28" t="str">
        <x:v>не подтверждены; механизм не сводится к одной общей молекуле</x:v>
      </x:c>
      <x:c r="O525" s="28" t="str">
        <x:v>сходство ароматических семейств + комплементарность</x:v>
      </x:c>
      <x:c r="P525" s="28" t="str">
        <x:v>Оба компонента формируют ярко-кислый и кислый, свежий контур; сахар, кислота и горечь должны быть выровнены дегустацией.</x:v>
      </x:c>
      <x:c r="Q525" s="28" t="str">
        <x:v>Специфического тройничного эффекта обычно нет; кислотность усиливает слюноотделение.</x:v>
      </x:c>
      <x:c r="R525" s="28" t="str">
        <x:v>Ягода: незрелый плод даёт более травянистый профиль. Партнёр: вода и эфирные масла; цедра гидрофобна. В воде аромат раскрывается быстрее, в жире и этаноле — дольше удерживается.</x:v>
      </x:c>
      <x:c r="S52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25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цветочный, цитрусовый. Оба компонента формируют ярко-кислый и кислый, свежий контур; сахар, кислота и горечь должны быть выровнены дегустацией. Ягода: незрелый плод даёт более травянистый профиль.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2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25" s="28" t="str">
        <x:v>мёд или базилик</x:v>
      </x:c>
      <x:c r="W525" s="28" t="str">
        <x:v>кордиал, лимонад, чай, коктейль, настой или ферментированный напиток; маринад, гастрик, чатни, кетчуп или редукция</x:v>
      </x:c>
      <x:c r="X525" s="28" t="str">
        <x:v>напитки; соусы/маринады</x:v>
      </x:c>
      <x:c r="Y525" s="28" t="str">
        <x:v>Средняя</x:v>
      </x:c>
      <x:c r="Z525" s="28" t="str">
        <x:v>Таблица сочетаний</x:v>
      </x:c>
      <x:c r="AA525" s="28" t="str">
        <x:v>Таблица сочетаний: 8</x:v>
      </x:c>
      <x:c r="AB525" s="28" t="str">
        <x:v>Крыжовник: лайм</x:v>
      </x:c>
      <x:c r="AC525" s="28" t="n">
        <x:v>1</x:v>
      </x:c>
      <x:c r="AD525" s="28" t="n">
        <x:v>1</x:v>
      </x:c>
    </x:row>
    <x:row r="526" ht="58" customHeight="1">
      <x:c r="A526" s="28" t="str">
        <x:v>BER-0525</x:v>
      </x:c>
      <x:c r="B526" s="28" t="str">
        <x:v>Напитки</x:v>
      </x:c>
      <x:c r="C526" s="28" t="str">
        <x:v>крыжовник</x:v>
      </x:c>
      <x:c r="D526" s="28" t="str">
        <x:v>Крыжовник</x:v>
      </x:c>
      <x:c r="E526" s="28" t="str">
        <x:v>Ягоды и производные</x:v>
      </x:c>
      <x:c r="F526" s="28" t="str">
        <x:v>лимон</x:v>
      </x:c>
      <x:c r="G526" s="28" t="str">
        <x:v>лимон</x:v>
      </x:c>
      <x:c r="H526" s="28" t="str">
        <x:v>Цитрусовые</x:v>
      </x:c>
      <x:c r="I526" s="28" t="str">
        <x:v>зелёный, кислый, травянистый, тропический</x:v>
      </x:c>
      <x:c r="J526" s="28" t="str">
        <x:v>зелёный, цветочный, цитрусовый</x:v>
      </x:c>
      <x:c r="K526" s="28" t="str">
        <x:v>C6-альдегиды, следовые тиолы, эфиры</x:v>
      </x:c>
      <x:c r="L526" s="28" t="str">
        <x:v>лимонен, линалоол, цитраль</x:v>
      </x:c>
      <x:c r="M526" s="28" t="str">
        <x:v>зелёный</x:v>
      </x:c>
      <x:c r="N526" s="28" t="str">
        <x:v>не подтверждены; механизм не сводится к одной общей молекуле</x:v>
      </x:c>
      <x:c r="O526" s="28" t="str">
        <x:v>сходство ароматических семейств + комплементарность</x:v>
      </x:c>
      <x:c r="P526" s="28" t="str">
        <x:v>Оба компонента формируют ярко-кислый и кислый, свежий контур; сахар, кислота и горечь должны быть выровнены дегустацией.</x:v>
      </x:c>
      <x:c r="Q526" s="28" t="str">
        <x:v>Специфического тройничного эффекта обычно нет; кислотность усиливает слюноотделение.</x:v>
      </x:c>
      <x:c r="R526" s="28" t="str">
        <x:v>Ягода: незрелый плод даёт более травянистый профиль. Партнёр: вода и эфирные масла; цедра гидрофобна. В воде аромат раскрывается быстрее, в жире и этаноле — дольше удерживается.</x:v>
      </x:c>
      <x:c r="S52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26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цветочный, цитрусовый. Оба компонента формируют ярко-кислый и кислый, свежий контур; сахар, кислота и горечь должны быть выровнены дегустацией. Ягода: незрелый плод даёт более травянистый профиль.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2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26" s="28" t="str">
        <x:v>мёд или базилик</x:v>
      </x:c>
      <x:c r="W526" s="28" t="str">
        <x:v>кордиал, лимонад, чай, коктейль, настой или ферментированный напиток; маринад, гастрик, чатни, кетчуп или редукция</x:v>
      </x:c>
      <x:c r="X526" s="28" t="str">
        <x:v>напитки; соусы/маринады</x:v>
      </x:c>
      <x:c r="Y526" s="28" t="str">
        <x:v>Средняя</x:v>
      </x:c>
      <x:c r="Z526" s="28" t="str">
        <x:v>Таблица сочетаний</x:v>
      </x:c>
      <x:c r="AA526" s="28" t="str">
        <x:v>Таблица сочетаний: 8</x:v>
      </x:c>
      <x:c r="AB526" s="28" t="str">
        <x:v>Крыжовник: лимон</x:v>
      </x:c>
      <x:c r="AC526" s="28" t="n">
        <x:v>1</x:v>
      </x:c>
      <x:c r="AD526" s="28" t="n">
        <x:v>1</x:v>
      </x:c>
    </x:row>
    <x:row r="527" ht="58" customHeight="1">
      <x:c r="A527" s="28" t="str">
        <x:v>BER-0526</x:v>
      </x:c>
      <x:c r="B527" s="28" t="str">
        <x:v>Напитки</x:v>
      </x:c>
      <x:c r="C527" s="28" t="str">
        <x:v>крыжовник</x:v>
      </x:c>
      <x:c r="D527" s="28" t="str">
        <x:v>gooseberry</x:v>
      </x:c>
      <x:c r="E527" s="28" t="str">
        <x:v>Ягоды и производные</x:v>
      </x:c>
      <x:c r="F527" s="28" t="str">
        <x:v>лимон и лайм</x:v>
      </x:c>
      <x:c r="G527" s="28" t="str">
        <x:v>Lemon&amp;Lime</x:v>
      </x:c>
      <x:c r="H527" s="28" t="str">
        <x:v>Цитрусовые</x:v>
      </x:c>
      <x:c r="I527" s="28" t="str">
        <x:v>зелёный, кислый, травянистый, тропический</x:v>
      </x:c>
      <x:c r="J527" s="28" t="str">
        <x:v>зелёный, цветочный, цитрусовый</x:v>
      </x:c>
      <x:c r="K527" s="28" t="str">
        <x:v>C6-альдегиды, следовые тиолы, эфиры</x:v>
      </x:c>
      <x:c r="L527" s="28" t="str">
        <x:v>лимонен, линалоол, цитраль</x:v>
      </x:c>
      <x:c r="M527" s="28" t="str">
        <x:v>зелёный</x:v>
      </x:c>
      <x:c r="N527" s="28" t="str">
        <x:v>не подтверждены; механизм не сводится к одной общей молекуле</x:v>
      </x:c>
      <x:c r="O527" s="28" t="str">
        <x:v>сходство ароматических семейств + комплементарность</x:v>
      </x:c>
      <x:c r="P527" s="28" t="str">
        <x:v>Оба компонента формируют ярко-кислый и кислый, свежий контур; сахар, кислота и горечь должны быть выровнены дегустацией.</x:v>
      </x:c>
      <x:c r="Q527" s="28" t="str">
        <x:v>Специфического тройничного эффекта обычно нет; кислотность усиливает слюноотделение.</x:v>
      </x:c>
      <x:c r="R527" s="28" t="str">
        <x:v>Ягода: незрелый плод даёт более травянистый профиль. Партнёр: вода и эфирные масла; цедра гидрофобна. В воде аромат раскрывается быстрее, в жире и этаноле — дольше удерживается.</x:v>
      </x:c>
      <x:c r="S52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27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цветочный, цитрусовый. Оба компонента формируют ярко-кислый и кислый, свежий контур; сахар, кислота и горечь должны быть выровнены дегустацией. Ягода: незрелый плод даёт более травянистый профиль.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2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27" s="28" t="str">
        <x:v>мёд или базилик</x:v>
      </x:c>
      <x:c r="W527" s="28" t="str">
        <x:v>кордиал, лимонад, чай, коктейль, настой или ферментированный напиток; маринад, гастрик, чатни, кетчуп или редукция</x:v>
      </x:c>
      <x:c r="X527" s="28" t="str">
        <x:v>напитки; соусы/маринады</x:v>
      </x:c>
      <x:c r="Y527" s="28" t="str">
        <x:v>Средняя</x:v>
      </x:c>
      <x:c r="Z527" s="28" t="str">
        <x:v>The Art &amp; Science of Foodpairing</x:v>
      </x:c>
      <x:c r="AA527" s="28" t="str">
        <x:v>The Art &amp; Science of Foodpairing: 88</x:v>
      </x:c>
      <x:c r="AB527" s="28" t="str">
        <x:v>Ingredient pairings with Lemon&amp;Lime: gooseberry</x:v>
      </x:c>
      <x:c r="AC527" s="28" t="n">
        <x:v>1</x:v>
      </x:c>
      <x:c r="AD527" s="28" t="n">
        <x:v>1</x:v>
      </x:c>
    </x:row>
    <x:row r="528" ht="58" customHeight="1">
      <x:c r="A528" s="28" t="str">
        <x:v>BER-0527</x:v>
      </x:c>
      <x:c r="B528" s="28" t="str">
        <x:v>Универсальные</x:v>
      </x:c>
      <x:c r="C528" s="28" t="str">
        <x:v>крыжовник</x:v>
      </x:c>
      <x:c r="D528" s="28" t="str">
        <x:v>Крыжовник</x:v>
      </x:c>
      <x:c r="E528" s="28" t="str">
        <x:v>Ягоды и производные</x:v>
      </x:c>
      <x:c r="F528" s="28" t="str">
        <x:v>мёд</x:v>
      </x:c>
      <x:c r="G528" s="28" t="str">
        <x:v>мёд</x:v>
      </x:c>
      <x:c r="H528" s="28" t="str">
        <x:v>Прочее</x:v>
      </x:c>
      <x:c r="I528" s="28" t="str">
        <x:v>зелёный, кислый, травянистый, тропический</x:v>
      </x:c>
      <x:c r="J528" s="28" t="str">
        <x:v>комплексный</x:v>
      </x:c>
      <x:c r="K528" s="28" t="str">
        <x:v>C6-альдегиды, следовые тиолы, эфиры</x:v>
      </x:c>
      <x:c r="L528" s="28" t="str">
        <x:v>нет надёжной конкретизации</x:v>
      </x:c>
      <x:c r="M528" s="28" t="str">
        <x:v>прямое совпадение семейств не установлено</x:v>
      </x:c>
      <x:c r="N528" s="28" t="str">
        <x:v>не подтверждены; механизм не сводится к одной общей молекуле</x:v>
      </x:c>
      <x:c r="O528" s="28" t="str">
        <x:v>контраст/комплементарность + матричный эффект</x:v>
      </x:c>
      <x:c r="P528" s="28" t="str">
        <x:v>Оба компонента формируют ярко-кислый и зависит от ингредиента контур; сахар, кислота и горечь должны быть выровнены дегустацией.</x:v>
      </x:c>
      <x:c r="Q528" s="28" t="str">
        <x:v>Специфического тройничного эффекта обычно нет; кислотность усиливает слюноотделение.</x:v>
      </x:c>
      <x:c r="R528" s="28" t="str">
        <x:v>Ягода: незрелый плод даёт более травянистый профиль. Партнёр: механизм зависит от конкретного продукта. В воде аромат раскрывается быстрее, в жире и этаноле — дольше удерживается.</x:v>
      </x:c>
      <x:c r="S52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2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кислый, травянистый, тропический; партнёр — комплексный. Оба компонента формируют ярко-кислый и зависит от ингредиента контур; сахар, кислота и горечь должны быть выровнены дегустацией. Ягода: незрелый плод даёт более травянистый профиль.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2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28" s="28" t="str">
        <x:v>лимон или ваниль</x:v>
      </x:c>
      <x:c r="W528" s="28" t="str">
        <x:v>сенсорная проба в малой дозировке</x:v>
      </x:c>
      <x:c r="X528" s="28" t="str">
        <x:v>универсально</x:v>
      </x:c>
      <x:c r="Y528" s="28" t="str">
        <x:v>Средняя</x:v>
      </x:c>
      <x:c r="Z528" s="28" t="str">
        <x:v>Таблица сочетаний</x:v>
      </x:c>
      <x:c r="AA528" s="28" t="str">
        <x:v>Таблица сочетаний: 8</x:v>
      </x:c>
      <x:c r="AB528" s="28" t="str">
        <x:v>Крыжовник: мёд</x:v>
      </x:c>
      <x:c r="AC528" s="28" t="n">
        <x:v>1</x:v>
      </x:c>
      <x:c r="AD528" s="28" t="n">
        <x:v>1</x:v>
      </x:c>
    </x:row>
    <x:row r="529" ht="58" customHeight="1">
      <x:c r="A529" s="28" t="str">
        <x:v>BER-0528</x:v>
      </x:c>
      <x:c r="B529" s="28" t="str">
        <x:v>Универсальные</x:v>
      </x:c>
      <x:c r="C529" s="28" t="str">
        <x:v>крыжовник</x:v>
      </x:c>
      <x:c r="D529" s="28" t="str">
        <x:v>Крыжовник</x:v>
      </x:c>
      <x:c r="E529" s="28" t="str">
        <x:v>Ягоды и производные</x:v>
      </x:c>
      <x:c r="F529" s="28" t="str">
        <x:v>мята</x:v>
      </x:c>
      <x:c r="G529" s="28" t="str">
        <x:v>мята</x:v>
      </x:c>
      <x:c r="H529" s="28" t="str">
        <x:v>Травы и цветы</x:v>
      </x:c>
      <x:c r="I529" s="28" t="str">
        <x:v>зелёный, кислый, травянистый, тропический</x:v>
      </x:c>
      <x:c r="J529" s="28" t="str">
        <x:v>зелёный, травянистый, цветочный</x:v>
      </x:c>
      <x:c r="K529" s="28" t="str">
        <x:v>C6-альдегиды, следовые тиолы, эфиры</x:v>
      </x:c>
      <x:c r="L529" s="28" t="str">
        <x:v>гераниол, линалоол, терпены, эвгенол</x:v>
      </x:c>
      <x:c r="M529" s="28" t="str">
        <x:v>зелёный, травянистый</x:v>
      </x:c>
      <x:c r="N529" s="28" t="str">
        <x:v>не подтверждены; механизм не сводится к одной общей молекуле</x:v>
      </x:c>
      <x:c r="O529" s="28" t="str">
        <x:v>сходство ароматических семейств + комплементарность</x:v>
      </x:c>
      <x:c r="P529" s="28" t="str">
        <x:v>Ягодная сладость смягчает горечь и пряность, а кислотность делает горьковатый, свежий профиль ярче.</x:v>
      </x:c>
      <x:c r="Q529" s="28" t="str">
        <x:v>Специфического тройничного эффекта обычно нет; кислотность усиливает слюноотделение.</x:v>
      </x:c>
      <x:c r="R529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2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29" s="28" t="str">
        <x:v>Общие ароматические семейства: зелёный, травянистый;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2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29" s="28" t="str">
        <x:v>лимон или мёд</x:v>
      </x:c>
      <x:c r="W52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529" s="28" t="str">
        <x:v>напитки; еда; соусы/маринады</x:v>
      </x:c>
      <x:c r="Y529" s="28" t="str">
        <x:v>Средняя</x:v>
      </x:c>
      <x:c r="Z529" s="28" t="str">
        <x:v>Таблица сочетаний</x:v>
      </x:c>
      <x:c r="AA529" s="28" t="str">
        <x:v>Таблица сочетаний: 8</x:v>
      </x:c>
      <x:c r="AB529" s="28" t="str">
        <x:v>Крыжовник: мята</x:v>
      </x:c>
      <x:c r="AC529" s="28" t="n">
        <x:v>1</x:v>
      </x:c>
      <x:c r="AD529" s="28" t="n">
        <x:v>1</x:v>
      </x:c>
    </x:row>
    <x:row r="530" ht="58" customHeight="1">
      <x:c r="A530" s="28" t="str">
        <x:v>BER-0529</x:v>
      </x:c>
      <x:c r="B530" s="28" t="str">
        <x:v>Десерты и выпечка</x:v>
      </x:c>
      <x:c r="C530" s="28" t="str">
        <x:v>крыжовник</x:v>
      </x:c>
      <x:c r="D530" s="28" t="str">
        <x:v>gooseberry</x:v>
      </x:c>
      <x:c r="E530" s="28" t="str">
        <x:v>Ягоды и производные</x:v>
      </x:c>
      <x:c r="F530" s="28" t="str">
        <x:v>оливковое масло</x:v>
      </x:c>
      <x:c r="G530" s="28" t="str">
        <x:v>Olive Oil</x:v>
      </x:c>
      <x:c r="H530" s="28" t="str">
        <x:v>Молочные продукты и сыры</x:v>
      </x:c>
      <x:c r="I530" s="28" t="str">
        <x:v>зелёный, кислый, травянистый, тропический</x:v>
      </x:c>
      <x:c r="J530" s="28" t="str">
        <x:v>масляный, молочный, сливочный, сырный</x:v>
      </x:c>
      <x:c r="K530" s="28" t="str">
        <x:v>C6-альдегиды, следовые тиолы, эфиры</x:v>
      </x:c>
      <x:c r="L530" s="28" t="str">
        <x:v>диацетил, жирные кислоты, лактоны</x:v>
      </x:c>
      <x:c r="M530" s="28" t="str">
        <x:v>прямое совпадение семейств не установлено</x:v>
      </x:c>
      <x:c r="N530" s="28" t="str">
        <x:v>не подтверждены; механизм не сводится к одной общей молекуле</x:v>
      </x:c>
      <x:c r="O530" s="28" t="str">
        <x:v>контраст/комплементарность + матричный эффект</x:v>
      </x:c>
      <x:c r="P530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530" s="28" t="str">
        <x:v>Специфического тройничного эффекта обычно нет; кислотность усиливает слюноотделение.</x:v>
      </x:c>
      <x:c r="R530" s="28" t="str">
        <x:v>Жировая фаза удерживает гидрофобные одоранты и продлевает послевкусие; кислотность ягод повышает слюноотделение.</x:v>
      </x:c>
      <x:c r="S53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53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кислый, травянистый, тропический;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530" s="28" t="str">
        <x:v>Высокая кислотность может свернуть молочный белок; смешивать при контролируемой температуре.</x:v>
      </x:c>
      <x:c r="V530" s="28" t="str">
        <x:v>мёд или миндаль</x:v>
      </x:c>
      <x:c r="W530" s="28" t="str">
        <x:v>сорбет, крем, ганаш, выпечка, джем или соус для десерта; соус, глазировка, салат, сырная подача или горячее блюдо</x:v>
      </x:c>
      <x:c r="X530" s="28" t="str">
        <x:v>десерты; еда</x:v>
      </x:c>
      <x:c r="Y530" s="28" t="str">
        <x:v>Средняя</x:v>
      </x:c>
      <x:c r="Z530" s="28" t="str">
        <x:v>The Art &amp; Science of Foodpairing</x:v>
      </x:c>
      <x:c r="AA530" s="28" t="str">
        <x:v>The Art &amp; Science of Foodpairing: 173</x:v>
      </x:c>
      <x:c r="AB530" s="28" t="str">
        <x:v>Ingredient pairings with Olive Oil: gooseberry</x:v>
      </x:c>
      <x:c r="AC530" s="28" t="n">
        <x:v>1</x:v>
      </x:c>
      <x:c r="AD530" s="28" t="n">
        <x:v>1</x:v>
      </x:c>
    </x:row>
    <x:row r="531" ht="58" customHeight="1">
      <x:c r="A531" s="28" t="str">
        <x:v>BER-0530</x:v>
      </x:c>
      <x:c r="B531" s="28" t="str">
        <x:v>Универсальные</x:v>
      </x:c>
      <x:c r="C531" s="28" t="str">
        <x:v>крыжовник</x:v>
      </x:c>
      <x:c r="D531" s="28" t="str">
        <x:v>Крыжовник</x:v>
      </x:c>
      <x:c r="E531" s="28" t="str">
        <x:v>Ягоды и производные</x:v>
      </x:c>
      <x:c r="F531" s="28" t="str">
        <x:v>розмарин</x:v>
      </x:c>
      <x:c r="G531" s="28" t="str">
        <x:v>розмарин</x:v>
      </x:c>
      <x:c r="H531" s="28" t="str">
        <x:v>Травы и цветы</x:v>
      </x:c>
      <x:c r="I531" s="28" t="str">
        <x:v>зелёный, кислый, травянистый, тропический</x:v>
      </x:c>
      <x:c r="J531" s="28" t="str">
        <x:v>зелёный, травянистый, цветочный</x:v>
      </x:c>
      <x:c r="K531" s="28" t="str">
        <x:v>C6-альдегиды, следовые тиолы, эфиры</x:v>
      </x:c>
      <x:c r="L531" s="28" t="str">
        <x:v>гераниол, линалоол, терпены, эвгенол</x:v>
      </x:c>
      <x:c r="M531" s="28" t="str">
        <x:v>зелёный, травянистый</x:v>
      </x:c>
      <x:c r="N531" s="28" t="str">
        <x:v>не подтверждены; механизм не сводится к одной общей молекуле</x:v>
      </x:c>
      <x:c r="O531" s="28" t="str">
        <x:v>сходство ароматических семейств + комплементарность</x:v>
      </x:c>
      <x:c r="P531" s="28" t="str">
        <x:v>Ягодная сладость смягчает горечь и пряность, а кислотность делает горьковатый, свежий профиль ярче.</x:v>
      </x:c>
      <x:c r="Q531" s="28" t="str">
        <x:v>Специфического тройничного эффекта обычно нет; кислотность усиливает слюноотделение.</x:v>
      </x:c>
      <x:c r="R531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3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31" s="28" t="str">
        <x:v>Общие ароматические семейства: зелёный, травянистый;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3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31" s="28" t="str">
        <x:v>лимон или мёд</x:v>
      </x:c>
      <x:c r="W53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531" s="28" t="str">
        <x:v>напитки; еда; соусы/маринады</x:v>
      </x:c>
      <x:c r="Y531" s="28" t="str">
        <x:v>Средняя</x:v>
      </x:c>
      <x:c r="Z531" s="28" t="str">
        <x:v>Таблица сочетаний</x:v>
      </x:c>
      <x:c r="AA531" s="28" t="str">
        <x:v>Таблица сочетаний: 9</x:v>
      </x:c>
      <x:c r="AB531" s="28" t="str">
        <x:v>Крыжовник: розмарин</x:v>
      </x:c>
      <x:c r="AC531" s="28" t="n">
        <x:v>1</x:v>
      </x:c>
      <x:c r="AD531" s="28" t="n">
        <x:v>1</x:v>
      </x:c>
    </x:row>
    <x:row r="532" ht="58" customHeight="1">
      <x:c r="A532" s="28" t="str">
        <x:v>BER-0531</x:v>
      </x:c>
      <x:c r="B532" s="28" t="str">
        <x:v>Универсальные</x:v>
      </x:c>
      <x:c r="C532" s="28" t="str">
        <x:v>крыжовник</x:v>
      </x:c>
      <x:c r="D532" s="28" t="str">
        <x:v>Крыжовник</x:v>
      </x:c>
      <x:c r="E532" s="28" t="str">
        <x:v>Ягоды и производные</x:v>
      </x:c>
      <x:c r="F532" s="28" t="str">
        <x:v>тимьян</x:v>
      </x:c>
      <x:c r="G532" s="28" t="str">
        <x:v>тимьян</x:v>
      </x:c>
      <x:c r="H532" s="28" t="str">
        <x:v>Травы и цветы</x:v>
      </x:c>
      <x:c r="I532" s="28" t="str">
        <x:v>зелёный, кислый, травянистый, тропический</x:v>
      </x:c>
      <x:c r="J532" s="28" t="str">
        <x:v>зелёный, травянистый, цветочный</x:v>
      </x:c>
      <x:c r="K532" s="28" t="str">
        <x:v>C6-альдегиды, следовые тиолы, эфиры</x:v>
      </x:c>
      <x:c r="L532" s="28" t="str">
        <x:v>гераниол, линалоол, терпены, эвгенол</x:v>
      </x:c>
      <x:c r="M532" s="28" t="str">
        <x:v>зелёный, травянистый</x:v>
      </x:c>
      <x:c r="N532" s="28" t="str">
        <x:v>не подтверждены; механизм не сводится к одной общей молекуле</x:v>
      </x:c>
      <x:c r="O532" s="28" t="str">
        <x:v>сходство ароматических семейств + комплементарность</x:v>
      </x:c>
      <x:c r="P532" s="28" t="str">
        <x:v>Ягодная сладость смягчает горечь и пряность, а кислотность делает горьковатый, свежий профиль ярче.</x:v>
      </x:c>
      <x:c r="Q532" s="28" t="str">
        <x:v>Специфического тройничного эффекта обычно нет; кислотность усиливает слюноотделение.</x:v>
      </x:c>
      <x:c r="R532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3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32" s="28" t="str">
        <x:v>Общие ароматические семейства: зелёный, травянистый;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3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32" s="28" t="str">
        <x:v>лимон или мёд</x:v>
      </x:c>
      <x:c r="W53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532" s="28" t="str">
        <x:v>напитки; еда; соусы/маринады</x:v>
      </x:c>
      <x:c r="Y532" s="28" t="str">
        <x:v>Средняя</x:v>
      </x:c>
      <x:c r="Z532" s="28" t="str">
        <x:v>Таблица сочетаний</x:v>
      </x:c>
      <x:c r="AA532" s="28" t="str">
        <x:v>Таблица сочетаний: 9</x:v>
      </x:c>
      <x:c r="AB532" s="28" t="str">
        <x:v>Крыжовник: тимьян</x:v>
      </x:c>
      <x:c r="AC532" s="28" t="n">
        <x:v>1</x:v>
      </x:c>
      <x:c r="AD532" s="28" t="n">
        <x:v>1</x:v>
      </x:c>
    </x:row>
    <x:row r="533" ht="58" customHeight="1">
      <x:c r="A533" s="28" t="str">
        <x:v>BER-0532</x:v>
      </x:c>
      <x:c r="B533" s="28" t="str">
        <x:v>Универсальные</x:v>
      </x:c>
      <x:c r="C533" s="28" t="str">
        <x:v>крыжовник</x:v>
      </x:c>
      <x:c r="D533" s="28" t="str">
        <x:v>Крыжовник</x:v>
      </x:c>
      <x:c r="E533" s="28" t="str">
        <x:v>Ягоды и производные</x:v>
      </x:c>
      <x:c r="F533" s="28" t="str">
        <x:v>чёрный перец</x:v>
      </x:c>
      <x:c r="G533" s="28" t="str">
        <x:v>чёрный перец</x:v>
      </x:c>
      <x:c r="H533" s="28" t="str">
        <x:v>Специи</x:v>
      </x:c>
      <x:c r="I533" s="28" t="str">
        <x:v>зелёный, кислый, травянистый, тропический</x:v>
      </x:c>
      <x:c r="J533" s="28" t="str">
        <x:v>древесный, пряный, тёплый</x:v>
      </x:c>
      <x:c r="K533" s="28" t="str">
        <x:v>C6-альдегиды, следовые тиолы, эфиры</x:v>
      </x:c>
      <x:c r="L533" s="28" t="str">
        <x:v>коричный альдегид, терпены, эвгенол</x:v>
      </x:c>
      <x:c r="M533" s="28" t="str">
        <x:v>прямое совпадение семейств не установлено</x:v>
      </x:c>
      <x:c r="N533" s="28" t="str">
        <x:v>не подтверждены; механизм не сводится к одной общей молекуле</x:v>
      </x:c>
      <x:c r="O533" s="28" t="str">
        <x:v>контраст/комплементарность + матричный эффект</x:v>
      </x:c>
      <x:c r="P533" s="28" t="str">
        <x:v>Ягодная сладость смягчает горечь и пряность, а кислотность делает пряный, иногда горький профиль ярче.</x:v>
      </x:c>
      <x:c r="Q533" s="28" t="str">
        <x:v>Специфического тройничного эффекта обычно нет; кислотность усиливает слюноотделение.</x:v>
      </x:c>
      <x:c r="R533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3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3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кислый, травянистый, тропический;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33" s="28" t="str">
        <x:v>Пряность дозировать как акцент: она быстро перекрывает тонкие ягодные эфиры.</x:v>
      </x:c>
      <x:c r="V533" s="28" t="str">
        <x:v>мёд или цитрус</x:v>
      </x:c>
      <x:c r="W53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533" s="28" t="str">
        <x:v>напитки; десерты; еда; соусы/маринады</x:v>
      </x:c>
      <x:c r="Y533" s="28" t="str">
        <x:v>Средняя</x:v>
      </x:c>
      <x:c r="Z533" s="28" t="str">
        <x:v>Таблица сочетаний</x:v>
      </x:c>
      <x:c r="AA533" s="28" t="str">
        <x:v>Таблица сочетаний: 8</x:v>
      </x:c>
      <x:c r="AB533" s="28" t="str">
        <x:v>Крыжовник: чёрный перец</x:v>
      </x:c>
      <x:c r="AC533" s="28" t="n">
        <x:v>1</x:v>
      </x:c>
      <x:c r="AD533" s="28" t="n">
        <x:v>1</x:v>
      </x:c>
    </x:row>
    <x:row r="534" ht="58" customHeight="1">
      <x:c r="A534" s="28" t="str">
        <x:v>BER-0533</x:v>
      </x:c>
      <x:c r="B534" s="28" t="str">
        <x:v>Универсальные</x:v>
      </x:c>
      <x:c r="C534" s="28" t="str">
        <x:v>крыжовник</x:v>
      </x:c>
      <x:c r="D534" s="28" t="str">
        <x:v>Крыжовник</x:v>
      </x:c>
      <x:c r="E534" s="28" t="str">
        <x:v>Ягоды и производные</x:v>
      </x:c>
      <x:c r="F534" s="28" t="str">
        <x:v>юдзу</x:v>
      </x:c>
      <x:c r="G534" s="28" t="str">
        <x:v>юдзу</x:v>
      </x:c>
      <x:c r="H534" s="28" t="str">
        <x:v>Прочее</x:v>
      </x:c>
      <x:c r="I534" s="28" t="str">
        <x:v>зелёный, кислый, травянистый, тропический</x:v>
      </x:c>
      <x:c r="J534" s="28" t="str">
        <x:v>комплексный</x:v>
      </x:c>
      <x:c r="K534" s="28" t="str">
        <x:v>C6-альдегиды, следовые тиолы, эфиры</x:v>
      </x:c>
      <x:c r="L534" s="28" t="str">
        <x:v>нет надёжной конкретизации</x:v>
      </x:c>
      <x:c r="M534" s="28" t="str">
        <x:v>прямое совпадение семейств не установлено</x:v>
      </x:c>
      <x:c r="N534" s="28" t="str">
        <x:v>не подтверждены; механизм не сводится к одной общей молекуле</x:v>
      </x:c>
      <x:c r="O534" s="28" t="str">
        <x:v>контраст/комплементарность + матричный эффект</x:v>
      </x:c>
      <x:c r="P534" s="28" t="str">
        <x:v>Оба компонента формируют ярко-кислый и зависит от ингредиента контур; сахар, кислота и горечь должны быть выровнены дегустацией.</x:v>
      </x:c>
      <x:c r="Q534" s="28" t="str">
        <x:v>Специфического тройничного эффекта обычно нет; кислотность усиливает слюноотделение.</x:v>
      </x:c>
      <x:c r="R534" s="28" t="str">
        <x:v>Ягода: незрелый плод даёт более травянистый профиль. Партнёр: механизм зависит от конкретного продукта. В воде аромат раскрывается быстрее, в жире и этаноле — дольше удерживается.</x:v>
      </x:c>
      <x:c r="S53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3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кислый, травянистый, тропический; партнёр — комплексный. Оба компонента формируют ярко-кислый и зависит от ингредиента контур; сахар, кислота и горечь должны быть выровнены дегустацией. Ягода: незрелый плод даёт более травянистый профиль.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3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34" s="28" t="str">
        <x:v>лимон или ваниль</x:v>
      </x:c>
      <x:c r="W534" s="28" t="str">
        <x:v>сенсорная проба в малой дозировке</x:v>
      </x:c>
      <x:c r="X534" s="28" t="str">
        <x:v>универсально</x:v>
      </x:c>
      <x:c r="Y534" s="28" t="str">
        <x:v>Средняя</x:v>
      </x:c>
      <x:c r="Z534" s="28" t="str">
        <x:v>Таблица сочетаний</x:v>
      </x:c>
      <x:c r="AA534" s="28" t="str">
        <x:v>Таблица сочетаний: 9</x:v>
      </x:c>
      <x:c r="AB534" s="28" t="str">
        <x:v>Крыжовник: юдзу</x:v>
      </x:c>
      <x:c r="AC534" s="28" t="n">
        <x:v>1</x:v>
      </x:c>
      <x:c r="AD534" s="28" t="n">
        <x:v>1</x:v>
      </x:c>
    </x:row>
    <x:row r="535" ht="58" customHeight="1">
      <x:c r="A535" s="28" t="str">
        <x:v>BER-0534</x:v>
      </x:c>
      <x:c r="B535" s="28" t="str">
        <x:v>Универсальные</x:v>
      </x:c>
      <x:c r="C535" s="28" t="str">
        <x:v>крыжовник</x:v>
      </x:c>
      <x:c r="D535" s="28" t="str">
        <x:v>gooseberry</x:v>
      </x:c>
      <x:c r="E535" s="28" t="str">
        <x:v>Ягоды и производные</x:v>
      </x:c>
      <x:c r="F535" s="28" t="str">
        <x:v>яблоко</x:v>
      </x:c>
      <x:c r="G535" s="28" t="str">
        <x:v>Apple</x:v>
      </x:c>
      <x:c r="H535" s="28" t="str">
        <x:v>Фрукты</x:v>
      </x:c>
      <x:c r="I535" s="28" t="str">
        <x:v>зелёный, кислый, травянистый, тропический</x:v>
      </x:c>
      <x:c r="J535" s="28" t="str">
        <x:v>зелёный, фруктовый, цветочный</x:v>
      </x:c>
      <x:c r="K535" s="28" t="str">
        <x:v>C6-альдегиды, следовые тиолы, эфиры</x:v>
      </x:c>
      <x:c r="L535" s="28" t="str">
        <x:v>лактоны, терпены, эфиры</x:v>
      </x:c>
      <x:c r="M535" s="28" t="str">
        <x:v>зелёный</x:v>
      </x:c>
      <x:c r="N535" s="28" t="str">
        <x:v>эфиры</x:v>
      </x:c>
      <x:c r="O535" s="28" t="str">
        <x:v>ароматическое сходство + вкусовой баланс</x:v>
      </x:c>
      <x:c r="P535" s="28" t="str">
        <x:v>Оба компонента формируют ярко-кислый и сладко-кислый контур; сахар, кислота и горечь должны быть выровнены дегустацией.</x:v>
      </x:c>
      <x:c r="Q535" s="28" t="str">
        <x:v>Специфического тройничного эффекта обычно нет; кислотность усиливает слюноотделение.</x:v>
      </x:c>
      <x:c r="R535" s="28" t="str">
        <x:v>Ягода: незрелый плод даёт более травянистый профиль. Партнёр: водная фруктовая матрица. В воде аромат раскрывается быстрее, в жире и этаноле — дольше удерживается.</x:v>
      </x:c>
      <x:c r="S53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35" s="28" t="str">
        <x:v>Прямой вероятный молекулярный мост: эфиры. Ягодный компонент несёт семейства зелёный, кислый, травянистый, тропический; партнёр — зелёный, фруктовый, цветочный. Оба компонента формируют ярко-кислый и сладко-кислый контур; сахар, кислота и горечь должны быть выровнены дегустацией. Ягода: незрелый плод даёт более травянистый профиль.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3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35" s="28" t="str">
        <x:v>ваниль или лимон</x:v>
      </x:c>
      <x:c r="W53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535" s="28" t="str">
        <x:v>напитки; десерты</x:v>
      </x:c>
      <x:c r="Y535" s="28" t="str">
        <x:v>Средняя</x:v>
      </x:c>
      <x:c r="Z535" s="28" t="str">
        <x:v>The Art &amp; Science of Foodpairing</x:v>
      </x:c>
      <x:c r="AA535" s="28" t="str">
        <x:v>The Art &amp; Science of Foodpairing: 47</x:v>
      </x:c>
      <x:c r="AB535" s="28" t="str">
        <x:v>Ingredient pairings with Apple: gooseberry</x:v>
      </x:c>
      <x:c r="AC535" s="28" t="n">
        <x:v>1</x:v>
      </x:c>
      <x:c r="AD535" s="28" t="n">
        <x:v>1</x:v>
      </x:c>
    </x:row>
    <x:row r="536" ht="58" customHeight="1">
      <x:c r="A536" s="28" t="str">
        <x:v>BER-0535</x:v>
      </x:c>
      <x:c r="B536" s="28" t="str">
        <x:v>Универсальные</x:v>
      </x:c>
      <x:c r="C536" s="28" t="str">
        <x:v>крыжовник</x:v>
      </x:c>
      <x:c r="D536" s="28" t="str">
        <x:v>Крыжовник</x:v>
      </x:c>
      <x:c r="E536" s="28" t="str">
        <x:v>Ягоды и производные</x:v>
      </x:c>
      <x:c r="F536" s="28" t="str">
        <x:v>ягоды</x:v>
      </x:c>
      <x:c r="G536" s="28" t="str">
        <x:v>ягоды</x:v>
      </x:c>
      <x:c r="H536" s="28" t="str">
        <x:v>Прочее</x:v>
      </x:c>
      <x:c r="I536" s="28" t="str">
        <x:v>зелёный, кислый, травянистый, тропический</x:v>
      </x:c>
      <x:c r="J536" s="28" t="str">
        <x:v>комплексный</x:v>
      </x:c>
      <x:c r="K536" s="28" t="str">
        <x:v>C6-альдегиды, следовые тиолы, эфиры</x:v>
      </x:c>
      <x:c r="L536" s="28" t="str">
        <x:v>нет надёжной конкретизации</x:v>
      </x:c>
      <x:c r="M536" s="28" t="str">
        <x:v>прямое совпадение семейств не установлено</x:v>
      </x:c>
      <x:c r="N536" s="28" t="str">
        <x:v>не подтверждены; механизм не сводится к одной общей молекуле</x:v>
      </x:c>
      <x:c r="O536" s="28" t="str">
        <x:v>контраст/комплементарность + матричный эффект</x:v>
      </x:c>
      <x:c r="P536" s="28" t="str">
        <x:v>Оба компонента формируют ярко-кислый и зависит от ингредиента контур; сахар, кислота и горечь должны быть выровнены дегустацией.</x:v>
      </x:c>
      <x:c r="Q536" s="28" t="str">
        <x:v>Специфического тройничного эффекта обычно нет; кислотность усиливает слюноотделение.</x:v>
      </x:c>
      <x:c r="R536" s="28" t="str">
        <x:v>Ягода: незрелый плод даёт более травянистый профиль. Партнёр: механизм зависит от конкретного продукта. В воде аромат раскрывается быстрее, в жире и этаноле — дольше удерживается.</x:v>
      </x:c>
      <x:c r="S53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3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кислый, травянистый, тропический; партнёр — комплексный. Оба компонента формируют ярко-кислый и зависит от ингредиента контур; сахар, кислота и горечь должны быть выровнены дегустацией. Ягода: незрелый плод даёт более травянистый профиль.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3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36" s="28" t="str">
        <x:v>лимон или ваниль</x:v>
      </x:c>
      <x:c r="W536" s="28" t="str">
        <x:v>сенсорная проба в малой дозировке</x:v>
      </x:c>
      <x:c r="X536" s="28" t="str">
        <x:v>универсально</x:v>
      </x:c>
      <x:c r="Y536" s="28" t="str">
        <x:v>Средняя</x:v>
      </x:c>
      <x:c r="Z536" s="28" t="str">
        <x:v>Таблица сочетаний</x:v>
      </x:c>
      <x:c r="AA536" s="28" t="str">
        <x:v>Таблица сочетаний: 9</x:v>
      </x:c>
      <x:c r="AB536" s="28" t="str">
        <x:v>Крыжовник: ягоды</x:v>
      </x:c>
      <x:c r="AC536" s="28" t="n">
        <x:v>1</x:v>
      </x:c>
      <x:c r="AD536" s="28" t="n">
        <x:v>1</x:v>
      </x:c>
    </x:row>
    <x:row r="537" ht="58" customHeight="1">
      <x:c r="A537" s="28" t="str">
        <x:v>BER-0536</x:v>
      </x:c>
      <x:c r="B537" s="28" t="str">
        <x:v>Универсальные</x:v>
      </x:c>
      <x:c r="C537" s="28" t="str">
        <x:v>лист чёрной смородины</x:v>
      </x:c>
      <x:c r="D537" s="28" t="str">
        <x:v>blackcurrant leaf</x:v>
      </x:c>
      <x:c r="E537" s="28" t="str">
        <x:v>Ягоды и производные</x:v>
      </x:c>
      <x:c r="F537" s="28" t="str">
        <x:v>кардамон</x:v>
      </x:c>
      <x:c r="G537" s="28" t="str">
        <x:v>Cardamom</x:v>
      </x:c>
      <x:c r="H537" s="28" t="str">
        <x:v>Специи</x:v>
      </x:c>
      <x:c r="I537" s="28" t="str">
        <x:v>комплексный</x:v>
      </x:c>
      <x:c r="J537" s="28" t="str">
        <x:v>древесный, пряный, тёплый</x:v>
      </x:c>
      <x:c r="K537" s="28" t="str">
        <x:v>нет надёжной конкретизации</x:v>
      </x:c>
      <x:c r="L537" s="28" t="str">
        <x:v>коричный альдегид, терпены, эвгенол</x:v>
      </x:c>
      <x:c r="M537" s="28" t="str">
        <x:v>прямое совпадение семейств не установлено</x:v>
      </x:c>
      <x:c r="N537" s="28" t="str">
        <x:v>не подтверждены; механизм не сводится к одной общей молекуле</x:v>
      </x:c>
      <x:c r="O537" s="28" t="str">
        <x:v>контраст/комплементарность + матричный эффект</x:v>
      </x:c>
      <x:c r="P537" s="28" t="str">
        <x:v>Ягодная сладость смягчает горечь и пряность, а кислотность делает пряный, иногда горький профиль ярче.</x:v>
      </x:c>
      <x:c r="Q537" s="28" t="str">
        <x:v>Специфического тройничного эффекта обычно нет; кислотность усиливает слюноотделение.</x:v>
      </x:c>
      <x:c r="R537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3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3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37" s="28" t="str">
        <x:v>Пряность дозировать как акцент: она быстро перекрывает тонкие ягодные эфиры.</x:v>
      </x:c>
      <x:c r="V537" s="28" t="str">
        <x:v>мёд или цитрус</x:v>
      </x:c>
      <x:c r="W53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537" s="28" t="str">
        <x:v>напитки; десерты; еда; соусы/маринады</x:v>
      </x:c>
      <x:c r="Y537" s="28" t="str">
        <x:v>Средняя</x:v>
      </x:c>
      <x:c r="Z537" s="28" t="str">
        <x:v>The Art &amp; Science of Foodpairing</x:v>
      </x:c>
      <x:c r="AA537" s="28" t="str">
        <x:v>The Art &amp; Science of Foodpairing: 256</x:v>
      </x:c>
      <x:c r="AB537" s="28" t="str">
        <x:v>Ingredient pairings with Cardamom: blackcurrant leaf</x:v>
      </x:c>
      <x:c r="AC537" s="28" t="n">
        <x:v>1</x:v>
      </x:c>
      <x:c r="AD537" s="28" t="n">
        <x:v>1</x:v>
      </x:c>
    </x:row>
    <x:row r="538" ht="58" customHeight="1">
      <x:c r="A538" s="28" t="str">
        <x:v>BER-0537</x:v>
      </x:c>
      <x:c r="B538" s="28" t="str">
        <x:v>Универсальные</x:v>
      </x:c>
      <x:c r="C538" s="28" t="str">
        <x:v>логанова ягода</x:v>
      </x:c>
      <x:c r="D538" s="28" t="str">
        <x:v>loganberry</x:v>
      </x:c>
      <x:c r="E538" s="28" t="str">
        <x:v>Ягоды и производные</x:v>
      </x:c>
      <x:c r="F538" s="28" t="str">
        <x:v>арбуз</x:v>
      </x:c>
      <x:c r="G538" s="28" t="str">
        <x:v>Watermelon</x:v>
      </x:c>
      <x:c r="H538" s="28" t="str">
        <x:v>Фрукты</x:v>
      </x:c>
      <x:c r="I538" s="28" t="str">
        <x:v>комплексный</x:v>
      </x:c>
      <x:c r="J538" s="28" t="str">
        <x:v>зелёный, фруктовый, цветочный</x:v>
      </x:c>
      <x:c r="K538" s="28" t="str">
        <x:v>нет надёжной конкретизации</x:v>
      </x:c>
      <x:c r="L538" s="28" t="str">
        <x:v>лактоны, терпены, эфиры</x:v>
      </x:c>
      <x:c r="M538" s="28" t="str">
        <x:v>прямое совпадение семейств не установлено</x:v>
      </x:c>
      <x:c r="N538" s="28" t="str">
        <x:v>не подтверждены; механизм не сводится к одной общей молекуле</x:v>
      </x:c>
      <x:c r="O538" s="28" t="str">
        <x:v>контраст/комплементарность + матричный эффект</x:v>
      </x:c>
      <x:c r="P538" s="28" t="str">
        <x:v>Оба компонента формируют зависит от ингредиента и сладко-кислый контур; сахар, кислота и горечь должны быть выровнены дегустацией.</x:v>
      </x:c>
      <x:c r="Q538" s="28" t="str">
        <x:v>Специфического тройничного эффекта обычно нет; кислотность усиливает слюноотделение.</x:v>
      </x:c>
      <x:c r="R538" s="28" t="str">
        <x:v>Ягода: механизм зависит от конкретного продукта. Партнёр: водная фруктовая матрица. В воде аромат раскрывается быстрее, в жире и этаноле — дольше удерживается.</x:v>
      </x:c>
      <x:c r="S53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3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фруктовый, цветочный. Оба компонента формируют зависит от ингредиента и сладко-кислый контур; сахар, кислота и горечь должны быть выровнены дегустацией. Ягода: механизм зависит от конкретного продукта.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3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38" s="28" t="str">
        <x:v>ваниль или лимон</x:v>
      </x:c>
      <x:c r="W53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538" s="28" t="str">
        <x:v>напитки; десерты</x:v>
      </x:c>
      <x:c r="Y538" s="28" t="str">
        <x:v>Средняя</x:v>
      </x:c>
      <x:c r="Z538" s="28" t="str">
        <x:v>The Art &amp; Science of Foodpairing</x:v>
      </x:c>
      <x:c r="AA538" s="28" t="str">
        <x:v>The Art &amp; Science of Foodpairing: 79</x:v>
      </x:c>
      <x:c r="AB538" s="28" t="str">
        <x:v>Ingredient pairings with Watermelon: loganberry</x:v>
      </x:c>
      <x:c r="AC538" s="28" t="n">
        <x:v>1</x:v>
      </x:c>
      <x:c r="AD538" s="28" t="n">
        <x:v>1</x:v>
      </x:c>
    </x:row>
    <x:row r="539" ht="58" customHeight="1">
      <x:c r="A539" s="28" t="str">
        <x:v>BER-0538</x:v>
      </x:c>
      <x:c r="B539" s="28" t="str">
        <x:v>Десерты и выпечка</x:v>
      </x:c>
      <x:c r="C539" s="28" t="str">
        <x:v>логанова ягода</x:v>
      </x:c>
      <x:c r="D539" s="28" t="str">
        <x:v>loganberry</x:v>
      </x:c>
      <x:c r="E539" s="28" t="str">
        <x:v>Ягоды и производные</x:v>
      </x:c>
      <x:c r="F539" s="28" t="str">
        <x:v>козий сыр</x:v>
      </x:c>
      <x:c r="G539" s="28" t="str">
        <x:v>Goats' Cheese</x:v>
      </x:c>
      <x:c r="H539" s="28" t="str">
        <x:v>Молочные продукты и сыры</x:v>
      </x:c>
      <x:c r="I539" s="28" t="str">
        <x:v>комплексный</x:v>
      </x:c>
      <x:c r="J539" s="28" t="str">
        <x:v>масляный, молочный, сливочный, сырный</x:v>
      </x:c>
      <x:c r="K539" s="28" t="str">
        <x:v>нет надёжной конкретизации</x:v>
      </x:c>
      <x:c r="L539" s="28" t="str">
        <x:v>диацетил, жирные кислоты, лактоны</x:v>
      </x:c>
      <x:c r="M539" s="28" t="str">
        <x:v>прямое совпадение семейств не установлено</x:v>
      </x:c>
      <x:c r="N539" s="28" t="str">
        <x:v>не подтверждены; механизм не сводится к одной общей молекуле</x:v>
      </x:c>
      <x:c r="O539" s="28" t="str">
        <x:v>контраст/комплементарность + матричный эффект</x:v>
      </x:c>
      <x:c r="P539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539" s="28" t="str">
        <x:v>Специфического тройничного эффекта обычно нет; кислотность усиливает слюноотделение.</x:v>
      </x:c>
      <x:c r="R539" s="28" t="str">
        <x:v>Жировая фаза удерживает гидрофобные одоранты и продлевает послевкусие; кислотность ягод повышает слюноотделение.</x:v>
      </x:c>
      <x:c r="S53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53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539" s="28" t="str">
        <x:v>Высокая кислотность может свернуть молочный белок; смешивать при контролируемой температуре.</x:v>
      </x:c>
      <x:c r="V539" s="28" t="str">
        <x:v>мёд или миндаль</x:v>
      </x:c>
      <x:c r="W539" s="28" t="str">
        <x:v>сорбет, крем, ганаш, выпечка, джем или соус для десерта; соус, глазировка, салат, сырная подача или горячее блюдо</x:v>
      </x:c>
      <x:c r="X539" s="28" t="str">
        <x:v>десерты; еда</x:v>
      </x:c>
      <x:c r="Y539" s="28" t="str">
        <x:v>Средняя</x:v>
      </x:c>
      <x:c r="Z539" s="28" t="str">
        <x:v>The Art &amp; Science of Foodpairing</x:v>
      </x:c>
      <x:c r="AA539" s="28" t="str">
        <x:v>The Art &amp; Science of Foodpairing: 200</x:v>
      </x:c>
      <x:c r="AB539" s="28" t="str">
        <x:v>Ingredient pairings with Goats' Cheese: loganberry</x:v>
      </x:c>
      <x:c r="AC539" s="28" t="n">
        <x:v>1</x:v>
      </x:c>
      <x:c r="AD539" s="28" t="n">
        <x:v>1</x:v>
      </x:c>
    </x:row>
    <x:row r="540" ht="58" customHeight="1">
      <x:c r="A540" s="28" t="str">
        <x:v>BER-0539</x:v>
      </x:c>
      <x:c r="B540" s="28" t="str">
        <x:v>Еда и соусы</x:v>
      </x:c>
      <x:c r="C540" s="28" t="str">
        <x:v>логанова ягода</x:v>
      </x:c>
      <x:c r="D540" s="28" t="str">
        <x:v>loganberry</x:v>
      </x:c>
      <x:c r="E540" s="28" t="str">
        <x:v>Ягоды и производные</x:v>
      </x:c>
      <x:c r="F540" s="28" t="str">
        <x:v>мясо</x:v>
      </x:c>
      <x:c r="G540" s="28" t="str">
        <x:v>Meat</x:v>
      </x:c>
      <x:c r="H540" s="28" t="str">
        <x:v>Мясо и птица</x:v>
      </x:c>
      <x:c r="I540" s="28" t="str">
        <x:v>комплексный</x:v>
      </x:c>
      <x:c r="J540" s="28" t="str">
        <x:v>жареный, жирный, сернистый, умами</x:v>
      </x:c>
      <x:c r="K540" s="28" t="str">
        <x:v>нет надёжной конкретизации</x:v>
      </x:c>
      <x:c r="L540" s="28" t="str">
        <x:v>альдегиды, пиразины, сернистые соединения</x:v>
      </x:c>
      <x:c r="M540" s="28" t="str">
        <x:v>прямое совпадение семейств не установлено</x:v>
      </x:c>
      <x:c r="N540" s="28" t="str">
        <x:v>не подтверждены; механизм не сводится к одной общей молекуле</x:v>
      </x:c>
      <x:c r="O540" s="28" t="str">
        <x:v>контраст/комплементарность + матричный эффект</x:v>
      </x:c>
      <x:c r="P540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540" s="28" t="str">
        <x:v>Специфического тройничного эффекта обычно нет; кислотность усиливает слюноотделение.</x:v>
      </x:c>
      <x:c r="R540" s="28" t="str">
        <x:v>Жировая фаза удерживает гидрофобные одоранты и продлевает послевкусие; кислотность ягод повышает слюноотделение.</x:v>
      </x:c>
      <x:c r="S54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54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54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40" s="28" t="str">
        <x:v>красное вино или чёрный перец</x:v>
      </x:c>
      <x:c r="W540" s="28" t="str">
        <x:v>соус, глазировка, салат, сырная подача или горячее блюдо; маринад, гастрик, чатни, кетчуп или редукция</x:v>
      </x:c>
      <x:c r="X540" s="28" t="str">
        <x:v>еда; соусы/маринады</x:v>
      </x:c>
      <x:c r="Y540" s="28" t="str">
        <x:v>Средняя</x:v>
      </x:c>
      <x:c r="Z540" s="28" t="str">
        <x:v>The Art &amp; Science of Foodpairing</x:v>
      </x:c>
      <x:c r="AA540" s="28" t="str">
        <x:v>The Art &amp; Science of Foodpairing: 186</x:v>
      </x:c>
      <x:c r="AB540" s="28" t="str">
        <x:v>Ingredient pairings with Meat: loganberry</x:v>
      </x:c>
      <x:c r="AC540" s="28" t="n">
        <x:v>1</x:v>
      </x:c>
      <x:c r="AD540" s="28" t="n">
        <x:v>1</x:v>
      </x:c>
    </x:row>
    <x:row r="541" ht="58" customHeight="1">
      <x:c r="A541" s="28" t="str">
        <x:v>BER-0540</x:v>
      </x:c>
      <x:c r="B541" s="28" t="str">
        <x:v>Универсальные</x:v>
      </x:c>
      <x:c r="C541" s="28" t="str">
        <x:v>малина</x:v>
      </x:c>
      <x:c r="D541" s="28" t="str">
        <x:v>Малина | малина</x:v>
      </x:c>
      <x:c r="E541" s="28" t="str">
        <x:v>Ягоды и производные</x:v>
      </x:c>
      <x:c r="F541" s="28" t="str">
        <x:v>абрикос</x:v>
      </x:c>
      <x:c r="G541" s="28" t="str">
        <x:v>Абрикос | абрикос</x:v>
      </x:c>
      <x:c r="H541" s="28" t="str">
        <x:v>Фрукты</x:v>
      </x:c>
      <x:c r="I541" s="28" t="str">
        <x:v>древесный, зелёный, фиалковый, фруктовый, цветочный</x:v>
      </x:c>
      <x:c r="J541" s="28" t="str">
        <x:v>зелёный, фруктовый, цветочный</x:v>
      </x:c>
      <x:c r="K541" s="28" t="str">
        <x:v>альфа-ионон, бета-ионон, гераниол, линалоол, малиновый кетон</x:v>
      </x:c>
      <x:c r="L541" s="28" t="str">
        <x:v>лактоны, терпены, эфиры</x:v>
      </x:c>
      <x:c r="M541" s="28" t="str">
        <x:v>зелёный, фруктовый, цветочный</x:v>
      </x:c>
      <x:c r="N541" s="28" t="str">
        <x:v>не подтверждены; механизм не сводится к одной общей молекуле</x:v>
      </x:c>
      <x:c r="O541" s="28" t="str">
        <x:v>сходство ароматических семейств + комплементарность</x:v>
      </x:c>
      <x:c r="P541" s="28" t="str">
        <x:v>Оба компонента формируют кисло-сладкий и сладко-кислый контур; сахар, кислота и горечь должны быть выровнены дегустацией.</x:v>
      </x:c>
      <x:c r="Q541" s="28" t="str">
        <x:v>Специфического тройничного эффекта обычно нет; кислотность усиливает слюноотделение.</x:v>
      </x:c>
      <x:c r="R541" s="28" t="str">
        <x:v>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</x:v>
      </x:c>
      <x:c r="S54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41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4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41" s="28" t="str">
        <x:v>ваниль или лимон</x:v>
      </x:c>
      <x:c r="W54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541" s="28" t="str">
        <x:v>напитки; десерты</x:v>
      </x:c>
      <x:c r="Y541" s="28" t="str">
        <x:v>Высокая</x:v>
      </x:c>
      <x:c r="Z541" s="28" t="str">
        <x:v>Таблица сочетаний; Тезариус вкусов</x:v>
      </x:c>
      <x:c r="AA541" s="28" t="str">
        <x:v>Тезариус вкусов: 743, 884; Таблица сочетаний: 2, 19</x:v>
      </x:c>
      <x:c r="AB541" s="28" t="str">
        <x:v>Абрикос и малина. См. Малина и абрикос | Малина и абрикос. Оба представителя обширно- го семейства розоцветных славятся своими тонкими «парфюмерными» вкусами, которые колеблются меж- ду сладким и кислым. Абрикос является костянкой – это мясистый плод с косточкой внутри. Малина же представляет собой совокупность таких плодов, при | Абрикос: малина | Малина: абрикос</x:v>
      </x:c>
      <x:c r="AC541" s="28" t="n">
        <x:v>2</x:v>
      </x:c>
      <x:c r="AD541" s="28" t="n">
        <x:v>4</x:v>
      </x:c>
    </x:row>
    <x:row r="542" ht="58" customHeight="1">
      <x:c r="A542" s="28" t="str">
        <x:v>BER-0541</x:v>
      </x:c>
      <x:c r="B542" s="28" t="str">
        <x:v>Универсальные</x:v>
      </x:c>
      <x:c r="C542" s="28" t="str">
        <x:v>малина</x:v>
      </x:c>
      <x:c r="D542" s="28" t="str">
        <x:v>малина</x:v>
      </x:c>
      <x:c r="E542" s="28" t="str">
        <x:v>Ягоды и производные</x:v>
      </x:c>
      <x:c r="F542" s="28" t="str">
        <x:v>айва</x:v>
      </x:c>
      <x:c r="G542" s="28" t="str">
        <x:v>Айва</x:v>
      </x:c>
      <x:c r="H542" s="28" t="str">
        <x:v>Прочее</x:v>
      </x:c>
      <x:c r="I542" s="28" t="str">
        <x:v>древесный, зелёный, фиалковый, фруктовый, цветочный</x:v>
      </x:c>
      <x:c r="J542" s="28" t="str">
        <x:v>комплексный</x:v>
      </x:c>
      <x:c r="K542" s="28" t="str">
        <x:v>альфа-ионон, бета-ионон, гераниол, линалоол, малиновый кетон</x:v>
      </x:c>
      <x:c r="L542" s="28" t="str">
        <x:v>нет надёжной конкретизации</x:v>
      </x:c>
      <x:c r="M542" s="28" t="str">
        <x:v>прямое совпадение семейств не установлено</x:v>
      </x:c>
      <x:c r="N542" s="28" t="str">
        <x:v>не подтверждены; механизм не сводится к одной общей молекуле</x:v>
      </x:c>
      <x:c r="O542" s="28" t="str">
        <x:v>контраст/комплементарность + матричный эффект</x:v>
      </x:c>
      <x:c r="P542" s="28" t="str">
        <x:v>Оба компонента формируют кисло-сладкий и зависит от ингредиента контур; сахар, кислота и горечь должны быть выровнены дегустацией.</x:v>
      </x:c>
      <x:c r="Q542" s="28" t="str">
        <x:v>Специфического тройничного эффекта обычно нет; кислотность усиливает слюноотделение.</x:v>
      </x:c>
      <x:c r="R542" s="28" t="str">
        <x:v>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54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4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комплексный. Оба компонента формируют кисло-сладкий и зависит от ингредиента контур; сахар, кислота и горечь должны быть выровнены дегустацией. 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4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42" s="28" t="str">
        <x:v>лимон или ваниль</x:v>
      </x:c>
      <x:c r="W542" s="28" t="str">
        <x:v>сенсорная проба в малой дозировке</x:v>
      </x:c>
      <x:c r="X542" s="28" t="str">
        <x:v>универсально</x:v>
      </x:c>
      <x:c r="Y542" s="28" t="str">
        <x:v>Средняя</x:v>
      </x:c>
      <x:c r="Z542" s="28" t="str">
        <x:v>Таблица сочетаний</x:v>
      </x:c>
      <x:c r="AA542" s="28" t="str">
        <x:v>Таблица сочетаний: 18</x:v>
      </x:c>
      <x:c r="AB542" s="28" t="str">
        <x:v>Айва: малина</x:v>
      </x:c>
      <x:c r="AC542" s="28" t="n">
        <x:v>1</x:v>
      </x:c>
      <x:c r="AD542" s="28" t="n">
        <x:v>1</x:v>
      </x:c>
    </x:row>
    <x:row r="543" ht="58" customHeight="1">
      <x:c r="A543" s="28" t="str">
        <x:v>BER-0542</x:v>
      </x:c>
      <x:c r="B543" s="28" t="str">
        <x:v>Универсальные</x:v>
      </x:c>
      <x:c r="C543" s="28" t="str">
        <x:v>малина</x:v>
      </x:c>
      <x:c r="D543" s="28" t="str">
        <x:v>raspberry | Малина | малина</x:v>
      </x:c>
      <x:c r="E543" s="28" t="str">
        <x:v>Ягоды и производные</x:v>
      </x:c>
      <x:c r="F543" s="28" t="str">
        <x:v>ананас</x:v>
      </x:c>
      <x:c r="G543" s="28" t="str">
        <x:v>Pineapple | Ананас | ананас</x:v>
      </x:c>
      <x:c r="H543" s="28" t="str">
        <x:v>Фрукты</x:v>
      </x:c>
      <x:c r="I543" s="28" t="str">
        <x:v>древесный, зелёный, фиалковый, фруктовый, цветочный</x:v>
      </x:c>
      <x:c r="J543" s="28" t="str">
        <x:v>зелёный, фруктовый, цветочный</x:v>
      </x:c>
      <x:c r="K543" s="28" t="str">
        <x:v>альфа-ионон, бета-ионон, гераниол, линалоол, малиновый кетон</x:v>
      </x:c>
      <x:c r="L543" s="28" t="str">
        <x:v>лактоны, терпены, эфиры</x:v>
      </x:c>
      <x:c r="M543" s="28" t="str">
        <x:v>зелёный, фруктовый, цветочный</x:v>
      </x:c>
      <x:c r="N543" s="28" t="str">
        <x:v>не подтверждены; механизм не сводится к одной общей молекуле</x:v>
      </x:c>
      <x:c r="O543" s="28" t="str">
        <x:v>сходство ароматических семейств + комплементарность</x:v>
      </x:c>
      <x:c r="P543" s="28" t="str">
        <x:v>Оба компонента формируют кисло-сладкий и сладко-кислый контур; сахар, кислота и горечь должны быть выровнены дегустацией.</x:v>
      </x:c>
      <x:c r="Q543" s="28" t="str">
        <x:v>Специфического тройничного эффекта обычно нет; кислотность усиливает слюноотделение.</x:v>
      </x:c>
      <x:c r="R543" s="28" t="str">
        <x:v>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</x:v>
      </x:c>
      <x:c r="S54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43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4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43" s="28" t="str">
        <x:v>ваниль или лимон</x:v>
      </x:c>
      <x:c r="W54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543" s="28" t="str">
        <x:v>напитки; десерты</x:v>
      </x:c>
      <x:c r="Y543" s="28" t="str">
        <x:v>Высокая</x:v>
      </x:c>
      <x:c r="Z543" s="28" t="str">
        <x:v>The Art &amp; Science of Foodpairing; Таблица сочетаний; Тезариус вкусов</x:v>
      </x:c>
      <x:c r="AA543" s="28" t="str">
        <x:v>Тезариус вкусов: 705, 885; The Art &amp; Science of Foodpairing: 243; Таблица сочетаний: 19</x:v>
      </x:c>
      <x:c r="AB543" s="28" t="str">
        <x:v>Ананас и малина. См. Малина и ананас | Малина и ананас. Фруктовые конфетки Barratt’s | Малина: ананас | Ingredient pairings with Pineapple: raspberry</x:v>
      </x:c>
      <x:c r="AC543" s="28" t="n">
        <x:v>3</x:v>
      </x:c>
      <x:c r="AD543" s="28" t="n">
        <x:v>4</x:v>
      </x:c>
    </x:row>
    <x:row r="544" ht="58" customHeight="1">
      <x:c r="A544" s="28" t="str">
        <x:v>BER-0543</x:v>
      </x:c>
      <x:c r="B544" s="28" t="str">
        <x:v>Универсальные</x:v>
      </x:c>
      <x:c r="C544" s="28" t="str">
        <x:v>малина</x:v>
      </x:c>
      <x:c r="D544" s="28" t="str">
        <x:v>Малина | малина</x:v>
      </x:c>
      <x:c r="E544" s="28" t="str">
        <x:v>Ягоды и производные</x:v>
      </x:c>
      <x:c r="F544" s="28" t="str">
        <x:v>базилик</x:v>
      </x:c>
      <x:c r="G544" s="28" t="str">
        <x:v>Базилик | базилик</x:v>
      </x:c>
      <x:c r="H544" s="28" t="str">
        <x:v>Травы и цветы</x:v>
      </x:c>
      <x:c r="I544" s="28" t="str">
        <x:v>древесный, зелёный, фиалковый, фруктовый, цветочный</x:v>
      </x:c>
      <x:c r="J544" s="28" t="str">
        <x:v>зелёный, травянистый, цветочный</x:v>
      </x:c>
      <x:c r="K544" s="28" t="str">
        <x:v>альфа-ионон, бета-ионон, гераниол, линалоол, малиновый кетон</x:v>
      </x:c>
      <x:c r="L544" s="28" t="str">
        <x:v>гераниол, линалоол, терпены, эвгенол</x:v>
      </x:c>
      <x:c r="M544" s="28" t="str">
        <x:v>зелёный, цветочный</x:v>
      </x:c>
      <x:c r="N544" s="28" t="str">
        <x:v>гераниол, линалоол</x:v>
      </x:c>
      <x:c r="O544" s="28" t="str">
        <x:v>ароматическое сходство + вкусовой баланс</x:v>
      </x:c>
      <x:c r="P544" s="28" t="str">
        <x:v>Ягодная сладость смягчает горечь и пряность, а кислотность делает горьковатый, свежий профиль ярче.</x:v>
      </x:c>
      <x:c r="Q544" s="28" t="str">
        <x:v>Специфического тройничного эффекта обычно нет; кислотность усиливает слюноотделение.</x:v>
      </x:c>
      <x:c r="R544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4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44" s="28" t="str">
        <x:v>Прямой вероятный молекулярный мост: гераниол, линалоол. Ягодный компонент несёт семейства древесный, зелёный, фиалковый,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4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44" s="28" t="str">
        <x:v>лимон или мёд</x:v>
      </x:c>
      <x:c r="W54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544" s="28" t="str">
        <x:v>напитки; еда; соусы/маринады</x:v>
      </x:c>
      <x:c r="Y544" s="28" t="str">
        <x:v>Высокая</x:v>
      </x:c>
      <x:c r="Z544" s="28" t="str">
        <x:v>Таблица сочетаний; Тезариус вкусов</x:v>
      </x:c>
      <x:c r="AA544" s="28" t="str">
        <x:v>Тезариус вкусов: 568, 886; Таблица сочетаний: 19</x:v>
      </x:c>
      <x:c r="AB544" s="28" t="str">
        <x:v>Базилик и малина. См. Малина и базилик | Малина и базилик. Софи Григсон (Sophie Grigson) рекомендует партнерство базилика и малины. Она объединяет их в мороженом, а также предполагает вымачивать несколько порванных листьев базилика с малиной, сахаром и либо каплей джина, либо неболь- шим количеством свежего сока лимона или лайма | Малина: базилик</x:v>
      </x:c>
      <x:c r="AC544" s="28" t="n">
        <x:v>2</x:v>
      </x:c>
      <x:c r="AD544" s="28" t="n">
        <x:v>3</x:v>
      </x:c>
    </x:row>
    <x:row r="545" ht="58" customHeight="1">
      <x:c r="A545" s="28" t="str">
        <x:v>BER-0544</x:v>
      </x:c>
      <x:c r="B545" s="28" t="str">
        <x:v>Универсальные</x:v>
      </x:c>
      <x:c r="C545" s="28" t="str">
        <x:v>малина</x:v>
      </x:c>
      <x:c r="D545" s="28" t="str">
        <x:v>raspberry</x:v>
      </x:c>
      <x:c r="E545" s="28" t="str">
        <x:v>Ягоды и производные</x:v>
      </x:c>
      <x:c r="F545" s="28" t="str">
        <x:v>банан</x:v>
      </x:c>
      <x:c r="G545" s="28" t="str">
        <x:v>Banana</x:v>
      </x:c>
      <x:c r="H545" s="28" t="str">
        <x:v>Фрукты</x:v>
      </x:c>
      <x:c r="I545" s="28" t="str">
        <x:v>древесный, зелёный, фиалковый, фруктовый, цветочный</x:v>
      </x:c>
      <x:c r="J545" s="28" t="str">
        <x:v>зелёный, фруктовый, цветочный</x:v>
      </x:c>
      <x:c r="K545" s="28" t="str">
        <x:v>альфа-ионон, бета-ионон, гераниол, линалоол, малиновый кетон</x:v>
      </x:c>
      <x:c r="L545" s="28" t="str">
        <x:v>лактоны, терпены, эфиры</x:v>
      </x:c>
      <x:c r="M545" s="28" t="str">
        <x:v>зелёный, фруктовый, цветочный</x:v>
      </x:c>
      <x:c r="N545" s="28" t="str">
        <x:v>не подтверждены; механизм не сводится к одной общей молекуле</x:v>
      </x:c>
      <x:c r="O545" s="28" t="str">
        <x:v>сходство ароматических семейств + комплементарность</x:v>
      </x:c>
      <x:c r="P545" s="28" t="str">
        <x:v>Оба компонента формируют кисло-сладкий и сладко-кислый контур; сахар, кислота и горечь должны быть выровнены дегустацией.</x:v>
      </x:c>
      <x:c r="Q545" s="28" t="str">
        <x:v>Специфического тройничного эффекта обычно нет; кислотность усиливает слюноотделение.</x:v>
      </x:c>
      <x:c r="R545" s="28" t="str">
        <x:v>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</x:v>
      </x:c>
      <x:c r="S54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45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4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45" s="28" t="str">
        <x:v>ваниль или лимон</x:v>
      </x:c>
      <x:c r="W54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545" s="28" t="str">
        <x:v>напитки; десерты</x:v>
      </x:c>
      <x:c r="Y545" s="28" t="str">
        <x:v>Средняя</x:v>
      </x:c>
      <x:c r="Z545" s="28" t="str">
        <x:v>The Art &amp; Science of Foodpairing</x:v>
      </x:c>
      <x:c r="AA545" s="28" t="str">
        <x:v>The Art &amp; Science of Foodpairing: 343</x:v>
      </x:c>
      <x:c r="AB545" s="28" t="str">
        <x:v>Ingredient pairings with Banana: raspberry</x:v>
      </x:c>
      <x:c r="AC545" s="28" t="n">
        <x:v>1</x:v>
      </x:c>
      <x:c r="AD545" s="28" t="n">
        <x:v>1</x:v>
      </x:c>
    </x:row>
    <x:row r="546" ht="58" customHeight="1">
      <x:c r="A546" s="28" t="str">
        <x:v>BER-0545</x:v>
      </x:c>
      <x:c r="B546" s="28" t="str">
        <x:v>Десерты и выпечка</x:v>
      </x:c>
      <x:c r="C546" s="28" t="str">
        <x:v>малина</x:v>
      </x:c>
      <x:c r="D546" s="28" t="str">
        <x:v>Малина | малина</x:v>
      </x:c>
      <x:c r="E546" s="28" t="str">
        <x:v>Ягоды и производные</x:v>
      </x:c>
      <x:c r="F546" s="28" t="str">
        <x:v>белый шоколад</x:v>
      </x:c>
      <x:c r="G546" s="28" t="str">
        <x:v>Белый шоколад | белый шоколад</x:v>
      </x:c>
      <x:c r="H546" s="28" t="str">
        <x:v>Шоколад, кофе и жареные продукты</x:v>
      </x:c>
      <x:c r="I546" s="28" t="str">
        <x:v>древесный, зелёный, фиалковый, фруктовый, цветочный</x:v>
      </x:c>
      <x:c r="J546" s="28" t="str">
        <x:v>горький, жареный, карамельный, ореховый</x:v>
      </x:c>
      <x:c r="K546" s="28" t="str">
        <x:v>альфа-ионон, бета-ионон, гераниол, линалоол, малиновый кетон</x:v>
      </x:c>
      <x:c r="L546" s="28" t="str">
        <x:v>ванилин, пиразины, фураны</x:v>
      </x:c>
      <x:c r="M546" s="28" t="str">
        <x:v>прямое совпадение семейств не установлено</x:v>
      </x:c>
      <x:c r="N546" s="28" t="str">
        <x:v>не подтверждены; механизм не сводится к одной общей молекуле</x:v>
      </x:c>
      <x:c r="O546" s="28" t="str">
        <x:v>контраст/комплементарность + матричный эффект</x:v>
      </x:c>
      <x:c r="P546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546" s="28" t="str">
        <x:v>Специфического тройничного эффекта обычно нет; кислотность усиливает слюноотделение.</x:v>
      </x:c>
      <x:c r="R546" s="28" t="str">
        <x:v>Жировая фаза удерживает гидрофобные одоранты и продлевает послевкусие; кислотность ягод повышает слюноотделение.</x:v>
      </x:c>
      <x:c r="S54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4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4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46" s="28" t="str">
        <x:v>ваниль или орехи</x:v>
      </x:c>
      <x:c r="W546" s="28" t="str">
        <x:v>сорбет, крем, ганаш, выпечка, джем или соус для десерта</x:v>
      </x:c>
      <x:c r="X546" s="28" t="str">
        <x:v>десерты</x:v>
      </x:c>
      <x:c r="Y546" s="28" t="str">
        <x:v>Высокая</x:v>
      </x:c>
      <x:c r="Z546" s="28" t="str">
        <x:v>Тезариус вкусов</x:v>
      </x:c>
      <x:c r="AA546" s="28" t="str">
        <x:v>Тезариус вкусов: 886, 925</x:v>
      </x:c>
      <x:c r="AB546" s="28" t="str">
        <x:v>Малина и белый шоколад. Природная кислота ма- лины отлично сочетается со сладким молочным вку- сом белого шоколада. В лондонском ресторане The Ivy подают десерт, который состоит из ледяных, толь- ко что из холодильника, скандинавских ягод и горя- чего сиропа из белого шоколада, растопленного с гу | Белый шоколад и малина. См. Малина и белый шоколад</x:v>
      </x:c>
      <x:c r="AC546" s="28" t="n">
        <x:v>1</x:v>
      </x:c>
      <x:c r="AD546" s="28" t="n">
        <x:v>2</x:v>
      </x:c>
    </x:row>
    <x:row r="547" ht="58" customHeight="1">
      <x:c r="A547" s="28" t="str">
        <x:v>BER-0546</x:v>
      </x:c>
      <x:c r="B547" s="28" t="str">
        <x:v>Десерты и выпечка</x:v>
      </x:c>
      <x:c r="C547" s="28" t="str">
        <x:v>малина</x:v>
      </x:c>
      <x:c r="D547" s="28" t="str">
        <x:v>raspberry</x:v>
      </x:c>
      <x:c r="E547" s="28" t="str">
        <x:v>Ягоды и производные</x:v>
      </x:c>
      <x:c r="F547" s="28" t="str">
        <x:v>бри</x:v>
      </x:c>
      <x:c r="G547" s="28" t="str">
        <x:v>Brie</x:v>
      </x:c>
      <x:c r="H547" s="28" t="str">
        <x:v>Молочные продукты и сыры</x:v>
      </x:c>
      <x:c r="I547" s="28" t="str">
        <x:v>древесный, зелёный, фиалковый, фруктовый, цветочный</x:v>
      </x:c>
      <x:c r="J547" s="28" t="str">
        <x:v>масляный, молочный, сливочный, сырный</x:v>
      </x:c>
      <x:c r="K547" s="28" t="str">
        <x:v>альфа-ионон, бета-ионон, гераниол, линалоол, малиновый кетон</x:v>
      </x:c>
      <x:c r="L547" s="28" t="str">
        <x:v>диацетил, жирные кислоты, лактоны</x:v>
      </x:c>
      <x:c r="M547" s="28" t="str">
        <x:v>прямое совпадение семейств не установлено</x:v>
      </x:c>
      <x:c r="N547" s="28" t="str">
        <x:v>не подтверждены; механизм не сводится к одной общей молекуле</x:v>
      </x:c>
      <x:c r="O547" s="28" t="str">
        <x:v>контраст/комплементарность + матричный эффект</x:v>
      </x:c>
      <x:c r="P547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547" s="28" t="str">
        <x:v>Специфического тройничного эффекта обычно нет; кислотность усиливает слюноотделение.</x:v>
      </x:c>
      <x:c r="R547" s="28" t="str">
        <x:v>Жировая фаза удерживает гидрофобные одоранты и продлевает послевкусие; кислотность ягод повышает слюноотделение.</x:v>
      </x:c>
      <x:c r="S54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54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547" s="28" t="str">
        <x:v>Высокая кислотность может свернуть молочный белок; смешивать при контролируемой температуре.</x:v>
      </x:c>
      <x:c r="V547" s="28" t="str">
        <x:v>мёд или миндаль</x:v>
      </x:c>
      <x:c r="W547" s="28" t="str">
        <x:v>сорбет, крем, ганаш, выпечка, джем или соус для десерта; соус, глазировка, салат, сырная подача или горячее блюдо</x:v>
      </x:c>
      <x:c r="X547" s="28" t="str">
        <x:v>десерты; еда</x:v>
      </x:c>
      <x:c r="Y547" s="28" t="str">
        <x:v>Средняя</x:v>
      </x:c>
      <x:c r="Z547" s="28" t="str">
        <x:v>The Art &amp; Science of Foodpairing</x:v>
      </x:c>
      <x:c r="AA547" s="28" t="str">
        <x:v>The Art &amp; Science of Foodpairing: 336</x:v>
      </x:c>
      <x:c r="AB547" s="28" t="str">
        <x:v>Ingredient pairings with Brie: raspberry</x:v>
      </x:c>
      <x:c r="AC547" s="28" t="n">
        <x:v>1</x:v>
      </x:c>
      <x:c r="AD547" s="28" t="n">
        <x:v>1</x:v>
      </x:c>
    </x:row>
    <x:row r="548" ht="58" customHeight="1">
      <x:c r="A548" s="28" t="str">
        <x:v>BER-0547</x:v>
      </x:c>
      <x:c r="B548" s="28" t="str">
        <x:v>Универсальные</x:v>
      </x:c>
      <x:c r="C548" s="28" t="str">
        <x:v>малина</x:v>
      </x:c>
      <x:c r="D548" s="28" t="str">
        <x:v>Малина | малина</x:v>
      </x:c>
      <x:c r="E548" s="28" t="str">
        <x:v>Ягоды и производные</x:v>
      </x:c>
      <x:c r="F548" s="28" t="str">
        <x:v>ваниль</x:v>
      </x:c>
      <x:c r="G548" s="28" t="str">
        <x:v>Ваниль | ваниль</x:v>
      </x:c>
      <x:c r="H548" s="28" t="str">
        <x:v>Прочее</x:v>
      </x:c>
      <x:c r="I548" s="28" t="str">
        <x:v>древесный, зелёный, фиалковый, фруктовый, цветочный</x:v>
      </x:c>
      <x:c r="J548" s="28" t="str">
        <x:v>комплексный</x:v>
      </x:c>
      <x:c r="K548" s="28" t="str">
        <x:v>альфа-ионон, бета-ионон, гераниол, линалоол, малиновый кетон</x:v>
      </x:c>
      <x:c r="L548" s="28" t="str">
        <x:v>нет надёжной конкретизации</x:v>
      </x:c>
      <x:c r="M548" s="28" t="str">
        <x:v>прямое совпадение семейств не установлено</x:v>
      </x:c>
      <x:c r="N548" s="28" t="str">
        <x:v>не подтверждены; механизм не сводится к одной общей молекуле</x:v>
      </x:c>
      <x:c r="O548" s="28" t="str">
        <x:v>контраст/комплементарность + матричный эффект</x:v>
      </x:c>
      <x:c r="P548" s="28" t="str">
        <x:v>Оба компонента формируют кисло-сладкий и зависит от ингредиента контур; сахар, кислота и горечь должны быть выровнены дегустацией.</x:v>
      </x:c>
      <x:c r="Q548" s="28" t="str">
        <x:v>Специфического тройничного эффекта обычно нет; кислотность усиливает слюноотделение.</x:v>
      </x:c>
      <x:c r="R548" s="28" t="str">
        <x:v>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54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4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комплексный. Оба компонента формируют кисло-сладкий и зависит от ингредиента контур; сахар, кислота и горечь должны быть выровнены дегустацией. 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4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48" s="28" t="str">
        <x:v>лимон или ваниль</x:v>
      </x:c>
      <x:c r="W548" s="28" t="str">
        <x:v>сенсорная проба в малой дозировке</x:v>
      </x:c>
      <x:c r="X548" s="28" t="str">
        <x:v>универсально</x:v>
      </x:c>
      <x:c r="Y548" s="28" t="str">
        <x:v>Высокая</x:v>
      </x:c>
      <x:c r="Z548" s="28" t="str">
        <x:v>Таблица сочетаний; Тезариус вкусов</x:v>
      </x:c>
      <x:c r="AA548" s="28" t="str">
        <x:v>Тезариус вкусов: 887, 917; Таблица сочетаний: 19, 21</x:v>
      </x:c>
      <x:c r="AB548" s="28" t="str">
        <x:v>Малина и ваниль. См. Ваниль и малина | Ваниль и малина. В возрасте шести лет я посто- янно канючила: «Мама, купи Arctic Roll!» Мне нрави- лась эта на первый взгляд невозможная конфигура- ция типа «корабль в бутылке», цилиндрик из малино- вого мороженого, заключенный в губку из ванили – и без единого шва! Как это удалось сделать Bird’s Eye? Был ли этот батончик отрезком единого огром- ного Arctic Roll длиной с трансуральский газопровод, который какая-то сила космических масштабов цели- ком заполнила мороженым? И как это удалось раз | Малина: ваниль | Ваниль: малина</x:v>
      </x:c>
      <x:c r="AC548" s="28" t="n">
        <x:v>2</x:v>
      </x:c>
      <x:c r="AD548" s="28" t="n">
        <x:v>4</x:v>
      </x:c>
    </x:row>
    <x:row r="549" ht="58" customHeight="1">
      <x:c r="A549" s="28" t="str">
        <x:v>BER-0548</x:v>
      </x:c>
      <x:c r="B549" s="28" t="str">
        <x:v>Универсальные</x:v>
      </x:c>
      <x:c r="C549" s="28" t="str">
        <x:v>малина</x:v>
      </x:c>
      <x:c r="D549" s="28" t="str">
        <x:v>малина</x:v>
      </x:c>
      <x:c r="E549" s="28" t="str">
        <x:v>Ягоды и производные</x:v>
      </x:c>
      <x:c r="F549" s="28" t="str">
        <x:v>гибискус</x:v>
      </x:c>
      <x:c r="G549" s="28" t="str">
        <x:v>Гибискус</x:v>
      </x:c>
      <x:c r="H549" s="28" t="str">
        <x:v>Прочее</x:v>
      </x:c>
      <x:c r="I549" s="28" t="str">
        <x:v>древесный, зелёный, фиалковый, фруктовый, цветочный</x:v>
      </x:c>
      <x:c r="J549" s="28" t="str">
        <x:v>комплексный</x:v>
      </x:c>
      <x:c r="K549" s="28" t="str">
        <x:v>альфа-ионон, бета-ионон, гераниол, линалоол, малиновый кетон</x:v>
      </x:c>
      <x:c r="L549" s="28" t="str">
        <x:v>нет надёжной конкретизации</x:v>
      </x:c>
      <x:c r="M549" s="28" t="str">
        <x:v>прямое совпадение семейств не установлено</x:v>
      </x:c>
      <x:c r="N549" s="28" t="str">
        <x:v>не подтверждены; механизм не сводится к одной общей молекуле</x:v>
      </x:c>
      <x:c r="O549" s="28" t="str">
        <x:v>контраст/комплементарность + матричный эффект</x:v>
      </x:c>
      <x:c r="P549" s="28" t="str">
        <x:v>Оба компонента формируют кисло-сладкий и зависит от ингредиента контур; сахар, кислота и горечь должны быть выровнены дегустацией.</x:v>
      </x:c>
      <x:c r="Q549" s="28" t="str">
        <x:v>Специфического тройничного эффекта обычно нет; кислотность усиливает слюноотделение.</x:v>
      </x:c>
      <x:c r="R549" s="28" t="str">
        <x:v>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54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4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комплексный. Оба компонента формируют кисло-сладкий и зависит от ингредиента контур; сахар, кислота и горечь должны быть выровнены дегустацией. 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4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49" s="28" t="str">
        <x:v>лимон или ваниль</x:v>
      </x:c>
      <x:c r="W549" s="28" t="str">
        <x:v>сенсорная проба в малой дозировке</x:v>
      </x:c>
      <x:c r="X549" s="28" t="str">
        <x:v>универсально</x:v>
      </x:c>
      <x:c r="Y549" s="28" t="str">
        <x:v>Средняя</x:v>
      </x:c>
      <x:c r="Z549" s="28" t="str">
        <x:v>Таблица сочетаний</x:v>
      </x:c>
      <x:c r="AA549" s="28" t="str">
        <x:v>Таблица сочетаний: 9</x:v>
      </x:c>
      <x:c r="AB549" s="28" t="str">
        <x:v>Гибискус: малина</x:v>
      </x:c>
      <x:c r="AC549" s="28" t="n">
        <x:v>1</x:v>
      </x:c>
      <x:c r="AD549" s="28" t="n">
        <x:v>1</x:v>
      </x:c>
    </x:row>
    <x:row r="550" ht="58" customHeight="1">
      <x:c r="A550" s="28" t="str">
        <x:v>BER-0549</x:v>
      </x:c>
      <x:c r="B550" s="28" t="str">
        <x:v>Десерты и выпечка</x:v>
      </x:c>
      <x:c r="C550" s="28" t="str">
        <x:v>малина</x:v>
      </x:c>
      <x:c r="D550" s="28" t="str">
        <x:v>raspberry</x:v>
      </x:c>
      <x:c r="E550" s="28" t="str">
        <x:v>Ягоды и производные</x:v>
      </x:c>
      <x:c r="F550" s="28" t="str">
        <x:v>голубой сыр</x:v>
      </x:c>
      <x:c r="G550" s="28" t="str">
        <x:v>Blue Cheese</x:v>
      </x:c>
      <x:c r="H550" s="28" t="str">
        <x:v>Молочные продукты и сыры</x:v>
      </x:c>
      <x:c r="I550" s="28" t="str">
        <x:v>древесный, зелёный, фиалковый, фруктовый, цветочный</x:v>
      </x:c>
      <x:c r="J550" s="28" t="str">
        <x:v>масляный, молочный, сливочный, сырный</x:v>
      </x:c>
      <x:c r="K550" s="28" t="str">
        <x:v>альфа-ионон, бета-ионон, гераниол, линалоол, малиновый кетон</x:v>
      </x:c>
      <x:c r="L550" s="28" t="str">
        <x:v>диацетил, жирные кислоты, лактоны</x:v>
      </x:c>
      <x:c r="M550" s="28" t="str">
        <x:v>прямое совпадение семейств не установлено</x:v>
      </x:c>
      <x:c r="N550" s="28" t="str">
        <x:v>не подтверждены; механизм не сводится к одной общей молекуле</x:v>
      </x:c>
      <x:c r="O550" s="28" t="str">
        <x:v>контраст/комплементарность + матричный эффект</x:v>
      </x:c>
      <x:c r="P550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550" s="28" t="str">
        <x:v>Специфического тройничного эффекта обычно нет; кислотность усиливает слюноотделение.</x:v>
      </x:c>
      <x:c r="R550" s="28" t="str">
        <x:v>Жировая фаза удерживает гидрофобные одоранты и продлевает послевкусие; кислотность ягод повышает слюноотделение.</x:v>
      </x:c>
      <x:c r="S55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55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550" s="28" t="str">
        <x:v>Высокая кислотность может свернуть молочный белок; смешивать при контролируемой температуре.</x:v>
      </x:c>
      <x:c r="V550" s="28" t="str">
        <x:v>мёд или миндаль</x:v>
      </x:c>
      <x:c r="W550" s="28" t="str">
        <x:v>сорбет, крем, ганаш, выпечка, джем или соус для десерта; соус, глазировка, салат, сырная подача или горячее блюдо</x:v>
      </x:c>
      <x:c r="X550" s="28" t="str">
        <x:v>десерты; еда</x:v>
      </x:c>
      <x:c r="Y550" s="28" t="str">
        <x:v>Средняя</x:v>
      </x:c>
      <x:c r="Z550" s="28" t="str">
        <x:v>The Art &amp; Science of Foodpairing</x:v>
      </x:c>
      <x:c r="AA550" s="28" t="str">
        <x:v>The Art &amp; Science of Foodpairing: 165</x:v>
      </x:c>
      <x:c r="AB550" s="28" t="str">
        <x:v>Ingredient pairings with Blue Cheese: raspberry</x:v>
      </x:c>
      <x:c r="AC550" s="28" t="n">
        <x:v>1</x:v>
      </x:c>
      <x:c r="AD550" s="28" t="n">
        <x:v>1</x:v>
      </x:c>
    </x:row>
    <x:row r="551" ht="58" customHeight="1">
      <x:c r="A551" s="28" t="str">
        <x:v>BER-0550</x:v>
      </x:c>
      <x:c r="B551" s="28" t="str">
        <x:v>Универсальные</x:v>
      </x:c>
      <x:c r="C551" s="28" t="str">
        <x:v>малина</x:v>
      </x:c>
      <x:c r="D551" s="28" t="str">
        <x:v>малина</x:v>
      </x:c>
      <x:c r="E551" s="28" t="str">
        <x:v>Ягоды и производные</x:v>
      </x:c>
      <x:c r="F551" s="28" t="str">
        <x:v>гранат</x:v>
      </x:c>
      <x:c r="G551" s="28" t="str">
        <x:v>Гранат</x:v>
      </x:c>
      <x:c r="H551" s="28" t="str">
        <x:v>Фрукты</x:v>
      </x:c>
      <x:c r="I551" s="28" t="str">
        <x:v>древесный, зелёный, фиалковый, фруктовый, цветочный</x:v>
      </x:c>
      <x:c r="J551" s="28" t="str">
        <x:v>зелёный, фруктовый, цветочный</x:v>
      </x:c>
      <x:c r="K551" s="28" t="str">
        <x:v>альфа-ионон, бета-ионон, гераниол, линалоол, малиновый кетон</x:v>
      </x:c>
      <x:c r="L551" s="28" t="str">
        <x:v>лактоны, терпены, эфиры</x:v>
      </x:c>
      <x:c r="M551" s="28" t="str">
        <x:v>зелёный, фруктовый, цветочный</x:v>
      </x:c>
      <x:c r="N551" s="28" t="str">
        <x:v>не подтверждены; механизм не сводится к одной общей молекуле</x:v>
      </x:c>
      <x:c r="O551" s="28" t="str">
        <x:v>сходство ароматических семейств + комплементарность</x:v>
      </x:c>
      <x:c r="P551" s="28" t="str">
        <x:v>Оба компонента формируют кисло-сладкий и сладко-кислый контур; сахар, кислота и горечь должны быть выровнены дегустацией.</x:v>
      </x:c>
      <x:c r="Q551" s="28" t="str">
        <x:v>Специфического тройничного эффекта обычно нет; кислотность усиливает слюноотделение.</x:v>
      </x:c>
      <x:c r="R551" s="28" t="str">
        <x:v>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</x:v>
      </x:c>
      <x:c r="S55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51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5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51" s="28" t="str">
        <x:v>ваниль или лимон</x:v>
      </x:c>
      <x:c r="W55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551" s="28" t="str">
        <x:v>напитки; десерты</x:v>
      </x:c>
      <x:c r="Y551" s="28" t="str">
        <x:v>Средняя</x:v>
      </x:c>
      <x:c r="Z551" s="28" t="str">
        <x:v>Таблица сочетаний</x:v>
      </x:c>
      <x:c r="AA551" s="28" t="str">
        <x:v>Таблица сочетаний: 17</x:v>
      </x:c>
      <x:c r="AB551" s="28" t="str">
        <x:v>Гранат: малина</x:v>
      </x:c>
      <x:c r="AC551" s="28" t="n">
        <x:v>1</x:v>
      </x:c>
      <x:c r="AD551" s="28" t="n">
        <x:v>1</x:v>
      </x:c>
    </x:row>
    <x:row r="552" ht="58" customHeight="1">
      <x:c r="A552" s="28" t="str">
        <x:v>BER-0551</x:v>
      </x:c>
      <x:c r="B552" s="28" t="str">
        <x:v>Напитки</x:v>
      </x:c>
      <x:c r="C552" s="28" t="str">
        <x:v>малина</x:v>
      </x:c>
      <x:c r="D552" s="28" t="str">
        <x:v>малина</x:v>
      </x:c>
      <x:c r="E552" s="28" t="str">
        <x:v>Ягоды и производные</x:v>
      </x:c>
      <x:c r="F552" s="28" t="str">
        <x:v>грейпфрут</x:v>
      </x:c>
      <x:c r="G552" s="28" t="str">
        <x:v>Грейпфрут</x:v>
      </x:c>
      <x:c r="H552" s="28" t="str">
        <x:v>Цитрусовые</x:v>
      </x:c>
      <x:c r="I552" s="28" t="str">
        <x:v>древесный, зелёный, фиалковый, фруктовый, цветочный</x:v>
      </x:c>
      <x:c r="J552" s="28" t="str">
        <x:v>зелёный, цветочный, цитрусовый</x:v>
      </x:c>
      <x:c r="K552" s="28" t="str">
        <x:v>альфа-ионон, бета-ионон, гераниол, линалоол, малиновый кетон</x:v>
      </x:c>
      <x:c r="L552" s="28" t="str">
        <x:v>лимонен, линалоол, цитраль</x:v>
      </x:c>
      <x:c r="M552" s="28" t="str">
        <x:v>зелёный, цветочный</x:v>
      </x:c>
      <x:c r="N552" s="28" t="str">
        <x:v>линалоол</x:v>
      </x:c>
      <x:c r="O552" s="28" t="str">
        <x:v>ароматическое сходство + вкусовой баланс</x:v>
      </x:c>
      <x:c r="P552" s="28" t="str">
        <x:v>Оба компонента формируют кисло-сладкий и кислый, свежий контур; сахар, кислота и горечь должны быть выровнены дегустацией.</x:v>
      </x:c>
      <x:c r="Q552" s="28" t="str">
        <x:v>Специфического тройничного эффекта обычно нет; кислотность усиливает слюноотделение.</x:v>
      </x:c>
      <x:c r="R552" s="28" t="str">
        <x:v>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</x:v>
      </x:c>
      <x:c r="S55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52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5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52" s="28" t="str">
        <x:v>мёд или базилик</x:v>
      </x:c>
      <x:c r="W552" s="28" t="str">
        <x:v>кордиал, лимонад, чай, коктейль, настой или ферментированный напиток; маринад, гастрик, чатни, кетчуп или редукция</x:v>
      </x:c>
      <x:c r="X552" s="28" t="str">
        <x:v>напитки; соусы/маринады</x:v>
      </x:c>
      <x:c r="Y552" s="28" t="str">
        <x:v>Средняя</x:v>
      </x:c>
      <x:c r="Z552" s="28" t="str">
        <x:v>Таблица сочетаний</x:v>
      </x:c>
      <x:c r="AA552" s="28" t="str">
        <x:v>Таблица сочетаний: 9</x:v>
      </x:c>
      <x:c r="AB552" s="28" t="str">
        <x:v>Грейпфрут: малина</x:v>
      </x:c>
      <x:c r="AC552" s="28" t="n">
        <x:v>1</x:v>
      </x:c>
      <x:c r="AD552" s="28" t="n">
        <x:v>1</x:v>
      </x:c>
    </x:row>
    <x:row r="553" ht="58" customHeight="1">
      <x:c r="A553" s="28" t="str">
        <x:v>BER-0552</x:v>
      </x:c>
      <x:c r="B553" s="28" t="str">
        <x:v>Еда и соусы</x:v>
      </x:c>
      <x:c r="C553" s="28" t="str">
        <x:v>малина</x:v>
      </x:c>
      <x:c r="D553" s="28" t="str">
        <x:v>raspberry</x:v>
      </x:c>
      <x:c r="E553" s="28" t="str">
        <x:v>Ягоды и производные</x:v>
      </x:c>
      <x:c r="F553" s="28" t="str">
        <x:v>доджанг</x:v>
      </x:c>
      <x:c r="G553" s="28" t="str">
        <x:v>Doenjang</x:v>
      </x:c>
      <x:c r="H553" s="28" t="str">
        <x:v>Ферментированные продукты, соусы и уксусы</x:v>
      </x:c>
      <x:c r="I553" s="28" t="str">
        <x:v>древесный, зелёный, фиалковый, фруктовый, цветочный</x:v>
      </x:c>
      <x:c r="J553" s="28" t="str">
        <x:v>кислый, умами, ферментированный</x:v>
      </x:c>
      <x:c r="K553" s="28" t="str">
        <x:v>альфа-ионон, бета-ионон, гераниол, линалоол, малиновый кетон</x:v>
      </x:c>
      <x:c r="L553" s="28" t="str">
        <x:v>аминокислоты, органические кислоты, эфиры</x:v>
      </x:c>
      <x:c r="M553" s="28" t="str">
        <x:v>прямое совпадение семейств не установлено</x:v>
      </x:c>
      <x:c r="N553" s="28" t="str">
        <x:v>не подтверждены; механизм не сводится к одной общей молекуле</x:v>
      </x:c>
      <x:c r="O553" s="28" t="str">
        <x:v>контраст/комплементарность + матричный эффект</x:v>
      </x:c>
      <x:c r="P553" s="28" t="str">
        <x:v>Оба компонента формируют кисло-сладкий и кислый/солёный/умами контур; сахар, кислота и горечь должны быть выровнены дегустацией.</x:v>
      </x:c>
      <x:c r="Q553" s="28" t="str">
        <x:v>Специфического тройничного эффекта обычно нет; кислотность усиливает слюноотделение.</x:v>
      </x:c>
      <x:c r="R553" s="28" t="str">
        <x:v>Ягода: семена добавляют древесность и лёгкую терпкость. Партнёр: вода, соль и продукты ферментации. В воде аромат раскрывается быстрее, в жире и этаноле — дольше удерживается.</x:v>
      </x:c>
      <x:c r="S55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5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кислый, умами, ферментированный. Оба компонента формируют кисло-сладкий и кислый/солёный/умами контур; сахар, кислота и горечь должны быть выровнены дегустацией. Ягода: семена добавляют древесность и лёгкую терпкость.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5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53" s="28" t="str">
        <x:v>мёд или соевый соус</x:v>
      </x:c>
      <x:c r="W553" s="28" t="str">
        <x:v>соус, глазировка, салат, сырная подача или горячее блюдо; маринад, гастрик, чатни, кетчуп или редукция</x:v>
      </x:c>
      <x:c r="X553" s="28" t="str">
        <x:v>еда; соусы/маринады</x:v>
      </x:c>
      <x:c r="Y553" s="28" t="str">
        <x:v>Средняя</x:v>
      </x:c>
      <x:c r="Z553" s="28" t="str">
        <x:v>The Art &amp; Science of Foodpairing</x:v>
      </x:c>
      <x:c r="AA553" s="28" t="str">
        <x:v>The Art &amp; Science of Foodpairing: 247</x:v>
      </x:c>
      <x:c r="AB553" s="28" t="str">
        <x:v>Ingredient pairings with Doenjang: raspberry</x:v>
      </x:c>
      <x:c r="AC553" s="28" t="n">
        <x:v>1</x:v>
      </x:c>
      <x:c r="AD553" s="28" t="n">
        <x:v>1</x:v>
      </x:c>
    </x:row>
    <x:row r="554" ht="58" customHeight="1">
      <x:c r="A554" s="28" t="str">
        <x:v>BER-0553</x:v>
      </x:c>
      <x:c r="B554" s="28" t="str">
        <x:v>Универсальные</x:v>
      </x:c>
      <x:c r="C554" s="28" t="str">
        <x:v>малина</x:v>
      </x:c>
      <x:c r="D554" s="28" t="str">
        <x:v>Малина</x:v>
      </x:c>
      <x:c r="E554" s="28" t="str">
        <x:v>Ягоды и производные</x:v>
      </x:c>
      <x:c r="F554" s="28" t="str">
        <x:v>другие ягоды</x:v>
      </x:c>
      <x:c r="G554" s="28" t="str">
        <x:v>другие ягоды</x:v>
      </x:c>
      <x:c r="H554" s="28" t="str">
        <x:v>Прочее</x:v>
      </x:c>
      <x:c r="I554" s="28" t="str">
        <x:v>древесный, зелёный, фиалковый, фруктовый, цветочный</x:v>
      </x:c>
      <x:c r="J554" s="28" t="str">
        <x:v>комплексный</x:v>
      </x:c>
      <x:c r="K554" s="28" t="str">
        <x:v>альфа-ионон, бета-ионон, гераниол, линалоол, малиновый кетон</x:v>
      </x:c>
      <x:c r="L554" s="28" t="str">
        <x:v>нет надёжной конкретизации</x:v>
      </x:c>
      <x:c r="M554" s="28" t="str">
        <x:v>прямое совпадение семейств не установлено</x:v>
      </x:c>
      <x:c r="N554" s="28" t="str">
        <x:v>не подтверждены; механизм не сводится к одной общей молекуле</x:v>
      </x:c>
      <x:c r="O554" s="28" t="str">
        <x:v>контраст/комплементарность + матричный эффект</x:v>
      </x:c>
      <x:c r="P554" s="28" t="str">
        <x:v>Оба компонента формируют кисло-сладкий и зависит от ингредиента контур; сахар, кислота и горечь должны быть выровнены дегустацией.</x:v>
      </x:c>
      <x:c r="Q554" s="28" t="str">
        <x:v>Специфического тройничного эффекта обычно нет; кислотность усиливает слюноотделение.</x:v>
      </x:c>
      <x:c r="R554" s="28" t="str">
        <x:v>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55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5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комплексный. Оба компонента формируют кисло-сладкий и зависит от ингредиента контур; сахар, кислота и горечь должны быть выровнены дегустацией. 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5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54" s="28" t="str">
        <x:v>лимон или ваниль</x:v>
      </x:c>
      <x:c r="W554" s="28" t="str">
        <x:v>сенсорная проба в малой дозировке</x:v>
      </x:c>
      <x:c r="X554" s="28" t="str">
        <x:v>универсально</x:v>
      </x:c>
      <x:c r="Y554" s="28" t="str">
        <x:v>Средняя</x:v>
      </x:c>
      <x:c r="Z554" s="28" t="str">
        <x:v>Таблица сочетаний</x:v>
      </x:c>
      <x:c r="AA554" s="28" t="str">
        <x:v>Таблица сочетаний: 19</x:v>
      </x:c>
      <x:c r="AB554" s="28" t="str">
        <x:v>Малина: другие ягоды</x:v>
      </x:c>
      <x:c r="AC554" s="28" t="n">
        <x:v>1</x:v>
      </x:c>
      <x:c r="AD554" s="28" t="n">
        <x:v>1</x:v>
      </x:c>
    </x:row>
    <x:row r="555" ht="58" customHeight="1">
      <x:c r="A555" s="28" t="str">
        <x:v>BER-0554</x:v>
      </x:c>
      <x:c r="B555" s="28" t="str">
        <x:v>Универсальные</x:v>
      </x:c>
      <x:c r="C555" s="28" t="str">
        <x:v>малина</x:v>
      </x:c>
      <x:c r="D555" s="28" t="str">
        <x:v>raspberry | Малина | малина</x:v>
      </x:c>
      <x:c r="E555" s="28" t="str">
        <x:v>Ягоды и производные</x:v>
      </x:c>
      <x:c r="F555" s="28" t="str">
        <x:v>имбирь</x:v>
      </x:c>
      <x:c r="G555" s="28" t="str">
        <x:v>Ginger | Имбирь | имбирь</x:v>
      </x:c>
      <x:c r="H555" s="28" t="str">
        <x:v>Специи</x:v>
      </x:c>
      <x:c r="I555" s="28" t="str">
        <x:v>древесный, зелёный, фиалковый, фруктовый, цветочный</x:v>
      </x:c>
      <x:c r="J555" s="28" t="str">
        <x:v>древесный, пряный, тёплый</x:v>
      </x:c>
      <x:c r="K555" s="28" t="str">
        <x:v>альфа-ионон, бета-ионон, гераниол, линалоол, малиновый кетон</x:v>
      </x:c>
      <x:c r="L555" s="28" t="str">
        <x:v>коричный альдегид, терпены, эвгенол</x:v>
      </x:c>
      <x:c r="M555" s="28" t="str">
        <x:v>древесный</x:v>
      </x:c>
      <x:c r="N555" s="28" t="str">
        <x:v>не подтверждены; механизм не сводится к одной общей молекуле</x:v>
      </x:c>
      <x:c r="O555" s="28" t="str">
        <x:v>сходство ароматических семейств + комплементарность</x:v>
      </x:c>
      <x:c r="P555" s="28" t="str">
        <x:v>Ягодная сладость смягчает горечь и пряность, а кислотность делает пряный, иногда горький профиль ярче.</x:v>
      </x:c>
      <x:c r="Q555" s="28" t="str">
        <x:v>Кислотность ягоды усиливает слюноотделение, а капсаицин/пиперин/гингеролы дают тепло и покалывание; дозировка должна быть низкой.</x:v>
      </x:c>
      <x:c r="R555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5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55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55" s="28" t="str">
        <x:v>Пряность дозировать как акцент: она быстро перекрывает тонкие ягодные эфиры.</x:v>
      </x:c>
      <x:c r="V555" s="28" t="str">
        <x:v>мёд или цитрус</x:v>
      </x:c>
      <x:c r="W55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555" s="28" t="str">
        <x:v>напитки; десерты; еда; соусы/маринады</x:v>
      </x:c>
      <x:c r="Y555" s="28" t="str">
        <x:v>Высокая</x:v>
      </x:c>
      <x:c r="Z555" s="28" t="str">
        <x:v>The Art &amp; Science of Foodpairing; Таблица сочетаний</x:v>
      </x:c>
      <x:c r="AA555" s="28" t="str">
        <x:v>The Art &amp; Science of Foodpairing: 142; Таблица сочетаний: 8, 19</x:v>
      </x:c>
      <x:c r="AB555" s="28" t="str">
        <x:v>Имбирь: малина | Малина: имбирь | Ingredient pairings with Ginger: raspberry</x:v>
      </x:c>
      <x:c r="AC555" s="28" t="n">
        <x:v>2</x:v>
      </x:c>
      <x:c r="AD555" s="28" t="n">
        <x:v>3</x:v>
      </x:c>
    </x:row>
    <x:row r="556" ht="58" customHeight="1">
      <x:c r="A556" s="28" t="str">
        <x:v>BER-0555</x:v>
      </x:c>
      <x:c r="B556" s="28" t="str">
        <x:v>Универсальные</x:v>
      </x:c>
      <x:c r="C556" s="28" t="str">
        <x:v>малина</x:v>
      </x:c>
      <x:c r="D556" s="28" t="str">
        <x:v>Малина | малина</x:v>
      </x:c>
      <x:c r="E556" s="28" t="str">
        <x:v>Ягоды и производные</x:v>
      </x:c>
      <x:c r="F556" s="28" t="str">
        <x:v>инжир</x:v>
      </x:c>
      <x:c r="G556" s="28" t="str">
        <x:v>Инжир | инжир</x:v>
      </x:c>
      <x:c r="H556" s="28" t="str">
        <x:v>Фрукты</x:v>
      </x:c>
      <x:c r="I556" s="28" t="str">
        <x:v>древесный, зелёный, фиалковый, фруктовый, цветочный</x:v>
      </x:c>
      <x:c r="J556" s="28" t="str">
        <x:v>зелёный, фруктовый, цветочный</x:v>
      </x:c>
      <x:c r="K556" s="28" t="str">
        <x:v>альфа-ионон, бета-ионон, гераниол, линалоол, малиновый кетон</x:v>
      </x:c>
      <x:c r="L556" s="28" t="str">
        <x:v>лактоны, терпены, эфиры</x:v>
      </x:c>
      <x:c r="M556" s="28" t="str">
        <x:v>зелёный, фруктовый, цветочный</x:v>
      </x:c>
      <x:c r="N556" s="28" t="str">
        <x:v>не подтверждены; механизм не сводится к одной общей молекуле</x:v>
      </x:c>
      <x:c r="O556" s="28" t="str">
        <x:v>сходство ароматических семейств + комплементарность</x:v>
      </x:c>
      <x:c r="P556" s="28" t="str">
        <x:v>Оба компонента формируют кисло-сладкий и сладко-кислый контур; сахар, кислота и горечь должны быть выровнены дегустацией.</x:v>
      </x:c>
      <x:c r="Q556" s="28" t="str">
        <x:v>Специфического тройничного эффекта обычно нет; кислотность усиливает слюноотделение.</x:v>
      </x:c>
      <x:c r="R556" s="28" t="str">
        <x:v>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</x:v>
      </x:c>
      <x:c r="S55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56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5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56" s="28" t="str">
        <x:v>ваниль или лимон</x:v>
      </x:c>
      <x:c r="W55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556" s="28" t="str">
        <x:v>напитки; десерты</x:v>
      </x:c>
      <x:c r="Y556" s="28" t="str">
        <x:v>Высокая</x:v>
      </x:c>
      <x:c r="Z556" s="28" t="str">
        <x:v>Тезариус вкусов</x:v>
      </x:c>
      <x:c r="AA556" s="28" t="str">
        <x:v>Тезариус вкусов: 887, 894</x:v>
      </x:c>
      <x:c r="AB556" s="28" t="str">
        <x:v>Малина и инжир. Малина и инжир – это гармо- ничная комбинация, а сочетание «как ягодный джем» представляет собой одно из наиболее распростра- ненных определений вкуса хорошего инжира (особен- но инжира знаменитого сорта Violette de Bordeaux). Таким же определением является мед, многие сор- та инжира называют «медовыми»: Осенний Медовый (Autumn Honey), Итальянский Медовый (Italian Honey) или чуть менее ностальгический Мед Питера (Peter’s Honey). Джуди Роджерс (Judy Rodgers) из Zuni Cafe пишет, что ее любимый десерт – это инжир, смочен- ный в пахте, обвалянный в муке и обжаренный во фритюре из арахисового масла. Подают такой инжир со взбитыми с | Инжир и малина. См. Малина и инжир</x:v>
      </x:c>
      <x:c r="AC556" s="28" t="n">
        <x:v>1</x:v>
      </x:c>
      <x:c r="AD556" s="28" t="n">
        <x:v>2</x:v>
      </x:c>
    </x:row>
    <x:row r="557" ht="58" customHeight="1">
      <x:c r="A557" s="28" t="str">
        <x:v>BER-0556</x:v>
      </x:c>
      <x:c r="B557" s="28" t="str">
        <x:v>Десерты и выпечка</x:v>
      </x:c>
      <x:c r="C557" s="28" t="str">
        <x:v>малина</x:v>
      </x:c>
      <x:c r="D557" s="28" t="str">
        <x:v>raspberry | Малина | малина</x:v>
      </x:c>
      <x:c r="E557" s="28" t="str">
        <x:v>Ягоды и производные</x:v>
      </x:c>
      <x:c r="F557" s="28" t="str">
        <x:v>козий сыр</x:v>
      </x:c>
      <x:c r="G557" s="28" t="str">
        <x:v>Goats' Cheese | Козий сыр | козий сыр</x:v>
      </x:c>
      <x:c r="H557" s="28" t="str">
        <x:v>Молочные продукты и сыры</x:v>
      </x:c>
      <x:c r="I557" s="28" t="str">
        <x:v>древесный, зелёный, фиалковый, фруктовый, цветочный</x:v>
      </x:c>
      <x:c r="J557" s="28" t="str">
        <x:v>масляный, молочный, сливочный, сырный</x:v>
      </x:c>
      <x:c r="K557" s="28" t="str">
        <x:v>альфа-ионон, бета-ионон, гераниол, линалоол, малиновый кетон</x:v>
      </x:c>
      <x:c r="L557" s="28" t="str">
        <x:v>диацетил, жирные кислоты, лактоны</x:v>
      </x:c>
      <x:c r="M557" s="28" t="str">
        <x:v>прямое совпадение семейств не установлено</x:v>
      </x:c>
      <x:c r="N557" s="28" t="str">
        <x:v>не подтверждены; механизм не сводится к одной общей молекуле</x:v>
      </x:c>
      <x:c r="O557" s="28" t="str">
        <x:v>контраст/комплементарность + матричный эффект</x:v>
      </x:c>
      <x:c r="P557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557" s="28" t="str">
        <x:v>Специфического тройничного эффекта обычно нет; кислотность усиливает слюноотделение.</x:v>
      </x:c>
      <x:c r="R557" s="28" t="str">
        <x:v>Жировая фаза удерживает гидрофобные одоранты и продлевает послевкусие; кислотность ягод повышает слюноотделение.</x:v>
      </x:c>
      <x:c r="S55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55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557" s="28" t="str">
        <x:v>Высокая кислотность может свернуть молочный белок; смешивать при контролируемой температуре.</x:v>
      </x:c>
      <x:c r="V557" s="28" t="str">
        <x:v>мёд или миндаль</x:v>
      </x:c>
      <x:c r="W557" s="28" t="str">
        <x:v>сорбет, крем, ганаш, выпечка, джем или соус для десерта; соус, глазировка, салат, сырная подача или горячее блюдо</x:v>
      </x:c>
      <x:c r="X557" s="28" t="str">
        <x:v>десерты; еда</x:v>
      </x:c>
      <x:c r="Y557" s="28" t="str">
        <x:v>Высокая</x:v>
      </x:c>
      <x:c r="Z557" s="28" t="str">
        <x:v>The Art &amp; Science of Foodpairing; Тезариус вкусов</x:v>
      </x:c>
      <x:c r="AA557" s="28" t="str">
        <x:v>Тезариус вкусов: 141, 887; The Art &amp; Science of Foodpairing: 201</x:v>
      </x:c>
      <x:c r="AB557" s="28" t="str">
        <x:v>Козий сыр и малина. Малина хорошо сочетается с молодыми сырами, которые еще не потеряли молоч- ный, лактозный привкус и нотки цитрусовых. Попро- буйте сделать из этой пары подобие киселя: раздави- те 300 г малины, взбейте 200 мл сливок до появле- ния мягких пиков. Разотрите эту массу до мягкости со 150 г мягкого свежего козьего сыра, 1 ст. л. сахарной пудры и несколькими каплями лимонного сока. Поло- жите малину и сливки. Проверьте, насколько сладким оказался десерт, и разложите его по четырем креман- кам | Малина и козий сыр. См. Козий сыр и малина | Ingredient pairings with Goats' Cheese: raspberry</x:v>
      </x:c>
      <x:c r="AC557" s="28" t="n">
        <x:v>2</x:v>
      </x:c>
      <x:c r="AD557" s="28" t="n">
        <x:v>3</x:v>
      </x:c>
    </x:row>
    <x:row r="558" ht="58" customHeight="1">
      <x:c r="A558" s="28" t="str">
        <x:v>BER-0557</x:v>
      </x:c>
      <x:c r="B558" s="28" t="str">
        <x:v>Универсальные</x:v>
      </x:c>
      <x:c r="C558" s="28" t="str">
        <x:v>малина</x:v>
      </x:c>
      <x:c r="D558" s="28" t="str">
        <x:v>raspberry | Малина | малина</x:v>
      </x:c>
      <x:c r="E558" s="28" t="str">
        <x:v>Ягоды и производные</x:v>
      </x:c>
      <x:c r="F558" s="28" t="str">
        <x:v>кокос</x:v>
      </x:c>
      <x:c r="G558" s="28" t="str">
        <x:v>Coconut | Кокос | кокос</x:v>
      </x:c>
      <x:c r="H558" s="28" t="str">
        <x:v>Прочее</x:v>
      </x:c>
      <x:c r="I558" s="28" t="str">
        <x:v>древесный, зелёный, фиалковый, фруктовый, цветочный</x:v>
      </x:c>
      <x:c r="J558" s="28" t="str">
        <x:v>комплексный</x:v>
      </x:c>
      <x:c r="K558" s="28" t="str">
        <x:v>альфа-ионон, бета-ионон, гераниол, линалоол, малиновый кетон</x:v>
      </x:c>
      <x:c r="L558" s="28" t="str">
        <x:v>нет надёжной конкретизации</x:v>
      </x:c>
      <x:c r="M558" s="28" t="str">
        <x:v>прямое совпадение семейств не установлено</x:v>
      </x:c>
      <x:c r="N558" s="28" t="str">
        <x:v>не подтверждены; механизм не сводится к одной общей молекуле</x:v>
      </x:c>
      <x:c r="O558" s="28" t="str">
        <x:v>контраст/комплементарность + матричный эффект</x:v>
      </x:c>
      <x:c r="P558" s="28" t="str">
        <x:v>Оба компонента формируют кисло-сладкий и зависит от ингредиента контур; сахар, кислота и горечь должны быть выровнены дегустацией.</x:v>
      </x:c>
      <x:c r="Q558" s="28" t="str">
        <x:v>Специфического тройничного эффекта обычно нет; кислотность усиливает слюноотделение.</x:v>
      </x:c>
      <x:c r="R558" s="28" t="str">
        <x:v>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55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5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комплексный. Оба компонента формируют кисло-сладкий и зависит от ингредиента контур; сахар, кислота и горечь должны быть выровнены дегустацией. 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5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58" s="28" t="str">
        <x:v>лимон или ваниль</x:v>
      </x:c>
      <x:c r="W558" s="28" t="str">
        <x:v>сенсорная проба в малой дозировке</x:v>
      </x:c>
      <x:c r="X558" s="28" t="str">
        <x:v>универсально</x:v>
      </x:c>
      <x:c r="Y558" s="28" t="str">
        <x:v>Высокая</x:v>
      </x:c>
      <x:c r="Z558" s="28" t="str">
        <x:v>The Art &amp; Science of Foodpairing; Тезариус вкусов</x:v>
      </x:c>
      <x:c r="AA558" s="28" t="str">
        <x:v>Тезариус вкусов: 759, 887; The Art &amp; Science of Foodpairing: 135</x:v>
      </x:c>
      <x:c r="AB558" s="28" t="str">
        <x:v>Кокос и малина. В детстве моим любимым лаком- ством был бисквит в форме перевернутого цветочно- го горшка, покрытый малиновым джемом, посыпан- ный кокосовой стружкой и увенчанный засахаренной вишенкой. Все это поглощалось вместе с чашкой чая, заваренного с липовым цветом. Если вы устали от огромных пышных тортов, покрытых тяжелой глазу- рью, вот вам моя идея: простой «волшебный» пирог с джемом. Подогрейте немного малинового джема (без семян) и размажьте его по верху пирога так, чтобы джем не выходил на края. Если пирог не очень силь- но подошел, то вам будет довольно легко сделать из джема аккуратный круг. Посыпьте пирог кокосовой стружкой | Малина и кокос. См. Кокос и малина | Ingredient pairings with Coconut: raspberry | Ingredient pairings with Coconut: raspberry</x:v>
      </x:c>
      <x:c r="AC558" s="28" t="n">
        <x:v>2</x:v>
      </x:c>
      <x:c r="AD558" s="28" t="n">
        <x:v>4</x:v>
      </x:c>
    </x:row>
    <x:row r="559" ht="58" customHeight="1">
      <x:c r="A559" s="28" t="str">
        <x:v>BER-0558</x:v>
      </x:c>
      <x:c r="B559" s="28" t="str">
        <x:v>Универсальные</x:v>
      </x:c>
      <x:c r="C559" s="28" t="str">
        <x:v>малина</x:v>
      </x:c>
      <x:c r="D559" s="28" t="str">
        <x:v>raspberry</x:v>
      </x:c>
      <x:c r="E559" s="28" t="str">
        <x:v>Ягоды и производные</x:v>
      </x:c>
      <x:c r="F559" s="28" t="str">
        <x:v>кориандр</x:v>
      </x:c>
      <x:c r="G559" s="28" t="str">
        <x:v>Coriander</x:v>
      </x:c>
      <x:c r="H559" s="28" t="str">
        <x:v>Прочее</x:v>
      </x:c>
      <x:c r="I559" s="28" t="str">
        <x:v>древесный, зелёный, фиалковый, фруктовый, цветочный</x:v>
      </x:c>
      <x:c r="J559" s="28" t="str">
        <x:v>комплексный</x:v>
      </x:c>
      <x:c r="K559" s="28" t="str">
        <x:v>альфа-ионон, бета-ионон, гераниол, линалоол, малиновый кетон</x:v>
      </x:c>
      <x:c r="L559" s="28" t="str">
        <x:v>нет надёжной конкретизации</x:v>
      </x:c>
      <x:c r="M559" s="28" t="str">
        <x:v>прямое совпадение семейств не установлено</x:v>
      </x:c>
      <x:c r="N559" s="28" t="str">
        <x:v>не подтверждены; механизм не сводится к одной общей молекуле</x:v>
      </x:c>
      <x:c r="O559" s="28" t="str">
        <x:v>контраст/комплементарность + матричный эффект</x:v>
      </x:c>
      <x:c r="P559" s="28" t="str">
        <x:v>Оба компонента формируют кисло-сладкий и зависит от ингредиента контур; сахар, кислота и горечь должны быть выровнены дегустацией.</x:v>
      </x:c>
      <x:c r="Q559" s="28" t="str">
        <x:v>Специфического тройничного эффекта обычно нет; кислотность усиливает слюноотделение.</x:v>
      </x:c>
      <x:c r="R559" s="28" t="str">
        <x:v>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55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5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комплексный. Оба компонента формируют кисло-сладкий и зависит от ингредиента контур; сахар, кислота и горечь должны быть выровнены дегустацией. 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5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59" s="28" t="str">
        <x:v>лимон или ваниль</x:v>
      </x:c>
      <x:c r="W559" s="28" t="str">
        <x:v>сенсорная проба в малой дозировке</x:v>
      </x:c>
      <x:c r="X559" s="28" t="str">
        <x:v>универсально</x:v>
      </x:c>
      <x:c r="Y559" s="28" t="str">
        <x:v>Средняя</x:v>
      </x:c>
      <x:c r="Z559" s="28" t="str">
        <x:v>The Art &amp; Science of Foodpairing</x:v>
      </x:c>
      <x:c r="AA559" s="28" t="str">
        <x:v>The Art &amp; Science of Foodpairing: 98</x:v>
      </x:c>
      <x:c r="AB559" s="28" t="str">
        <x:v>Ingredient pairings with Coriander: raspberry</x:v>
      </x:c>
      <x:c r="AC559" s="28" t="n">
        <x:v>1</x:v>
      </x:c>
      <x:c r="AD559" s="28" t="n">
        <x:v>1</x:v>
      </x:c>
    </x:row>
    <x:row r="560" ht="58" customHeight="1">
      <x:c r="A560" s="28" t="str">
        <x:v>BER-0559</x:v>
      </x:c>
      <x:c r="B560" s="28" t="str">
        <x:v>Универсальные</x:v>
      </x:c>
      <x:c r="C560" s="28" t="str">
        <x:v>малина</x:v>
      </x:c>
      <x:c r="D560" s="28" t="str">
        <x:v>raspberry | Малина</x:v>
      </x:c>
      <x:c r="E560" s="28" t="str">
        <x:v>Ягоды и производные</x:v>
      </x:c>
      <x:c r="F560" s="28" t="str">
        <x:v>корица</x:v>
      </x:c>
      <x:c r="G560" s="28" t="str">
        <x:v>Cinnamon | корица</x:v>
      </x:c>
      <x:c r="H560" s="28" t="str">
        <x:v>Специи</x:v>
      </x:c>
      <x:c r="I560" s="28" t="str">
        <x:v>древесный, зелёный, фиалковый, фруктовый, цветочный</x:v>
      </x:c>
      <x:c r="J560" s="28" t="str">
        <x:v>древесный, пряный, тёплый</x:v>
      </x:c>
      <x:c r="K560" s="28" t="str">
        <x:v>альфа-ионон, бета-ионон, гераниол, линалоол, малиновый кетон</x:v>
      </x:c>
      <x:c r="L560" s="28" t="str">
        <x:v>коричный альдегид, терпены, эвгенол</x:v>
      </x:c>
      <x:c r="M560" s="28" t="str">
        <x:v>древесный</x:v>
      </x:c>
      <x:c r="N560" s="28" t="str">
        <x:v>не подтверждены; механизм не сводится к одной общей молекуле</x:v>
      </x:c>
      <x:c r="O560" s="28" t="str">
        <x:v>сходство ароматических семейств + комплементарность</x:v>
      </x:c>
      <x:c r="P560" s="28" t="str">
        <x:v>Ягодная сладость смягчает горечь и пряность, а кислотность делает пряный, иногда горький профиль ярче.</x:v>
      </x:c>
      <x:c r="Q560" s="28" t="str">
        <x:v>Специфического тройничного эффекта обычно нет; кислотность усиливает слюноотделение.</x:v>
      </x:c>
      <x:c r="R560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6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60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60" s="28" t="str">
        <x:v>Пряность дозировать как акцент: она быстро перекрывает тонкие ягодные эфиры.</x:v>
      </x:c>
      <x:c r="V560" s="28" t="str">
        <x:v>мёд или цитрус</x:v>
      </x:c>
      <x:c r="W56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560" s="28" t="str">
        <x:v>напитки; десерты; еда; соусы/маринады</x:v>
      </x:c>
      <x:c r="Y560" s="28" t="str">
        <x:v>Высокая</x:v>
      </x:c>
      <x:c r="Z560" s="28" t="str">
        <x:v>The Art &amp; Science of Foodpairing; Таблица сочетаний</x:v>
      </x:c>
      <x:c r="AA560" s="28" t="str">
        <x:v>The Art &amp; Science of Foodpairing: 130; Таблица сочетаний: 19</x:v>
      </x:c>
      <x:c r="AB560" s="28" t="str">
        <x:v>Малина: корица | Ingredient pairings with Cinnamon: raspberry</x:v>
      </x:c>
      <x:c r="AC560" s="28" t="n">
        <x:v>2</x:v>
      </x:c>
      <x:c r="AD560" s="28" t="n">
        <x:v>2</x:v>
      </x:c>
    </x:row>
    <x:row r="561" ht="58" customHeight="1">
      <x:c r="A561" s="28" t="str">
        <x:v>BER-0560</x:v>
      </x:c>
      <x:c r="B561" s="28" t="str">
        <x:v>Универсальные</x:v>
      </x:c>
      <x:c r="C561" s="28" t="str">
        <x:v>малина</x:v>
      </x:c>
      <x:c r="D561" s="28" t="str">
        <x:v>raspberry</x:v>
      </x:c>
      <x:c r="E561" s="28" t="str">
        <x:v>Ягоды и производные</x:v>
      </x:c>
      <x:c r="F561" s="28" t="str">
        <x:v>лемонграсс</x:v>
      </x:c>
      <x:c r="G561" s="28" t="str">
        <x:v>Lemongrass</x:v>
      </x:c>
      <x:c r="H561" s="28" t="str">
        <x:v>Прочее</x:v>
      </x:c>
      <x:c r="I561" s="28" t="str">
        <x:v>древесный, зелёный, фиалковый, фруктовый, цветочный</x:v>
      </x:c>
      <x:c r="J561" s="28" t="str">
        <x:v>комплексный</x:v>
      </x:c>
      <x:c r="K561" s="28" t="str">
        <x:v>альфа-ионон, бета-ионон, гераниол, линалоол, малиновый кетон</x:v>
      </x:c>
      <x:c r="L561" s="28" t="str">
        <x:v>нет надёжной конкретизации</x:v>
      </x:c>
      <x:c r="M561" s="28" t="str">
        <x:v>прямое совпадение семейств не установлено</x:v>
      </x:c>
      <x:c r="N561" s="28" t="str">
        <x:v>не подтверждены; механизм не сводится к одной общей молекуле</x:v>
      </x:c>
      <x:c r="O561" s="28" t="str">
        <x:v>контраст/комплементарность + матричный эффект</x:v>
      </x:c>
      <x:c r="P561" s="28" t="str">
        <x:v>Оба компонента формируют кисло-сладкий и зависит от ингредиента контур; сахар, кислота и горечь должны быть выровнены дегустацией.</x:v>
      </x:c>
      <x:c r="Q561" s="28" t="str">
        <x:v>Специфического тройничного эффекта обычно нет; кислотность усиливает слюноотделение.</x:v>
      </x:c>
      <x:c r="R561" s="28" t="str">
        <x:v>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56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6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комплексный. Оба компонента формируют кисло-сладкий и зависит от ингредиента контур; сахар, кислота и горечь должны быть выровнены дегустацией. 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6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61" s="28" t="str">
        <x:v>лимон или ваниль</x:v>
      </x:c>
      <x:c r="W561" s="28" t="str">
        <x:v>сенсорная проба в малой дозировке</x:v>
      </x:c>
      <x:c r="X561" s="28" t="str">
        <x:v>универсально</x:v>
      </x:c>
      <x:c r="Y561" s="28" t="str">
        <x:v>Средняя</x:v>
      </x:c>
      <x:c r="Z561" s="28" t="str">
        <x:v>The Art &amp; Science of Foodpairing</x:v>
      </x:c>
      <x:c r="AA561" s="28" t="str">
        <x:v>The Art &amp; Science of Foodpairing: 147</x:v>
      </x:c>
      <x:c r="AB561" s="28" t="str">
        <x:v>Ingredient pairings with Lemongrass: raspberry</x:v>
      </x:c>
      <x:c r="AC561" s="28" t="n">
        <x:v>1</x:v>
      </x:c>
      <x:c r="AD561" s="28" t="n">
        <x:v>1</x:v>
      </x:c>
    </x:row>
    <x:row r="562" ht="58" customHeight="1">
      <x:c r="A562" s="28" t="str">
        <x:v>BER-0561</x:v>
      </x:c>
      <x:c r="B562" s="28" t="str">
        <x:v>Напитки</x:v>
      </x:c>
      <x:c r="C562" s="28" t="str">
        <x:v>малина</x:v>
      </x:c>
      <x:c r="D562" s="28" t="str">
        <x:v>Малина</x:v>
      </x:c>
      <x:c r="E562" s="28" t="str">
        <x:v>Ягоды и производные</x:v>
      </x:c>
      <x:c r="F562" s="28" t="str">
        <x:v>лимон</x:v>
      </x:c>
      <x:c r="G562" s="28" t="str">
        <x:v>лимон</x:v>
      </x:c>
      <x:c r="H562" s="28" t="str">
        <x:v>Цитрусовые</x:v>
      </x:c>
      <x:c r="I562" s="28" t="str">
        <x:v>древесный, зелёный, фиалковый, фруктовый, цветочный</x:v>
      </x:c>
      <x:c r="J562" s="28" t="str">
        <x:v>зелёный, цветочный, цитрусовый</x:v>
      </x:c>
      <x:c r="K562" s="28" t="str">
        <x:v>альфа-ионон, бета-ионон, гераниол, линалоол, малиновый кетон</x:v>
      </x:c>
      <x:c r="L562" s="28" t="str">
        <x:v>лимонен, линалоол, цитраль</x:v>
      </x:c>
      <x:c r="M562" s="28" t="str">
        <x:v>зелёный, цветочный</x:v>
      </x:c>
      <x:c r="N562" s="28" t="str">
        <x:v>линалоол</x:v>
      </x:c>
      <x:c r="O562" s="28" t="str">
        <x:v>ароматическое сходство + вкусовой баланс</x:v>
      </x:c>
      <x:c r="P562" s="28" t="str">
        <x:v>Оба компонента формируют кисло-сладкий и кислый, свежий контур; сахар, кислота и горечь должны быть выровнены дегустацией.</x:v>
      </x:c>
      <x:c r="Q562" s="28" t="str">
        <x:v>Специфического тройничного эффекта обычно нет; кислотность усиливает слюноотделение.</x:v>
      </x:c>
      <x:c r="R562" s="28" t="str">
        <x:v>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</x:v>
      </x:c>
      <x:c r="S56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62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6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62" s="28" t="str">
        <x:v>мёд или базилик</x:v>
      </x:c>
      <x:c r="W562" s="28" t="str">
        <x:v>кордиал, лимонад, чай, коктейль, настой или ферментированный напиток; маринад, гастрик, чатни, кетчуп или редукция</x:v>
      </x:c>
      <x:c r="X562" s="28" t="str">
        <x:v>напитки; соусы/маринады</x:v>
      </x:c>
      <x:c r="Y562" s="28" t="str">
        <x:v>Средняя</x:v>
      </x:c>
      <x:c r="Z562" s="28" t="str">
        <x:v>Таблица сочетаний</x:v>
      </x:c>
      <x:c r="AA562" s="28" t="str">
        <x:v>Таблица сочетаний: 19</x:v>
      </x:c>
      <x:c r="AB562" s="28" t="str">
        <x:v>Малина: лимон</x:v>
      </x:c>
      <x:c r="AC562" s="28" t="n">
        <x:v>1</x:v>
      </x:c>
      <x:c r="AD562" s="28" t="n">
        <x:v>1</x:v>
      </x:c>
    </x:row>
    <x:row r="563" ht="58" customHeight="1">
      <x:c r="A563" s="28" t="str">
        <x:v>BER-0562</x:v>
      </x:c>
      <x:c r="B563" s="28" t="str">
        <x:v>Напитки</x:v>
      </x:c>
      <x:c r="C563" s="28" t="str">
        <x:v>малина</x:v>
      </x:c>
      <x:c r="D563" s="28" t="str">
        <x:v>raspberry</x:v>
      </x:c>
      <x:c r="E563" s="28" t="str">
        <x:v>Ягоды и производные</x:v>
      </x:c>
      <x:c r="F563" s="28" t="str">
        <x:v>лимон и лайм</x:v>
      </x:c>
      <x:c r="G563" s="28" t="str">
        <x:v>Lemon&amp;Lime</x:v>
      </x:c>
      <x:c r="H563" s="28" t="str">
        <x:v>Цитрусовые</x:v>
      </x:c>
      <x:c r="I563" s="28" t="str">
        <x:v>древесный, зелёный, фиалковый, фруктовый, цветочный</x:v>
      </x:c>
      <x:c r="J563" s="28" t="str">
        <x:v>зелёный, цветочный, цитрусовый</x:v>
      </x:c>
      <x:c r="K563" s="28" t="str">
        <x:v>альфа-ионон, бета-ионон, гераниол, линалоол, малиновый кетон</x:v>
      </x:c>
      <x:c r="L563" s="28" t="str">
        <x:v>лимонен, линалоол, цитраль</x:v>
      </x:c>
      <x:c r="M563" s="28" t="str">
        <x:v>зелёный, цветочный</x:v>
      </x:c>
      <x:c r="N563" s="28" t="str">
        <x:v>линалоол</x:v>
      </x:c>
      <x:c r="O563" s="28" t="str">
        <x:v>ароматическое сходство + вкусовой баланс</x:v>
      </x:c>
      <x:c r="P563" s="28" t="str">
        <x:v>Оба компонента формируют кисло-сладкий и кислый, свежий контур; сахар, кислота и горечь должны быть выровнены дегустацией.</x:v>
      </x:c>
      <x:c r="Q563" s="28" t="str">
        <x:v>Специфического тройничного эффекта обычно нет; кислотность усиливает слюноотделение.</x:v>
      </x:c>
      <x:c r="R563" s="28" t="str">
        <x:v>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</x:v>
      </x:c>
      <x:c r="S56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63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6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63" s="28" t="str">
        <x:v>мёд или базилик</x:v>
      </x:c>
      <x:c r="W563" s="28" t="str">
        <x:v>кордиал, лимонад, чай, коктейль, настой или ферментированный напиток; маринад, гастрик, чатни, кетчуп или редукция</x:v>
      </x:c>
      <x:c r="X563" s="28" t="str">
        <x:v>напитки; соусы/маринады</x:v>
      </x:c>
      <x:c r="Y563" s="28" t="str">
        <x:v>Средняя</x:v>
      </x:c>
      <x:c r="Z563" s="28" t="str">
        <x:v>The Art &amp; Science of Foodpairing</x:v>
      </x:c>
      <x:c r="AA563" s="28" t="str">
        <x:v>The Art &amp; Science of Foodpairing: 88</x:v>
      </x:c>
      <x:c r="AB563" s="28" t="str">
        <x:v>Ingredient pairings with Lemon&amp;Lime: raspberry</x:v>
      </x:c>
      <x:c r="AC563" s="28" t="n">
        <x:v>1</x:v>
      </x:c>
      <x:c r="AD563" s="28" t="n">
        <x:v>1</x:v>
      </x:c>
    </x:row>
    <x:row r="564" ht="58" customHeight="1">
      <x:c r="A564" s="28" t="str">
        <x:v>BER-0563</x:v>
      </x:c>
      <x:c r="B564" s="28" t="str">
        <x:v>Напитки</x:v>
      </x:c>
      <x:c r="C564" s="28" t="str">
        <x:v>малина</x:v>
      </x:c>
      <x:c r="D564" s="28" t="str">
        <x:v>малина</x:v>
      </x:c>
      <x:c r="E564" s="28" t="str">
        <x:v>Ягоды и производные</x:v>
      </x:c>
      <x:c r="F564" s="28" t="str">
        <x:v>лимонный тимьян</x:v>
      </x:c>
      <x:c r="G564" s="28" t="str">
        <x:v>Лимонный тимьян</x:v>
      </x:c>
      <x:c r="H564" s="28" t="str">
        <x:v>Цитрусовые</x:v>
      </x:c>
      <x:c r="I564" s="28" t="str">
        <x:v>древесный, зелёный, фиалковый, фруктовый, цветочный</x:v>
      </x:c>
      <x:c r="J564" s="28" t="str">
        <x:v>зелёный, цветочный, цитрусовый</x:v>
      </x:c>
      <x:c r="K564" s="28" t="str">
        <x:v>альфа-ионон, бета-ионон, гераниол, линалоол, малиновый кетон</x:v>
      </x:c>
      <x:c r="L564" s="28" t="str">
        <x:v>лимонен, линалоол, цитраль</x:v>
      </x:c>
      <x:c r="M564" s="28" t="str">
        <x:v>зелёный, цветочный</x:v>
      </x:c>
      <x:c r="N564" s="28" t="str">
        <x:v>линалоол</x:v>
      </x:c>
      <x:c r="O564" s="28" t="str">
        <x:v>ароматическое сходство + вкусовой баланс</x:v>
      </x:c>
      <x:c r="P564" s="28" t="str">
        <x:v>Оба компонента формируют кисло-сладкий и кислый, свежий контур; сахар, кислота и горечь должны быть выровнены дегустацией.</x:v>
      </x:c>
      <x:c r="Q564" s="28" t="str">
        <x:v>Специфического тройничного эффекта обычно нет; кислотность усиливает слюноотделение.</x:v>
      </x:c>
      <x:c r="R564" s="28" t="str">
        <x:v>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</x:v>
      </x:c>
      <x:c r="S56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64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6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64" s="28" t="str">
        <x:v>мёд или базилик</x:v>
      </x:c>
      <x:c r="W564" s="28" t="str">
        <x:v>кордиал, лимонад, чай, коктейль, настой или ферментированный напиток; маринад, гастрик, чатни, кетчуп или редукция</x:v>
      </x:c>
      <x:c r="X564" s="28" t="str">
        <x:v>напитки; соусы/маринады</x:v>
      </x:c>
      <x:c r="Y564" s="28" t="str">
        <x:v>Средняя</x:v>
      </x:c>
      <x:c r="Z564" s="28" t="str">
        <x:v>Таблица сочетаний</x:v>
      </x:c>
      <x:c r="AA564" s="28" t="str">
        <x:v>Таблица сочетаний: 11</x:v>
      </x:c>
      <x:c r="AB564" s="28" t="str">
        <x:v>Лимонный тимьян: малина</x:v>
      </x:c>
      <x:c r="AC564" s="28" t="n">
        <x:v>1</x:v>
      </x:c>
      <x:c r="AD564" s="28" t="n">
        <x:v>1</x:v>
      </x:c>
    </x:row>
    <x:row r="565" ht="58" customHeight="1">
      <x:c r="A565" s="28" t="str">
        <x:v>BER-0564</x:v>
      </x:c>
      <x:c r="B565" s="28" t="str">
        <x:v>Универсальные</x:v>
      </x:c>
      <x:c r="C565" s="28" t="str">
        <x:v>малина</x:v>
      </x:c>
      <x:c r="D565" s="28" t="str">
        <x:v>raspberry</x:v>
      </x:c>
      <x:c r="E565" s="28" t="str">
        <x:v>Ягоды и производные</x:v>
      </x:c>
      <x:c r="F565" s="28" t="str">
        <x:v>манго</x:v>
      </x:c>
      <x:c r="G565" s="28" t="str">
        <x:v>Mango</x:v>
      </x:c>
      <x:c r="H565" s="28" t="str">
        <x:v>Фрукты</x:v>
      </x:c>
      <x:c r="I565" s="28" t="str">
        <x:v>древесный, зелёный, фиалковый, фруктовый, цветочный</x:v>
      </x:c>
      <x:c r="J565" s="28" t="str">
        <x:v>зелёный, фруктовый, цветочный</x:v>
      </x:c>
      <x:c r="K565" s="28" t="str">
        <x:v>альфа-ионон, бета-ионон, гераниол, линалоол, малиновый кетон</x:v>
      </x:c>
      <x:c r="L565" s="28" t="str">
        <x:v>лактоны, терпены, эфиры</x:v>
      </x:c>
      <x:c r="M565" s="28" t="str">
        <x:v>зелёный, фруктовый, цветочный</x:v>
      </x:c>
      <x:c r="N565" s="28" t="str">
        <x:v>не подтверждены; механизм не сводится к одной общей молекуле</x:v>
      </x:c>
      <x:c r="O565" s="28" t="str">
        <x:v>сходство ароматических семейств + комплементарность</x:v>
      </x:c>
      <x:c r="P565" s="28" t="str">
        <x:v>Оба компонента формируют кисло-сладкий и сладко-кислый контур; сахар, кислота и горечь должны быть выровнены дегустацией.</x:v>
      </x:c>
      <x:c r="Q565" s="28" t="str">
        <x:v>Специфического тройничного эффекта обычно нет; кислотность усиливает слюноотделение.</x:v>
      </x:c>
      <x:c r="R565" s="28" t="str">
        <x:v>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</x:v>
      </x:c>
      <x:c r="S56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65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6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65" s="28" t="str">
        <x:v>ваниль или лимон</x:v>
      </x:c>
      <x:c r="W56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565" s="28" t="str">
        <x:v>напитки; десерты</x:v>
      </x:c>
      <x:c r="Y565" s="28" t="str">
        <x:v>Средняя</x:v>
      </x:c>
      <x:c r="Z565" s="28" t="str">
        <x:v>The Art &amp; Science of Foodpairing</x:v>
      </x:c>
      <x:c r="AA565" s="28" t="str">
        <x:v>The Art &amp; Science of Foodpairing: 312</x:v>
      </x:c>
      <x:c r="AB565" s="28" t="str">
        <x:v>Ingredient pairings with Mango: raspberry | Ingredient pairings with Mango: raspberry | Ingredient pairings with Mango: raspberry</x:v>
      </x:c>
      <x:c r="AC565" s="28" t="n">
        <x:v>1</x:v>
      </x:c>
      <x:c r="AD565" s="28" t="n">
        <x:v>3</x:v>
      </x:c>
    </x:row>
    <x:row r="566" ht="58" customHeight="1">
      <x:c r="A566" s="28" t="str">
        <x:v>BER-0565</x:v>
      </x:c>
      <x:c r="B566" s="28" t="str">
        <x:v>Универсальные</x:v>
      </x:c>
      <x:c r="C566" s="28" t="str">
        <x:v>малина</x:v>
      </x:c>
      <x:c r="D566" s="28" t="str">
        <x:v>Малина | малина</x:v>
      </x:c>
      <x:c r="E566" s="28" t="str">
        <x:v>Ягоды и производные</x:v>
      </x:c>
      <x:c r="F566" s="28" t="str">
        <x:v>маракуйя</x:v>
      </x:c>
      <x:c r="G566" s="28" t="str">
        <x:v>Маракуйя | маракуйя</x:v>
      </x:c>
      <x:c r="H566" s="28" t="str">
        <x:v>Прочее</x:v>
      </x:c>
      <x:c r="I566" s="28" t="str">
        <x:v>древесный, зелёный, фиалковый, фруктовый, цветочный</x:v>
      </x:c>
      <x:c r="J566" s="28" t="str">
        <x:v>комплексный</x:v>
      </x:c>
      <x:c r="K566" s="28" t="str">
        <x:v>альфа-ионон, бета-ионон, гераниол, линалоол, малиновый кетон</x:v>
      </x:c>
      <x:c r="L566" s="28" t="str">
        <x:v>нет надёжной конкретизации</x:v>
      </x:c>
      <x:c r="M566" s="28" t="str">
        <x:v>прямое совпадение семейств не установлено</x:v>
      </x:c>
      <x:c r="N566" s="28" t="str">
        <x:v>не подтверждены; механизм не сводится к одной общей молекуле</x:v>
      </x:c>
      <x:c r="O566" s="28" t="str">
        <x:v>контраст/комплементарность + матричный эффект</x:v>
      </x:c>
      <x:c r="P566" s="28" t="str">
        <x:v>Оба компонента формируют кисло-сладкий и зависит от ингредиента контур; сахар, кислота и горечь должны быть выровнены дегустацией.</x:v>
      </x:c>
      <x:c r="Q566" s="28" t="str">
        <x:v>Специфического тройничного эффекта обычно нет; кислотность усиливает слюноотделение.</x:v>
      </x:c>
      <x:c r="R566" s="28" t="str">
        <x:v>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56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6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комплексный. Оба компонента формируют кисло-сладкий и зависит от ингредиента контур; сахар, кислота и горечь должны быть выровнены дегустацией. 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6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66" s="28" t="str">
        <x:v>лимон или ваниль</x:v>
      </x:c>
      <x:c r="W566" s="28" t="str">
        <x:v>сенсорная проба в малой дозировке</x:v>
      </x:c>
      <x:c r="X566" s="28" t="str">
        <x:v>универсально</x:v>
      </x:c>
      <x:c r="Y566" s="28" t="str">
        <x:v>Средняя</x:v>
      </x:c>
      <x:c r="Z566" s="28" t="str">
        <x:v>Таблица сочетаний</x:v>
      </x:c>
      <x:c r="AA566" s="28" t="str">
        <x:v>Таблица сочетаний: 15, 19</x:v>
      </x:c>
      <x:c r="AB566" s="28" t="str">
        <x:v>Маракуйя: малина | Малина: маракуйя</x:v>
      </x:c>
      <x:c r="AC566" s="28" t="n">
        <x:v>1</x:v>
      </x:c>
      <x:c r="AD566" s="28" t="n">
        <x:v>2</x:v>
      </x:c>
    </x:row>
    <x:row r="567" ht="58" customHeight="1">
      <x:c r="A567" s="28" t="str">
        <x:v>BER-0566</x:v>
      </x:c>
      <x:c r="B567" s="28" t="str">
        <x:v>Универсальные</x:v>
      </x:c>
      <x:c r="C567" s="28" t="str">
        <x:v>малина</x:v>
      </x:c>
      <x:c r="D567" s="28" t="str">
        <x:v>Малина</x:v>
      </x:c>
      <x:c r="E567" s="28" t="str">
        <x:v>Ягоды и производные</x:v>
      </x:c>
      <x:c r="F567" s="28" t="str">
        <x:v>мёд</x:v>
      </x:c>
      <x:c r="G567" s="28" t="str">
        <x:v>мёд</x:v>
      </x:c>
      <x:c r="H567" s="28" t="str">
        <x:v>Прочее</x:v>
      </x:c>
      <x:c r="I567" s="28" t="str">
        <x:v>древесный, зелёный, фиалковый, фруктовый, цветочный</x:v>
      </x:c>
      <x:c r="J567" s="28" t="str">
        <x:v>комплексный</x:v>
      </x:c>
      <x:c r="K567" s="28" t="str">
        <x:v>альфа-ионон, бета-ионон, гераниол, линалоол, малиновый кетон</x:v>
      </x:c>
      <x:c r="L567" s="28" t="str">
        <x:v>нет надёжной конкретизации</x:v>
      </x:c>
      <x:c r="M567" s="28" t="str">
        <x:v>прямое совпадение семейств не установлено</x:v>
      </x:c>
      <x:c r="N567" s="28" t="str">
        <x:v>не подтверждены; механизм не сводится к одной общей молекуле</x:v>
      </x:c>
      <x:c r="O567" s="28" t="str">
        <x:v>контраст/комплементарность + матричный эффект</x:v>
      </x:c>
      <x:c r="P567" s="28" t="str">
        <x:v>Оба компонента формируют кисло-сладкий и зависит от ингредиента контур; сахар, кислота и горечь должны быть выровнены дегустацией.</x:v>
      </x:c>
      <x:c r="Q567" s="28" t="str">
        <x:v>Специфического тройничного эффекта обычно нет; кислотность усиливает слюноотделение.</x:v>
      </x:c>
      <x:c r="R567" s="28" t="str">
        <x:v>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56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6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комплексный. Оба компонента формируют кисло-сладкий и зависит от ингредиента контур; сахар, кислота и горечь должны быть выровнены дегустацией. 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6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67" s="28" t="str">
        <x:v>лимон или ваниль</x:v>
      </x:c>
      <x:c r="W567" s="28" t="str">
        <x:v>сенсорная проба в малой дозировке</x:v>
      </x:c>
      <x:c r="X567" s="28" t="str">
        <x:v>универсально</x:v>
      </x:c>
      <x:c r="Y567" s="28" t="str">
        <x:v>Средняя</x:v>
      </x:c>
      <x:c r="Z567" s="28" t="str">
        <x:v>Таблица сочетаний</x:v>
      </x:c>
      <x:c r="AA567" s="28" t="str">
        <x:v>Таблица сочетаний: 19</x:v>
      </x:c>
      <x:c r="AB567" s="28" t="str">
        <x:v>Малина: мёд</x:v>
      </x:c>
      <x:c r="AC567" s="28" t="n">
        <x:v>1</x:v>
      </x:c>
      <x:c r="AD567" s="28" t="n">
        <x:v>1</x:v>
      </x:c>
    </x:row>
    <x:row r="568" ht="58" customHeight="1">
      <x:c r="A568" s="28" t="str">
        <x:v>BER-0567</x:v>
      </x:c>
      <x:c r="B568" s="28" t="str">
        <x:v>Десерты и выпечка</x:v>
      </x:c>
      <x:c r="C568" s="28" t="str">
        <x:v>малина</x:v>
      </x:c>
      <x:c r="D568" s="28" t="str">
        <x:v>Малина | малина</x:v>
      </x:c>
      <x:c r="E568" s="28" t="str">
        <x:v>Ягоды и производные</x:v>
      </x:c>
      <x:c r="F568" s="28" t="str">
        <x:v>миндаль</x:v>
      </x:c>
      <x:c r="G568" s="28" t="str">
        <x:v>Миндаль | миндаль</x:v>
      </x:c>
      <x:c r="H568" s="28" t="str">
        <x:v>Орехи и семена</x:v>
      </x:c>
      <x:c r="I568" s="28" t="str">
        <x:v>древесный, зелёный, фиалковый, фруктовый, цветочный</x:v>
      </x:c>
      <x:c r="J568" s="28" t="str">
        <x:v>жареный, миндальный, ореховый</x:v>
      </x:c>
      <x:c r="K568" s="28" t="str">
        <x:v>альфа-ионон, бета-ионон, гераниол, линалоол, малиновый кетон</x:v>
      </x:c>
      <x:c r="L568" s="28" t="str">
        <x:v>бензальдегид, пиразины, фураны</x:v>
      </x:c>
      <x:c r="M568" s="28" t="str">
        <x:v>прямое совпадение семейств не установлено</x:v>
      </x:c>
      <x:c r="N568" s="28" t="str">
        <x:v>не подтверждены; механизм не сводится к одной общей молекуле</x:v>
      </x:c>
      <x:c r="O568" s="28" t="str">
        <x:v>контраст/комплементарность + матричный эффект</x:v>
      </x:c>
      <x:c r="P568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568" s="28" t="str">
        <x:v>Специфического тройничного эффекта обычно нет; кислотность усиливает слюноотделение.</x:v>
      </x:c>
      <x:c r="R568" s="28" t="str">
        <x:v>Жировая фаза удерживает гидрофобные одоранты и продлевает послевкусие; кислотность ягод повышает слюноотделение.</x:v>
      </x:c>
      <x:c r="S56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6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6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68" s="28" t="str">
        <x:v>ваниль или сливки</x:v>
      </x:c>
      <x:c r="W568" s="28" t="str">
        <x:v>сорбет, крем, ганаш, выпечка, джем или соус для десерта</x:v>
      </x:c>
      <x:c r="X568" s="28" t="str">
        <x:v>десерты</x:v>
      </x:c>
      <x:c r="Y568" s="28" t="str">
        <x:v>Высокая</x:v>
      </x:c>
      <x:c r="Z568" s="28" t="str">
        <x:v>Тезариус вкусов</x:v>
      </x:c>
      <x:c r="AA568" s="28" t="str">
        <x:v>Тезариус вкусов: 646, 888</x:v>
      </x:c>
      <x:c r="AB568" s="28" t="str">
        <x:v>Миндаль и малина. См. Малина и миндаль | Малина и миндаль. Малина очень выигрывает от сочетания с мягким сладковатым вкусом миндаля. Ко- нечно, орехи «закругляют» острые углы аромата яго- ды, но никогда не мешают воспринимать ее благо- родный вкус. Попробуйте сочетать эти компоненты в миндальной панакота с малиновым сиропом или в тарте «Бейквелл» (Bakewell) с толстым слоем джема. Последний делается следующим образом. Выложите корж из сладкого теста в форму диаметром 20 см и размажьте по нему около 3 ст. л. джема. Разотрите до состояния крема 100 г сливочного масла и 125 г са- харной пудры, затем, постоянно помешивая, добавь- те три яйца. Добавьте 1 ч. л. экстракта миндаля и 150 г те</x:v>
      </x:c>
      <x:c r="AC568" s="28" t="n">
        <x:v>1</x:v>
      </x:c>
      <x:c r="AD568" s="28" t="n">
        <x:v>2</x:v>
      </x:c>
    </x:row>
    <x:row r="569" ht="58" customHeight="1">
      <x:c r="A569" s="28" t="str">
        <x:v>BER-0568</x:v>
      </x:c>
      <x:c r="B569" s="28" t="str">
        <x:v>Еда и соусы</x:v>
      </x:c>
      <x:c r="C569" s="28" t="str">
        <x:v>малина</x:v>
      </x:c>
      <x:c r="D569" s="28" t="str">
        <x:v>raspberry</x:v>
      </x:c>
      <x:c r="E569" s="28" t="str">
        <x:v>Ягоды и производные</x:v>
      </x:c>
      <x:c r="F569" s="28" t="str">
        <x:v>мясо</x:v>
      </x:c>
      <x:c r="G569" s="28" t="str">
        <x:v>Meat</x:v>
      </x:c>
      <x:c r="H569" s="28" t="str">
        <x:v>Мясо и птица</x:v>
      </x:c>
      <x:c r="I569" s="28" t="str">
        <x:v>древесный, зелёный, фиалковый, фруктовый, цветочный</x:v>
      </x:c>
      <x:c r="J569" s="28" t="str">
        <x:v>жареный, жирный, сернистый, умами</x:v>
      </x:c>
      <x:c r="K569" s="28" t="str">
        <x:v>альфа-ионон, бета-ионон, гераниол, линалоол, малиновый кетон</x:v>
      </x:c>
      <x:c r="L569" s="28" t="str">
        <x:v>альдегиды, пиразины, сернистые соединения</x:v>
      </x:c>
      <x:c r="M569" s="28" t="str">
        <x:v>прямое совпадение семейств не установлено</x:v>
      </x:c>
      <x:c r="N569" s="28" t="str">
        <x:v>не подтверждены; механизм не сводится к одной общей молекуле</x:v>
      </x:c>
      <x:c r="O569" s="28" t="str">
        <x:v>контраст/комплементарность + матричный эффект</x:v>
      </x:c>
      <x:c r="P569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569" s="28" t="str">
        <x:v>Специфического тройничного эффекта обычно нет; кислотность усиливает слюноотделение.</x:v>
      </x:c>
      <x:c r="R569" s="28" t="str">
        <x:v>Жировая фаза удерживает гидрофобные одоранты и продлевает послевкусие; кислотность ягод повышает слюноотделение.</x:v>
      </x:c>
      <x:c r="S56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56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56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69" s="28" t="str">
        <x:v>красное вино или чёрный перец</x:v>
      </x:c>
      <x:c r="W569" s="28" t="str">
        <x:v>соус, глазировка, салат, сырная подача или горячее блюдо; маринад, гастрик, чатни, кетчуп или редукция</x:v>
      </x:c>
      <x:c r="X569" s="28" t="str">
        <x:v>еда; соусы/маринады</x:v>
      </x:c>
      <x:c r="Y569" s="28" t="str">
        <x:v>Средняя</x:v>
      </x:c>
      <x:c r="Z569" s="28" t="str">
        <x:v>The Art &amp; Science of Foodpairing</x:v>
      </x:c>
      <x:c r="AA569" s="28" t="str">
        <x:v>The Art &amp; Science of Foodpairing: 187</x:v>
      </x:c>
      <x:c r="AB569" s="28" t="str">
        <x:v>Ingredient pairings with Meat: raspberry</x:v>
      </x:c>
      <x:c r="AC569" s="28" t="n">
        <x:v>1</x:v>
      </x:c>
      <x:c r="AD569" s="28" t="n">
        <x:v>1</x:v>
      </x:c>
    </x:row>
    <x:row r="570" ht="58" customHeight="1">
      <x:c r="A570" s="28" t="str">
        <x:v>BER-0569</x:v>
      </x:c>
      <x:c r="B570" s="28" t="str">
        <x:v>Универсальные</x:v>
      </x:c>
      <x:c r="C570" s="28" t="str">
        <x:v>малина</x:v>
      </x:c>
      <x:c r="D570" s="28" t="str">
        <x:v>Малина | малина</x:v>
      </x:c>
      <x:c r="E570" s="28" t="str">
        <x:v>Ягоды и производные</x:v>
      </x:c>
      <x:c r="F570" s="28" t="str">
        <x:v>мята</x:v>
      </x:c>
      <x:c r="G570" s="28" t="str">
        <x:v>Мята | мята</x:v>
      </x:c>
      <x:c r="H570" s="28" t="str">
        <x:v>Травы и цветы</x:v>
      </x:c>
      <x:c r="I570" s="28" t="str">
        <x:v>древесный, зелёный, фиалковый, фруктовый, цветочный</x:v>
      </x:c>
      <x:c r="J570" s="28" t="str">
        <x:v>зелёный, травянистый, цветочный</x:v>
      </x:c>
      <x:c r="K570" s="28" t="str">
        <x:v>альфа-ионон, бета-ионон, гераниол, линалоол, малиновый кетон</x:v>
      </x:c>
      <x:c r="L570" s="28" t="str">
        <x:v>гераниол, линалоол, терпены, эвгенол</x:v>
      </x:c>
      <x:c r="M570" s="28" t="str">
        <x:v>зелёный, цветочный</x:v>
      </x:c>
      <x:c r="N570" s="28" t="str">
        <x:v>гераниол, линалоол</x:v>
      </x:c>
      <x:c r="O570" s="28" t="str">
        <x:v>ароматическое сходство + вкусовой баланс</x:v>
      </x:c>
      <x:c r="P570" s="28" t="str">
        <x:v>Ягодная сладость смягчает горечь и пряность, а кислотность делает горьковатый, свежий профиль ярче.</x:v>
      </x:c>
      <x:c r="Q570" s="28" t="str">
        <x:v>Специфического тройничного эффекта обычно нет; кислотность усиливает слюноотделение.</x:v>
      </x:c>
      <x:c r="R570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7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70" s="28" t="str">
        <x:v>Прямой вероятный молекулярный мост: гераниол, линалоол. Ягодный компонент несёт семейства древесный, зелёный, фиалковый,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7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70" s="28" t="str">
        <x:v>лимон или мёд</x:v>
      </x:c>
      <x:c r="W57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570" s="28" t="str">
        <x:v>напитки; еда; соусы/маринады</x:v>
      </x:c>
      <x:c r="Y570" s="28" t="str">
        <x:v>Высокая</x:v>
      </x:c>
      <x:c r="Z570" s="28" t="str">
        <x:v>Таблица сочетаний; Тезариус вкусов</x:v>
      </x:c>
      <x:c r="AA570" s="28" t="str">
        <x:v>Тезариус вкусов: 869, 889; Таблица сочетаний: 19</x:v>
      </x:c>
      <x:c r="AB570" s="28" t="str">
        <x:v>Мята и малина. См. Малина и мята | Малина и мята. Мишель Ру (Michel Roux) рекомен- дует подавать ягоды малины с приправленным мятой «английском» кремом (он же заварной крем). Мали- на и мята также образуют прекрасный соус, который особенно хорошо подходит к салату с козьим сыром. Возьмите по 1 ст. л. малинового уксуса и свежевыжа- того лимонного сока, добавьте 4 ст. л. оливкового мас- ла. Встряхивайте с солью, перцем и 1 ст. л. нарезан- ных листьев мяты, пока смесь хорошо не перемеша- ется | Малина: мята</x:v>
      </x:c>
      <x:c r="AC570" s="28" t="n">
        <x:v>2</x:v>
      </x:c>
      <x:c r="AD570" s="28" t="n">
        <x:v>3</x:v>
      </x:c>
    </x:row>
    <x:row r="571" ht="58" customHeight="1">
      <x:c r="A571" s="28" t="str">
        <x:v>BER-0570</x:v>
      </x:c>
      <x:c r="B571" s="28" t="str">
        <x:v>Универсальные</x:v>
      </x:c>
      <x:c r="C571" s="28" t="str">
        <x:v>малина</x:v>
      </x:c>
      <x:c r="D571" s="28" t="str">
        <x:v>Малина</x:v>
      </x:c>
      <x:c r="E571" s="28" t="str">
        <x:v>Ягоды и производные</x:v>
      </x:c>
      <x:c r="F571" s="28" t="str">
        <x:v>нектарин</x:v>
      </x:c>
      <x:c r="G571" s="28" t="str">
        <x:v>нектарин</x:v>
      </x:c>
      <x:c r="H571" s="28" t="str">
        <x:v>Прочее</x:v>
      </x:c>
      <x:c r="I571" s="28" t="str">
        <x:v>древесный, зелёный, фиалковый, фруктовый, цветочный</x:v>
      </x:c>
      <x:c r="J571" s="28" t="str">
        <x:v>комплексный</x:v>
      </x:c>
      <x:c r="K571" s="28" t="str">
        <x:v>альфа-ионон, бета-ионон, гераниол, линалоол, малиновый кетон</x:v>
      </x:c>
      <x:c r="L571" s="28" t="str">
        <x:v>нет надёжной конкретизации</x:v>
      </x:c>
      <x:c r="M571" s="28" t="str">
        <x:v>прямое совпадение семейств не установлено</x:v>
      </x:c>
      <x:c r="N571" s="28" t="str">
        <x:v>не подтверждены; механизм не сводится к одной общей молекуле</x:v>
      </x:c>
      <x:c r="O571" s="28" t="str">
        <x:v>контраст/комплементарность + матричный эффект</x:v>
      </x:c>
      <x:c r="P571" s="28" t="str">
        <x:v>Оба компонента формируют кисло-сладкий и зависит от ингредиента контур; сахар, кислота и горечь должны быть выровнены дегустацией.</x:v>
      </x:c>
      <x:c r="Q571" s="28" t="str">
        <x:v>Специфического тройничного эффекта обычно нет; кислотность усиливает слюноотделение.</x:v>
      </x:c>
      <x:c r="R571" s="28" t="str">
        <x:v>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57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7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комплексный. Оба компонента формируют кисло-сладкий и зависит от ингредиента контур; сахар, кислота и горечь должны быть выровнены дегустацией. 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7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71" s="28" t="str">
        <x:v>лимон или ваниль</x:v>
      </x:c>
      <x:c r="W571" s="28" t="str">
        <x:v>сенсорная проба в малой дозировке</x:v>
      </x:c>
      <x:c r="X571" s="28" t="str">
        <x:v>универсально</x:v>
      </x:c>
      <x:c r="Y571" s="28" t="str">
        <x:v>Средняя</x:v>
      </x:c>
      <x:c r="Z571" s="28" t="str">
        <x:v>Таблица сочетаний</x:v>
      </x:c>
      <x:c r="AA571" s="28" t="str">
        <x:v>Таблица сочетаний: 19</x:v>
      </x:c>
      <x:c r="AB571" s="28" t="str">
        <x:v>Малина: нектарин</x:v>
      </x:c>
      <x:c r="AC571" s="28" t="n">
        <x:v>1</x:v>
      </x:c>
      <x:c r="AD571" s="28" t="n">
        <x:v>1</x:v>
      </x:c>
    </x:row>
    <x:row r="572" ht="58" customHeight="1">
      <x:c r="A572" s="28" t="str">
        <x:v>BER-0571</x:v>
      </x:c>
      <x:c r="B572" s="28" t="str">
        <x:v>Еда и соусы</x:v>
      </x:c>
      <x:c r="C572" s="28" t="str">
        <x:v>малина</x:v>
      </x:c>
      <x:c r="D572" s="28" t="str">
        <x:v>малина</x:v>
      </x:c>
      <x:c r="E572" s="28" t="str">
        <x:v>Ягоды и производные</x:v>
      </x:c>
      <x:c r="F572" s="28" t="str">
        <x:v>огурец</x:v>
      </x:c>
      <x:c r="G572" s="28" t="str">
        <x:v>Огурец</x:v>
      </x:c>
      <x:c r="H572" s="28" t="str">
        <x:v>Овощи и грибы</x:v>
      </x:c>
      <x:c r="I572" s="28" t="str">
        <x:v>древесный, зелёный, фиалковый, фруктовый, цветочный</x:v>
      </x:c>
      <x:c r="J572" s="28" t="str">
        <x:v>зелёный, землистый, сернистый</x:v>
      </x:c>
      <x:c r="K572" s="28" t="str">
        <x:v>альфа-ионон, бета-ионон, гераниол, линалоол, малиновый кетон</x:v>
      </x:c>
      <x:c r="L572" s="28" t="str">
        <x:v>C6-альдегиды, пиразины, сернистые соединения</x:v>
      </x:c>
      <x:c r="M572" s="28" t="str">
        <x:v>зелёный</x:v>
      </x:c>
      <x:c r="N572" s="28" t="str">
        <x:v>не подтверждены; механизм не сводится к одной общей молекуле</x:v>
      </x:c>
      <x:c r="O572" s="28" t="str">
        <x:v>сходство ароматических семейств + комплементарность</x:v>
      </x:c>
      <x:c r="P572" s="28" t="str">
        <x:v>Оба компонента формируют кисло-сладкий и растительный, иногда умами контур; сахар, кислота и горечь должны быть выровнены дегустацией.</x:v>
      </x:c>
      <x:c r="Q572" s="28" t="str">
        <x:v>Специфического тройничного эффекта обычно нет; кислотность усиливает слюноотделение.</x:v>
      </x:c>
      <x:c r="R572" s="28" t="str">
        <x:v>Ягода: семена добавляют древесность и лёгкую терпкость.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57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572" s="28" t="str">
        <x:v>Общие ароматические семейства: зелёный;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землистый, сернистый. Оба компонента формируют кисло-сладкий и растительный, иногда умами контур; сахар, кислота и горечь должны быть выровнены дегустацией. Ягода: семена добавляют древесность и лёгкую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57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72" s="28" t="str">
        <x:v>уксус или мягкий сыр</x:v>
      </x:c>
      <x:c r="W572" s="28" t="str">
        <x:v>соус, глазировка, салат, сырная подача или горячее блюдо; маринад, гастрик, чатни, кетчуп или редукция</x:v>
      </x:c>
      <x:c r="X572" s="28" t="str">
        <x:v>еда; соусы/маринады</x:v>
      </x:c>
      <x:c r="Y572" s="28" t="str">
        <x:v>Средняя</x:v>
      </x:c>
      <x:c r="Z572" s="28" t="str">
        <x:v>Таблица сочетаний</x:v>
      </x:c>
      <x:c r="AA572" s="28" t="str">
        <x:v>Таблица сочетаний: 6</x:v>
      </x:c>
      <x:c r="AB572" s="28" t="str">
        <x:v>Огурец: малина</x:v>
      </x:c>
      <x:c r="AC572" s="28" t="n">
        <x:v>1</x:v>
      </x:c>
      <x:c r="AD572" s="28" t="n">
        <x:v>1</x:v>
      </x:c>
    </x:row>
    <x:row r="573" ht="58" customHeight="1">
      <x:c r="A573" s="28" t="str">
        <x:v>BER-0572</x:v>
      </x:c>
      <x:c r="B573" s="28" t="str">
        <x:v>Универсальные</x:v>
      </x:c>
      <x:c r="C573" s="28" t="str">
        <x:v>малина</x:v>
      </x:c>
      <x:c r="D573" s="28" t="str">
        <x:v>raspberry | Малина | малина</x:v>
      </x:c>
      <x:c r="E573" s="28" t="str">
        <x:v>Ягоды и производные</x:v>
      </x:c>
      <x:c r="F573" s="28" t="str">
        <x:v>персик</x:v>
      </x:c>
      <x:c r="G573" s="28" t="str">
        <x:v>Peach | Персик | персик</x:v>
      </x:c>
      <x:c r="H573" s="28" t="str">
        <x:v>Фрукты</x:v>
      </x:c>
      <x:c r="I573" s="28" t="str">
        <x:v>древесный, зелёный, фиалковый, фруктовый, цветочный</x:v>
      </x:c>
      <x:c r="J573" s="28" t="str">
        <x:v>зелёный, фруктовый, цветочный</x:v>
      </x:c>
      <x:c r="K573" s="28" t="str">
        <x:v>альфа-ионон, бета-ионон, гераниол, линалоол, малиновый кетон</x:v>
      </x:c>
      <x:c r="L573" s="28" t="str">
        <x:v>лактоны, терпены, эфиры</x:v>
      </x:c>
      <x:c r="M573" s="28" t="str">
        <x:v>зелёный, фруктовый, цветочный</x:v>
      </x:c>
      <x:c r="N573" s="28" t="str">
        <x:v>не подтверждены; механизм не сводится к одной общей молекуле</x:v>
      </x:c>
      <x:c r="O573" s="28" t="str">
        <x:v>сходство ароматических семейств + комплементарность</x:v>
      </x:c>
      <x:c r="P573" s="28" t="str">
        <x:v>Оба компонента формируют кисло-сладкий и сладко-кислый контур; сахар, кислота и горечь должны быть выровнены дегустацией.</x:v>
      </x:c>
      <x:c r="Q573" s="28" t="str">
        <x:v>Специфического тройничного эффекта обычно нет; кислотность усиливает слюноотделение.</x:v>
      </x:c>
      <x:c r="R573" s="28" t="str">
        <x:v>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</x:v>
      </x:c>
      <x:c r="S57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73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7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73" s="28" t="str">
        <x:v>ваниль или лимон</x:v>
      </x:c>
      <x:c r="W57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573" s="28" t="str">
        <x:v>напитки; десерты</x:v>
      </x:c>
      <x:c r="Y573" s="28" t="str">
        <x:v>Высокая</x:v>
      </x:c>
      <x:c r="Z573" s="28" t="str">
        <x:v>The Art &amp; Science of Foodpairing; Таблица сочетаний; Тезариус вкусов</x:v>
      </x:c>
      <x:c r="AA573" s="28" t="str">
        <x:v>Тезариус вкусов: 751, 889; The Art &amp; Science of Foodpairing: 261; Таблица сочетаний: 19</x:v>
      </x:c>
      <x:c r="AB573" s="28" t="str">
        <x:v>Персик и малина. См. Малина и персик | Малина и персик. Великий французский шеф-по- вар Огюст Эскофье (Auguste Escoffier) создал десерт «Персик Мельба» для кавалерственной дамы Нелли Мельба, австралийской оперной певицы. По-видимо- му, эта идея пришла к нему в голову, когда он запи- сывал рецепт pêches cardinal au coulis de framboise, который заказала ему великая дива. «Персик Мель- ба» представляет собой практически то же самое, что и данный десерт, то есть персики с малиновым сиро- пом, посыпанные свежим миндалем (если у него се- зон), но с добавлением ванильного мороженого. См. также Персик и ваниль | Малина: персик | Ingredient pairings with Peach: raspberry</x:v>
      </x:c>
      <x:c r="AC573" s="28" t="n">
        <x:v>3</x:v>
      </x:c>
      <x:c r="AD573" s="28" t="n">
        <x:v>5</x:v>
      </x:c>
    </x:row>
    <x:row r="574" ht="58" customHeight="1">
      <x:c r="A574" s="28" t="str">
        <x:v>BER-0573</x:v>
      </x:c>
      <x:c r="B574" s="28" t="str">
        <x:v>Универсальные</x:v>
      </x:c>
      <x:c r="C574" s="28" t="str">
        <x:v>малина</x:v>
      </x:c>
      <x:c r="D574" s="28" t="str">
        <x:v>Малина</x:v>
      </x:c>
      <x:c r="E574" s="28" t="str">
        <x:v>Ягоды и производные</x:v>
      </x:c>
      <x:c r="F574" s="28" t="str">
        <x:v>ревень</x:v>
      </x:c>
      <x:c r="G574" s="28" t="str">
        <x:v>ревень</x:v>
      </x:c>
      <x:c r="H574" s="28" t="str">
        <x:v>Прочее</x:v>
      </x:c>
      <x:c r="I574" s="28" t="str">
        <x:v>древесный, зелёный, фиалковый, фруктовый, цветочный</x:v>
      </x:c>
      <x:c r="J574" s="28" t="str">
        <x:v>комплексный</x:v>
      </x:c>
      <x:c r="K574" s="28" t="str">
        <x:v>альфа-ионон, бета-ионон, гераниол, линалоол, малиновый кетон</x:v>
      </x:c>
      <x:c r="L574" s="28" t="str">
        <x:v>нет надёжной конкретизации</x:v>
      </x:c>
      <x:c r="M574" s="28" t="str">
        <x:v>прямое совпадение семейств не установлено</x:v>
      </x:c>
      <x:c r="N574" s="28" t="str">
        <x:v>не подтверждены; механизм не сводится к одной общей молекуле</x:v>
      </x:c>
      <x:c r="O574" s="28" t="str">
        <x:v>контраст/комплементарность + матричный эффект</x:v>
      </x:c>
      <x:c r="P574" s="28" t="str">
        <x:v>Оба компонента формируют кисло-сладкий и зависит от ингредиента контур; сахар, кислота и горечь должны быть выровнены дегустацией.</x:v>
      </x:c>
      <x:c r="Q574" s="28" t="str">
        <x:v>Специфического тройничного эффекта обычно нет; кислотность усиливает слюноотделение.</x:v>
      </x:c>
      <x:c r="R574" s="28" t="str">
        <x:v>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57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7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комплексный. Оба компонента формируют кисло-сладкий и зависит от ингредиента контур; сахар, кислота и горечь должны быть выровнены дегустацией. 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7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74" s="28" t="str">
        <x:v>лимон или ваниль</x:v>
      </x:c>
      <x:c r="W574" s="28" t="str">
        <x:v>сенсорная проба в малой дозировке</x:v>
      </x:c>
      <x:c r="X574" s="28" t="str">
        <x:v>универсально</x:v>
      </x:c>
      <x:c r="Y574" s="28" t="str">
        <x:v>Средняя</x:v>
      </x:c>
      <x:c r="Z574" s="28" t="str">
        <x:v>Таблица сочетаний</x:v>
      </x:c>
      <x:c r="AA574" s="28" t="str">
        <x:v>Таблица сочетаний: 19</x:v>
      </x:c>
      <x:c r="AB574" s="28" t="str">
        <x:v>Малина: ревень</x:v>
      </x:c>
      <x:c r="AC574" s="28" t="n">
        <x:v>1</x:v>
      </x:c>
      <x:c r="AD574" s="28" t="n">
        <x:v>1</x:v>
      </x:c>
    </x:row>
    <x:row r="575" ht="58" customHeight="1">
      <x:c r="A575" s="28" t="str">
        <x:v>BER-0574</x:v>
      </x:c>
      <x:c r="B575" s="28" t="str">
        <x:v>Универсальные</x:v>
      </x:c>
      <x:c r="C575" s="28" t="str">
        <x:v>малина</x:v>
      </x:c>
      <x:c r="D575" s="28" t="str">
        <x:v>малина</x:v>
      </x:c>
      <x:c r="E575" s="28" t="str">
        <x:v>Ягоды и производные</x:v>
      </x:c>
      <x:c r="F575" s="28" t="str">
        <x:v>роза</x:v>
      </x:c>
      <x:c r="G575" s="28" t="str">
        <x:v>Роза</x:v>
      </x:c>
      <x:c r="H575" s="28" t="str">
        <x:v>Травы и цветы</x:v>
      </x:c>
      <x:c r="I575" s="28" t="str">
        <x:v>древесный, зелёный, фиалковый, фруктовый, цветочный</x:v>
      </x:c>
      <x:c r="J575" s="28" t="str">
        <x:v>зелёный, травянистый, цветочный</x:v>
      </x:c>
      <x:c r="K575" s="28" t="str">
        <x:v>альфа-ионон, бета-ионон, гераниол, линалоол, малиновый кетон</x:v>
      </x:c>
      <x:c r="L575" s="28" t="str">
        <x:v>гераниол, линалоол, терпены, эвгенол</x:v>
      </x:c>
      <x:c r="M575" s="28" t="str">
        <x:v>зелёный, цветочный</x:v>
      </x:c>
      <x:c r="N575" s="28" t="str">
        <x:v>гераниол, линалоол</x:v>
      </x:c>
      <x:c r="O575" s="28" t="str">
        <x:v>ароматическое сходство + вкусовой баланс</x:v>
      </x:c>
      <x:c r="P575" s="28" t="str">
        <x:v>Ягодная сладость смягчает горечь и пряность, а кислотность делает горьковатый, свежий профиль ярче.</x:v>
      </x:c>
      <x:c r="Q575" s="28" t="str">
        <x:v>Специфического тройничного эффекта обычно нет; кислотность усиливает слюноотделение.</x:v>
      </x:c>
      <x:c r="R575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7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75" s="28" t="str">
        <x:v>Прямой вероятный молекулярный мост: гераниол, линалоол. Ягодный компонент несёт семейства древесный, зелёный, фиалковый,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7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75" s="28" t="str">
        <x:v>лимон или мёд</x:v>
      </x:c>
      <x:c r="W57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575" s="28" t="str">
        <x:v>напитки; еда; соусы/маринады</x:v>
      </x:c>
      <x:c r="Y575" s="28" t="str">
        <x:v>Средняя</x:v>
      </x:c>
      <x:c r="Z575" s="28" t="str">
        <x:v>Таблица сочетаний</x:v>
      </x:c>
      <x:c r="AA575" s="28" t="str">
        <x:v>Таблица сочетаний: 19</x:v>
      </x:c>
      <x:c r="AB575" s="28" t="str">
        <x:v>Роза: малина</x:v>
      </x:c>
      <x:c r="AC575" s="28" t="n">
        <x:v>1</x:v>
      </x:c>
      <x:c r="AD575" s="28" t="n">
        <x:v>1</x:v>
      </x:c>
    </x:row>
    <x:row r="576" ht="58" customHeight="1">
      <x:c r="A576" s="28" t="str">
        <x:v>BER-0575</x:v>
      </x:c>
      <x:c r="B576" s="28" t="str">
        <x:v>Универсальные</x:v>
      </x:c>
      <x:c r="C576" s="28" t="str">
        <x:v>малина</x:v>
      </x:c>
      <x:c r="D576" s="28" t="str">
        <x:v>малина</x:v>
      </x:c>
      <x:c r="E576" s="28" t="str">
        <x:v>Ягоды и производные</x:v>
      </x:c>
      <x:c r="F576" s="28" t="str">
        <x:v>саусеп (soursop)</x:v>
      </x:c>
      <x:c r="G576" s="28" t="str">
        <x:v>Саусеп (soursop)</x:v>
      </x:c>
      <x:c r="H576" s="28" t="str">
        <x:v>Прочее</x:v>
      </x:c>
      <x:c r="I576" s="28" t="str">
        <x:v>древесный, зелёный, фиалковый, фруктовый, цветочный</x:v>
      </x:c>
      <x:c r="J576" s="28" t="str">
        <x:v>комплексный</x:v>
      </x:c>
      <x:c r="K576" s="28" t="str">
        <x:v>альфа-ионон, бета-ионон, гераниол, линалоол, малиновый кетон</x:v>
      </x:c>
      <x:c r="L576" s="28" t="str">
        <x:v>нет надёжной конкретизации</x:v>
      </x:c>
      <x:c r="M576" s="28" t="str">
        <x:v>прямое совпадение семейств не установлено</x:v>
      </x:c>
      <x:c r="N576" s="28" t="str">
        <x:v>не подтверждены; механизм не сводится к одной общей молекуле</x:v>
      </x:c>
      <x:c r="O576" s="28" t="str">
        <x:v>контраст/комплементарность + матричный эффект</x:v>
      </x:c>
      <x:c r="P576" s="28" t="str">
        <x:v>Оба компонента формируют кисло-сладкий и зависит от ингредиента контур; сахар, кислота и горечь должны быть выровнены дегустацией.</x:v>
      </x:c>
      <x:c r="Q576" s="28" t="str">
        <x:v>Специфического тройничного эффекта обычно нет; кислотность усиливает слюноотделение.</x:v>
      </x:c>
      <x:c r="R576" s="28" t="str">
        <x:v>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57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7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комплексный. Оба компонента формируют кисло-сладкий и зависит от ингредиента контур; сахар, кислота и горечь должны быть выровнены дегустацией. 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7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76" s="28" t="str">
        <x:v>лимон или ваниль</x:v>
      </x:c>
      <x:c r="W576" s="28" t="str">
        <x:v>сенсорная проба в малой дозировке</x:v>
      </x:c>
      <x:c r="X576" s="28" t="str">
        <x:v>универсально</x:v>
      </x:c>
      <x:c r="Y576" s="28" t="str">
        <x:v>Средняя</x:v>
      </x:c>
      <x:c r="Z576" s="28" t="str">
        <x:v>Таблица сочетаний</x:v>
      </x:c>
      <x:c r="AA576" s="28" t="str">
        <x:v>Таблица сочетаний: 20</x:v>
      </x:c>
      <x:c r="AB576" s="28" t="str">
        <x:v>Саусеп (soursop): малина</x:v>
      </x:c>
      <x:c r="AC576" s="28" t="n">
        <x:v>1</x:v>
      </x:c>
      <x:c r="AD576" s="28" t="n">
        <x:v>1</x:v>
      </x:c>
    </x:row>
    <x:row r="577" ht="58" customHeight="1">
      <x:c r="A577" s="28" t="str">
        <x:v>BER-0576</x:v>
      </x:c>
      <x:c r="B577" s="28" t="str">
        <x:v>Еда и соусы</x:v>
      </x:c>
      <x:c r="C577" s="28" t="str">
        <x:v>малина</x:v>
      </x:c>
      <x:c r="D577" s="28" t="str">
        <x:v>raspberry</x:v>
      </x:c>
      <x:c r="E577" s="28" t="str">
        <x:v>Ягоды и производные</x:v>
      </x:c>
      <x:c r="F577" s="28" t="str">
        <x:v>свёкла</x:v>
      </x:c>
      <x:c r="G577" s="28" t="str">
        <x:v>Beetroot</x:v>
      </x:c>
      <x:c r="H577" s="28" t="str">
        <x:v>Овощи и грибы</x:v>
      </x:c>
      <x:c r="I577" s="28" t="str">
        <x:v>древесный, зелёный, фиалковый, фруктовый, цветочный</x:v>
      </x:c>
      <x:c r="J577" s="28" t="str">
        <x:v>зелёный, землистый, сернистый</x:v>
      </x:c>
      <x:c r="K577" s="28" t="str">
        <x:v>альфа-ионон, бета-ионон, гераниол, линалоол, малиновый кетон</x:v>
      </x:c>
      <x:c r="L577" s="28" t="str">
        <x:v>C6-альдегиды, пиразины, сернистые соединения</x:v>
      </x:c>
      <x:c r="M577" s="28" t="str">
        <x:v>зелёный</x:v>
      </x:c>
      <x:c r="N577" s="28" t="str">
        <x:v>не подтверждены; механизм не сводится к одной общей молекуле</x:v>
      </x:c>
      <x:c r="O577" s="28" t="str">
        <x:v>сходство ароматических семейств + комплементарность</x:v>
      </x:c>
      <x:c r="P577" s="28" t="str">
        <x:v>Оба компонента формируют кисло-сладкий и растительный, иногда умами контур; сахар, кислота и горечь должны быть выровнены дегустацией.</x:v>
      </x:c>
      <x:c r="Q577" s="28" t="str">
        <x:v>Специфического тройничного эффекта обычно нет; кислотность усиливает слюноотделение.</x:v>
      </x:c>
      <x:c r="R577" s="28" t="str">
        <x:v>Ягода: семена добавляют древесность и лёгкую терпкость.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57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577" s="28" t="str">
        <x:v>Общие ароматические семейства: зелёный;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землистый, сернистый. Оба компонента формируют кисло-сладкий и растительный, иногда умами контур; сахар, кислота и горечь должны быть выровнены дегустацией. Ягода: семена добавляют древесность и лёгкую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57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77" s="28" t="str">
        <x:v>уксус или мягкий сыр</x:v>
      </x:c>
      <x:c r="W577" s="28" t="str">
        <x:v>соус, глазировка, салат, сырная подача или горячее блюдо; маринад, гастрик, чатни, кетчуп или редукция</x:v>
      </x:c>
      <x:c r="X577" s="28" t="str">
        <x:v>еда; соусы/маринады</x:v>
      </x:c>
      <x:c r="Y577" s="28" t="str">
        <x:v>Средняя</x:v>
      </x:c>
      <x:c r="Z577" s="28" t="str">
        <x:v>The Art &amp; Science of Foodpairing</x:v>
      </x:c>
      <x:c r="AA577" s="28" t="str">
        <x:v>The Art &amp; Science of Foodpairing: 224</x:v>
      </x:c>
      <x:c r="AB577" s="28" t="str">
        <x:v>Ingredient pairings with Beetroot: raspberry</x:v>
      </x:c>
      <x:c r="AC577" s="28" t="n">
        <x:v>1</x:v>
      </x:c>
      <x:c r="AD577" s="28" t="n">
        <x:v>1</x:v>
      </x:c>
    </x:row>
    <x:row r="578" ht="58" customHeight="1">
      <x:c r="A578" s="28" t="str">
        <x:v>BER-0577</x:v>
      </x:c>
      <x:c r="B578" s="28" t="str">
        <x:v>Универсальные</x:v>
      </x:c>
      <x:c r="C578" s="28" t="str">
        <x:v>малина</x:v>
      </x:c>
      <x:c r="D578" s="28" t="str">
        <x:v>Малина | малина</x:v>
      </x:c>
      <x:c r="E578" s="28" t="str">
        <x:v>Ягоды и производные</x:v>
      </x:c>
      <x:c r="F578" s="28" t="str">
        <x:v>слива</x:v>
      </x:c>
      <x:c r="G578" s="28" t="str">
        <x:v>Слива | слива</x:v>
      </x:c>
      <x:c r="H578" s="28" t="str">
        <x:v>Прочее</x:v>
      </x:c>
      <x:c r="I578" s="28" t="str">
        <x:v>древесный, зелёный, фиалковый, фруктовый, цветочный</x:v>
      </x:c>
      <x:c r="J578" s="28" t="str">
        <x:v>комплексный</x:v>
      </x:c>
      <x:c r="K578" s="28" t="str">
        <x:v>альфа-ионон, бета-ионон, гераниол, линалоол, малиновый кетон</x:v>
      </x:c>
      <x:c r="L578" s="28" t="str">
        <x:v>нет надёжной конкретизации</x:v>
      </x:c>
      <x:c r="M578" s="28" t="str">
        <x:v>прямое совпадение семейств не установлено</x:v>
      </x:c>
      <x:c r="N578" s="28" t="str">
        <x:v>не подтверждены; механизм не сводится к одной общей молекуле</x:v>
      </x:c>
      <x:c r="O578" s="28" t="str">
        <x:v>контраст/комплементарность + матричный эффект</x:v>
      </x:c>
      <x:c r="P578" s="28" t="str">
        <x:v>Оба компонента формируют кисло-сладкий и зависит от ингредиента контур; сахар, кислота и горечь должны быть выровнены дегустацией.</x:v>
      </x:c>
      <x:c r="Q578" s="28" t="str">
        <x:v>Специфического тройничного эффекта обычно нет; кислотность усиливает слюноотделение.</x:v>
      </x:c>
      <x:c r="R578" s="28" t="str">
        <x:v>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57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7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комплексный. Оба компонента формируют кисло-сладкий и зависит от ингредиента контур; сахар, кислота и горечь должны быть выровнены дегустацией. 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7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78" s="28" t="str">
        <x:v>лимон или ваниль</x:v>
      </x:c>
      <x:c r="W578" s="28" t="str">
        <x:v>сенсорная проба в малой дозировке</x:v>
      </x:c>
      <x:c r="X578" s="28" t="str">
        <x:v>универсально</x:v>
      </x:c>
      <x:c r="Y578" s="28" t="str">
        <x:v>Средняя</x:v>
      </x:c>
      <x:c r="Z578" s="28" t="str">
        <x:v>Таблица сочетаний</x:v>
      </x:c>
      <x:c r="AA578" s="28" t="str">
        <x:v>Таблица сочетаний: 17, 19</x:v>
      </x:c>
      <x:c r="AB578" s="28" t="str">
        <x:v>Слива: малина | Малина: слива</x:v>
      </x:c>
      <x:c r="AC578" s="28" t="n">
        <x:v>1</x:v>
      </x:c>
      <x:c r="AD578" s="28" t="n">
        <x:v>2</x:v>
      </x:c>
    </x:row>
    <x:row r="579" ht="58" customHeight="1">
      <x:c r="A579" s="28" t="str">
        <x:v>BER-0578</x:v>
      </x:c>
      <x:c r="B579" s="28" t="str">
        <x:v>Универсальные</x:v>
      </x:c>
      <x:c r="C579" s="28" t="str">
        <x:v>малина</x:v>
      </x:c>
      <x:c r="D579" s="28" t="str">
        <x:v>raspberry</x:v>
      </x:c>
      <x:c r="E579" s="28" t="str">
        <x:v>Ягоды и производные</x:v>
      </x:c>
      <x:c r="F579" s="28" t="str">
        <x:v>совиньон-блан</x:v>
      </x:c>
      <x:c r="G579" s="28" t="str">
        <x:v>Sauvignon Blanc</x:v>
      </x:c>
      <x:c r="H579" s="28" t="str">
        <x:v>Прочее</x:v>
      </x:c>
      <x:c r="I579" s="28" t="str">
        <x:v>древесный, зелёный, фиалковый, фруктовый, цветочный</x:v>
      </x:c>
      <x:c r="J579" s="28" t="str">
        <x:v>комплексный</x:v>
      </x:c>
      <x:c r="K579" s="28" t="str">
        <x:v>альфа-ионон, бета-ионон, гераниол, линалоол, малиновый кетон</x:v>
      </x:c>
      <x:c r="L579" s="28" t="str">
        <x:v>нет надёжной конкретизации</x:v>
      </x:c>
      <x:c r="M579" s="28" t="str">
        <x:v>прямое совпадение семейств не установлено</x:v>
      </x:c>
      <x:c r="N579" s="28" t="str">
        <x:v>не подтверждены; механизм не сводится к одной общей молекуле</x:v>
      </x:c>
      <x:c r="O579" s="28" t="str">
        <x:v>контраст/комплементарность + матричный эффект</x:v>
      </x:c>
      <x:c r="P579" s="28" t="str">
        <x:v>Оба компонента формируют кисло-сладкий и зависит от ингредиента контур; сахар, кислота и горечь должны быть выровнены дегустацией.</x:v>
      </x:c>
      <x:c r="Q579" s="28" t="str">
        <x:v>Специфического тройничного эффекта обычно нет; кислотность усиливает слюноотделение.</x:v>
      </x:c>
      <x:c r="R579" s="28" t="str">
        <x:v>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57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7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комплексный. Оба компонента формируют кисло-сладкий и зависит от ингредиента контур; сахар, кислота и горечь должны быть выровнены дегустацией. 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7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79" s="28" t="str">
        <x:v>лимон или ваниль</x:v>
      </x:c>
      <x:c r="W579" s="28" t="str">
        <x:v>сенсорная проба в малой дозировке</x:v>
      </x:c>
      <x:c r="X579" s="28" t="str">
        <x:v>универсально</x:v>
      </x:c>
      <x:c r="Y579" s="28" t="str">
        <x:v>Средняя</x:v>
      </x:c>
      <x:c r="Z579" s="28" t="str">
        <x:v>The Art &amp; Science of Foodpairing</x:v>
      </x:c>
      <x:c r="AA579" s="28" t="str">
        <x:v>The Art &amp; Science of Foodpairing: 157</x:v>
      </x:c>
      <x:c r="AB579" s="28" t="str">
        <x:v>Ingredient pairings with Sauvignon Blanc: raspberry</x:v>
      </x:c>
      <x:c r="AC579" s="28" t="n">
        <x:v>1</x:v>
      </x:c>
      <x:c r="AD579" s="28" t="n">
        <x:v>1</x:v>
      </x:c>
    </x:row>
    <x:row r="580" ht="58" customHeight="1">
      <x:c r="A580" s="28" t="str">
        <x:v>BER-0579</x:v>
      </x:c>
      <x:c r="B580" s="28" t="str">
        <x:v>Универсальные</x:v>
      </x:c>
      <x:c r="C580" s="28" t="str">
        <x:v>малина</x:v>
      </x:c>
      <x:c r="D580" s="28" t="str">
        <x:v>Малина | малина</x:v>
      </x:c>
      <x:c r="E580" s="28" t="str">
        <x:v>Ягоды и производные</x:v>
      </x:c>
      <x:c r="F580" s="28" t="str">
        <x:v>тимьян</x:v>
      </x:c>
      <x:c r="G580" s="28" t="str">
        <x:v>Тимьян | тимьян</x:v>
      </x:c>
      <x:c r="H580" s="28" t="str">
        <x:v>Травы и цветы</x:v>
      </x:c>
      <x:c r="I580" s="28" t="str">
        <x:v>древесный, зелёный, фиалковый, фруктовый, цветочный</x:v>
      </x:c>
      <x:c r="J580" s="28" t="str">
        <x:v>зелёный, травянистый, цветочный</x:v>
      </x:c>
      <x:c r="K580" s="28" t="str">
        <x:v>альфа-ионон, бета-ионон, гераниол, линалоол, малиновый кетон</x:v>
      </x:c>
      <x:c r="L580" s="28" t="str">
        <x:v>гераниол, линалоол, терпены, эвгенол</x:v>
      </x:c>
      <x:c r="M580" s="28" t="str">
        <x:v>зелёный, цветочный</x:v>
      </x:c>
      <x:c r="N580" s="28" t="str">
        <x:v>гераниол, линалоол</x:v>
      </x:c>
      <x:c r="O580" s="28" t="str">
        <x:v>ароматическое сходство + вкусовой баланс</x:v>
      </x:c>
      <x:c r="P580" s="28" t="str">
        <x:v>Ягодная сладость смягчает горечь и пряность, а кислотность делает горьковатый, свежий профиль ярче.</x:v>
      </x:c>
      <x:c r="Q580" s="28" t="str">
        <x:v>Специфического тройничного эффекта обычно нет; кислотность усиливает слюноотделение.</x:v>
      </x:c>
      <x:c r="R580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8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80" s="28" t="str">
        <x:v>Прямой вероятный молекулярный мост: гераниол, линалоол. Ягодный компонент несёт семейства древесный, зелёный, фиалковый,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8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80" s="28" t="str">
        <x:v>лимон или мёд</x:v>
      </x:c>
      <x:c r="W58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580" s="28" t="str">
        <x:v>напитки; еда; соусы/маринады</x:v>
      </x:c>
      <x:c r="Y580" s="28" t="str">
        <x:v>Средняя</x:v>
      </x:c>
      <x:c r="Z580" s="28" t="str">
        <x:v>Таблица сочетаний</x:v>
      </x:c>
      <x:c r="AA580" s="28" t="str">
        <x:v>Таблица сочетаний: 19, 21</x:v>
      </x:c>
      <x:c r="AB580" s="28" t="str">
        <x:v>Малина: тимьян | Тимьян: малина</x:v>
      </x:c>
      <x:c r="AC580" s="28" t="n">
        <x:v>1</x:v>
      </x:c>
      <x:c r="AD580" s="28" t="n">
        <x:v>2</x:v>
      </x:c>
    </x:row>
    <x:row r="581" ht="58" customHeight="1">
      <x:c r="A581" s="28" t="str">
        <x:v>BER-0580</x:v>
      </x:c>
      <x:c r="B581" s="28" t="str">
        <x:v>Еда и соусы</x:v>
      </x:c>
      <x:c r="C581" s="28" t="str">
        <x:v>малина</x:v>
      </x:c>
      <x:c r="D581" s="28" t="str">
        <x:v>raspberry</x:v>
      </x:c>
      <x:c r="E581" s="28" t="str">
        <x:v>Ягоды и производные</x:v>
      </x:c>
      <x:c r="F581" s="28" t="str">
        <x:v>трюфель</x:v>
      </x:c>
      <x:c r="G581" s="28" t="str">
        <x:v>Truffle</x:v>
      </x:c>
      <x:c r="H581" s="28" t="str">
        <x:v>Овощи и грибы</x:v>
      </x:c>
      <x:c r="I581" s="28" t="str">
        <x:v>древесный, зелёный, фиалковый, фруктовый, цветочный</x:v>
      </x:c>
      <x:c r="J581" s="28" t="str">
        <x:v>зелёный, землистый, сернистый</x:v>
      </x:c>
      <x:c r="K581" s="28" t="str">
        <x:v>альфа-ионон, бета-ионон, гераниол, линалоол, малиновый кетон</x:v>
      </x:c>
      <x:c r="L581" s="28" t="str">
        <x:v>C6-альдегиды, пиразины, сернистые соединения</x:v>
      </x:c>
      <x:c r="M581" s="28" t="str">
        <x:v>зелёный</x:v>
      </x:c>
      <x:c r="N581" s="28" t="str">
        <x:v>не подтверждены; механизм не сводится к одной общей молекуле</x:v>
      </x:c>
      <x:c r="O581" s="28" t="str">
        <x:v>сходство ароматических семейств + комплементарность</x:v>
      </x:c>
      <x:c r="P581" s="28" t="str">
        <x:v>Оба компонента формируют кисло-сладкий и растительный, иногда умами контур; сахар, кислота и горечь должны быть выровнены дегустацией.</x:v>
      </x:c>
      <x:c r="Q581" s="28" t="str">
        <x:v>Специфического тройничного эффекта обычно нет; кислотность усиливает слюноотделение.</x:v>
      </x:c>
      <x:c r="R581" s="28" t="str">
        <x:v>Ягода: семена добавляют древесность и лёгкую терпкость.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58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581" s="28" t="str">
        <x:v>Общие ароматические семейства: зелёный;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землистый, сернистый. Оба компонента формируют кисло-сладкий и растительный, иногда умами контур; сахар, кислота и горечь должны быть выровнены дегустацией. Ягода: семена добавляют древесность и лёгкую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58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81" s="28" t="str">
        <x:v>уксус или мягкий сыр</x:v>
      </x:c>
      <x:c r="W581" s="28" t="str">
        <x:v>соус, глазировка, салат, сырная подача или горячее блюдо; маринад, гастрик, чатни, кетчуп или редукция</x:v>
      </x:c>
      <x:c r="X581" s="28" t="str">
        <x:v>еда; соусы/маринады</x:v>
      </x:c>
      <x:c r="Y581" s="28" t="str">
        <x:v>Средняя</x:v>
      </x:c>
      <x:c r="Z581" s="28" t="str">
        <x:v>The Art &amp; Science of Foodpairing</x:v>
      </x:c>
      <x:c r="AA581" s="28" t="str">
        <x:v>The Art &amp; Science of Foodpairing: 193</x:v>
      </x:c>
      <x:c r="AB581" s="28" t="str">
        <x:v>Ingredient pairings with Truffle: raspberry</x:v>
      </x:c>
      <x:c r="AC581" s="28" t="n">
        <x:v>1</x:v>
      </x:c>
      <x:c r="AD581" s="28" t="n">
        <x:v>1</x:v>
      </x:c>
    </x:row>
    <x:row r="582" ht="58" customHeight="1">
      <x:c r="A582" s="28" t="str">
        <x:v>BER-0581</x:v>
      </x:c>
      <x:c r="B582" s="28" t="str">
        <x:v>Десерты и выпечка</x:v>
      </x:c>
      <x:c r="C582" s="28" t="str">
        <x:v>малина</x:v>
      </x:c>
      <x:c r="D582" s="28" t="str">
        <x:v>Малина | малина</x:v>
      </x:c>
      <x:c r="E582" s="28" t="str">
        <x:v>Ягоды и производные</x:v>
      </x:c>
      <x:c r="F582" s="28" t="str">
        <x:v>фундук</x:v>
      </x:c>
      <x:c r="G582" s="28" t="str">
        <x:v>Фундук | фундук</x:v>
      </x:c>
      <x:c r="H582" s="28" t="str">
        <x:v>Орехи и семена</x:v>
      </x:c>
      <x:c r="I582" s="28" t="str">
        <x:v>древесный, зелёный, фиалковый, фруктовый, цветочный</x:v>
      </x:c>
      <x:c r="J582" s="28" t="str">
        <x:v>жареный, миндальный, ореховый</x:v>
      </x:c>
      <x:c r="K582" s="28" t="str">
        <x:v>альфа-ионон, бета-ионон, гераниол, линалоол, малиновый кетон</x:v>
      </x:c>
      <x:c r="L582" s="28" t="str">
        <x:v>бензальдегид, пиразины, фураны</x:v>
      </x:c>
      <x:c r="M582" s="28" t="str">
        <x:v>прямое совпадение семейств не установлено</x:v>
      </x:c>
      <x:c r="N582" s="28" t="str">
        <x:v>не подтверждены; механизм не сводится к одной общей молекуле</x:v>
      </x:c>
      <x:c r="O582" s="28" t="str">
        <x:v>контраст/комплементарность + матричный эффект</x:v>
      </x:c>
      <x:c r="P582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582" s="28" t="str">
        <x:v>Специфического тройничного эффекта обычно нет; кислотность усиливает слюноотделение.</x:v>
      </x:c>
      <x:c r="R582" s="28" t="str">
        <x:v>Жировая фаза удерживает гидрофобные одоранты и продлевает послевкусие; кислотность ягод повышает слюноотделение.</x:v>
      </x:c>
      <x:c r="S58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8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8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82" s="28" t="str">
        <x:v>ваниль или сливки</x:v>
      </x:c>
      <x:c r="W582" s="28" t="str">
        <x:v>сорбет, крем, ганаш, выпечка, джем или соус для десерта</x:v>
      </x:c>
      <x:c r="X582" s="28" t="str">
        <x:v>десерты</x:v>
      </x:c>
      <x:c r="Y582" s="28" t="str">
        <x:v>Высокая</x:v>
      </x:c>
      <x:c r="Z582" s="28" t="str">
        <x:v>Тезариус вкусов</x:v>
      </x:c>
      <x:c r="AA582" s="28" t="str">
        <x:v>Тезариус вкусов: 635, 889</x:v>
      </x:c>
      <x:c r="AB582" s="28" t="str">
        <x:v>Фундук и малина. См. Малина и фундук | Малина и фундук. Прогуливаясь в сентябре по До- ломитовым Альпам, можно собрать достаточно фун</x:v>
      </x:c>
      <x:c r="AC582" s="28" t="n">
        <x:v>1</x:v>
      </x:c>
      <x:c r="AD582" s="28" t="n">
        <x:v>2</x:v>
      </x:c>
    </x:row>
    <x:row r="583" ht="58" customHeight="1">
      <x:c r="A583" s="28" t="str">
        <x:v>BER-0582</x:v>
      </x:c>
      <x:c r="B583" s="28" t="str">
        <x:v>Напитки</x:v>
      </x:c>
      <x:c r="C583" s="28" t="str">
        <x:v>малина</x:v>
      </x:c>
      <x:c r="D583" s="28" t="str">
        <x:v>Малина</x:v>
      </x:c>
      <x:c r="E583" s="28" t="str">
        <x:v>Ягоды и производные</x:v>
      </x:c>
      <x:c r="F583" s="28" t="str">
        <x:v>цитрусовые</x:v>
      </x:c>
      <x:c r="G583" s="28" t="str">
        <x:v>цитрусовые</x:v>
      </x:c>
      <x:c r="H583" s="28" t="str">
        <x:v>Цитрусовые</x:v>
      </x:c>
      <x:c r="I583" s="28" t="str">
        <x:v>древесный, зелёный, фиалковый, фруктовый, цветочный</x:v>
      </x:c>
      <x:c r="J583" s="28" t="str">
        <x:v>зелёный, цветочный, цитрусовый</x:v>
      </x:c>
      <x:c r="K583" s="28" t="str">
        <x:v>альфа-ионон, бета-ионон, гераниол, линалоол, малиновый кетон</x:v>
      </x:c>
      <x:c r="L583" s="28" t="str">
        <x:v>лимонен, линалоол, цитраль</x:v>
      </x:c>
      <x:c r="M583" s="28" t="str">
        <x:v>зелёный, цветочный</x:v>
      </x:c>
      <x:c r="N583" s="28" t="str">
        <x:v>линалоол</x:v>
      </x:c>
      <x:c r="O583" s="28" t="str">
        <x:v>ароматическое сходство + вкусовой баланс</x:v>
      </x:c>
      <x:c r="P583" s="28" t="str">
        <x:v>Оба компонента формируют кисло-сладкий и кислый, свежий контур; сахар, кислота и горечь должны быть выровнены дегустацией.</x:v>
      </x:c>
      <x:c r="Q583" s="28" t="str">
        <x:v>Специфического тройничного эффекта обычно нет; кислотность усиливает слюноотделение.</x:v>
      </x:c>
      <x:c r="R583" s="28" t="str">
        <x:v>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</x:v>
      </x:c>
      <x:c r="S58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83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8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83" s="28" t="str">
        <x:v>мёд или базилик</x:v>
      </x:c>
      <x:c r="W583" s="28" t="str">
        <x:v>кордиал, лимонад, чай, коктейль, настой или ферментированный напиток; маринад, гастрик, чатни, кетчуп или редукция</x:v>
      </x:c>
      <x:c r="X583" s="28" t="str">
        <x:v>напитки; соусы/маринады</x:v>
      </x:c>
      <x:c r="Y583" s="28" t="str">
        <x:v>Средняя</x:v>
      </x:c>
      <x:c r="Z583" s="28" t="str">
        <x:v>Таблица сочетаний</x:v>
      </x:c>
      <x:c r="AA583" s="28" t="str">
        <x:v>Таблица сочетаний: 19</x:v>
      </x:c>
      <x:c r="AB583" s="28" t="str">
        <x:v>Малина: цитрусовые</x:v>
      </x:c>
      <x:c r="AC583" s="28" t="n">
        <x:v>1</x:v>
      </x:c>
      <x:c r="AD583" s="28" t="n">
        <x:v>1</x:v>
      </x:c>
    </x:row>
    <x:row r="584" ht="58" customHeight="1">
      <x:c r="A584" s="28" t="str">
        <x:v>BER-0583</x:v>
      </x:c>
      <x:c r="B584" s="28" t="str">
        <x:v>Универсальные</x:v>
      </x:c>
      <x:c r="C584" s="28" t="str">
        <x:v>малина</x:v>
      </x:c>
      <x:c r="D584" s="28" t="str">
        <x:v>малина</x:v>
      </x:c>
      <x:c r="E584" s="28" t="str">
        <x:v>Ягоды и производные</x:v>
      </x:c>
      <x:c r="F584" s="28" t="str">
        <x:v>чёрная смородина</x:v>
      </x:c>
      <x:c r="G584" s="28" t="str">
        <x:v>Чёрная смородина</x:v>
      </x:c>
      <x:c r="H584" s="28" t="str">
        <x:v>Ягоды и производные</x:v>
      </x:c>
      <x:c r="I584" s="28" t="str">
        <x:v>древесный, зелёный, фиалковый, фруктовый, цветочный</x:v>
      </x:c>
      <x:c r="J584" s="28" t="str">
        <x:v>зелёный, листовой, сернистый, тёмно-фруктовый, цветочный</x:v>
      </x:c>
      <x:c r="K584" s="28" t="str">
        <x:v>альфа-ионон, бета-ионон, гераниол, линалоол, малиновый кетон</x:v>
      </x:c>
      <x:c r="L584" s="28" t="str">
        <x:v>3-меркаптогексанол, 3-меркаптогексилацетат, 4-метокси-2-метил-2-бутантиол, терпены</x:v>
      </x:c>
      <x:c r="M584" s="28" t="str">
        <x:v>зелёный, цветочный</x:v>
      </x:c>
      <x:c r="N584" s="28" t="str">
        <x:v>не подтверждены; механизм не сводится к одной общей молекуле</x:v>
      </x:c>
      <x:c r="O584" s="28" t="str">
        <x:v>сходство ароматических семейств + комплементарность</x:v>
      </x:c>
      <x:c r="P584" s="28" t="str">
        <x:v>Оба компонента формируют кисло-сладкий и ярко-кислый, терпкий контур; сахар, кислота и горечь должны быть выровнены дегустацией.</x:v>
      </x:c>
      <x:c r="Q584" s="28" t="str">
        <x:v>Специфического тройничного эффекта обычно нет; кислотность усиливает слюноотделение.</x:v>
      </x:c>
      <x:c r="R584" s="28" t="str">
        <x:v>Ягода: семена добавляют древесность и лёгкую терпкость. Партнёр: следовые тиолы чрезвычайно мощные; передозировка даёт «кошачий» тон. В воде аромат раскрывается быстрее, в жире и этаноле — дольше удерживается.</x:v>
      </x:c>
      <x:c r="S58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84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листовой, сернистый, тёмно-фруктовый, цветочный. Оба компонента формируют кисло-сладкий и ярко-кислый, терпкий контур; сахар, кислота и горечь должны быть выровнены дегустацией. Ягода: семена добавляют древесность и лёгкую терпкость. Партнёр: следовые тиолы чрезвычайно мощные; передозировка даёт «кошачий» тон.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8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84" s="28" t="str">
        <x:v>ваниль или роза</x:v>
      </x:c>
      <x:c r="W58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584" s="28" t="str">
        <x:v>напитки; десерты</x:v>
      </x:c>
      <x:c r="Y584" s="28" t="str">
        <x:v>Средняя</x:v>
      </x:c>
      <x:c r="Z584" s="28" t="str">
        <x:v>Таблица сочетаний</x:v>
      </x:c>
      <x:c r="AA584" s="28" t="str">
        <x:v>Таблица сочетаний: 2</x:v>
      </x:c>
      <x:c r="AB584" s="28" t="str">
        <x:v>Чёрная смородина: малина</x:v>
      </x:c>
      <x:c r="AC584" s="28" t="n">
        <x:v>1</x:v>
      </x:c>
      <x:c r="AD584" s="28" t="n">
        <x:v>1</x:v>
      </x:c>
    </x:row>
    <x:row r="585" ht="58" customHeight="1">
      <x:c r="A585" s="28" t="str">
        <x:v>BER-0584</x:v>
      </x:c>
      <x:c r="B585" s="28" t="str">
        <x:v>Еда и соусы</x:v>
      </x:c>
      <x:c r="C585" s="28" t="str">
        <x:v>малина</x:v>
      </x:c>
      <x:c r="D585" s="28" t="str">
        <x:v>raspberry</x:v>
      </x:c>
      <x:c r="E585" s="28" t="str">
        <x:v>Ягоды и производные</x:v>
      </x:c>
      <x:c r="F585" s="28" t="str">
        <x:v>чоризо</x:v>
      </x:c>
      <x:c r="G585" s="28" t="str">
        <x:v>Chorizo</x:v>
      </x:c>
      <x:c r="H585" s="28" t="str">
        <x:v>Мясо и птица</x:v>
      </x:c>
      <x:c r="I585" s="28" t="str">
        <x:v>древесный, зелёный, фиалковый, фруктовый, цветочный</x:v>
      </x:c>
      <x:c r="J585" s="28" t="str">
        <x:v>жареный, жирный, сернистый, умами</x:v>
      </x:c>
      <x:c r="K585" s="28" t="str">
        <x:v>альфа-ионон, бета-ионон, гераниол, линалоол, малиновый кетон</x:v>
      </x:c>
      <x:c r="L585" s="28" t="str">
        <x:v>альдегиды, пиразины, сернистые соединения</x:v>
      </x:c>
      <x:c r="M585" s="28" t="str">
        <x:v>прямое совпадение семейств не установлено</x:v>
      </x:c>
      <x:c r="N585" s="28" t="str">
        <x:v>не подтверждены; механизм не сводится к одной общей молекуле</x:v>
      </x:c>
      <x:c r="O585" s="28" t="str">
        <x:v>контраст/комплементарность + матричный эффект</x:v>
      </x:c>
      <x:c r="P585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585" s="28" t="str">
        <x:v>Специфического тройничного эффекта обычно нет; кислотность усиливает слюноотделение.</x:v>
      </x:c>
      <x:c r="R585" s="28" t="str">
        <x:v>Жировая фаза удерживает гидрофобные одоранты и продлевает послевкусие; кислотность ягод повышает слюноотделение.</x:v>
      </x:c>
      <x:c r="S58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58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58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85" s="28" t="str">
        <x:v>красное вино или чёрный перец</x:v>
      </x:c>
      <x:c r="W585" s="28" t="str">
        <x:v>соус, глазировка, салат, сырная подача или горячее блюдо; маринад, гастрик, чатни, кетчуп или редукция</x:v>
      </x:c>
      <x:c r="X585" s="28" t="str">
        <x:v>еда; соусы/маринады</x:v>
      </x:c>
      <x:c r="Y585" s="28" t="str">
        <x:v>Средняя</x:v>
      </x:c>
      <x:c r="Z585" s="28" t="str">
        <x:v>The Art &amp; Science of Foodpairing</x:v>
      </x:c>
      <x:c r="AA585" s="28" t="str">
        <x:v>The Art &amp; Science of Foodpairing: 288</x:v>
      </x:c>
      <x:c r="AB585" s="28" t="str">
        <x:v>Ingredient pairings with Chorizo: raspberry</x:v>
      </x:c>
      <x:c r="AC585" s="28" t="n">
        <x:v>1</x:v>
      </x:c>
      <x:c r="AD585" s="28" t="n">
        <x:v>1</x:v>
      </x:c>
    </x:row>
    <x:row r="586" ht="58" customHeight="1">
      <x:c r="A586" s="28" t="str">
        <x:v>BER-0585</x:v>
      </x:c>
      <x:c r="B586" s="28" t="str">
        <x:v>Десерты и выпечка</x:v>
      </x:c>
      <x:c r="C586" s="28" t="str">
        <x:v>малина</x:v>
      </x:c>
      <x:c r="D586" s="28" t="str">
        <x:v>Малина | малина</x:v>
      </x:c>
      <x:c r="E586" s="28" t="str">
        <x:v>Ягоды и производные</x:v>
      </x:c>
      <x:c r="F586" s="28" t="str">
        <x:v>шоколад</x:v>
      </x:c>
      <x:c r="G586" s="28" t="str">
        <x:v>Шоколад | шоколад</x:v>
      </x:c>
      <x:c r="H586" s="28" t="str">
        <x:v>Шоколад, кофе и жареные продукты</x:v>
      </x:c>
      <x:c r="I586" s="28" t="str">
        <x:v>древесный, зелёный, фиалковый, фруктовый, цветочный</x:v>
      </x:c>
      <x:c r="J586" s="28" t="str">
        <x:v>горький, жареный, карамельный, ореховый</x:v>
      </x:c>
      <x:c r="K586" s="28" t="str">
        <x:v>альфа-ионон, бета-ионон, гераниол, линалоол, малиновый кетон</x:v>
      </x:c>
      <x:c r="L586" s="28" t="str">
        <x:v>ванилин, пиразины, фураны</x:v>
      </x:c>
      <x:c r="M586" s="28" t="str">
        <x:v>прямое совпадение семейств не установлено</x:v>
      </x:c>
      <x:c r="N586" s="28" t="str">
        <x:v>не подтверждены; механизм не сводится к одной общей молекуле</x:v>
      </x:c>
      <x:c r="O586" s="28" t="str">
        <x:v>контраст/комплементарность + матричный эффект</x:v>
      </x:c>
      <x:c r="P586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586" s="28" t="str">
        <x:v>Специфического тройничного эффекта обычно нет; кислотность усиливает слюноотделение.</x:v>
      </x:c>
      <x:c r="R586" s="28" t="str">
        <x:v>Жировая фаза удерживает гидрофобные одоранты и продлевает послевкусие; кислотность ягод повышает слюноотделение.</x:v>
      </x:c>
      <x:c r="S58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8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8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86" s="28" t="str">
        <x:v>ваниль или орехи</x:v>
      </x:c>
      <x:c r="W586" s="28" t="str">
        <x:v>сорбет, крем, ганаш, выпечка, джем или соус для десерта</x:v>
      </x:c>
      <x:c r="X586" s="28" t="str">
        <x:v>десерты</x:v>
      </x:c>
      <x:c r="Y586" s="28" t="str">
        <x:v>Высокая</x:v>
      </x:c>
      <x:c r="Z586" s="28" t="str">
        <x:v>Таблица сочетаний; Тезариус вкусов</x:v>
      </x:c>
      <x:c r="AA586" s="28" t="str">
        <x:v>Тезариус вкусов: 33, 890; Таблица сочетаний: 5</x:v>
      </x:c>
      <x:c r="AB586" s="28" t="str">
        <x:v>Шоколад и малина. Малина – постоянный партнер шоколада в тартах и пудингах. При этом, по моему скромному мнению, ягоды малины часто разбрасыва- ют по поверхности покрытых шоколадом коржей ис- ключительно «для красоты». Это вполне допустимо, если в тарте достаточно крема, чтобы сгладить пере- ход между двумя вкусами. Но если это не так или если малина не полностью созрела, то комбинация, кото- рая была призвана нежно обнимать, начинает душить в своих объятиях. Более сбалансированный союз имеет место в тем- ном шоколаде с сильными нотами малины, например в великолепном Manjari от Valrhona или Madagascar от Amano | Малина и шоколад. См. Шоколад и малина | Шоколад: малина</x:v>
      </x:c>
      <x:c r="AC586" s="28" t="n">
        <x:v>2</x:v>
      </x:c>
      <x:c r="AD586" s="28" t="n">
        <x:v>3</x:v>
      </x:c>
    </x:row>
    <x:row r="587" ht="58" customHeight="1">
      <x:c r="A587" s="28" t="str">
        <x:v>BER-0586</x:v>
      </x:c>
      <x:c r="B587" s="28" t="str">
        <x:v>Универсальные</x:v>
      </x:c>
      <x:c r="C587" s="28" t="str">
        <x:v>малина</x:v>
      </x:c>
      <x:c r="D587" s="28" t="str">
        <x:v>Малина | малина</x:v>
      </x:c>
      <x:c r="E587" s="28" t="str">
        <x:v>Ягоды и производные</x:v>
      </x:c>
      <x:c r="F587" s="28" t="str">
        <x:v>яблоко</x:v>
      </x:c>
      <x:c r="G587" s="28" t="str">
        <x:v>Яблоко | яблоко</x:v>
      </x:c>
      <x:c r="H587" s="28" t="str">
        <x:v>Фрукты</x:v>
      </x:c>
      <x:c r="I587" s="28" t="str">
        <x:v>древесный, зелёный, фиалковый, фруктовый, цветочный</x:v>
      </x:c>
      <x:c r="J587" s="28" t="str">
        <x:v>зелёный, фруктовый, цветочный</x:v>
      </x:c>
      <x:c r="K587" s="28" t="str">
        <x:v>альфа-ионон, бета-ионон, гераниол, линалоол, малиновый кетон</x:v>
      </x:c>
      <x:c r="L587" s="28" t="str">
        <x:v>лактоны, терпены, эфиры</x:v>
      </x:c>
      <x:c r="M587" s="28" t="str">
        <x:v>зелёный, фруктовый, цветочный</x:v>
      </x:c>
      <x:c r="N587" s="28" t="str">
        <x:v>не подтверждены; механизм не сводится к одной общей молекуле</x:v>
      </x:c>
      <x:c r="O587" s="28" t="str">
        <x:v>сходство ароматических семейств + комплементарность</x:v>
      </x:c>
      <x:c r="P587" s="28" t="str">
        <x:v>Оба компонента формируют кисло-сладкий и сладко-кислый контур; сахар, кислота и горечь должны быть выровнены дегустацией.</x:v>
      </x:c>
      <x:c r="Q587" s="28" t="str">
        <x:v>Специфического тройничного эффекта обычно нет; кислотность усиливает слюноотделение.</x:v>
      </x:c>
      <x:c r="R587" s="28" t="str">
        <x:v>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</x:v>
      </x:c>
      <x:c r="S58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87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8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87" s="28" t="str">
        <x:v>ваниль или лимон</x:v>
      </x:c>
      <x:c r="W58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587" s="28" t="str">
        <x:v>напитки; десерты</x:v>
      </x:c>
      <x:c r="Y587" s="28" t="str">
        <x:v>Средняя</x:v>
      </x:c>
      <x:c r="Z587" s="28" t="str">
        <x:v>Таблица сочетаний</x:v>
      </x:c>
      <x:c r="AA587" s="28" t="str">
        <x:v>Таблица сочетаний: 1, 19</x:v>
      </x:c>
      <x:c r="AB587" s="28" t="str">
        <x:v>Яблоко: малина | Яблоко: малина | Малина: яблоко</x:v>
      </x:c>
      <x:c r="AC587" s="28" t="n">
        <x:v>1</x:v>
      </x:c>
      <x:c r="AD587" s="28" t="n">
        <x:v>3</x:v>
      </x:c>
    </x:row>
    <x:row r="588" ht="58" customHeight="1">
      <x:c r="A588" s="28" t="str">
        <x:v>BER-0587</x:v>
      </x:c>
      <x:c r="B588" s="28" t="str">
        <x:v>Универсальные</x:v>
      </x:c>
      <x:c r="C588" s="28" t="str">
        <x:v>малина</x:v>
      </x:c>
      <x:c r="D588" s="28" t="str">
        <x:v>малина</x:v>
      </x:c>
      <x:c r="E588" s="28" t="str">
        <x:v>Ягоды и производные</x:v>
      </x:c>
      <x:c r="F588" s="28" t="str">
        <x:v>ягоды годжи</x:v>
      </x:c>
      <x:c r="G588" s="28" t="str">
        <x:v>Ягоды годжи</x:v>
      </x:c>
      <x:c r="H588" s="28" t="str">
        <x:v>Ягоды и производные</x:v>
      </x:c>
      <x:c r="I588" s="28" t="str">
        <x:v>древесный, зелёный, фиалковый, фруктовый, цветочный</x:v>
      </x:c>
      <x:c r="J588" s="28" t="str">
        <x:v>комплексный</x:v>
      </x:c>
      <x:c r="K588" s="28" t="str">
        <x:v>альфа-ионон, бета-ионон, гераниол, линалоол, малиновый кетон</x:v>
      </x:c>
      <x:c r="L588" s="28" t="str">
        <x:v>нет надёжной конкретизации</x:v>
      </x:c>
      <x:c r="M588" s="28" t="str">
        <x:v>прямое совпадение семейств не установлено</x:v>
      </x:c>
      <x:c r="N588" s="28" t="str">
        <x:v>не подтверждены; механизм не сводится к одной общей молекуле</x:v>
      </x:c>
      <x:c r="O588" s="28" t="str">
        <x:v>контраст/комплементарность + матричный эффект</x:v>
      </x:c>
      <x:c r="P588" s="28" t="str">
        <x:v>Оба компонента формируют кисло-сладкий и зависит от ингредиента контур; сахар, кислота и горечь должны быть выровнены дегустацией.</x:v>
      </x:c>
      <x:c r="Q588" s="28" t="str">
        <x:v>Специфического тройничного эффекта обычно нет; кислотность усиливает слюноотделение.</x:v>
      </x:c>
      <x:c r="R588" s="28" t="str">
        <x:v>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</x:v>
      </x:c>
      <x:c r="S58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8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комплексный. Оба компонента формируют кисло-сладкий и зависит от ингредиента контур; сахар, кислота и горечь должны быть выровнены дегустацией. Ягода: семена добавляют древесность и лёгкую терпкость.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8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88" s="28" t="str">
        <x:v>лимон или ваниль</x:v>
      </x:c>
      <x:c r="W588" s="28" t="str">
        <x:v>сенсорная проба в малой дозировке</x:v>
      </x:c>
      <x:c r="X588" s="28" t="str">
        <x:v>универсально</x:v>
      </x:c>
      <x:c r="Y588" s="28" t="str">
        <x:v>Средняя</x:v>
      </x:c>
      <x:c r="Z588" s="28" t="str">
        <x:v>Таблица сочетаний</x:v>
      </x:c>
      <x:c r="AA588" s="28" t="str">
        <x:v>Таблица сочетаний: 8</x:v>
      </x:c>
      <x:c r="AB588" s="28" t="str">
        <x:v>Ягоды годжи: малина</x:v>
      </x:c>
      <x:c r="AC588" s="28" t="n">
        <x:v>1</x:v>
      </x:c>
      <x:c r="AD588" s="28" t="n">
        <x:v>1</x:v>
      </x:c>
    </x:row>
    <x:row r="589" ht="58" customHeight="1">
      <x:c r="A589" s="28" t="str">
        <x:v>BER-0588</x:v>
      </x:c>
      <x:c r="B589" s="28" t="str">
        <x:v>Напитки</x:v>
      </x:c>
      <x:c r="C589" s="28" t="str">
        <x:v>малина сорта Meeker</x:v>
      </x:c>
      <x:c r="D589" s="28" t="str">
        <x:v>meeker raspberry</x:v>
      </x:c>
      <x:c r="E589" s="28" t="str">
        <x:v>Ягоды и производные</x:v>
      </x:c>
      <x:c r="F589" s="28" t="str">
        <x:v>апельсин</x:v>
      </x:c>
      <x:c r="G589" s="28" t="str">
        <x:v>Orange</x:v>
      </x:c>
      <x:c r="H589" s="28" t="str">
        <x:v>Цитрусовые</x:v>
      </x:c>
      <x:c r="I589" s="28" t="str">
        <x:v>древесный, зелёный, фиалковый, фруктовый, цветочный</x:v>
      </x:c>
      <x:c r="J589" s="28" t="str">
        <x:v>зелёный, цветочный, цитрусовый</x:v>
      </x:c>
      <x:c r="K589" s="28" t="str">
        <x:v>альфа-ионон, бета-ионон, гераниол, линалоол, малиновый кетон</x:v>
      </x:c>
      <x:c r="L589" s="28" t="str">
        <x:v>лимонен, линалоол, цитраль</x:v>
      </x:c>
      <x:c r="M589" s="28" t="str">
        <x:v>зелёный, цветочный</x:v>
      </x:c>
      <x:c r="N589" s="28" t="str">
        <x:v>линалоол</x:v>
      </x:c>
      <x:c r="O589" s="28" t="str">
        <x:v>ароматическое сходство + вкусовой баланс</x:v>
      </x:c>
      <x:c r="P589" s="28" t="str">
        <x:v>Оба компонента формируют кисло-сладкий и кислый, свежий контур; сахар, кислота и горечь должны быть выровнены дегустацией.</x:v>
      </x:c>
      <x:c r="Q589" s="28" t="str">
        <x:v>Специфического тройничного эффекта обычно нет; кислотность усиливает слюноотделение.</x:v>
      </x:c>
      <x:c r="R589" s="28" t="str">
        <x:v>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</x:v>
      </x:c>
      <x:c r="S58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89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8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89" s="28" t="str">
        <x:v>мёд или базилик</x:v>
      </x:c>
      <x:c r="W589" s="28" t="str">
        <x:v>кордиал, лимонад, чай, коктейль, настой или ферментированный напиток; маринад, гастрик, чатни, кетчуп или редукция</x:v>
      </x:c>
      <x:c r="X589" s="28" t="str">
        <x:v>напитки; соусы/маринады</x:v>
      </x:c>
      <x:c r="Y589" s="28" t="str">
        <x:v>Средняя</x:v>
      </x:c>
      <x:c r="Z589" s="28" t="str">
        <x:v>The Art &amp; Science of Foodpairing</x:v>
      </x:c>
      <x:c r="AA589" s="28" t="str">
        <x:v>The Art &amp; Science of Foodpairing: 236</x:v>
      </x:c>
      <x:c r="AB589" s="28" t="str">
        <x:v>Ingredient pairings with Orange: meeker raspberry</x:v>
      </x:c>
      <x:c r="AC589" s="28" t="n">
        <x:v>1</x:v>
      </x:c>
      <x:c r="AD589" s="28" t="n">
        <x:v>1</x:v>
      </x:c>
    </x:row>
    <x:row r="590" ht="58" customHeight="1">
      <x:c r="A590" s="28" t="str">
        <x:v>BER-0589</x:v>
      </x:c>
      <x:c r="B590" s="28" t="str">
        <x:v>Универсальные</x:v>
      </x:c>
      <x:c r="C590" s="28" t="str">
        <x:v>малина сорта Meeker</x:v>
      </x:c>
      <x:c r="D590" s="28" t="str">
        <x:v>meeker raspberry</x:v>
      </x:c>
      <x:c r="E590" s="28" t="str">
        <x:v>Ягоды и производные</x:v>
      </x:c>
      <x:c r="F590" s="28" t="str">
        <x:v>кардамон</x:v>
      </x:c>
      <x:c r="G590" s="28" t="str">
        <x:v>Cardamom</x:v>
      </x:c>
      <x:c r="H590" s="28" t="str">
        <x:v>Специи</x:v>
      </x:c>
      <x:c r="I590" s="28" t="str">
        <x:v>древесный, зелёный, фиалковый, фруктовый, цветочный</x:v>
      </x:c>
      <x:c r="J590" s="28" t="str">
        <x:v>древесный, пряный, тёплый</x:v>
      </x:c>
      <x:c r="K590" s="28" t="str">
        <x:v>альфа-ионон, бета-ионон, гераниол, линалоол, малиновый кетон</x:v>
      </x:c>
      <x:c r="L590" s="28" t="str">
        <x:v>коричный альдегид, терпены, эвгенол</x:v>
      </x:c>
      <x:c r="M590" s="28" t="str">
        <x:v>древесный</x:v>
      </x:c>
      <x:c r="N590" s="28" t="str">
        <x:v>не подтверждены; механизм не сводится к одной общей молекуле</x:v>
      </x:c>
      <x:c r="O590" s="28" t="str">
        <x:v>сходство ароматических семейств + комплементарность</x:v>
      </x:c>
      <x:c r="P590" s="28" t="str">
        <x:v>Ягодная сладость смягчает горечь и пряность, а кислотность делает пряный, иногда горький профиль ярче.</x:v>
      </x:c>
      <x:c r="Q590" s="28" t="str">
        <x:v>Специфического тройничного эффекта обычно нет; кислотность усиливает слюноотделение.</x:v>
      </x:c>
      <x:c r="R590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9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90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90" s="28" t="str">
        <x:v>Пряность дозировать как акцент: она быстро перекрывает тонкие ягодные эфиры.</x:v>
      </x:c>
      <x:c r="V590" s="28" t="str">
        <x:v>мёд или цитрус</x:v>
      </x:c>
      <x:c r="W59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590" s="28" t="str">
        <x:v>напитки; десерты; еда; соусы/маринады</x:v>
      </x:c>
      <x:c r="Y590" s="28" t="str">
        <x:v>Средняя</x:v>
      </x:c>
      <x:c r="Z590" s="28" t="str">
        <x:v>The Art &amp; Science of Foodpairing</x:v>
      </x:c>
      <x:c r="AA590" s="28" t="str">
        <x:v>The Art &amp; Science of Foodpairing: 256</x:v>
      </x:c>
      <x:c r="AB590" s="28" t="str">
        <x:v>Ingredient pairings with Cardamom: meeker raspberry</x:v>
      </x:c>
      <x:c r="AC590" s="28" t="n">
        <x:v>1</x:v>
      </x:c>
      <x:c r="AD590" s="28" t="n">
        <x:v>1</x:v>
      </x:c>
    </x:row>
    <x:row r="591" ht="58" customHeight="1">
      <x:c r="A591" s="28" t="str">
        <x:v>BER-0590</x:v>
      </x:c>
      <x:c r="B591" s="28" t="str">
        <x:v>Напитки</x:v>
      </x:c>
      <x:c r="C591" s="28" t="str">
        <x:v>малина сорта Meeker</x:v>
      </x:c>
      <x:c r="D591" s="28" t="str">
        <x:v>meeker raspberry</x:v>
      </x:c>
      <x:c r="E591" s="28" t="str">
        <x:v>Ягоды и производные</x:v>
      </x:c>
      <x:c r="F591" s="28" t="str">
        <x:v>лимон и лайм</x:v>
      </x:c>
      <x:c r="G591" s="28" t="str">
        <x:v>Lemon&amp;Lime</x:v>
      </x:c>
      <x:c r="H591" s="28" t="str">
        <x:v>Цитрусовые</x:v>
      </x:c>
      <x:c r="I591" s="28" t="str">
        <x:v>древесный, зелёный, фиалковый, фруктовый, цветочный</x:v>
      </x:c>
      <x:c r="J591" s="28" t="str">
        <x:v>зелёный, цветочный, цитрусовый</x:v>
      </x:c>
      <x:c r="K591" s="28" t="str">
        <x:v>альфа-ионон, бета-ионон, гераниол, линалоол, малиновый кетон</x:v>
      </x:c>
      <x:c r="L591" s="28" t="str">
        <x:v>лимонен, линалоол, цитраль</x:v>
      </x:c>
      <x:c r="M591" s="28" t="str">
        <x:v>зелёный, цветочный</x:v>
      </x:c>
      <x:c r="N591" s="28" t="str">
        <x:v>линалоол</x:v>
      </x:c>
      <x:c r="O591" s="28" t="str">
        <x:v>ароматическое сходство + вкусовой баланс</x:v>
      </x:c>
      <x:c r="P591" s="28" t="str">
        <x:v>Оба компонента формируют кисло-сладкий и кислый, свежий контур; сахар, кислота и горечь должны быть выровнены дегустацией.</x:v>
      </x:c>
      <x:c r="Q591" s="28" t="str">
        <x:v>Специфического тройничного эффекта обычно нет; кислотность усиливает слюноотделение.</x:v>
      </x:c>
      <x:c r="R591" s="28" t="str">
        <x:v>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</x:v>
      </x:c>
      <x:c r="S59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91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9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91" s="28" t="str">
        <x:v>мёд или базилик</x:v>
      </x:c>
      <x:c r="W591" s="28" t="str">
        <x:v>кордиал, лимонад, чай, коктейль, настой или ферментированный напиток; маринад, гастрик, чатни, кетчуп или редукция</x:v>
      </x:c>
      <x:c r="X591" s="28" t="str">
        <x:v>напитки; соусы/маринады</x:v>
      </x:c>
      <x:c r="Y591" s="28" t="str">
        <x:v>Средняя</x:v>
      </x:c>
      <x:c r="Z591" s="28" t="str">
        <x:v>The Art &amp; Science of Foodpairing</x:v>
      </x:c>
      <x:c r="AA591" s="28" t="str">
        <x:v>The Art &amp; Science of Foodpairing: 89</x:v>
      </x:c>
      <x:c r="AB591" s="28" t="str">
        <x:v>Ingredient pairings with Lemon&amp;Lime: meeker raspberry</x:v>
      </x:c>
      <x:c r="AC591" s="28" t="n">
        <x:v>1</x:v>
      </x:c>
      <x:c r="AD591" s="28" t="n">
        <x:v>1</x:v>
      </x:c>
    </x:row>
    <x:row r="592" ht="58" customHeight="1">
      <x:c r="A592" s="28" t="str">
        <x:v>BER-0591</x:v>
      </x:c>
      <x:c r="B592" s="28" t="str">
        <x:v>Еда и соусы</x:v>
      </x:c>
      <x:c r="C592" s="28" t="str">
        <x:v>малиновое пюре</x:v>
      </x:c>
      <x:c r="D592" s="28" t="str">
        <x:v>raspberry puree</x:v>
      </x:c>
      <x:c r="E592" s="28" t="str">
        <x:v>Ягоды и производные</x:v>
      </x:c>
      <x:c r="F592" s="28" t="str">
        <x:v>рыба</x:v>
      </x:c>
      <x:c r="G592" s="28" t="str">
        <x:v>Fish</x:v>
      </x:c>
      <x:c r="H592" s="28" t="str">
        <x:v>Рыба и морепродукты</x:v>
      </x:c>
      <x:c r="I592" s="28" t="str">
        <x:v>комплексный</x:v>
      </x:c>
      <x:c r="J592" s="28" t="str">
        <x:v>жирный, морской, умами</x:v>
      </x:c>
      <x:c r="K592" s="28" t="str">
        <x:v>нет надёжной конкретизации</x:v>
      </x:c>
      <x:c r="L592" s="28" t="str">
        <x:v>альдегиды, амины, сернистые соединения</x:v>
      </x:c>
      <x:c r="M592" s="28" t="str">
        <x:v>прямое совпадение семейств не установлено</x:v>
      </x:c>
      <x:c r="N592" s="28" t="str">
        <x:v>не подтверждены; механизм не сводится к одной общей молекуле</x:v>
      </x:c>
      <x:c r="O592" s="28" t="str">
        <x:v>контраст/комплементарность + матричный эффект</x:v>
      </x:c>
      <x:c r="P592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592" s="28" t="str">
        <x:v>Специфического тройничного эффекта обычно нет; кислотность усиливает слюноотделение.</x:v>
      </x:c>
      <x:c r="R592" s="28" t="str">
        <x:v>Белок и жир смягчают кислоту; ягодный соус должен сохранять достаточную концентрацию и соль.</x:v>
      </x:c>
      <x:c r="S59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59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59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92" s="28" t="str">
        <x:v>цитрус или огурец</x:v>
      </x:c>
      <x:c r="W592" s="28" t="str">
        <x:v>соус, глазировка, салат, сырная подача или горячее блюдо; маринад, гастрик, чатни, кетчуп или редукция</x:v>
      </x:c>
      <x:c r="X592" s="28" t="str">
        <x:v>еда; соусы/маринады</x:v>
      </x:c>
      <x:c r="Y592" s="28" t="str">
        <x:v>Средняя</x:v>
      </x:c>
      <x:c r="Z592" s="28" t="str">
        <x:v>The Art &amp; Science of Foodpairing</x:v>
      </x:c>
      <x:c r="AA592" s="28" t="str">
        <x:v>The Art &amp; Science of Foodpairing: 104</x:v>
      </x:c>
      <x:c r="AB592" s="28" t="str">
        <x:v>Ingredient pairings with Fish: raspberry puree</x:v>
      </x:c>
      <x:c r="AC592" s="28" t="n">
        <x:v>1</x:v>
      </x:c>
      <x:c r="AD592" s="28" t="n">
        <x:v>1</x:v>
      </x:c>
    </x:row>
    <x:row r="593" ht="58" customHeight="1">
      <x:c r="A593" s="28" t="str">
        <x:v>BER-0592</x:v>
      </x:c>
      <x:c r="B593" s="28" t="str">
        <x:v>Десерты и выпечка</x:v>
      </x:c>
      <x:c r="C593" s="28" t="str">
        <x:v>малиновый сок</x:v>
      </x:c>
      <x:c r="D593" s="28" t="str">
        <x:v>raspberry juice</x:v>
      </x:c>
      <x:c r="E593" s="28" t="str">
        <x:v>Ягоды и производные</x:v>
      </x:c>
      <x:c r="F593" s="28" t="str">
        <x:v>бри</x:v>
      </x:c>
      <x:c r="G593" s="28" t="str">
        <x:v>Brie</x:v>
      </x:c>
      <x:c r="H593" s="28" t="str">
        <x:v>Молочные продукты и сыры</x:v>
      </x:c>
      <x:c r="I593" s="28" t="str">
        <x:v>комплексный</x:v>
      </x:c>
      <x:c r="J593" s="28" t="str">
        <x:v>масляный, молочный, сливочный, сырный</x:v>
      </x:c>
      <x:c r="K593" s="28" t="str">
        <x:v>нет надёжной конкретизации</x:v>
      </x:c>
      <x:c r="L593" s="28" t="str">
        <x:v>диацетил, жирные кислоты, лактоны</x:v>
      </x:c>
      <x:c r="M593" s="28" t="str">
        <x:v>прямое совпадение семейств не установлено</x:v>
      </x:c>
      <x:c r="N593" s="28" t="str">
        <x:v>не подтверждены; механизм не сводится к одной общей молекуле</x:v>
      </x:c>
      <x:c r="O593" s="28" t="str">
        <x:v>контраст/комплементарность + матричный эффект</x:v>
      </x:c>
      <x:c r="P593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593" s="28" t="str">
        <x:v>Специфического тройничного эффекта обычно нет; кислотность усиливает слюноотделение.</x:v>
      </x:c>
      <x:c r="R593" s="28" t="str">
        <x:v>Жировая фаза удерживает гидрофобные одоранты и продлевает послевкусие; кислотность ягод повышает слюноотделение.</x:v>
      </x:c>
      <x:c r="S59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59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593" s="28" t="str">
        <x:v>Высокая кислотность может свернуть молочный белок; смешивать при контролируемой температуре.</x:v>
      </x:c>
      <x:c r="V593" s="28" t="str">
        <x:v>мёд или миндаль</x:v>
      </x:c>
      <x:c r="W593" s="28" t="str">
        <x:v>сорбет, крем, ганаш, выпечка, джем или соус для десерта; соус, глазировка, салат, сырная подача или горячее блюдо</x:v>
      </x:c>
      <x:c r="X593" s="28" t="str">
        <x:v>десерты; еда</x:v>
      </x:c>
      <x:c r="Y593" s="28" t="str">
        <x:v>Средняя</x:v>
      </x:c>
      <x:c r="Z593" s="28" t="str">
        <x:v>The Art &amp; Science of Foodpairing</x:v>
      </x:c>
      <x:c r="AA593" s="28" t="str">
        <x:v>The Art &amp; Science of Foodpairing: 336</x:v>
      </x:c>
      <x:c r="AB593" s="28" t="str">
        <x:v>Ingredient pairings with Brie: raspberry juice</x:v>
      </x:c>
      <x:c r="AC593" s="28" t="n">
        <x:v>1</x:v>
      </x:c>
      <x:c r="AD593" s="28" t="n">
        <x:v>1</x:v>
      </x:c>
    </x:row>
    <x:row r="594" ht="58" customHeight="1">
      <x:c r="A594" s="28" t="str">
        <x:v>BER-0593</x:v>
      </x:c>
      <x:c r="B594" s="28" t="str">
        <x:v>Универсальные</x:v>
      </x:c>
      <x:c r="C594" s="28" t="str">
        <x:v>морошка</x:v>
      </x:c>
      <x:c r="D594" s="28" t="str">
        <x:v>Морошка</x:v>
      </x:c>
      <x:c r="E594" s="28" t="str">
        <x:v>Ягоды и производные</x:v>
      </x:c>
      <x:c r="F594" s="28" t="str">
        <x:v>ананас</x:v>
      </x:c>
      <x:c r="G594" s="28" t="str">
        <x:v>ананас</x:v>
      </x:c>
      <x:c r="H594" s="28" t="str">
        <x:v>Фрукты</x:v>
      </x:c>
      <x:c r="I594" s="28" t="str">
        <x:v>абрикосовый, лактонный, медовый, цветочный</x:v>
      </x:c>
      <x:c r="J594" s="28" t="str">
        <x:v>зелёный, фруктовый, цветочный</x:v>
      </x:c>
      <x:c r="K594" s="28" t="str">
        <x:v>иононы, лактоны, эфиры</x:v>
      </x:c>
      <x:c r="L594" s="28" t="str">
        <x:v>лактоны, терпены, эфиры</x:v>
      </x:c>
      <x:c r="M594" s="28" t="str">
        <x:v>цветочный</x:v>
      </x:c>
      <x:c r="N594" s="28" t="str">
        <x:v>лактоны, эфиры</x:v>
      </x:c>
      <x:c r="O594" s="28" t="str">
        <x:v>ароматическое сходство + вкусовой баланс</x:v>
      </x:c>
      <x:c r="P594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594" s="28" t="str">
        <x:v>Специфического тройничного эффекта обычно нет; кислотность усиливает слюноотделение.</x:v>
      </x:c>
      <x:c r="R594" s="28" t="str">
        <x:v>Ягода: аромат хорошо поддерживается сливочными и древесными матрицами. Партнёр: водная фруктовая матрица. В воде аромат раскрывается быстрее, в жире и этаноле — дольше удерживается.</x:v>
      </x:c>
      <x:c r="S59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94" s="28" t="str">
        <x:v>Прямой вероятный молекулярный мост: лактоны, эфиры. Ягодный компонент несёт семейства абрикосовый, лактонный, медовый,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аромат хорошо поддерживается сливочными и древесными матрицами.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9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94" s="28" t="str">
        <x:v>ваниль или лимон</x:v>
      </x:c>
      <x:c r="W59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594" s="28" t="str">
        <x:v>напитки; десерты</x:v>
      </x:c>
      <x:c r="Y594" s="28" t="str">
        <x:v>Средняя</x:v>
      </x:c>
      <x:c r="Z594" s="28" t="str">
        <x:v>Таблица сочетаний</x:v>
      </x:c>
      <x:c r="AA594" s="28" t="str">
        <x:v>Таблица сочетаний: 5</x:v>
      </x:c>
      <x:c r="AB594" s="28" t="str">
        <x:v>Морошка: ананас</x:v>
      </x:c>
      <x:c r="AC594" s="28" t="n">
        <x:v>1</x:v>
      </x:c>
      <x:c r="AD594" s="28" t="n">
        <x:v>1</x:v>
      </x:c>
    </x:row>
    <x:row r="595" ht="58" customHeight="1">
      <x:c r="A595" s="28" t="str">
        <x:v>BER-0594</x:v>
      </x:c>
      <x:c r="B595" s="28" t="str">
        <x:v>Напитки</x:v>
      </x:c>
      <x:c r="C595" s="28" t="str">
        <x:v>морошка</x:v>
      </x:c>
      <x:c r="D595" s="28" t="str">
        <x:v>Морошка</x:v>
      </x:c>
      <x:c r="E595" s="28" t="str">
        <x:v>Ягоды и производные</x:v>
      </x:c>
      <x:c r="F595" s="28" t="str">
        <x:v>апельсин</x:v>
      </x:c>
      <x:c r="G595" s="28" t="str">
        <x:v>апельсин</x:v>
      </x:c>
      <x:c r="H595" s="28" t="str">
        <x:v>Цитрусовые</x:v>
      </x:c>
      <x:c r="I595" s="28" t="str">
        <x:v>абрикосовый, лактонный, медовый, цветочный</x:v>
      </x:c>
      <x:c r="J595" s="28" t="str">
        <x:v>зелёный, цветочный, цитрусовый</x:v>
      </x:c>
      <x:c r="K595" s="28" t="str">
        <x:v>иононы, лактоны, эфиры</x:v>
      </x:c>
      <x:c r="L595" s="28" t="str">
        <x:v>лимонен, линалоол, цитраль</x:v>
      </x:c>
      <x:c r="M595" s="28" t="str">
        <x:v>цветочный</x:v>
      </x:c>
      <x:c r="N595" s="28" t="str">
        <x:v>не подтверждены; механизм не сводится к одной общей молекуле</x:v>
      </x:c>
      <x:c r="O595" s="28" t="str">
        <x:v>сходство ароматических семейств + комплементарность</x:v>
      </x:c>
      <x:c r="P595" s="28" t="str">
        <x:v>Оба компонента формируют сладко-кислый и кислый, свежий контур; сахар, кислота и горечь должны быть выровнены дегустацией.</x:v>
      </x:c>
      <x:c r="Q595" s="28" t="str">
        <x:v>Специфического тройничного эффекта обычно нет; кислотность усиливает слюноотделение.</x:v>
      </x:c>
      <x:c r="R595" s="28" t="str">
        <x:v>Ягода: аромат хорошо поддерживается сливочными и древесными матрицами. Партнёр: вода и эфирные масла; цедра гидрофобна. В воде аромат раскрывается быстрее, в жире и этаноле — дольше удерживается.</x:v>
      </x:c>
      <x:c r="S59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95" s="28" t="str">
        <x:v>Общие ароматические семейства: цветочный; конкретная доля одорантов зависит от сорта и обработки. Ягодный компонент несёт семейства абрикосовый, лактонный, медовый,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аромат хорошо поддерживается сливочными и древесными матрицами.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9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95" s="28" t="str">
        <x:v>мёд или базилик</x:v>
      </x:c>
      <x:c r="W595" s="28" t="str">
        <x:v>кордиал, лимонад, чай, коктейль, настой или ферментированный напиток; маринад, гастрик, чатни, кетчуп или редукция</x:v>
      </x:c>
      <x:c r="X595" s="28" t="str">
        <x:v>напитки; соусы/маринады</x:v>
      </x:c>
      <x:c r="Y595" s="28" t="str">
        <x:v>Средняя</x:v>
      </x:c>
      <x:c r="Z595" s="28" t="str">
        <x:v>Таблица сочетаний</x:v>
      </x:c>
      <x:c r="AA595" s="28" t="str">
        <x:v>Таблица сочетаний: 5</x:v>
      </x:c>
      <x:c r="AB595" s="28" t="str">
        <x:v>Морошка: апельсин</x:v>
      </x:c>
      <x:c r="AC595" s="28" t="n">
        <x:v>1</x:v>
      </x:c>
      <x:c r="AD595" s="28" t="n">
        <x:v>1</x:v>
      </x:c>
    </x:row>
    <x:row r="596" ht="58" customHeight="1">
      <x:c r="A596" s="28" t="str">
        <x:v>BER-0595</x:v>
      </x:c>
      <x:c r="B596" s="28" t="str">
        <x:v>Универсальные</x:v>
      </x:c>
      <x:c r="C596" s="28" t="str">
        <x:v>морошка</x:v>
      </x:c>
      <x:c r="D596" s="28" t="str">
        <x:v>cloudberry</x:v>
      </x:c>
      <x:c r="E596" s="28" t="str">
        <x:v>Ягоды и производные</x:v>
      </x:c>
      <x:c r="F596" s="28" t="str">
        <x:v>кориандр</x:v>
      </x:c>
      <x:c r="G596" s="28" t="str">
        <x:v>Coriander</x:v>
      </x:c>
      <x:c r="H596" s="28" t="str">
        <x:v>Прочее</x:v>
      </x:c>
      <x:c r="I596" s="28" t="str">
        <x:v>абрикосовый, лактонный, медовый, цветочный</x:v>
      </x:c>
      <x:c r="J596" s="28" t="str">
        <x:v>комплексный</x:v>
      </x:c>
      <x:c r="K596" s="28" t="str">
        <x:v>иононы, лактоны, эфиры</x:v>
      </x:c>
      <x:c r="L596" s="28" t="str">
        <x:v>нет надёжной конкретизации</x:v>
      </x:c>
      <x:c r="M596" s="28" t="str">
        <x:v>прямое совпадение семейств не установлено</x:v>
      </x:c>
      <x:c r="N596" s="28" t="str">
        <x:v>не подтверждены; механизм не сводится к одной общей молекуле</x:v>
      </x:c>
      <x:c r="O596" s="28" t="str">
        <x:v>контраст/комплементарность + матричный эффект</x:v>
      </x:c>
      <x:c r="P596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596" s="28" t="str">
        <x:v>Специфического тройничного эффекта обычно нет; кислотность усиливает слюноотделение.</x:v>
      </x:c>
      <x:c r="R596" s="28" t="str">
        <x:v>Ягода: аромат хорошо поддерживается сливочными и древесными матрицами. Партнёр: механизм зависит от конкретного продукта. В воде аромат раскрывается быстрее, в жире и этаноле — дольше удерживается.</x:v>
      </x:c>
      <x:c r="S59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9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абрикосовый, лактонный, медовый,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аромат хорошо поддерживается сливочными и древесными матрицами.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9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96" s="28" t="str">
        <x:v>лимон или ваниль</x:v>
      </x:c>
      <x:c r="W596" s="28" t="str">
        <x:v>сенсорная проба в малой дозировке</x:v>
      </x:c>
      <x:c r="X596" s="28" t="str">
        <x:v>универсально</x:v>
      </x:c>
      <x:c r="Y596" s="28" t="str">
        <x:v>Средняя</x:v>
      </x:c>
      <x:c r="Z596" s="28" t="str">
        <x:v>The Art &amp; Science of Foodpairing</x:v>
      </x:c>
      <x:c r="AA596" s="28" t="str">
        <x:v>The Art &amp; Science of Foodpairing: 98</x:v>
      </x:c>
      <x:c r="AB596" s="28" t="str">
        <x:v>Ingredient pairings with Coriander: cloudberry</x:v>
      </x:c>
      <x:c r="AC596" s="28" t="n">
        <x:v>1</x:v>
      </x:c>
      <x:c r="AD596" s="28" t="n">
        <x:v>1</x:v>
      </x:c>
    </x:row>
    <x:row r="597" ht="58" customHeight="1">
      <x:c r="A597" s="28" t="str">
        <x:v>BER-0596</x:v>
      </x:c>
      <x:c r="B597" s="28" t="str">
        <x:v>Универсальные</x:v>
      </x:c>
      <x:c r="C597" s="28" t="str">
        <x:v>морошка</x:v>
      </x:c>
      <x:c r="D597" s="28" t="str">
        <x:v>Морошка</x:v>
      </x:c>
      <x:c r="E597" s="28" t="str">
        <x:v>Ягоды и производные</x:v>
      </x:c>
      <x:c r="F597" s="28" t="str">
        <x:v>корица</x:v>
      </x:c>
      <x:c r="G597" s="28" t="str">
        <x:v>корица</x:v>
      </x:c>
      <x:c r="H597" s="28" t="str">
        <x:v>Специи</x:v>
      </x:c>
      <x:c r="I597" s="28" t="str">
        <x:v>абрикосовый, лактонный, медовый, цветочный</x:v>
      </x:c>
      <x:c r="J597" s="28" t="str">
        <x:v>древесный, пряный, тёплый</x:v>
      </x:c>
      <x:c r="K597" s="28" t="str">
        <x:v>иононы, лактоны, эфиры</x:v>
      </x:c>
      <x:c r="L597" s="28" t="str">
        <x:v>коричный альдегид, терпены, эвгенол</x:v>
      </x:c>
      <x:c r="M597" s="28" t="str">
        <x:v>прямое совпадение семейств не установлено</x:v>
      </x:c>
      <x:c r="N597" s="28" t="str">
        <x:v>не подтверждены; механизм не сводится к одной общей молекуле</x:v>
      </x:c>
      <x:c r="O597" s="28" t="str">
        <x:v>контраст/комплементарность + матричный эффект</x:v>
      </x:c>
      <x:c r="P597" s="28" t="str">
        <x:v>Ягодная сладость смягчает горечь и пряность, а кислотность делает пряный, иногда горький профиль ярче.</x:v>
      </x:c>
      <x:c r="Q597" s="28" t="str">
        <x:v>Специфического тройничного эффекта обычно нет; кислотность усиливает слюноотделение.</x:v>
      </x:c>
      <x:c r="R597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59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9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абрикосовый, лактонный, медовый,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97" s="28" t="str">
        <x:v>Пряность дозировать как акцент: она быстро перекрывает тонкие ягодные эфиры.</x:v>
      </x:c>
      <x:c r="V597" s="28" t="str">
        <x:v>мёд или цитрус</x:v>
      </x:c>
      <x:c r="W59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597" s="28" t="str">
        <x:v>напитки; десерты; еда; соусы/маринады</x:v>
      </x:c>
      <x:c r="Y597" s="28" t="str">
        <x:v>Средняя</x:v>
      </x:c>
      <x:c r="Z597" s="28" t="str">
        <x:v>Таблица сочетаний</x:v>
      </x:c>
      <x:c r="AA597" s="28" t="str">
        <x:v>Таблица сочетаний: 5</x:v>
      </x:c>
      <x:c r="AB597" s="28" t="str">
        <x:v>Морошка: корица</x:v>
      </x:c>
      <x:c r="AC597" s="28" t="n">
        <x:v>1</x:v>
      </x:c>
      <x:c r="AD597" s="28" t="n">
        <x:v>1</x:v>
      </x:c>
    </x:row>
    <x:row r="598" ht="58" customHeight="1">
      <x:c r="A598" s="28" t="str">
        <x:v>BER-0597</x:v>
      </x:c>
      <x:c r="B598" s="28" t="str">
        <x:v>Универсальные</x:v>
      </x:c>
      <x:c r="C598" s="28" t="str">
        <x:v>морошка</x:v>
      </x:c>
      <x:c r="D598" s="28" t="str">
        <x:v>cloudberry</x:v>
      </x:c>
      <x:c r="E598" s="28" t="str">
        <x:v>Ягоды и производные</x:v>
      </x:c>
      <x:c r="F598" s="28" t="str">
        <x:v>лемонграсс</x:v>
      </x:c>
      <x:c r="G598" s="28" t="str">
        <x:v>Lemongrass</x:v>
      </x:c>
      <x:c r="H598" s="28" t="str">
        <x:v>Прочее</x:v>
      </x:c>
      <x:c r="I598" s="28" t="str">
        <x:v>абрикосовый, лактонный, медовый, цветочный</x:v>
      </x:c>
      <x:c r="J598" s="28" t="str">
        <x:v>комплексный</x:v>
      </x:c>
      <x:c r="K598" s="28" t="str">
        <x:v>иононы, лактоны, эфиры</x:v>
      </x:c>
      <x:c r="L598" s="28" t="str">
        <x:v>нет надёжной конкретизации</x:v>
      </x:c>
      <x:c r="M598" s="28" t="str">
        <x:v>прямое совпадение семейств не установлено</x:v>
      </x:c>
      <x:c r="N598" s="28" t="str">
        <x:v>не подтверждены; механизм не сводится к одной общей молекуле</x:v>
      </x:c>
      <x:c r="O598" s="28" t="str">
        <x:v>контраст/комплементарность + матричный эффект</x:v>
      </x:c>
      <x:c r="P598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598" s="28" t="str">
        <x:v>Специфического тройничного эффекта обычно нет; кислотность усиливает слюноотделение.</x:v>
      </x:c>
      <x:c r="R598" s="28" t="str">
        <x:v>Ягода: аромат хорошо поддерживается сливочными и древесными матрицами. Партнёр: механизм зависит от конкретного продукта. В воде аромат раскрывается быстрее, в жире и этаноле — дольше удерживается.</x:v>
      </x:c>
      <x:c r="S59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9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абрикосовый, лактонный, медовый,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аромат хорошо поддерживается сливочными и древесными матрицами.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9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98" s="28" t="str">
        <x:v>лимон или ваниль</x:v>
      </x:c>
      <x:c r="W598" s="28" t="str">
        <x:v>сенсорная проба в малой дозировке</x:v>
      </x:c>
      <x:c r="X598" s="28" t="str">
        <x:v>универсально</x:v>
      </x:c>
      <x:c r="Y598" s="28" t="str">
        <x:v>Средняя</x:v>
      </x:c>
      <x:c r="Z598" s="28" t="str">
        <x:v>The Art &amp; Science of Foodpairing</x:v>
      </x:c>
      <x:c r="AA598" s="28" t="str">
        <x:v>The Art &amp; Science of Foodpairing: 146</x:v>
      </x:c>
      <x:c r="AB598" s="28" t="str">
        <x:v>Ingredient pairings with Lemongrass: cloudberry</x:v>
      </x:c>
      <x:c r="AC598" s="28" t="n">
        <x:v>1</x:v>
      </x:c>
      <x:c r="AD598" s="28" t="n">
        <x:v>1</x:v>
      </x:c>
    </x:row>
    <x:row r="599" ht="58" customHeight="1">
      <x:c r="A599" s="28" t="str">
        <x:v>BER-0598</x:v>
      </x:c>
      <x:c r="B599" s="28" t="str">
        <x:v>Универсальные</x:v>
      </x:c>
      <x:c r="C599" s="28" t="str">
        <x:v>морошка</x:v>
      </x:c>
      <x:c r="D599" s="28" t="str">
        <x:v>cloudberry</x:v>
      </x:c>
      <x:c r="E599" s="28" t="str">
        <x:v>Ягоды и производные</x:v>
      </x:c>
      <x:c r="F599" s="28" t="str">
        <x:v>манго</x:v>
      </x:c>
      <x:c r="G599" s="28" t="str">
        <x:v>Mango</x:v>
      </x:c>
      <x:c r="H599" s="28" t="str">
        <x:v>Фрукты</x:v>
      </x:c>
      <x:c r="I599" s="28" t="str">
        <x:v>абрикосовый, лактонный, медовый, цветочный</x:v>
      </x:c>
      <x:c r="J599" s="28" t="str">
        <x:v>зелёный, фруктовый, цветочный</x:v>
      </x:c>
      <x:c r="K599" s="28" t="str">
        <x:v>иононы, лактоны, эфиры</x:v>
      </x:c>
      <x:c r="L599" s="28" t="str">
        <x:v>лактоны, терпены, эфиры</x:v>
      </x:c>
      <x:c r="M599" s="28" t="str">
        <x:v>цветочный</x:v>
      </x:c>
      <x:c r="N599" s="28" t="str">
        <x:v>лактоны, эфиры</x:v>
      </x:c>
      <x:c r="O599" s="28" t="str">
        <x:v>ароматическое сходство + вкусовой баланс</x:v>
      </x:c>
      <x:c r="P599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599" s="28" t="str">
        <x:v>Специфического тройничного эффекта обычно нет; кислотность усиливает слюноотделение.</x:v>
      </x:c>
      <x:c r="R599" s="28" t="str">
        <x:v>Ягода: аромат хорошо поддерживается сливочными и древесными матрицами. Партнёр: водная фруктовая матрица. В воде аромат раскрывается быстрее, в жире и этаноле — дольше удерживается.</x:v>
      </x:c>
      <x:c r="S59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599" s="28" t="str">
        <x:v>Прямой вероятный молекулярный мост: лактоны, эфиры. Ягодный компонент несёт семейства абрикосовый, лактонный, медовый,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аромат хорошо поддерживается сливочными и древесными матрицами.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59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599" s="28" t="str">
        <x:v>ваниль или лимон</x:v>
      </x:c>
      <x:c r="W59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599" s="28" t="str">
        <x:v>напитки; десерты</x:v>
      </x:c>
      <x:c r="Y599" s="28" t="str">
        <x:v>Средняя</x:v>
      </x:c>
      <x:c r="Z599" s="28" t="str">
        <x:v>The Art &amp; Science of Foodpairing</x:v>
      </x:c>
      <x:c r="AA599" s="28" t="str">
        <x:v>The Art &amp; Science of Foodpairing: 312</x:v>
      </x:c>
      <x:c r="AB599" s="28" t="str">
        <x:v>Ingredient pairings with Mango: cloudberry</x:v>
      </x:c>
      <x:c r="AC599" s="28" t="n">
        <x:v>1</x:v>
      </x:c>
      <x:c r="AD599" s="28" t="n">
        <x:v>1</x:v>
      </x:c>
    </x:row>
    <x:row r="600" ht="58" customHeight="1">
      <x:c r="A600" s="28" t="str">
        <x:v>BER-0599</x:v>
      </x:c>
      <x:c r="B600" s="28" t="str">
        <x:v>Универсальные</x:v>
      </x:c>
      <x:c r="C600" s="28" t="str">
        <x:v>морошка</x:v>
      </x:c>
      <x:c r="D600" s="28" t="str">
        <x:v>Морошка</x:v>
      </x:c>
      <x:c r="E600" s="28" t="str">
        <x:v>Ягоды и производные</x:v>
      </x:c>
      <x:c r="F600" s="28" t="str">
        <x:v>мята</x:v>
      </x:c>
      <x:c r="G600" s="28" t="str">
        <x:v>мята</x:v>
      </x:c>
      <x:c r="H600" s="28" t="str">
        <x:v>Травы и цветы</x:v>
      </x:c>
      <x:c r="I600" s="28" t="str">
        <x:v>абрикосовый, лактонный, медовый, цветочный</x:v>
      </x:c>
      <x:c r="J600" s="28" t="str">
        <x:v>зелёный, травянистый, цветочный</x:v>
      </x:c>
      <x:c r="K600" s="28" t="str">
        <x:v>иононы, лактоны, эфиры</x:v>
      </x:c>
      <x:c r="L600" s="28" t="str">
        <x:v>гераниол, линалоол, терпены, эвгенол</x:v>
      </x:c>
      <x:c r="M600" s="28" t="str">
        <x:v>цветочный</x:v>
      </x:c>
      <x:c r="N600" s="28" t="str">
        <x:v>не подтверждены; механизм не сводится к одной общей молекуле</x:v>
      </x:c>
      <x:c r="O600" s="28" t="str">
        <x:v>сходство ароматических семейств + комплементарность</x:v>
      </x:c>
      <x:c r="P600" s="28" t="str">
        <x:v>Ягодная сладость смягчает горечь и пряность, а кислотность делает горьковатый, свежий профиль ярче.</x:v>
      </x:c>
      <x:c r="Q600" s="28" t="str">
        <x:v>Специфического тройничного эффекта обычно нет; кислотность усиливает слюноотделение.</x:v>
      </x:c>
      <x:c r="R600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60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00" s="28" t="str">
        <x:v>Общие ароматические семейства: цветочный; конкретная доля одорантов зависит от сорта и обработки. Ягодный компонент несёт семейства абрикосовый, лактонный, медовый,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0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00" s="28" t="str">
        <x:v>лимон или мёд</x:v>
      </x:c>
      <x:c r="W60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600" s="28" t="str">
        <x:v>напитки; еда; соусы/маринады</x:v>
      </x:c>
      <x:c r="Y600" s="28" t="str">
        <x:v>Средняя</x:v>
      </x:c>
      <x:c r="Z600" s="28" t="str">
        <x:v>Таблица сочетаний</x:v>
      </x:c>
      <x:c r="AA600" s="28" t="str">
        <x:v>Таблица сочетаний: 5</x:v>
      </x:c>
      <x:c r="AB600" s="28" t="str">
        <x:v>Морошка: мята</x:v>
      </x:c>
      <x:c r="AC600" s="28" t="n">
        <x:v>1</x:v>
      </x:c>
      <x:c r="AD600" s="28" t="n">
        <x:v>1</x:v>
      </x:c>
    </x:row>
    <x:row r="601" ht="58" customHeight="1">
      <x:c r="A601" s="28" t="str">
        <x:v>BER-0600</x:v>
      </x:c>
      <x:c r="B601" s="28" t="str">
        <x:v>Десерты и выпечка</x:v>
      </x:c>
      <x:c r="C601" s="28" t="str">
        <x:v>морошка</x:v>
      </x:c>
      <x:c r="D601" s="28" t="str">
        <x:v>Морошка</x:v>
      </x:c>
      <x:c r="E601" s="28" t="str">
        <x:v>Ягоды и производные</x:v>
      </x:c>
      <x:c r="F601" s="28" t="str">
        <x:v>сливки</x:v>
      </x:c>
      <x:c r="G601" s="28" t="str">
        <x:v>сливки</x:v>
      </x:c>
      <x:c r="H601" s="28" t="str">
        <x:v>Молочные продукты и сыры</x:v>
      </x:c>
      <x:c r="I601" s="28" t="str">
        <x:v>абрикосовый, лактонный, медовый, цветочный</x:v>
      </x:c>
      <x:c r="J601" s="28" t="str">
        <x:v>масляный, молочный, сливочный, сырный</x:v>
      </x:c>
      <x:c r="K601" s="28" t="str">
        <x:v>иононы, лактоны, эфиры</x:v>
      </x:c>
      <x:c r="L601" s="28" t="str">
        <x:v>диацетил, жирные кислоты, лактоны</x:v>
      </x:c>
      <x:c r="M601" s="28" t="str">
        <x:v>прямое совпадение семейств не установлено</x:v>
      </x:c>
      <x:c r="N601" s="28" t="str">
        <x:v>лактоны</x:v>
      </x:c>
      <x:c r="O601" s="28" t="str">
        <x:v>ароматическое сходство + вкусовой баланс</x:v>
      </x:c>
      <x:c r="P601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601" s="28" t="str">
        <x:v>Специфического тройничного эффекта обычно нет; кислотность усиливает слюноотделение.</x:v>
      </x:c>
      <x:c r="R601" s="28" t="str">
        <x:v>Жировая фаза удерживает гидрофобные одоранты и продлевает послевкусие; кислотность ягод повышает слюноотделение.</x:v>
      </x:c>
      <x:c r="S60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601" s="28" t="str">
        <x:v>Прямой вероятный молекулярный мост: лактоны. Ягодный компонент несёт семейства абрикосовый, лактонный, медовый,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601" s="28" t="str">
        <x:v>Высокая кислотность может свернуть молочный белок; смешивать при контролируемой температуре.</x:v>
      </x:c>
      <x:c r="V601" s="28" t="str">
        <x:v>мёд или миндаль</x:v>
      </x:c>
      <x:c r="W601" s="28" t="str">
        <x:v>сорбет, крем, ганаш, выпечка, джем или соус для десерта; соус, глазировка, салат, сырная подача или горячее блюдо</x:v>
      </x:c>
      <x:c r="X601" s="28" t="str">
        <x:v>десерты; еда</x:v>
      </x:c>
      <x:c r="Y601" s="28" t="str">
        <x:v>Средняя</x:v>
      </x:c>
      <x:c r="Z601" s="28" t="str">
        <x:v>Таблица сочетаний</x:v>
      </x:c>
      <x:c r="AA601" s="28" t="str">
        <x:v>Таблица сочетаний: 5</x:v>
      </x:c>
      <x:c r="AB601" s="28" t="str">
        <x:v>Морошка: сливки</x:v>
      </x:c>
      <x:c r="AC601" s="28" t="n">
        <x:v>1</x:v>
      </x:c>
      <x:c r="AD601" s="28" t="n">
        <x:v>1</x:v>
      </x:c>
    </x:row>
    <x:row r="602" ht="58" customHeight="1">
      <x:c r="A602" s="28" t="str">
        <x:v>BER-0601</x:v>
      </x:c>
      <x:c r="B602" s="28" t="str">
        <x:v>Еда и соусы</x:v>
      </x:c>
      <x:c r="C602" s="28" t="str">
        <x:v>морошка</x:v>
      </x:c>
      <x:c r="D602" s="28" t="str">
        <x:v>cloudberry</x:v>
      </x:c>
      <x:c r="E602" s="28" t="str">
        <x:v>Ягоды и производные</x:v>
      </x:c>
      <x:c r="F602" s="28" t="str">
        <x:v>устрица</x:v>
      </x:c>
      <x:c r="G602" s="28" t="str">
        <x:v>Oyster</x:v>
      </x:c>
      <x:c r="H602" s="28" t="str">
        <x:v>Рыба и морепродукты</x:v>
      </x:c>
      <x:c r="I602" s="28" t="str">
        <x:v>абрикосовый, лактонный, медовый, цветочный</x:v>
      </x:c>
      <x:c r="J602" s="28" t="str">
        <x:v>жирный, морской, умами</x:v>
      </x:c>
      <x:c r="K602" s="28" t="str">
        <x:v>иононы, лактоны, эфиры</x:v>
      </x:c>
      <x:c r="L602" s="28" t="str">
        <x:v>альдегиды, амины, сернистые соединения</x:v>
      </x:c>
      <x:c r="M602" s="28" t="str">
        <x:v>прямое совпадение семейств не установлено</x:v>
      </x:c>
      <x:c r="N602" s="28" t="str">
        <x:v>не подтверждены; механизм не сводится к одной общей молекуле</x:v>
      </x:c>
      <x:c r="O602" s="28" t="str">
        <x:v>контраст/комплементарность + матричный эффект</x:v>
      </x:c>
      <x:c r="P602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602" s="28" t="str">
        <x:v>Специфического тройничного эффекта обычно нет; кислотность усиливает слюноотделение.</x:v>
      </x:c>
      <x:c r="R602" s="28" t="str">
        <x:v>Белок и жир смягчают кислоту; ягодный соус должен сохранять достаточную концентрацию и соль.</x:v>
      </x:c>
      <x:c r="S60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60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абрикосовый, лактонный, медовый,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60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02" s="28" t="str">
        <x:v>цитрус или огурец</x:v>
      </x:c>
      <x:c r="W602" s="28" t="str">
        <x:v>соус, глазировка, салат, сырная подача или горячее блюдо; маринад, гастрик, чатни, кетчуп или редукция</x:v>
      </x:c>
      <x:c r="X602" s="28" t="str">
        <x:v>еда; соусы/маринады</x:v>
      </x:c>
      <x:c r="Y602" s="28" t="str">
        <x:v>Средняя</x:v>
      </x:c>
      <x:c r="Z602" s="28" t="str">
        <x:v>The Art &amp; Science of Foodpairing</x:v>
      </x:c>
      <x:c r="AA602" s="28" t="str">
        <x:v>The Art &amp; Science of Foodpairing: 370</x:v>
      </x:c>
      <x:c r="AB602" s="28" t="str">
        <x:v>Ingredient pairings with Oyster: cloudberry</x:v>
      </x:c>
      <x:c r="AC602" s="28" t="n">
        <x:v>1</x:v>
      </x:c>
      <x:c r="AD602" s="28" t="n">
        <x:v>1</x:v>
      </x:c>
    </x:row>
    <x:row r="603" ht="58" customHeight="1">
      <x:c r="A603" s="28" t="str">
        <x:v>BER-0602</x:v>
      </x:c>
      <x:c r="B603" s="28" t="str">
        <x:v>Десерты и выпечка</x:v>
      </x:c>
      <x:c r="C603" s="28" t="str">
        <x:v>морошка</x:v>
      </x:c>
      <x:c r="D603" s="28" t="str">
        <x:v>Морошка</x:v>
      </x:c>
      <x:c r="E603" s="28" t="str">
        <x:v>Ягоды и производные</x:v>
      </x:c>
      <x:c r="F603" s="28" t="str">
        <x:v>фисташка</x:v>
      </x:c>
      <x:c r="G603" s="28" t="str">
        <x:v>фисташка</x:v>
      </x:c>
      <x:c r="H603" s="28" t="str">
        <x:v>Орехи и семена</x:v>
      </x:c>
      <x:c r="I603" s="28" t="str">
        <x:v>абрикосовый, лактонный, медовый, цветочный</x:v>
      </x:c>
      <x:c r="J603" s="28" t="str">
        <x:v>жареный, миндальный, ореховый</x:v>
      </x:c>
      <x:c r="K603" s="28" t="str">
        <x:v>иононы, лактоны, эфиры</x:v>
      </x:c>
      <x:c r="L603" s="28" t="str">
        <x:v>бензальдегид, пиразины, фураны</x:v>
      </x:c>
      <x:c r="M603" s="28" t="str">
        <x:v>прямое совпадение семейств не установлено</x:v>
      </x:c>
      <x:c r="N603" s="28" t="str">
        <x:v>не подтверждены; механизм не сводится к одной общей молекуле</x:v>
      </x:c>
      <x:c r="O603" s="28" t="str">
        <x:v>контраст/комплементарность + матричный эффект</x:v>
      </x:c>
      <x:c r="P603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603" s="28" t="str">
        <x:v>Специфического тройничного эффекта обычно нет; кислотность усиливает слюноотделение.</x:v>
      </x:c>
      <x:c r="R603" s="28" t="str">
        <x:v>Жировая фаза удерживает гидрофобные одоранты и продлевает послевкусие; кислотность ягод повышает слюноотделение.</x:v>
      </x:c>
      <x:c r="S60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0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абрикосовый, лактонный, медовый,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0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03" s="28" t="str">
        <x:v>ваниль или сливки</x:v>
      </x:c>
      <x:c r="W603" s="28" t="str">
        <x:v>сорбет, крем, ганаш, выпечка, джем или соус для десерта</x:v>
      </x:c>
      <x:c r="X603" s="28" t="str">
        <x:v>десерты</x:v>
      </x:c>
      <x:c r="Y603" s="28" t="str">
        <x:v>Средняя</x:v>
      </x:c>
      <x:c r="Z603" s="28" t="str">
        <x:v>Таблица сочетаний</x:v>
      </x:c>
      <x:c r="AA603" s="28" t="str">
        <x:v>Таблица сочетаний: 5</x:v>
      </x:c>
      <x:c r="AB603" s="28" t="str">
        <x:v>Морошка: фисташка</x:v>
      </x:c>
      <x:c r="AC603" s="28" t="n">
        <x:v>1</x:v>
      </x:c>
      <x:c r="AD603" s="28" t="n">
        <x:v>1</x:v>
      </x:c>
    </x:row>
    <x:row r="604" ht="58" customHeight="1">
      <x:c r="A604" s="28" t="str">
        <x:v>BER-0603</x:v>
      </x:c>
      <x:c r="B604" s="28" t="str">
        <x:v>Напитки</x:v>
      </x:c>
      <x:c r="C604" s="28" t="str">
        <x:v>морошка</x:v>
      </x:c>
      <x:c r="D604" s="28" t="str">
        <x:v>Морошка</x:v>
      </x:c>
      <x:c r="E604" s="28" t="str">
        <x:v>Ягоды и производные</x:v>
      </x:c>
      <x:c r="F604" s="28" t="str">
        <x:v>цитрусовые</x:v>
      </x:c>
      <x:c r="G604" s="28" t="str">
        <x:v>цитрусовые</x:v>
      </x:c>
      <x:c r="H604" s="28" t="str">
        <x:v>Цитрусовые</x:v>
      </x:c>
      <x:c r="I604" s="28" t="str">
        <x:v>абрикосовый, лактонный, медовый, цветочный</x:v>
      </x:c>
      <x:c r="J604" s="28" t="str">
        <x:v>зелёный, цветочный, цитрусовый</x:v>
      </x:c>
      <x:c r="K604" s="28" t="str">
        <x:v>иононы, лактоны, эфиры</x:v>
      </x:c>
      <x:c r="L604" s="28" t="str">
        <x:v>лимонен, линалоол, цитраль</x:v>
      </x:c>
      <x:c r="M604" s="28" t="str">
        <x:v>цветочный</x:v>
      </x:c>
      <x:c r="N604" s="28" t="str">
        <x:v>не подтверждены; механизм не сводится к одной общей молекуле</x:v>
      </x:c>
      <x:c r="O604" s="28" t="str">
        <x:v>сходство ароматических семейств + комплементарность</x:v>
      </x:c>
      <x:c r="P604" s="28" t="str">
        <x:v>Оба компонента формируют сладко-кислый и кислый, свежий контур; сахар, кислота и горечь должны быть выровнены дегустацией.</x:v>
      </x:c>
      <x:c r="Q604" s="28" t="str">
        <x:v>Специфического тройничного эффекта обычно нет; кислотность усиливает слюноотделение.</x:v>
      </x:c>
      <x:c r="R604" s="28" t="str">
        <x:v>Ягода: аромат хорошо поддерживается сливочными и древесными матрицами. Партнёр: вода и эфирные масла; цедра гидрофобна. В воде аромат раскрывается быстрее, в жире и этаноле — дольше удерживается.</x:v>
      </x:c>
      <x:c r="S60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04" s="28" t="str">
        <x:v>Общие ароматические семейства: цветочный; конкретная доля одорантов зависит от сорта и обработки. Ягодный компонент несёт семейства абрикосовый, лактонный, медовый,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аромат хорошо поддерживается сливочными и древесными матрицами.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0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04" s="28" t="str">
        <x:v>мёд или базилик</x:v>
      </x:c>
      <x:c r="W604" s="28" t="str">
        <x:v>кордиал, лимонад, чай, коктейль, настой или ферментированный напиток; маринад, гастрик, чатни, кетчуп или редукция</x:v>
      </x:c>
      <x:c r="X604" s="28" t="str">
        <x:v>напитки; соусы/маринады</x:v>
      </x:c>
      <x:c r="Y604" s="28" t="str">
        <x:v>Средняя</x:v>
      </x:c>
      <x:c r="Z604" s="28" t="str">
        <x:v>Таблица сочетаний</x:v>
      </x:c>
      <x:c r="AA604" s="28" t="str">
        <x:v>Таблица сочетаний: 5</x:v>
      </x:c>
      <x:c r="AB604" s="28" t="str">
        <x:v>Морошка: цитрусовые</x:v>
      </x:c>
      <x:c r="AC604" s="28" t="n">
        <x:v>1</x:v>
      </x:c>
      <x:c r="AD604" s="28" t="n">
        <x:v>1</x:v>
      </x:c>
    </x:row>
    <x:row r="605" ht="58" customHeight="1">
      <x:c r="A605" s="28" t="str">
        <x:v>BER-0604</x:v>
      </x:c>
      <x:c r="B605" s="28" t="str">
        <x:v>Универсальные</x:v>
      </x:c>
      <x:c r="C605" s="28" t="str">
        <x:v>морошка</x:v>
      </x:c>
      <x:c r="D605" s="28" t="str">
        <x:v>Морошка</x:v>
      </x:c>
      <x:c r="E605" s="28" t="str">
        <x:v>Ягоды и производные</x:v>
      </x:c>
      <x:c r="F605" s="28" t="str">
        <x:v>шалфей</x:v>
      </x:c>
      <x:c r="G605" s="28" t="str">
        <x:v>шалфей</x:v>
      </x:c>
      <x:c r="H605" s="28" t="str">
        <x:v>Травы и цветы</x:v>
      </x:c>
      <x:c r="I605" s="28" t="str">
        <x:v>абрикосовый, лактонный, медовый, цветочный</x:v>
      </x:c>
      <x:c r="J605" s="28" t="str">
        <x:v>зелёный, травянистый, цветочный</x:v>
      </x:c>
      <x:c r="K605" s="28" t="str">
        <x:v>иононы, лактоны, эфиры</x:v>
      </x:c>
      <x:c r="L605" s="28" t="str">
        <x:v>гераниол, линалоол, терпены, эвгенол</x:v>
      </x:c>
      <x:c r="M605" s="28" t="str">
        <x:v>цветочный</x:v>
      </x:c>
      <x:c r="N605" s="28" t="str">
        <x:v>не подтверждены; механизм не сводится к одной общей молекуле</x:v>
      </x:c>
      <x:c r="O605" s="28" t="str">
        <x:v>сходство ароматических семейств + комплементарность</x:v>
      </x:c>
      <x:c r="P605" s="28" t="str">
        <x:v>Ягодная сладость смягчает горечь и пряность, а кислотность делает горьковатый, свежий профиль ярче.</x:v>
      </x:c>
      <x:c r="Q605" s="28" t="str">
        <x:v>Специфического тройничного эффекта обычно нет; кислотность усиливает слюноотделение.</x:v>
      </x:c>
      <x:c r="R605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60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05" s="28" t="str">
        <x:v>Общие ароматические семейства: цветочный; конкретная доля одорантов зависит от сорта и обработки. Ягодный компонент несёт семейства абрикосовый, лактонный, медовый,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0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05" s="28" t="str">
        <x:v>лимон или мёд</x:v>
      </x:c>
      <x:c r="W60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605" s="28" t="str">
        <x:v>напитки; еда; соусы/маринады</x:v>
      </x:c>
      <x:c r="Y605" s="28" t="str">
        <x:v>Средняя</x:v>
      </x:c>
      <x:c r="Z605" s="28" t="str">
        <x:v>Таблица сочетаний</x:v>
      </x:c>
      <x:c r="AA605" s="28" t="str">
        <x:v>Таблица сочетаний: 5</x:v>
      </x:c>
      <x:c r="AB605" s="28" t="str">
        <x:v>Морошка: шалфей</x:v>
      </x:c>
      <x:c r="AC605" s="28" t="n">
        <x:v>1</x:v>
      </x:c>
      <x:c r="AD605" s="28" t="n">
        <x:v>1</x:v>
      </x:c>
    </x:row>
    <x:row r="606" ht="58" customHeight="1">
      <x:c r="A606" s="28" t="str">
        <x:v>BER-0605</x:v>
      </x:c>
      <x:c r="B606" s="28" t="str">
        <x:v>Десерты и выпечка</x:v>
      </x:c>
      <x:c r="C606" s="28" t="str">
        <x:v>облепиха</x:v>
      </x:c>
      <x:c r="D606" s="28" t="str">
        <x:v>sea buckthorn berry</x:v>
      </x:c>
      <x:c r="E606" s="28" t="str">
        <x:v>Ягоды и производные</x:v>
      </x:c>
      <x:c r="F606" s="28" t="str">
        <x:v>козий сыр</x:v>
      </x:c>
      <x:c r="G606" s="28" t="str">
        <x:v>Goats' Cheese</x:v>
      </x:c>
      <x:c r="H606" s="28" t="str">
        <x:v>Молочные продукты и сыры</x:v>
      </x:c>
      <x:c r="I606" s="28" t="str">
        <x:v>жирный, тропический, фруктовый, цитрусовый</x:v>
      </x:c>
      <x:c r="J606" s="28" t="str">
        <x:v>масляный, молочный, сливочный, сырный</x:v>
      </x:c>
      <x:c r="K606" s="28" t="str">
        <x:v>альдегиды, терпены, эфиры</x:v>
      </x:c>
      <x:c r="L606" s="28" t="str">
        <x:v>диацетил, жирные кислоты, лактоны</x:v>
      </x:c>
      <x:c r="M606" s="28" t="str">
        <x:v>прямое совпадение семейств не установлено</x:v>
      </x:c>
      <x:c r="N606" s="28" t="str">
        <x:v>не подтверждены; механизм не сводится к одной общей молекуле</x:v>
      </x:c>
      <x:c r="O606" s="28" t="str">
        <x:v>контраст/комплементарность + матричный эффект</x:v>
      </x:c>
      <x:c r="P606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606" s="28" t="str">
        <x:v>Специфического тройничного эффекта обычно нет; кислотность усиливает слюноотделение.</x:v>
      </x:c>
      <x:c r="R606" s="28" t="str">
        <x:v>Жировая фаза удерживает гидрофобные одоранты и продлевает послевкусие; кислотность ягод повышает слюноотделение.</x:v>
      </x:c>
      <x:c r="S60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60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жирный, тропический, фруктовый, цитрусовый;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606" s="28" t="str">
        <x:v>Высокая кислотность может свернуть молочный белок; смешивать при контролируемой температуре.</x:v>
      </x:c>
      <x:c r="V606" s="28" t="str">
        <x:v>мёд или миндаль</x:v>
      </x:c>
      <x:c r="W606" s="28" t="str">
        <x:v>сорбет, крем, ганаш, выпечка, джем или соус для десерта; соус, глазировка, салат, сырная подача или горячее блюдо</x:v>
      </x:c>
      <x:c r="X606" s="28" t="str">
        <x:v>десерты; еда</x:v>
      </x:c>
      <x:c r="Y606" s="28" t="str">
        <x:v>Средняя</x:v>
      </x:c>
      <x:c r="Z606" s="28" t="str">
        <x:v>The Art &amp; Science of Foodpairing</x:v>
      </x:c>
      <x:c r="AA606" s="28" t="str">
        <x:v>The Art &amp; Science of Foodpairing: 200</x:v>
      </x:c>
      <x:c r="AB606" s="28" t="str">
        <x:v>Ingredient pairings with Goats' Cheese: sea buckthorn berry</x:v>
      </x:c>
      <x:c r="AC606" s="28" t="n">
        <x:v>1</x:v>
      </x:c>
      <x:c r="AD606" s="28" t="n">
        <x:v>1</x:v>
      </x:c>
    </x:row>
    <x:row r="607" ht="58" customHeight="1">
      <x:c r="A607" s="28" t="str">
        <x:v>BER-0606</x:v>
      </x:c>
      <x:c r="B607" s="28" t="str">
        <x:v>Универсальные</x:v>
      </x:c>
      <x:c r="C607" s="28" t="str">
        <x:v>облепиха</x:v>
      </x:c>
      <x:c r="D607" s="28" t="str">
        <x:v>sea buckthorn berry</x:v>
      </x:c>
      <x:c r="E607" s="28" t="str">
        <x:v>Ягоды и производные</x:v>
      </x:c>
      <x:c r="F607" s="28" t="str">
        <x:v>лемонграсс</x:v>
      </x:c>
      <x:c r="G607" s="28" t="str">
        <x:v>Lemongrass</x:v>
      </x:c>
      <x:c r="H607" s="28" t="str">
        <x:v>Прочее</x:v>
      </x:c>
      <x:c r="I607" s="28" t="str">
        <x:v>жирный, тропический, фруктовый, цитрусовый</x:v>
      </x:c>
      <x:c r="J607" s="28" t="str">
        <x:v>комплексный</x:v>
      </x:c>
      <x:c r="K607" s="28" t="str">
        <x:v>альдегиды, терпены, эфиры</x:v>
      </x:c>
      <x:c r="L607" s="28" t="str">
        <x:v>нет надёжной конкретизации</x:v>
      </x:c>
      <x:c r="M607" s="28" t="str">
        <x:v>прямое совпадение семейств не установлено</x:v>
      </x:c>
      <x:c r="N607" s="28" t="str">
        <x:v>не подтверждены; механизм не сводится к одной общей молекуле</x:v>
      </x:c>
      <x:c r="O607" s="28" t="str">
        <x:v>контраст/комплементарность + матричный эффект</x:v>
      </x:c>
      <x:c r="P607" s="28" t="str">
        <x:v>Оба компонента формируют очень кислый, маслянистый и зависит от ингредиента контур; сахар, кислота и горечь должны быть выровнены дегустацией.</x:v>
      </x:c>
      <x:c r="Q607" s="28" t="str">
        <x:v>Специфического тройничного эффекта обычно нет; кислотность усиливает слюноотделение.</x:v>
      </x:c>
      <x:c r="R607" s="28" t="str">
        <x:v>Ягода: собственное масло меняет высвобождение ароматов. Партнёр: механизм зависит от конкретного продукта. В воде аромат раскрывается быстрее, в жире и этаноле — дольше удерживается.</x:v>
      </x:c>
      <x:c r="S60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0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жирный, тропический, фруктовый, цитрусовый; партнёр — комплексный. Оба компонента формируют очень кислый, маслянистый и зависит от ингредиента контур; сахар, кислота и горечь должны быть выровнены дегустацией. Ягода: собственное масло меняет высвобождение ароматов.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0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07" s="28" t="str">
        <x:v>лимон или ваниль</x:v>
      </x:c>
      <x:c r="W607" s="28" t="str">
        <x:v>сенсорная проба в малой дозировке</x:v>
      </x:c>
      <x:c r="X607" s="28" t="str">
        <x:v>универсально</x:v>
      </x:c>
      <x:c r="Y607" s="28" t="str">
        <x:v>Средняя</x:v>
      </x:c>
      <x:c r="Z607" s="28" t="str">
        <x:v>The Art &amp; Science of Foodpairing</x:v>
      </x:c>
      <x:c r="AA607" s="28" t="str">
        <x:v>The Art &amp; Science of Foodpairing: 147</x:v>
      </x:c>
      <x:c r="AB607" s="28" t="str">
        <x:v>Ingredient pairings with Lemongrass: sea buckthorn berry</x:v>
      </x:c>
      <x:c r="AC607" s="28" t="n">
        <x:v>1</x:v>
      </x:c>
      <x:c r="AD607" s="28" t="n">
        <x:v>1</x:v>
      </x:c>
    </x:row>
    <x:row r="608" ht="58" customHeight="1">
      <x:c r="A608" s="28" t="str">
        <x:v>BER-0607</x:v>
      </x:c>
      <x:c r="B608" s="28" t="str">
        <x:v>Десерты и выпечка</x:v>
      </x:c>
      <x:c r="C608" s="28" t="str">
        <x:v>облепиха</x:v>
      </x:c>
      <x:c r="D608" s="28" t="str">
        <x:v>sea buckthorn</x:v>
      </x:c>
      <x:c r="E608" s="28" t="str">
        <x:v>Ягоды и производные</x:v>
      </x:c>
      <x:c r="F608" s="28" t="str">
        <x:v>миндаль</x:v>
      </x:c>
      <x:c r="G608" s="28" t="str">
        <x:v>Almond</x:v>
      </x:c>
      <x:c r="H608" s="28" t="str">
        <x:v>Орехи и семена</x:v>
      </x:c>
      <x:c r="I608" s="28" t="str">
        <x:v>жирный, тропический, фруктовый, цитрусовый</x:v>
      </x:c>
      <x:c r="J608" s="28" t="str">
        <x:v>жареный, миндальный, ореховый</x:v>
      </x:c>
      <x:c r="K608" s="28" t="str">
        <x:v>альдегиды, терпены, эфиры</x:v>
      </x:c>
      <x:c r="L608" s="28" t="str">
        <x:v>бензальдегид, пиразины, фураны</x:v>
      </x:c>
      <x:c r="M608" s="28" t="str">
        <x:v>прямое совпадение семейств не установлено</x:v>
      </x:c>
      <x:c r="N608" s="28" t="str">
        <x:v>не подтверждены; механизм не сводится к одной общей молекуле</x:v>
      </x:c>
      <x:c r="O608" s="28" t="str">
        <x:v>контраст/комплементарность + матричный эффект</x:v>
      </x:c>
      <x:c r="P608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608" s="28" t="str">
        <x:v>Специфического тройничного эффекта обычно нет; кислотность усиливает слюноотделение.</x:v>
      </x:c>
      <x:c r="R608" s="28" t="str">
        <x:v>Жировая фаза удерживает гидрофобные одоранты и продлевает послевкусие; кислотность ягод повышает слюноотделение.</x:v>
      </x:c>
      <x:c r="S60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0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жирный, тропический, фруктовый, цитрусовый;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0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08" s="28" t="str">
        <x:v>ваниль или сливки</x:v>
      </x:c>
      <x:c r="W608" s="28" t="str">
        <x:v>сорбет, крем, ганаш, выпечка, джем или соус для десерта</x:v>
      </x:c>
      <x:c r="X608" s="28" t="str">
        <x:v>десерты</x:v>
      </x:c>
      <x:c r="Y608" s="28" t="str">
        <x:v>Средняя</x:v>
      </x:c>
      <x:c r="Z608" s="28" t="str">
        <x:v>The Art &amp; Science of Foodpairing</x:v>
      </x:c>
      <x:c r="AA608" s="28" t="str">
        <x:v>The Art &amp; Science of Foodpairing: 347</x:v>
      </x:c>
      <x:c r="AB608" s="28" t="str">
        <x:v>Ingredient pairings with Almond: sea buckthorn</x:v>
      </x:c>
      <x:c r="AC608" s="28" t="n">
        <x:v>1</x:v>
      </x:c>
      <x:c r="AD608" s="28" t="n">
        <x:v>1</x:v>
      </x:c>
    </x:row>
    <x:row r="609" ht="58" customHeight="1">
      <x:c r="A609" s="28" t="str">
        <x:v>BER-0608</x:v>
      </x:c>
      <x:c r="B609" s="28" t="str">
        <x:v>Универсальные</x:v>
      </x:c>
      <x:c r="C609" s="28" t="str">
        <x:v>облепиха</x:v>
      </x:c>
      <x:c r="D609" s="28" t="str">
        <x:v>sea buckthorn berry</x:v>
      </x:c>
      <x:c r="E609" s="28" t="str">
        <x:v>Ягоды и производные</x:v>
      </x:c>
      <x:c r="F609" s="28" t="str">
        <x:v>яблоко</x:v>
      </x:c>
      <x:c r="G609" s="28" t="str">
        <x:v>Apple</x:v>
      </x:c>
      <x:c r="H609" s="28" t="str">
        <x:v>Фрукты</x:v>
      </x:c>
      <x:c r="I609" s="28" t="str">
        <x:v>жирный, тропический, фруктовый, цитрусовый</x:v>
      </x:c>
      <x:c r="J609" s="28" t="str">
        <x:v>зелёный, фруктовый, цветочный</x:v>
      </x:c>
      <x:c r="K609" s="28" t="str">
        <x:v>альдегиды, терпены, эфиры</x:v>
      </x:c>
      <x:c r="L609" s="28" t="str">
        <x:v>лактоны, терпены, эфиры</x:v>
      </x:c>
      <x:c r="M609" s="28" t="str">
        <x:v>фруктовый</x:v>
      </x:c>
      <x:c r="N609" s="28" t="str">
        <x:v>терпены, эфиры</x:v>
      </x:c>
      <x:c r="O609" s="28" t="str">
        <x:v>ароматическое сходство + вкусовой баланс</x:v>
      </x:c>
      <x:c r="P609" s="28" t="str">
        <x:v>Оба компонента формируют очень кислый, маслянистый и сладко-кислый контур; сахар, кислота и горечь должны быть выровнены дегустацией.</x:v>
      </x:c>
      <x:c r="Q609" s="28" t="str">
        <x:v>Специфического тройничного эффекта обычно нет; кислотность усиливает слюноотделение.</x:v>
      </x:c>
      <x:c r="R609" s="28" t="str">
        <x:v>Ягода: собственное масло меняет высвобождение ароматов. Партнёр: водная фруктовая матрица. В воде аромат раскрывается быстрее, в жире и этаноле — дольше удерживается.</x:v>
      </x:c>
      <x:c r="S60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09" s="28" t="str">
        <x:v>Прямой вероятный молекулярный мост: терпены, эфиры. Ягодный компонент несёт семейства жирный, тропический, фруктовый, цитрусовый; партнёр — зелёный, фруктовый, цветочный. Оба компонента формируют очень кислый, маслянистый и сладко-кислый контур; сахар, кислота и горечь должны быть выровнены дегустацией. Ягода: собственное масло меняет высвобождение ароматов.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0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09" s="28" t="str">
        <x:v>ваниль или лимон</x:v>
      </x:c>
      <x:c r="W60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609" s="28" t="str">
        <x:v>напитки; десерты</x:v>
      </x:c>
      <x:c r="Y609" s="28" t="str">
        <x:v>Средняя</x:v>
      </x:c>
      <x:c r="Z609" s="28" t="str">
        <x:v>The Art &amp; Science of Foodpairing</x:v>
      </x:c>
      <x:c r="AA609" s="28" t="str">
        <x:v>The Art &amp; Science of Foodpairing: 47</x:v>
      </x:c>
      <x:c r="AB609" s="28" t="str">
        <x:v>Ingredient pairings with Apple: sea buckthorn berry</x:v>
      </x:c>
      <x:c r="AC609" s="28" t="n">
        <x:v>1</x:v>
      </x:c>
      <x:c r="AD609" s="28" t="n">
        <x:v>1</x:v>
      </x:c>
    </x:row>
    <x:row r="610" ht="58" customHeight="1">
      <x:c r="A610" s="28" t="str">
        <x:v>BER-0609</x:v>
      </x:c>
      <x:c r="B610" s="28" t="str">
        <x:v>Универсальные</x:v>
      </x:c>
      <x:c r="C610" s="28" t="str">
        <x:v>смородина</x:v>
      </x:c>
      <x:c r="D610" s="28" t="str">
        <x:v>смородина</x:v>
      </x:c>
      <x:c r="E610" s="28" t="str">
        <x:v>Ягоды и производные</x:v>
      </x:c>
      <x:c r="F610" s="28" t="str">
        <x:v>груша</x:v>
      </x:c>
      <x:c r="G610" s="28" t="str">
        <x:v>Груша</x:v>
      </x:c>
      <x:c r="H610" s="28" t="str">
        <x:v>Фрукты</x:v>
      </x:c>
      <x:c r="I610" s="28" t="str">
        <x:v>зелёный, тёмно-фруктовый, цветочный</x:v>
      </x:c>
      <x:c r="J610" s="28" t="str">
        <x:v>зелёный, фруктовый, цветочный</x:v>
      </x:c>
      <x:c r="K610" s="28" t="str">
        <x:v>C6-альдегиды, терпены, эфиры</x:v>
      </x:c>
      <x:c r="L610" s="28" t="str">
        <x:v>лактоны, терпены, эфиры</x:v>
      </x:c>
      <x:c r="M610" s="28" t="str">
        <x:v>зелёный, цветочный</x:v>
      </x:c>
      <x:c r="N610" s="28" t="str">
        <x:v>терпены, эфиры</x:v>
      </x:c>
      <x:c r="O610" s="28" t="str">
        <x:v>ароматическое сходство + вкусовой баланс</x:v>
      </x:c>
      <x:c r="P610" s="28" t="str">
        <x:v>Оба компонента формируют кисло-сладкий, терпкий и сладко-кислый контур; сахар, кислота и горечь должны быть выровнены дегустацией.</x:v>
      </x:c>
      <x:c r="Q610" s="28" t="str">
        <x:v>Специфического тройничного эффекта обычно нет; кислотность усиливает слюноотделение.</x:v>
      </x:c>
      <x:c r="R610" s="28" t="str">
        <x:v>Ягода: профиль зависит от вида смородины. Партнёр: водная фруктовая матрица. В воде аромат раскрывается быстрее, в жире и этаноле — дольше удерживается.</x:v>
      </x:c>
      <x:c r="S6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10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профиль зависит от вида смородины.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1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10" s="28" t="str">
        <x:v>ваниль или лимон</x:v>
      </x:c>
      <x:c r="W61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610" s="28" t="str">
        <x:v>напитки; десерты</x:v>
      </x:c>
      <x:c r="Y610" s="28" t="str">
        <x:v>Средняя</x:v>
      </x:c>
      <x:c r="Z610" s="28" t="str">
        <x:v>Таблица сочетаний</x:v>
      </x:c>
      <x:c r="AA610" s="28" t="str">
        <x:v>Таблица сочетаний: 16</x:v>
      </x:c>
      <x:c r="AB610" s="28" t="str">
        <x:v>Груша: смородина</x:v>
      </x:c>
      <x:c r="AC610" s="28" t="n">
        <x:v>1</x:v>
      </x:c>
      <x:c r="AD610" s="28" t="n">
        <x:v>1</x:v>
      </x:c>
    </x:row>
    <x:row r="611" ht="58" customHeight="1">
      <x:c r="A611" s="28" t="str">
        <x:v>BER-0610</x:v>
      </x:c>
      <x:c r="B611" s="28" t="str">
        <x:v>Напитки</x:v>
      </x:c>
      <x:c r="C611" s="28" t="str">
        <x:v>смородина</x:v>
      </x:c>
      <x:c r="D611" s="28" t="str">
        <x:v>смородина</x:v>
      </x:c>
      <x:c r="E611" s="28" t="str">
        <x:v>Ягоды и производные</x:v>
      </x:c>
      <x:c r="F611" s="28" t="str">
        <x:v>лимон</x:v>
      </x:c>
      <x:c r="G611" s="28" t="str">
        <x:v>Лимон</x:v>
      </x:c>
      <x:c r="H611" s="28" t="str">
        <x:v>Цитрусовые</x:v>
      </x:c>
      <x:c r="I611" s="28" t="str">
        <x:v>зелёный, тёмно-фруктовый, цветочный</x:v>
      </x:c>
      <x:c r="J611" s="28" t="str">
        <x:v>зелёный, цветочный, цитрусовый</x:v>
      </x:c>
      <x:c r="K611" s="28" t="str">
        <x:v>C6-альдегиды, терпены, эфиры</x:v>
      </x:c>
      <x:c r="L611" s="28" t="str">
        <x:v>лимонен, линалоол, цитраль</x:v>
      </x:c>
      <x:c r="M611" s="28" t="str">
        <x:v>зелёный, цветочный</x:v>
      </x:c>
      <x:c r="N611" s="28" t="str">
        <x:v>не подтверждены; механизм не сводится к одной общей молекуле</x:v>
      </x:c>
      <x:c r="O611" s="28" t="str">
        <x:v>сходство ароматических семейств + комплементарность</x:v>
      </x:c>
      <x:c r="P611" s="28" t="str">
        <x:v>Оба компонента формируют кисло-сладкий, терпкий и кислый, свежий контур; сахар, кислота и горечь должны быть выровнены дегустацией.</x:v>
      </x:c>
      <x:c r="Q611" s="28" t="str">
        <x:v>Специфического тройничного эффекта обычно нет; кислотность усиливает слюноотделение.</x:v>
      </x:c>
      <x:c r="R611" s="28" t="str">
        <x:v>Ягода: профиль зависит от вида смородины. Партнёр: вода и эфирные масла; цедра гидрофобна. В воде аромат раскрывается быстрее, в жире и этаноле — дольше удерживается.</x:v>
      </x:c>
      <x:c r="S6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11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профиль зависит от вида смородины.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1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11" s="28" t="str">
        <x:v>мёд или базилик</x:v>
      </x:c>
      <x:c r="W611" s="28" t="str">
        <x:v>кордиал, лимонад, чай, коктейль, настой или ферментированный напиток; маринад, гастрик, чатни, кетчуп или редукция</x:v>
      </x:c>
      <x:c r="X611" s="28" t="str">
        <x:v>напитки; соусы/маринады</x:v>
      </x:c>
      <x:c r="Y611" s="28" t="str">
        <x:v>Средняя</x:v>
      </x:c>
      <x:c r="Z611" s="28" t="str">
        <x:v>Таблица сочетаний</x:v>
      </x:c>
      <x:c r="AA611" s="28" t="str">
        <x:v>Таблица сочетаний: 11</x:v>
      </x:c>
      <x:c r="AB611" s="28" t="str">
        <x:v>Лимон: смородина</x:v>
      </x:c>
      <x:c r="AC611" s="28" t="n">
        <x:v>1</x:v>
      </x:c>
      <x:c r="AD611" s="28" t="n">
        <x:v>1</x:v>
      </x:c>
    </x:row>
    <x:row r="612" ht="58" customHeight="1">
      <x:c r="A612" s="28" t="str">
        <x:v>BER-0611</x:v>
      </x:c>
      <x:c r="B612" s="28" t="str">
        <x:v>Универсальные</x:v>
      </x:c>
      <x:c r="C612" s="28" t="str">
        <x:v>смородина</x:v>
      </x:c>
      <x:c r="D612" s="28" t="str">
        <x:v>смородина</x:v>
      </x:c>
      <x:c r="E612" s="28" t="str">
        <x:v>Ягоды и производные</x:v>
      </x:c>
      <x:c r="F612" s="28" t="str">
        <x:v>персик</x:v>
      </x:c>
      <x:c r="G612" s="28" t="str">
        <x:v>Персик</x:v>
      </x:c>
      <x:c r="H612" s="28" t="str">
        <x:v>Фрукты</x:v>
      </x:c>
      <x:c r="I612" s="28" t="str">
        <x:v>зелёный, тёмно-фруктовый, цветочный</x:v>
      </x:c>
      <x:c r="J612" s="28" t="str">
        <x:v>зелёный, фруктовый, цветочный</x:v>
      </x:c>
      <x:c r="K612" s="28" t="str">
        <x:v>C6-альдегиды, терпены, эфиры</x:v>
      </x:c>
      <x:c r="L612" s="28" t="str">
        <x:v>лактоны, терпены, эфиры</x:v>
      </x:c>
      <x:c r="M612" s="28" t="str">
        <x:v>зелёный, цветочный</x:v>
      </x:c>
      <x:c r="N612" s="28" t="str">
        <x:v>терпены, эфиры</x:v>
      </x:c>
      <x:c r="O612" s="28" t="str">
        <x:v>ароматическое сходство + вкусовой баланс</x:v>
      </x:c>
      <x:c r="P612" s="28" t="str">
        <x:v>Оба компонента формируют кисло-сладкий, терпкий и сладко-кислый контур; сахар, кислота и горечь должны быть выровнены дегустацией.</x:v>
      </x:c>
      <x:c r="Q612" s="28" t="str">
        <x:v>Специфического тройничного эффекта обычно нет; кислотность усиливает слюноотделение.</x:v>
      </x:c>
      <x:c r="R612" s="28" t="str">
        <x:v>Ягода: профиль зависит от вида смородины. Партнёр: водная фруктовая матрица. В воде аромат раскрывается быстрее, в жире и этаноле — дольше удерживается.</x:v>
      </x:c>
      <x:c r="S61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12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профиль зависит от вида смородины.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1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12" s="28" t="str">
        <x:v>ваниль или лимон</x:v>
      </x:c>
      <x:c r="W61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612" s="28" t="str">
        <x:v>напитки; десерты</x:v>
      </x:c>
      <x:c r="Y612" s="28" t="str">
        <x:v>Средняя</x:v>
      </x:c>
      <x:c r="Z612" s="28" t="str">
        <x:v>Таблица сочетаний</x:v>
      </x:c>
      <x:c r="AA612" s="28" t="str">
        <x:v>Таблица сочетаний: 15</x:v>
      </x:c>
      <x:c r="AB612" s="28" t="str">
        <x:v>Персик: смородина</x:v>
      </x:c>
      <x:c r="AC612" s="28" t="n">
        <x:v>1</x:v>
      </x:c>
      <x:c r="AD612" s="28" t="n">
        <x:v>1</x:v>
      </x:c>
    </x:row>
    <x:row r="613" ht="58" customHeight="1">
      <x:c r="A613" s="28" t="str">
        <x:v>BER-0612</x:v>
      </x:c>
      <x:c r="B613" s="28" t="str">
        <x:v>Универсальные</x:v>
      </x:c>
      <x:c r="C613" s="28" t="str">
        <x:v>смородина</x:v>
      </x:c>
      <x:c r="D613" s="28" t="str">
        <x:v>смородина</x:v>
      </x:c>
      <x:c r="E613" s="28" t="str">
        <x:v>Ягоды и производные</x:v>
      </x:c>
      <x:c r="F613" s="28" t="str">
        <x:v>чернослив</x:v>
      </x:c>
      <x:c r="G613" s="28" t="str">
        <x:v>Чернослив</x:v>
      </x:c>
      <x:c r="H613" s="28" t="str">
        <x:v>Прочее</x:v>
      </x:c>
      <x:c r="I613" s="28" t="str">
        <x:v>зелёный, тёмно-фруктовый, цветочный</x:v>
      </x:c>
      <x:c r="J613" s="28" t="str">
        <x:v>комплексный</x:v>
      </x:c>
      <x:c r="K613" s="28" t="str">
        <x:v>C6-альдегиды, терпены, эфиры</x:v>
      </x:c>
      <x:c r="L613" s="28" t="str">
        <x:v>нет надёжной конкретизации</x:v>
      </x:c>
      <x:c r="M613" s="28" t="str">
        <x:v>прямое совпадение семейств не установлено</x:v>
      </x:c>
      <x:c r="N613" s="28" t="str">
        <x:v>не подтверждены; механизм не сводится к одной общей молекуле</x:v>
      </x:c>
      <x:c r="O613" s="28" t="str">
        <x:v>контраст/комплементарность + матричный эффект</x:v>
      </x:c>
      <x:c r="P613" s="28" t="str">
        <x:v>Оба компонента формируют кисло-сладкий, терпкий и зависит от ингредиента контур; сахар, кислота и горечь должны быть выровнены дегустацией.</x:v>
      </x:c>
      <x:c r="Q613" s="28" t="str">
        <x:v>Специфического тройничного эффекта обычно нет; кислотность усиливает слюноотделение.</x:v>
      </x:c>
      <x:c r="R613" s="28" t="str">
        <x:v>Ягода: профиль зависит от вида смородины. Партнёр: механизм зависит от конкретного продукта. В воде аромат раскрывается быстрее, в жире и этаноле — дольше удерживается.</x:v>
      </x:c>
      <x:c r="S61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1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тёмно-фруктовый, цветочный; партнёр — комплексный. Оба компонента формируют кисло-сладкий, терпкий и зависит от ингредиента контур; сахар, кислота и горечь должны быть выровнены дегустацией. Ягода: профиль зависит от вида смородины.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1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13" s="28" t="str">
        <x:v>лимон или ваниль</x:v>
      </x:c>
      <x:c r="W613" s="28" t="str">
        <x:v>сенсорная проба в малой дозировке</x:v>
      </x:c>
      <x:c r="X613" s="28" t="str">
        <x:v>универсально</x:v>
      </x:c>
      <x:c r="Y613" s="28" t="str">
        <x:v>Средняя</x:v>
      </x:c>
      <x:c r="Z613" s="28" t="str">
        <x:v>Таблица сочетаний</x:v>
      </x:c>
      <x:c r="AA613" s="28" t="str">
        <x:v>Таблица сочетаний: 18</x:v>
      </x:c>
      <x:c r="AB613" s="28" t="str">
        <x:v>Чернослив: смородина</x:v>
      </x:c>
      <x:c r="AC613" s="28" t="n">
        <x:v>1</x:v>
      </x:c>
      <x:c r="AD613" s="28" t="n">
        <x:v>1</x:v>
      </x:c>
    </x:row>
    <x:row r="614" ht="58" customHeight="1">
      <x:c r="A614" s="28" t="str">
        <x:v>BER-0613</x:v>
      </x:c>
      <x:c r="B614" s="28" t="str">
        <x:v>Универсальные</x:v>
      </x:c>
      <x:c r="C614" s="28" t="str">
        <x:v>смородина</x:v>
      </x:c>
      <x:c r="D614" s="28" t="str">
        <x:v>смородина</x:v>
      </x:c>
      <x:c r="E614" s="28" t="str">
        <x:v>Ягоды и производные</x:v>
      </x:c>
      <x:c r="F614" s="28" t="str">
        <x:v>шелковица</x:v>
      </x:c>
      <x:c r="G614" s="28" t="str">
        <x:v>Шелковица</x:v>
      </x:c>
      <x:c r="H614" s="28" t="str">
        <x:v>Ягоды и производные</x:v>
      </x:c>
      <x:c r="I614" s="28" t="str">
        <x:v>зелёный, тёмно-фруктовый, цветочный</x:v>
      </x:c>
      <x:c r="J614" s="28" t="str">
        <x:v>джемовый, фруктовый, цветочный</x:v>
      </x:c>
      <x:c r="K614" s="28" t="str">
        <x:v>C6-альдегиды, терпены, эфиры</x:v>
      </x:c>
      <x:c r="L614" s="28" t="str">
        <x:v>иононы, терпены, эфиры</x:v>
      </x:c>
      <x:c r="M614" s="28" t="str">
        <x:v>цветочный</x:v>
      </x:c>
      <x:c r="N614" s="28" t="str">
        <x:v>терпены, эфиры</x:v>
      </x:c>
      <x:c r="O614" s="28" t="str">
        <x:v>ароматическое сходство + вкусовой баланс</x:v>
      </x:c>
      <x:c r="P614" s="28" t="str">
        <x:v>Оба компонента формируют кисло-сладкий, терпкий и сладко-кислый контур; сахар, кислота и горечь должны быть выровнены дегустацией.</x:v>
      </x:c>
      <x:c r="Q614" s="28" t="str">
        <x:v>Специфического тройничного эффекта обычно нет; кислотность усиливает слюноотделение.</x:v>
      </x:c>
      <x:c r="R614" s="28" t="str">
        <x:v>Ягода: профиль зависит от вида смородины. Партнёр: мягкий аромат нуждается в кислотной опоре. В воде аромат раскрывается быстрее, в жире и этаноле — дольше удерживается.</x:v>
      </x:c>
      <x:c r="S61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14" s="28" t="str">
        <x:v>Прямой вероятный молекулярный мост: терпены, эфиры. Ягодный компонент несёт семейства зелёный, тёмно-фруктовый, цветочный; партнёр — джемовый,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профиль зависит от вида смородины. Партнёр: мягкий аромат нуждается в кислотной опоре.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1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14" s="28" t="str">
        <x:v>лимон или ваниль</x:v>
      </x:c>
      <x:c r="W614" s="28" t="str">
        <x:v>сенсорная проба в малой дозировке</x:v>
      </x:c>
      <x:c r="X614" s="28" t="str">
        <x:v>универсально</x:v>
      </x:c>
      <x:c r="Y614" s="28" t="str">
        <x:v>Средняя</x:v>
      </x:c>
      <x:c r="Z614" s="28" t="str">
        <x:v>Таблица сочетаний</x:v>
      </x:c>
      <x:c r="AA614" s="28" t="str">
        <x:v>Таблица сочетаний: 13</x:v>
      </x:c>
      <x:c r="AB614" s="28" t="str">
        <x:v>Шелковица: смородина</x:v>
      </x:c>
      <x:c r="AC614" s="28" t="n">
        <x:v>1</x:v>
      </x:c>
      <x:c r="AD614" s="28" t="n">
        <x:v>1</x:v>
      </x:c>
    </x:row>
    <x:row r="615" ht="58" customHeight="1">
      <x:c r="A615" s="28" t="str">
        <x:v>BER-0614</x:v>
      </x:c>
      <x:c r="B615" s="28" t="str">
        <x:v>Универсальные</x:v>
      </x:c>
      <x:c r="C615" s="28" t="str">
        <x:v>смородина</x:v>
      </x:c>
      <x:c r="D615" s="28" t="str">
        <x:v>смородина</x:v>
      </x:c>
      <x:c r="E615" s="28" t="str">
        <x:v>Ягоды и производные</x:v>
      </x:c>
      <x:c r="F615" s="28" t="str">
        <x:v>яблоко</x:v>
      </x:c>
      <x:c r="G615" s="28" t="str">
        <x:v>Яблоко</x:v>
      </x:c>
      <x:c r="H615" s="28" t="str">
        <x:v>Фрукты</x:v>
      </x:c>
      <x:c r="I615" s="28" t="str">
        <x:v>зелёный, тёмно-фруктовый, цветочный</x:v>
      </x:c>
      <x:c r="J615" s="28" t="str">
        <x:v>зелёный, фруктовый, цветочный</x:v>
      </x:c>
      <x:c r="K615" s="28" t="str">
        <x:v>C6-альдегиды, терпены, эфиры</x:v>
      </x:c>
      <x:c r="L615" s="28" t="str">
        <x:v>лактоны, терпены, эфиры</x:v>
      </x:c>
      <x:c r="M615" s="28" t="str">
        <x:v>зелёный, цветочный</x:v>
      </x:c>
      <x:c r="N615" s="28" t="str">
        <x:v>терпены, эфиры</x:v>
      </x:c>
      <x:c r="O615" s="28" t="str">
        <x:v>ароматическое сходство + вкусовой баланс</x:v>
      </x:c>
      <x:c r="P615" s="28" t="str">
        <x:v>Оба компонента формируют кисло-сладкий, терпкий и сладко-кислый контур; сахар, кислота и горечь должны быть выровнены дегустацией.</x:v>
      </x:c>
      <x:c r="Q615" s="28" t="str">
        <x:v>Специфического тройничного эффекта обычно нет; кислотность усиливает слюноотделение.</x:v>
      </x:c>
      <x:c r="R615" s="28" t="str">
        <x:v>Ягода: профиль зависит от вида смородины. Партнёр: водная фруктовая матрица. В воде аромат раскрывается быстрее, в жире и этаноле — дольше удерживается.</x:v>
      </x:c>
      <x:c r="S61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15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профиль зависит от вида смородины.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1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15" s="28" t="str">
        <x:v>ваниль или лимон</x:v>
      </x:c>
      <x:c r="W61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615" s="28" t="str">
        <x:v>напитки; десерты</x:v>
      </x:c>
      <x:c r="Y615" s="28" t="str">
        <x:v>Средняя</x:v>
      </x:c>
      <x:c r="Z615" s="28" t="str">
        <x:v>Таблица сочетаний</x:v>
      </x:c>
      <x:c r="AA615" s="28" t="str">
        <x:v>Таблица сочетаний: 1</x:v>
      </x:c>
      <x:c r="AB615" s="28" t="str">
        <x:v>Яблоко: смородина | Яблоко: смородина</x:v>
      </x:c>
      <x:c r="AC615" s="28" t="n">
        <x:v>1</x:v>
      </x:c>
      <x:c r="AD615" s="28" t="n">
        <x:v>2</x:v>
      </x:c>
    </x:row>
    <x:row r="616" ht="58" customHeight="1">
      <x:c r="A616" s="28" t="str">
        <x:v>BER-0615</x:v>
      </x:c>
      <x:c r="B616" s="28" t="str">
        <x:v>Десерты и выпечка</x:v>
      </x:c>
      <x:c r="C616" s="28" t="str">
        <x:v>сок чёрной смородины</x:v>
      </x:c>
      <x:c r="D616" s="28" t="str">
        <x:v>blackcurrant juice</x:v>
      </x:c>
      <x:c r="E616" s="28" t="str">
        <x:v>Ягоды и производные</x:v>
      </x:c>
      <x:c r="F616" s="28" t="str">
        <x:v>козий сыр</x:v>
      </x:c>
      <x:c r="G616" s="28" t="str">
        <x:v>Goats' Cheese</x:v>
      </x:c>
      <x:c r="H616" s="28" t="str">
        <x:v>Молочные продукты и сыры</x:v>
      </x:c>
      <x:c r="I616" s="28" t="str">
        <x:v>комплексный</x:v>
      </x:c>
      <x:c r="J616" s="28" t="str">
        <x:v>масляный, молочный, сливочный, сырный</x:v>
      </x:c>
      <x:c r="K616" s="28" t="str">
        <x:v>нет надёжной конкретизации</x:v>
      </x:c>
      <x:c r="L616" s="28" t="str">
        <x:v>диацетил, жирные кислоты, лактоны</x:v>
      </x:c>
      <x:c r="M616" s="28" t="str">
        <x:v>прямое совпадение семейств не установлено</x:v>
      </x:c>
      <x:c r="N616" s="28" t="str">
        <x:v>не подтверждены; механизм не сводится к одной общей молекуле</x:v>
      </x:c>
      <x:c r="O616" s="28" t="str">
        <x:v>контраст/комплементарность + матричный эффект</x:v>
      </x:c>
      <x:c r="P616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616" s="28" t="str">
        <x:v>Специфического тройничного эффекта обычно нет; кислотность усиливает слюноотделение.</x:v>
      </x:c>
      <x:c r="R616" s="28" t="str">
        <x:v>Жировая фаза удерживает гидрофобные одоранты и продлевает послевкусие; кислотность ягод повышает слюноотделение.</x:v>
      </x:c>
      <x:c r="S61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61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616" s="28" t="str">
        <x:v>Высокая кислотность может свернуть молочный белок; смешивать при контролируемой температуре.</x:v>
      </x:c>
      <x:c r="V616" s="28" t="str">
        <x:v>мёд или миндаль</x:v>
      </x:c>
      <x:c r="W616" s="28" t="str">
        <x:v>сорбет, крем, ганаш, выпечка, джем или соус для десерта; соус, глазировка, салат, сырная подача или горячее блюдо</x:v>
      </x:c>
      <x:c r="X616" s="28" t="str">
        <x:v>десерты; еда</x:v>
      </x:c>
      <x:c r="Y616" s="28" t="str">
        <x:v>Средняя</x:v>
      </x:c>
      <x:c r="Z616" s="28" t="str">
        <x:v>The Art &amp; Science of Foodpairing</x:v>
      </x:c>
      <x:c r="AA616" s="28" t="str">
        <x:v>The Art &amp; Science of Foodpairing: 200</x:v>
      </x:c>
      <x:c r="AB616" s="28" t="str">
        <x:v>Ingredient pairings with Goats' Cheese: blackcurrant juice</x:v>
      </x:c>
      <x:c r="AC616" s="28" t="n">
        <x:v>1</x:v>
      </x:c>
      <x:c r="AD616" s="28" t="n">
        <x:v>1</x:v>
      </x:c>
    </x:row>
    <x:row r="617" ht="58" customHeight="1">
      <x:c r="A617" s="28" t="str">
        <x:v>BER-0616</x:v>
      </x:c>
      <x:c r="B617" s="28" t="str">
        <x:v>Еда и соусы</x:v>
      </x:c>
      <x:c r="C617" s="28" t="str">
        <x:v>сушёные ягоды годжи</x:v>
      </x:c>
      <x:c r="D617" s="28" t="str">
        <x:v>dried goji berry</x:v>
      </x:c>
      <x:c r="E617" s="28" t="str">
        <x:v>Ягоды и производные</x:v>
      </x:c>
      <x:c r="F617" s="28" t="str">
        <x:v>устрица</x:v>
      </x:c>
      <x:c r="G617" s="28" t="str">
        <x:v>Oyster</x:v>
      </x:c>
      <x:c r="H617" s="28" t="str">
        <x:v>Рыба и морепродукты</x:v>
      </x:c>
      <x:c r="I617" s="28" t="str">
        <x:v>комплексный</x:v>
      </x:c>
      <x:c r="J617" s="28" t="str">
        <x:v>жирный, морской, умами</x:v>
      </x:c>
      <x:c r="K617" s="28" t="str">
        <x:v>нет надёжной конкретизации</x:v>
      </x:c>
      <x:c r="L617" s="28" t="str">
        <x:v>альдегиды, амины, сернистые соединения</x:v>
      </x:c>
      <x:c r="M617" s="28" t="str">
        <x:v>прямое совпадение семейств не установлено</x:v>
      </x:c>
      <x:c r="N617" s="28" t="str">
        <x:v>не подтверждены; механизм не сводится к одной общей молекуле</x:v>
      </x:c>
      <x:c r="O617" s="28" t="str">
        <x:v>контраст/комплементарность + матричный эффект</x:v>
      </x:c>
      <x:c r="P617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617" s="28" t="str">
        <x:v>Специфического тройничного эффекта обычно нет; кислотность усиливает слюноотделение.</x:v>
      </x:c>
      <x:c r="R617" s="28" t="str">
        <x:v>Белок и жир смягчают кислоту; ягодный соус должен сохранять достаточную концентрацию и соль.</x:v>
      </x:c>
      <x:c r="S61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61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61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17" s="28" t="str">
        <x:v>цитрус или огурец</x:v>
      </x:c>
      <x:c r="W617" s="28" t="str">
        <x:v>соус, глазировка, салат, сырная подача или горячее блюдо; маринад, гастрик, чатни, кетчуп или редукция</x:v>
      </x:c>
      <x:c r="X617" s="28" t="str">
        <x:v>еда; соусы/маринады</x:v>
      </x:c>
      <x:c r="Y617" s="28" t="str">
        <x:v>Средняя</x:v>
      </x:c>
      <x:c r="Z617" s="28" t="str">
        <x:v>The Art &amp; Science of Foodpairing</x:v>
      </x:c>
      <x:c r="AA617" s="28" t="str">
        <x:v>The Art &amp; Science of Foodpairing: 370</x:v>
      </x:c>
      <x:c r="AB617" s="28" t="str">
        <x:v>Ingredient pairings with Oyster: dried goji berry</x:v>
      </x:c>
      <x:c r="AC617" s="28" t="n">
        <x:v>1</x:v>
      </x:c>
      <x:c r="AD617" s="28" t="n">
        <x:v>1</x:v>
      </x:c>
    </x:row>
    <x:row r="618" ht="58" customHeight="1">
      <x:c r="A618" s="28" t="str">
        <x:v>BER-0617</x:v>
      </x:c>
      <x:c r="B618" s="28" t="str">
        <x:v>Универсальные</x:v>
      </x:c>
      <x:c r="C618" s="28" t="str">
        <x:v>сушёные ягоды годжи</x:v>
      </x:c>
      <x:c r="D618" s="28" t="str">
        <x:v>dried goji berry</x:v>
      </x:c>
      <x:c r="E618" s="28" t="str">
        <x:v>Ягоды и производные</x:v>
      </x:c>
      <x:c r="F618" s="28" t="str">
        <x:v>шиитаке</x:v>
      </x:c>
      <x:c r="G618" s="28" t="str">
        <x:v>Shiitake Mushroom</x:v>
      </x:c>
      <x:c r="H618" s="28" t="str">
        <x:v>Прочее</x:v>
      </x:c>
      <x:c r="I618" s="28" t="str">
        <x:v>комплексный</x:v>
      </x:c>
      <x:c r="J618" s="28" t="str">
        <x:v>комплексный</x:v>
      </x:c>
      <x:c r="K618" s="28" t="str">
        <x:v>нет надёжной конкретизации</x:v>
      </x:c>
      <x:c r="L618" s="28" t="str">
        <x:v>нет надёжной конкретизации</x:v>
      </x:c>
      <x:c r="M618" s="28" t="str">
        <x:v>комплексный</x:v>
      </x:c>
      <x:c r="N618" s="28" t="str">
        <x:v>не подтверждены; механизм не сводится к одной общей молекуле</x:v>
      </x:c>
      <x:c r="O618" s="28" t="str">
        <x:v>сходство ароматических семейств + комплементарность</x:v>
      </x:c>
      <x:c r="P618" s="28" t="str">
        <x:v>Оба компонента формируют зависит от ингредиента и зависит от ингредиента контур; сахар, кислота и горечь должны быть выровнены дегустацией.</x:v>
      </x:c>
      <x:c r="Q618" s="28" t="str">
        <x:v>Специфического тройничного эффекта обычно нет; кислотность усиливает слюноотделение.</x:v>
      </x:c>
      <x:c r="R618" s="28" t="str">
        <x:v>Ягода: механизм зависит от конкретного продукта. Партнёр: механизм зависит от конкретного продукта. В воде аромат раскрывается быстрее, в жире и этаноле — дольше удерживается.</x:v>
      </x:c>
      <x:c r="S61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18" s="28" t="str">
        <x:v>Общие ароматические семейства: комплексный; конкретная доля одорантов зависит от сорта и обработки. Ягодный компонент несёт семейства комплексный; партнёр — комплексный. Оба компонента формируют зависит от ингредиента и зависит от ингредиента контур; сахар, кислота и горечь должны быть выровнены дегустацией. Ягода: механизм зависит от конкретного продукта.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1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18" s="28" t="str">
        <x:v>лимон или ваниль</x:v>
      </x:c>
      <x:c r="W618" s="28" t="str">
        <x:v>сенсорная проба в малой дозировке</x:v>
      </x:c>
      <x:c r="X618" s="28" t="str">
        <x:v>универсально</x:v>
      </x:c>
      <x:c r="Y618" s="28" t="str">
        <x:v>Средняя</x:v>
      </x:c>
      <x:c r="Z618" s="28" t="str">
        <x:v>The Art &amp; Science of Foodpairing</x:v>
      </x:c>
      <x:c r="AA618" s="28" t="str">
        <x:v>The Art &amp; Science of Foodpairing: 127</x:v>
      </x:c>
      <x:c r="AB618" s="28" t="str">
        <x:v>Ingredient pairings with Shiitake Mushroom: dried goji berry</x:v>
      </x:c>
      <x:c r="AC618" s="28" t="n">
        <x:v>1</x:v>
      </x:c>
      <x:c r="AD618" s="28" t="n">
        <x:v>1</x:v>
      </x:c>
    </x:row>
    <x:row r="619" ht="58" customHeight="1">
      <x:c r="A619" s="28" t="str">
        <x:v>BER-0618</x:v>
      </x:c>
      <x:c r="B619" s="28" t="str">
        <x:v>Универсальные</x:v>
      </x:c>
      <x:c r="C619" s="28" t="str">
        <x:v>черешня</x:v>
      </x:c>
      <x:c r="D619" s="28" t="str">
        <x:v>sweet cherry</x:v>
      </x:c>
      <x:c r="E619" s="28" t="str">
        <x:v>Ягоды и производные</x:v>
      </x:c>
      <x:c r="F619" s="28" t="str">
        <x:v>ананас</x:v>
      </x:c>
      <x:c r="G619" s="28" t="str">
        <x:v>Pineapple</x:v>
      </x:c>
      <x:c r="H619" s="28" t="str">
        <x:v>Фрукты</x:v>
      </x:c>
      <x:c r="I619" s="28" t="str">
        <x:v>миндальный, сладко-фруктовый, цветочный</x:v>
      </x:c>
      <x:c r="J619" s="28" t="str">
        <x:v>зелёный, фруктовый, цветочный</x:v>
      </x:c>
      <x:c r="K619" s="28" t="str">
        <x:v>бензальдегид, бета-дамасценон, эфиры</x:v>
      </x:c>
      <x:c r="L619" s="28" t="str">
        <x:v>лактоны, терпены, эфиры</x:v>
      </x:c>
      <x:c r="M619" s="28" t="str">
        <x:v>цветочный</x:v>
      </x:c>
      <x:c r="N619" s="28" t="str">
        <x:v>эфиры</x:v>
      </x:c>
      <x:c r="O619" s="28" t="str">
        <x:v>ароматическое сходство + вкусовой баланс</x:v>
      </x:c>
      <x:c r="P619" s="28" t="str">
        <x:v>Оба компонента формируют сладкий, умеренно кислый и сладко-кислый контур; сахар, кислота и горечь должны быть выровнены дегустацией.</x:v>
      </x:c>
      <x:c r="Q619" s="28" t="str">
        <x:v>Специфического тройничного эффекта обычно нет; кислотность усиливает слюноотделение.</x:v>
      </x:c>
      <x:c r="R619" s="28" t="str">
        <x:v>Ягода: нежнее кислой вишни; легко становится приторной. Партнёр: водная фруктовая матрица. В воде аромат раскрывается быстрее, в жире и этаноле — дольше удерживается.</x:v>
      </x:c>
      <x:c r="S61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19" s="28" t="str">
        <x:v>Прямой вероятный молекулярный мост: эфиры. Ягодный компонент несёт семейства миндальный, сладко-фруктовый, цветочный; партнёр — зелёный, фруктовый, цветочный. Оба компонента формируют сладкий, умеренно кислый и сладко-кислый контур; сахар, кислота и горечь должны быть выровнены дегустацией. Ягода: нежнее кислой вишни; легко становится приторной.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19" s="28" t="str">
        <x:v>Не использовать повреждённые косточки без валидированной технологии: они содержат цианогенные гликозиды.</x:v>
      </x:c>
      <x:c r="V619" s="28" t="str">
        <x:v>ваниль или лимон</x:v>
      </x:c>
      <x:c r="W61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619" s="28" t="str">
        <x:v>напитки; десерты</x:v>
      </x:c>
      <x:c r="Y619" s="28" t="str">
        <x:v>Средняя</x:v>
      </x:c>
      <x:c r="Z619" s="28" t="str">
        <x:v>The Art &amp; Science of Foodpairing</x:v>
      </x:c>
      <x:c r="AA619" s="28" t="str">
        <x:v>The Art &amp; Science of Foodpairing: 243</x:v>
      </x:c>
      <x:c r="AB619" s="28" t="str">
        <x:v>Ingredient pairings with Pineapple: sweet cherry</x:v>
      </x:c>
      <x:c r="AC619" s="28" t="n">
        <x:v>1</x:v>
      </x:c>
      <x:c r="AD619" s="28" t="n">
        <x:v>1</x:v>
      </x:c>
    </x:row>
    <x:row r="620" ht="58" customHeight="1">
      <x:c r="A620" s="28" t="str">
        <x:v>BER-0619</x:v>
      </x:c>
      <x:c r="B620" s="28" t="str">
        <x:v>Напитки</x:v>
      </x:c>
      <x:c r="C620" s="28" t="str">
        <x:v>черешня</x:v>
      </x:c>
      <x:c r="D620" s="28" t="str">
        <x:v>sweet cherry</x:v>
      </x:c>
      <x:c r="E620" s="28" t="str">
        <x:v>Ягоды и производные</x:v>
      </x:c>
      <x:c r="F620" s="28" t="str">
        <x:v>апельсин</x:v>
      </x:c>
      <x:c r="G620" s="28" t="str">
        <x:v>Orange</x:v>
      </x:c>
      <x:c r="H620" s="28" t="str">
        <x:v>Цитрусовые</x:v>
      </x:c>
      <x:c r="I620" s="28" t="str">
        <x:v>миндальный, сладко-фруктовый, цветочный</x:v>
      </x:c>
      <x:c r="J620" s="28" t="str">
        <x:v>зелёный, цветочный, цитрусовый</x:v>
      </x:c>
      <x:c r="K620" s="28" t="str">
        <x:v>бензальдегид, бета-дамасценон, эфиры</x:v>
      </x:c>
      <x:c r="L620" s="28" t="str">
        <x:v>лимонен, линалоол, цитраль</x:v>
      </x:c>
      <x:c r="M620" s="28" t="str">
        <x:v>цветочный</x:v>
      </x:c>
      <x:c r="N620" s="28" t="str">
        <x:v>не подтверждены; механизм не сводится к одной общей молекуле</x:v>
      </x:c>
      <x:c r="O620" s="28" t="str">
        <x:v>сходство ароматических семейств + комплементарность</x:v>
      </x:c>
      <x:c r="P620" s="28" t="str">
        <x:v>Оба компонента формируют сладкий, умеренно кислый и кислый, свежий контур; сахар, кислота и горечь должны быть выровнены дегустацией.</x:v>
      </x:c>
      <x:c r="Q620" s="28" t="str">
        <x:v>Специфического тройничного эффекта обычно нет; кислотность усиливает слюноотделение.</x:v>
      </x:c>
      <x:c r="R620" s="28" t="str">
        <x:v>Ягода: нежнее кислой вишни; легко становится приторной. Партнёр: вода и эфирные масла; цедра гидрофобна. В воде аромат раскрывается быстрее, в жире и этаноле — дольше удерживается.</x:v>
      </x:c>
      <x:c r="S62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20" s="28" t="str">
        <x:v>Общие ароматические семейства: цветочный; конкретная доля одорантов зависит от сорта и обработки. Ягодный компонент несёт семейства миндальный, сладко-фруктовый, цветочный; партнёр — зелёный, цветочный, цитрусовый. Оба компонента формируют сладкий, умеренно кислый и кислый, свежий контур; сахар, кислота и горечь должны быть выровнены дегустацией. Ягода: нежнее кислой вишни; легко становится приторной.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20" s="28" t="str">
        <x:v>Не использовать повреждённые косточки без валидированной технологии: они содержат цианогенные гликозиды.</x:v>
      </x:c>
      <x:c r="V620" s="28" t="str">
        <x:v>мёд или базилик</x:v>
      </x:c>
      <x:c r="W620" s="28" t="str">
        <x:v>кордиал, лимонад, чай, коктейль, настой или ферментированный напиток; маринад, гастрик, чатни, кетчуп или редукция</x:v>
      </x:c>
      <x:c r="X620" s="28" t="str">
        <x:v>напитки; соусы/маринады</x:v>
      </x:c>
      <x:c r="Y620" s="28" t="str">
        <x:v>Средняя</x:v>
      </x:c>
      <x:c r="Z620" s="28" t="str">
        <x:v>The Art &amp; Science of Foodpairing</x:v>
      </x:c>
      <x:c r="AA620" s="28" t="str">
        <x:v>The Art &amp; Science of Foodpairing: 236</x:v>
      </x:c>
      <x:c r="AB620" s="28" t="str">
        <x:v>Ingredient pairings with Orange: sweet cherry</x:v>
      </x:c>
      <x:c r="AC620" s="28" t="n">
        <x:v>1</x:v>
      </x:c>
      <x:c r="AD620" s="28" t="n">
        <x:v>1</x:v>
      </x:c>
    </x:row>
    <x:row r="621" ht="58" customHeight="1">
      <x:c r="A621" s="28" t="str">
        <x:v>BER-0620</x:v>
      </x:c>
      <x:c r="B621" s="28" t="str">
        <x:v>Универсальные</x:v>
      </x:c>
      <x:c r="C621" s="28" t="str">
        <x:v>черешня</x:v>
      </x:c>
      <x:c r="D621" s="28" t="str">
        <x:v>sweet cherry</x:v>
      </x:c>
      <x:c r="E621" s="28" t="str">
        <x:v>Ягоды и производные</x:v>
      </x:c>
      <x:c r="F621" s="28" t="str">
        <x:v>батат</x:v>
      </x:c>
      <x:c r="G621" s="28" t="str">
        <x:v>Sweet Potato</x:v>
      </x:c>
      <x:c r="H621" s="28" t="str">
        <x:v>Прочее</x:v>
      </x:c>
      <x:c r="I621" s="28" t="str">
        <x:v>миндальный, сладко-фруктовый, цветочный</x:v>
      </x:c>
      <x:c r="J621" s="28" t="str">
        <x:v>комплексный</x:v>
      </x:c>
      <x:c r="K621" s="28" t="str">
        <x:v>бензальдегид, бета-дамасценон, эфиры</x:v>
      </x:c>
      <x:c r="L621" s="28" t="str">
        <x:v>нет надёжной конкретизации</x:v>
      </x:c>
      <x:c r="M621" s="28" t="str">
        <x:v>прямое совпадение семейств не установлено</x:v>
      </x:c>
      <x:c r="N621" s="28" t="str">
        <x:v>не подтверждены; механизм не сводится к одной общей молекуле</x:v>
      </x:c>
      <x:c r="O621" s="28" t="str">
        <x:v>контраст/комплементарность + матричный эффект</x:v>
      </x:c>
      <x:c r="P621" s="28" t="str">
        <x:v>Оба компонента формируют сладкий, умеренно кислый и зависит от ингредиента контур; сахар, кислота и горечь должны быть выровнены дегустацией.</x:v>
      </x:c>
      <x:c r="Q621" s="28" t="str">
        <x:v>Специфического тройничного эффекта обычно нет; кислотность усиливает слюноотделение.</x:v>
      </x:c>
      <x:c r="R621" s="28" t="str">
        <x:v>Ягода: нежнее кислой вишни; легко становится приторной. Партнёр: механизм зависит от конкретного продукта. В воде аромат раскрывается быстрее, в жире и этаноле — дольше удерживается.</x:v>
      </x:c>
      <x:c r="S62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2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комплексный. Оба компонента формируют сладкий, умеренно кислый и зависит от ингредиента контур; сахар, кислота и горечь должны быть выровнены дегустацией. Ягода: нежнее кислой вишни; легко становится приторной.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21" s="28" t="str">
        <x:v>Не использовать повреждённые косточки без валидированной технологии: они содержат цианогенные гликозиды.</x:v>
      </x:c>
      <x:c r="V621" s="28" t="str">
        <x:v>лимон или ваниль</x:v>
      </x:c>
      <x:c r="W621" s="28" t="str">
        <x:v>сенсорная проба в малой дозировке</x:v>
      </x:c>
      <x:c r="X621" s="28" t="str">
        <x:v>универсально</x:v>
      </x:c>
      <x:c r="Y621" s="28" t="str">
        <x:v>Средняя</x:v>
      </x:c>
      <x:c r="Z621" s="28" t="str">
        <x:v>The Art &amp; Science of Foodpairing</x:v>
      </x:c>
      <x:c r="AA621" s="28" t="str">
        <x:v>The Art &amp; Science of Foodpairing: 119</x:v>
      </x:c>
      <x:c r="AB621" s="28" t="str">
        <x:v>Ingredient pairings with Sweet Potato: sweet cherry</x:v>
      </x:c>
      <x:c r="AC621" s="28" t="n">
        <x:v>1</x:v>
      </x:c>
      <x:c r="AD621" s="28" t="n">
        <x:v>1</x:v>
      </x:c>
    </x:row>
    <x:row r="622" ht="58" customHeight="1">
      <x:c r="A622" s="28" t="str">
        <x:v>BER-0621</x:v>
      </x:c>
      <x:c r="B622" s="28" t="str">
        <x:v>Десерты и выпечка</x:v>
      </x:c>
      <x:c r="C622" s="28" t="str">
        <x:v>черешня</x:v>
      </x:c>
      <x:c r="D622" s="28" t="str">
        <x:v>sweet cherry</x:v>
      </x:c>
      <x:c r="E622" s="28" t="str">
        <x:v>Ягоды и производные</x:v>
      </x:c>
      <x:c r="F622" s="28" t="str">
        <x:v>голубой сыр</x:v>
      </x:c>
      <x:c r="G622" s="28" t="str">
        <x:v>Blue Cheese</x:v>
      </x:c>
      <x:c r="H622" s="28" t="str">
        <x:v>Молочные продукты и сыры</x:v>
      </x:c>
      <x:c r="I622" s="28" t="str">
        <x:v>миндальный, сладко-фруктовый, цветочный</x:v>
      </x:c>
      <x:c r="J622" s="28" t="str">
        <x:v>масляный, молочный, сливочный, сырный</x:v>
      </x:c>
      <x:c r="K622" s="28" t="str">
        <x:v>бензальдегид, бета-дамасценон, эфиры</x:v>
      </x:c>
      <x:c r="L622" s="28" t="str">
        <x:v>диацетил, жирные кислоты, лактоны</x:v>
      </x:c>
      <x:c r="M622" s="28" t="str">
        <x:v>прямое совпадение семейств не установлено</x:v>
      </x:c>
      <x:c r="N622" s="28" t="str">
        <x:v>не подтверждены; механизм не сводится к одной общей молекуле</x:v>
      </x:c>
      <x:c r="O622" s="28" t="str">
        <x:v>контраст/комплементарность + матричный эффект</x:v>
      </x:c>
      <x:c r="P622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622" s="28" t="str">
        <x:v>Специфического тройничного эффекта обычно нет; кислотность усиливает слюноотделение.</x:v>
      </x:c>
      <x:c r="R622" s="28" t="str">
        <x:v>Жировая фаза удерживает гидрофобные одоранты и продлевает послевкусие; кислотность ягод повышает слюноотделение.</x:v>
      </x:c>
      <x:c r="S62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62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622" s="28" t="str">
        <x:v>Не использовать повреждённые косточки без валидированной технологии: они содержат цианогенные гликозиды. Высокая кислотность может свернуть молочный белок; смешивать при контролируемой температуре.</x:v>
      </x:c>
      <x:c r="V622" s="28" t="str">
        <x:v>мёд или миндаль</x:v>
      </x:c>
      <x:c r="W622" s="28" t="str">
        <x:v>сорбет, крем, ганаш, выпечка, джем или соус для десерта; соус, глазировка, салат, сырная подача или горячее блюдо</x:v>
      </x:c>
      <x:c r="X622" s="28" t="str">
        <x:v>десерты; еда</x:v>
      </x:c>
      <x:c r="Y622" s="28" t="str">
        <x:v>Средняя</x:v>
      </x:c>
      <x:c r="Z622" s="28" t="str">
        <x:v>The Art &amp; Science of Foodpairing</x:v>
      </x:c>
      <x:c r="AA622" s="28" t="str">
        <x:v>The Art &amp; Science of Foodpairing: 164</x:v>
      </x:c>
      <x:c r="AB622" s="28" t="str">
        <x:v>Ingredient pairings with Blue Cheese: sweet cherry</x:v>
      </x:c>
      <x:c r="AC622" s="28" t="n">
        <x:v>1</x:v>
      </x:c>
      <x:c r="AD622" s="28" t="n">
        <x:v>1</x:v>
      </x:c>
    </x:row>
    <x:row r="623" ht="58" customHeight="1">
      <x:c r="A623" s="28" t="str">
        <x:v>BER-0622</x:v>
      </x:c>
      <x:c r="B623" s="28" t="str">
        <x:v>Еда и соусы</x:v>
      </x:c>
      <x:c r="C623" s="28" t="str">
        <x:v>черешня</x:v>
      </x:c>
      <x:c r="D623" s="28" t="str">
        <x:v>sweet cherry</x:v>
      </x:c>
      <x:c r="E623" s="28" t="str">
        <x:v>Ягоды и производные</x:v>
      </x:c>
      <x:c r="F623" s="28" t="str">
        <x:v>доджанг</x:v>
      </x:c>
      <x:c r="G623" s="28" t="str">
        <x:v>Doenjang</x:v>
      </x:c>
      <x:c r="H623" s="28" t="str">
        <x:v>Ферментированные продукты, соусы и уксусы</x:v>
      </x:c>
      <x:c r="I623" s="28" t="str">
        <x:v>миндальный, сладко-фруктовый, цветочный</x:v>
      </x:c>
      <x:c r="J623" s="28" t="str">
        <x:v>кислый, умами, ферментированный</x:v>
      </x:c>
      <x:c r="K623" s="28" t="str">
        <x:v>бензальдегид, бета-дамасценон, эфиры</x:v>
      </x:c>
      <x:c r="L623" s="28" t="str">
        <x:v>аминокислоты, органические кислоты, эфиры</x:v>
      </x:c>
      <x:c r="M623" s="28" t="str">
        <x:v>прямое совпадение семейств не установлено</x:v>
      </x:c>
      <x:c r="N623" s="28" t="str">
        <x:v>эфиры</x:v>
      </x:c>
      <x:c r="O623" s="28" t="str">
        <x:v>ароматическое сходство + вкусовой баланс</x:v>
      </x:c>
      <x:c r="P623" s="28" t="str">
        <x:v>Оба компонента формируют сладкий, умеренно кислый и кислый/солёный/умами контур; сахар, кислота и горечь должны быть выровнены дегустацией.</x:v>
      </x:c>
      <x:c r="Q623" s="28" t="str">
        <x:v>Специфического тройничного эффекта обычно нет; кислотность усиливает слюноотделение.</x:v>
      </x:c>
      <x:c r="R623" s="28" t="str">
        <x:v>Ягода: нежнее кислой вишни; легко становится приторной. Партнёр: вода, соль и продукты ферментации. В воде аромат раскрывается быстрее, в жире и этаноле — дольше удерживается.</x:v>
      </x:c>
      <x:c r="S62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23" s="28" t="str">
        <x:v>Прямой вероятный молекулярный мост: эфиры. Ягодный компонент несёт семейства миндальный, сладко-фруктовый, цветочный; партнёр — кислый, умами, ферментированный. Оба компонента формируют сладкий, умеренно кислый и кислый/солёный/умами контур; сахар, кислота и горечь должны быть выровнены дегустацией. Ягода: нежнее кислой вишни; легко становится приторной.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23" s="28" t="str">
        <x:v>Не использовать повреждённые косточки без валидированной технологии: они содержат цианогенные гликозиды.</x:v>
      </x:c>
      <x:c r="V623" s="28" t="str">
        <x:v>мёд или соевый соус</x:v>
      </x:c>
      <x:c r="W623" s="28" t="str">
        <x:v>соус, глазировка, салат, сырная подача или горячее блюдо; маринад, гастрик, чатни, кетчуп или редукция</x:v>
      </x:c>
      <x:c r="X623" s="28" t="str">
        <x:v>еда; соусы/маринады</x:v>
      </x:c>
      <x:c r="Y623" s="28" t="str">
        <x:v>Средняя</x:v>
      </x:c>
      <x:c r="Z623" s="28" t="str">
        <x:v>The Art &amp; Science of Foodpairing</x:v>
      </x:c>
      <x:c r="AA623" s="28" t="str">
        <x:v>The Art &amp; Science of Foodpairing: 246</x:v>
      </x:c>
      <x:c r="AB623" s="28" t="str">
        <x:v>Ingredient pairings with Doenjang: sweet cherry</x:v>
      </x:c>
      <x:c r="AC623" s="28" t="n">
        <x:v>1</x:v>
      </x:c>
      <x:c r="AD623" s="28" t="n">
        <x:v>1</x:v>
      </x:c>
    </x:row>
    <x:row r="624" ht="58" customHeight="1">
      <x:c r="A624" s="28" t="str">
        <x:v>BER-0623</x:v>
      </x:c>
      <x:c r="B624" s="28" t="str">
        <x:v>Универсальные</x:v>
      </x:c>
      <x:c r="C624" s="28" t="str">
        <x:v>черешня</x:v>
      </x:c>
      <x:c r="D624" s="28" t="str">
        <x:v>sweet cherry</x:v>
      </x:c>
      <x:c r="E624" s="28" t="str">
        <x:v>Ягоды и производные</x:v>
      </x:c>
      <x:c r="F624" s="28" t="str">
        <x:v>имбирь</x:v>
      </x:c>
      <x:c r="G624" s="28" t="str">
        <x:v>Ginger</x:v>
      </x:c>
      <x:c r="H624" s="28" t="str">
        <x:v>Специи</x:v>
      </x:c>
      <x:c r="I624" s="28" t="str">
        <x:v>миндальный, сладко-фруктовый, цветочный</x:v>
      </x:c>
      <x:c r="J624" s="28" t="str">
        <x:v>древесный, пряный, тёплый</x:v>
      </x:c>
      <x:c r="K624" s="28" t="str">
        <x:v>бензальдегид, бета-дамасценон, эфиры</x:v>
      </x:c>
      <x:c r="L624" s="28" t="str">
        <x:v>коричный альдегид, терпены, эвгенол</x:v>
      </x:c>
      <x:c r="M624" s="28" t="str">
        <x:v>прямое совпадение семейств не установлено</x:v>
      </x:c>
      <x:c r="N624" s="28" t="str">
        <x:v>не подтверждены; механизм не сводится к одной общей молекуле</x:v>
      </x:c>
      <x:c r="O624" s="28" t="str">
        <x:v>контраст/комплементарность + матричный эффект</x:v>
      </x:c>
      <x:c r="P624" s="28" t="str">
        <x:v>Ягодная сладость смягчает горечь и пряность, а кислотность делает пряный, иногда горький профиль ярче.</x:v>
      </x:c>
      <x:c r="Q624" s="28" t="str">
        <x:v>Кислотность ягоды усиливает слюноотделение, а капсаицин/пиперин/гингеролы дают тепло и покалывание; дозировка должна быть низкой.</x:v>
      </x:c>
      <x:c r="R624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62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2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24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V624" s="28" t="str">
        <x:v>мёд или цитрус</x:v>
      </x:c>
      <x:c r="W62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624" s="28" t="str">
        <x:v>напитки; десерты; еда; соусы/маринады</x:v>
      </x:c>
      <x:c r="Y624" s="28" t="str">
        <x:v>Средняя</x:v>
      </x:c>
      <x:c r="Z624" s="28" t="str">
        <x:v>The Art &amp; Science of Foodpairing</x:v>
      </x:c>
      <x:c r="AA624" s="28" t="str">
        <x:v>The Art &amp; Science of Foodpairing: 142</x:v>
      </x:c>
      <x:c r="AB624" s="28" t="str">
        <x:v>Ingredient pairings with Ginger: sweet cherry</x:v>
      </x:c>
      <x:c r="AC624" s="28" t="n">
        <x:v>1</x:v>
      </x:c>
      <x:c r="AD624" s="28" t="n">
        <x:v>1</x:v>
      </x:c>
    </x:row>
    <x:row r="625" ht="58" customHeight="1">
      <x:c r="A625" s="28" t="str">
        <x:v>BER-0624</x:v>
      </x:c>
      <x:c r="B625" s="28" t="str">
        <x:v>Десерты и выпечка</x:v>
      </x:c>
      <x:c r="C625" s="28" t="str">
        <x:v>черешня</x:v>
      </x:c>
      <x:c r="D625" s="28" t="str">
        <x:v>sweet cherry</x:v>
      </x:c>
      <x:c r="E625" s="28" t="str">
        <x:v>Ягоды и производные</x:v>
      </x:c>
      <x:c r="F625" s="28" t="str">
        <x:v>картофель фри</x:v>
      </x:c>
      <x:c r="G625" s="28" t="str">
        <x:v>French Fries</x:v>
      </x:c>
      <x:c r="H625" s="28" t="str">
        <x:v>Злаки и выпечка</x:v>
      </x:c>
      <x:c r="I625" s="28" t="str">
        <x:v>миндальный, сладко-фруктовый, цветочный</x:v>
      </x:c>
      <x:c r="J625" s="28" t="str">
        <x:v>жареный, зерновой, солодовый</x:v>
      </x:c>
      <x:c r="K625" s="28" t="str">
        <x:v>бензальдегид, бета-дамасценон, эфиры</x:v>
      </x:c>
      <x:c r="L625" s="28" t="str">
        <x:v>мальтол, пиразины, фураны</x:v>
      </x:c>
      <x:c r="M625" s="28" t="str">
        <x:v>прямое совпадение семейств не установлено</x:v>
      </x:c>
      <x:c r="N625" s="28" t="str">
        <x:v>не подтверждены; механизм не сводится к одной общей молекуле</x:v>
      </x:c>
      <x:c r="O625" s="28" t="str">
        <x:v>контраст/комплементарность + матричный эффект</x:v>
      </x:c>
      <x:c r="P625" s="28" t="str">
        <x:v>Оба компонента формируют сладкий, умеренно кислый и крахмалистый, сладковатый контур; сахар, кислота и горечь должны быть выровнены дегустацией.</x:v>
      </x:c>
      <x:c r="Q625" s="28" t="str">
        <x:v>Специфического тройничного эффекта обычно нет; кислотность усиливает слюноотделение.</x:v>
      </x:c>
      <x:c r="R625" s="28" t="str">
        <x:v>Ягода: нежнее кислой вишни; легко становится приторной. Партнёр: крахмал и сухая пористая матрица. В воде аромат раскрывается быстрее, в жире и этаноле — дольше удерживается.</x:v>
      </x:c>
      <x:c r="S62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2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жареный, зерновой, солодовый. Оба компонента формируют сладкий, умеренно кислый и крахмалистый, сладковатый контур; сахар, кислота и горечь должны быть выровнены дегустацией. Ягода: нежнее кислой вишни; легко становится приторной. Партнёр: крахмал и сухая пористая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25" s="28" t="str">
        <x:v>Не использовать повреждённые косточки без валидированной технологии: они содержат цианогенные гликозиды.</x:v>
      </x:c>
      <x:c r="V625" s="28" t="str">
        <x:v>сливки или орехи</x:v>
      </x:c>
      <x:c r="W625" s="28" t="str">
        <x:v>сорбет, крем, ганаш, выпечка, джем или соус для десерта</x:v>
      </x:c>
      <x:c r="X625" s="28" t="str">
        <x:v>десерты</x:v>
      </x:c>
      <x:c r="Y625" s="28" t="str">
        <x:v>Средняя</x:v>
      </x:c>
      <x:c r="Z625" s="28" t="str">
        <x:v>The Art &amp; Science of Foodpairing</x:v>
      </x:c>
      <x:c r="AA625" s="28" t="str">
        <x:v>The Art &amp; Science of Foodpairing: 197</x:v>
      </x:c>
      <x:c r="AB625" s="28" t="str">
        <x:v>Ingredient pairings with French Fries: sweet cherry</x:v>
      </x:c>
      <x:c r="AC625" s="28" t="n">
        <x:v>1</x:v>
      </x:c>
      <x:c r="AD625" s="28" t="n">
        <x:v>1</x:v>
      </x:c>
    </x:row>
    <x:row r="626" ht="58" customHeight="1">
      <x:c r="A626" s="28" t="str">
        <x:v>BER-0625</x:v>
      </x:c>
      <x:c r="B626" s="28" t="str">
        <x:v>Десерты и выпечка</x:v>
      </x:c>
      <x:c r="C626" s="28" t="str">
        <x:v>черешня</x:v>
      </x:c>
      <x:c r="D626" s="28" t="str">
        <x:v>sweet cherry</x:v>
      </x:c>
      <x:c r="E626" s="28" t="str">
        <x:v>Ягоды и производные</x:v>
      </x:c>
      <x:c r="F626" s="28" t="str">
        <x:v>кофе</x:v>
      </x:c>
      <x:c r="G626" s="28" t="str">
        <x:v>Coffee</x:v>
      </x:c>
      <x:c r="H626" s="28" t="str">
        <x:v>Шоколад, кофе и жареные продукты</x:v>
      </x:c>
      <x:c r="I626" s="28" t="str">
        <x:v>миндальный, сладко-фруктовый, цветочный</x:v>
      </x:c>
      <x:c r="J626" s="28" t="str">
        <x:v>горький, жареный, карамельный, ореховый</x:v>
      </x:c>
      <x:c r="K626" s="28" t="str">
        <x:v>бензальдегид, бета-дамасценон, эфиры</x:v>
      </x:c>
      <x:c r="L626" s="28" t="str">
        <x:v>ванилин, пиразины, фураны</x:v>
      </x:c>
      <x:c r="M626" s="28" t="str">
        <x:v>прямое совпадение семейств не установлено</x:v>
      </x:c>
      <x:c r="N626" s="28" t="str">
        <x:v>не подтверждены; механизм не сводится к одной общей молекуле</x:v>
      </x:c>
      <x:c r="O626" s="28" t="str">
        <x:v>контраст/комплементарность + матричный эффект</x:v>
      </x:c>
      <x:c r="P626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626" s="28" t="str">
        <x:v>Специфического тройничного эффекта обычно нет; кислотность усиливает слюноотделение.</x:v>
      </x:c>
      <x:c r="R626" s="28" t="str">
        <x:v>Жировая фаза удерживает гидрофобные одоранты и продлевает послевкусие; кислотность ягод повышает слюноотделение.</x:v>
      </x:c>
      <x:c r="S62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2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26" s="28" t="str">
        <x:v>Не использовать повреждённые косточки без валидированной технологии: они содержат цианогенные гликозиды.</x:v>
      </x:c>
      <x:c r="V626" s="28" t="str">
        <x:v>ваниль или орехи</x:v>
      </x:c>
      <x:c r="W626" s="28" t="str">
        <x:v>сорбет, крем, ганаш, выпечка, джем или соус для десерта</x:v>
      </x:c>
      <x:c r="X626" s="28" t="str">
        <x:v>десерты</x:v>
      </x:c>
      <x:c r="Y626" s="28" t="str">
        <x:v>Средняя</x:v>
      </x:c>
      <x:c r="Z626" s="28" t="str">
        <x:v>The Art &amp; Science of Foodpairing</x:v>
      </x:c>
      <x:c r="AA626" s="28" t="str">
        <x:v>The Art &amp; Science of Foodpairing: 297</x:v>
      </x:c>
      <x:c r="AB626" s="28" t="str">
        <x:v>Ingredient pairings with Coffee: sweet cherry</x:v>
      </x:c>
      <x:c r="AC626" s="28" t="n">
        <x:v>1</x:v>
      </x:c>
      <x:c r="AD626" s="28" t="n">
        <x:v>1</x:v>
      </x:c>
    </x:row>
    <x:row r="627" ht="58" customHeight="1">
      <x:c r="A627" s="28" t="str">
        <x:v>BER-0626</x:v>
      </x:c>
      <x:c r="B627" s="28" t="str">
        <x:v>Напитки</x:v>
      </x:c>
      <x:c r="C627" s="28" t="str">
        <x:v>черешня</x:v>
      </x:c>
      <x:c r="D627" s="28" t="str">
        <x:v>sweet cherry</x:v>
      </x:c>
      <x:c r="E627" s="28" t="str">
        <x:v>Ягоды и производные</x:v>
      </x:c>
      <x:c r="F627" s="28" t="str">
        <x:v>лимон и лайм</x:v>
      </x:c>
      <x:c r="G627" s="28" t="str">
        <x:v>Lemon&amp;Lime</x:v>
      </x:c>
      <x:c r="H627" s="28" t="str">
        <x:v>Цитрусовые</x:v>
      </x:c>
      <x:c r="I627" s="28" t="str">
        <x:v>миндальный, сладко-фруктовый, цветочный</x:v>
      </x:c>
      <x:c r="J627" s="28" t="str">
        <x:v>зелёный, цветочный, цитрусовый</x:v>
      </x:c>
      <x:c r="K627" s="28" t="str">
        <x:v>бензальдегид, бета-дамасценон, эфиры</x:v>
      </x:c>
      <x:c r="L627" s="28" t="str">
        <x:v>лимонен, линалоол, цитраль</x:v>
      </x:c>
      <x:c r="M627" s="28" t="str">
        <x:v>цветочный</x:v>
      </x:c>
      <x:c r="N627" s="28" t="str">
        <x:v>не подтверждены; механизм не сводится к одной общей молекуле</x:v>
      </x:c>
      <x:c r="O627" s="28" t="str">
        <x:v>сходство ароматических семейств + комплементарность</x:v>
      </x:c>
      <x:c r="P627" s="28" t="str">
        <x:v>Оба компонента формируют сладкий, умеренно кислый и кислый, свежий контур; сахар, кислота и горечь должны быть выровнены дегустацией.</x:v>
      </x:c>
      <x:c r="Q627" s="28" t="str">
        <x:v>Специфического тройничного эффекта обычно нет; кислотность усиливает слюноотделение.</x:v>
      </x:c>
      <x:c r="R627" s="28" t="str">
        <x:v>Ягода: нежнее кислой вишни; легко становится приторной. Партнёр: вода и эфирные масла; цедра гидрофобна. В воде аромат раскрывается быстрее, в жире и этаноле — дольше удерживается.</x:v>
      </x:c>
      <x:c r="S62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27" s="28" t="str">
        <x:v>Общие ароматические семейства: цветочный; конкретная доля одорантов зависит от сорта и обработки. Ягодный компонент несёт семейства миндальный, сладко-фруктовый, цветочный; партнёр — зелёный, цветочный, цитрусовый. Оба компонента формируют сладкий, умеренно кислый и кислый, свежий контур; сахар, кислота и горечь должны быть выровнены дегустацией. Ягода: нежнее кислой вишни; легко становится приторной.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27" s="28" t="str">
        <x:v>Не использовать повреждённые косточки без валидированной технологии: они содержат цианогенные гликозиды.</x:v>
      </x:c>
      <x:c r="V627" s="28" t="str">
        <x:v>мёд или базилик</x:v>
      </x:c>
      <x:c r="W627" s="28" t="str">
        <x:v>кордиал, лимонад, чай, коктейль, настой или ферментированный напиток; маринад, гастрик, чатни, кетчуп или редукция</x:v>
      </x:c>
      <x:c r="X627" s="28" t="str">
        <x:v>напитки; соусы/маринады</x:v>
      </x:c>
      <x:c r="Y627" s="28" t="str">
        <x:v>Средняя</x:v>
      </x:c>
      <x:c r="Z627" s="28" t="str">
        <x:v>The Art &amp; Science of Foodpairing</x:v>
      </x:c>
      <x:c r="AA627" s="28" t="str">
        <x:v>The Art &amp; Science of Foodpairing: 88</x:v>
      </x:c>
      <x:c r="AB627" s="28" t="str">
        <x:v>Ingredient pairings with Lemon&amp;Lime: sweet cherry</x:v>
      </x:c>
      <x:c r="AC627" s="28" t="n">
        <x:v>1</x:v>
      </x:c>
      <x:c r="AD627" s="28" t="n">
        <x:v>1</x:v>
      </x:c>
    </x:row>
    <x:row r="628" ht="58" customHeight="1">
      <x:c r="A628" s="28" t="str">
        <x:v>BER-0627</x:v>
      </x:c>
      <x:c r="B628" s="28" t="str">
        <x:v>Универсальные</x:v>
      </x:c>
      <x:c r="C628" s="28" t="str">
        <x:v>черешня</x:v>
      </x:c>
      <x:c r="D628" s="28" t="str">
        <x:v>sweet cherry</x:v>
      </x:c>
      <x:c r="E628" s="28" t="str">
        <x:v>Ягоды и производные</x:v>
      </x:c>
      <x:c r="F628" s="28" t="str">
        <x:v>маниок</x:v>
      </x:c>
      <x:c r="G628" s="28" t="str">
        <x:v>Cassava</x:v>
      </x:c>
      <x:c r="H628" s="28" t="str">
        <x:v>Прочее</x:v>
      </x:c>
      <x:c r="I628" s="28" t="str">
        <x:v>миндальный, сладко-фруктовый, цветочный</x:v>
      </x:c>
      <x:c r="J628" s="28" t="str">
        <x:v>комплексный</x:v>
      </x:c>
      <x:c r="K628" s="28" t="str">
        <x:v>бензальдегид, бета-дамасценон, эфиры</x:v>
      </x:c>
      <x:c r="L628" s="28" t="str">
        <x:v>нет надёжной конкретизации</x:v>
      </x:c>
      <x:c r="M628" s="28" t="str">
        <x:v>прямое совпадение семейств не установлено</x:v>
      </x:c>
      <x:c r="N628" s="28" t="str">
        <x:v>не подтверждены; механизм не сводится к одной общей молекуле</x:v>
      </x:c>
      <x:c r="O628" s="28" t="str">
        <x:v>контраст/комплементарность + матричный эффект</x:v>
      </x:c>
      <x:c r="P628" s="28" t="str">
        <x:v>Оба компонента формируют сладкий, умеренно кислый и зависит от ингредиента контур; сахар, кислота и горечь должны быть выровнены дегустацией.</x:v>
      </x:c>
      <x:c r="Q628" s="28" t="str">
        <x:v>Специфического тройничного эффекта обычно нет; кислотность усиливает слюноотделение.</x:v>
      </x:c>
      <x:c r="R628" s="28" t="str">
        <x:v>Ягода: нежнее кислой вишни; легко становится приторной. Партнёр: механизм зависит от конкретного продукта. В воде аромат раскрывается быстрее, в жире и этаноле — дольше удерживается.</x:v>
      </x:c>
      <x:c r="S62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2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комплексный. Оба компонента формируют сладкий, умеренно кислый и зависит от ингредиента контур; сахар, кислота и горечь должны быть выровнены дегустацией. Ягода: нежнее кислой вишни; легко становится приторной.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28" s="28" t="str">
        <x:v>Не использовать повреждённые косточки без валидированной технологии: они содержат цианогенные гликозиды.</x:v>
      </x:c>
      <x:c r="V628" s="28" t="str">
        <x:v>лимон или ваниль</x:v>
      </x:c>
      <x:c r="W628" s="28" t="str">
        <x:v>сенсорная проба в малой дозировке</x:v>
      </x:c>
      <x:c r="X628" s="28" t="str">
        <x:v>универсально</x:v>
      </x:c>
      <x:c r="Y628" s="28" t="str">
        <x:v>Средняя</x:v>
      </x:c>
      <x:c r="Z628" s="28" t="str">
        <x:v>The Art &amp; Science of Foodpairing</x:v>
      </x:c>
      <x:c r="AA628" s="28" t="str">
        <x:v>The Art &amp; Science of Foodpairing: 251</x:v>
      </x:c>
      <x:c r="AB628" s="28" t="str">
        <x:v>Ingredient pairings with Cassava: sweet cherry</x:v>
      </x:c>
      <x:c r="AC628" s="28" t="n">
        <x:v>1</x:v>
      </x:c>
      <x:c r="AD628" s="28" t="n">
        <x:v>1</x:v>
      </x:c>
    </x:row>
    <x:row r="629" ht="58" customHeight="1">
      <x:c r="A629" s="28" t="str">
        <x:v>BER-0628</x:v>
      </x:c>
      <x:c r="B629" s="28" t="str">
        <x:v>Еда и соусы</x:v>
      </x:c>
      <x:c r="C629" s="28" t="str">
        <x:v>черешня</x:v>
      </x:c>
      <x:c r="D629" s="28" t="str">
        <x:v>sweet cherry</x:v>
      </x:c>
      <x:c r="E629" s="28" t="str">
        <x:v>Ягоды и производные</x:v>
      </x:c>
      <x:c r="F629" s="28" t="str">
        <x:v>морковь</x:v>
      </x:c>
      <x:c r="G629" s="28" t="str">
        <x:v>Carrot</x:v>
      </x:c>
      <x:c r="H629" s="28" t="str">
        <x:v>Овощи и грибы</x:v>
      </x:c>
      <x:c r="I629" s="28" t="str">
        <x:v>миндальный, сладко-фруктовый, цветочный</x:v>
      </x:c>
      <x:c r="J629" s="28" t="str">
        <x:v>зелёный, землистый, сернистый</x:v>
      </x:c>
      <x:c r="K629" s="28" t="str">
        <x:v>бензальдегид, бета-дамасценон, эфиры</x:v>
      </x:c>
      <x:c r="L629" s="28" t="str">
        <x:v>C6-альдегиды, пиразины, сернистые соединения</x:v>
      </x:c>
      <x:c r="M629" s="28" t="str">
        <x:v>прямое совпадение семейств не установлено</x:v>
      </x:c>
      <x:c r="N629" s="28" t="str">
        <x:v>не подтверждены; механизм не сводится к одной общей молекуле</x:v>
      </x:c>
      <x:c r="O629" s="28" t="str">
        <x:v>контраст/комплементарность + матричный эффект</x:v>
      </x:c>
      <x:c r="P629" s="28" t="str">
        <x:v>Оба компонента формируют сладкий, умеренно кислый и растительный, иногда умами контур; сахар, кислота и горечь должны быть выровнены дегустацией.</x:v>
      </x:c>
      <x:c r="Q629" s="28" t="str">
        <x:v>Специфического тройничного эффекта обычно нет; кислотность усиливает слюноотделение.</x:v>
      </x:c>
      <x:c r="R629" s="28" t="str">
        <x:v>Ягода: нежнее кислой вишни; легко становится приторной.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62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62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зелёный, землистый, сернистый. Оба компонента формируют сладкий, умеренно кислый и растительный, иногда умами контур; сахар, кислота и горечь должны быть выровнены дегустацией. Ягода: нежнее кислой вишни; легко становится приторной.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629" s="28" t="str">
        <x:v>Не использовать повреждённые косточки без валидированной технологии: они содержат цианогенные гликозиды.</x:v>
      </x:c>
      <x:c r="V629" s="28" t="str">
        <x:v>уксус или мягкий сыр</x:v>
      </x:c>
      <x:c r="W629" s="28" t="str">
        <x:v>соус, глазировка, салат, сырная подача или горячее блюдо; маринад, гастрик, чатни, кетчуп или редукция</x:v>
      </x:c>
      <x:c r="X629" s="28" t="str">
        <x:v>еда; соусы/маринады</x:v>
      </x:c>
      <x:c r="Y629" s="28" t="str">
        <x:v>Средняя</x:v>
      </x:c>
      <x:c r="Z629" s="28" t="str">
        <x:v>The Art &amp; Science of Foodpairing</x:v>
      </x:c>
      <x:c r="AA629" s="28" t="str">
        <x:v>The Art &amp; Science of Foodpairing: 233</x:v>
      </x:c>
      <x:c r="AB629" s="28" t="str">
        <x:v>Ingredient pairings with Carrot: sweet cherry</x:v>
      </x:c>
      <x:c r="AC629" s="28" t="n">
        <x:v>1</x:v>
      </x:c>
      <x:c r="AD629" s="28" t="n">
        <x:v>1</x:v>
      </x:c>
    </x:row>
    <x:row r="630" ht="58" customHeight="1">
      <x:c r="A630" s="28" t="str">
        <x:v>BER-0629</x:v>
      </x:c>
      <x:c r="B630" s="28" t="str">
        <x:v>Еда и соусы</x:v>
      </x:c>
      <x:c r="C630" s="28" t="str">
        <x:v>черешня</x:v>
      </x:c>
      <x:c r="D630" s="28" t="str">
        <x:v>sweet cherry</x:v>
      </x:c>
      <x:c r="E630" s="28" t="str">
        <x:v>Ягоды и производные</x:v>
      </x:c>
      <x:c r="F630" s="28" t="str">
        <x:v>огурец</x:v>
      </x:c>
      <x:c r="G630" s="28" t="str">
        <x:v>Cucumber</x:v>
      </x:c>
      <x:c r="H630" s="28" t="str">
        <x:v>Овощи и грибы</x:v>
      </x:c>
      <x:c r="I630" s="28" t="str">
        <x:v>миндальный, сладко-фруктовый, цветочный</x:v>
      </x:c>
      <x:c r="J630" s="28" t="str">
        <x:v>зелёный, землистый, сернистый</x:v>
      </x:c>
      <x:c r="K630" s="28" t="str">
        <x:v>бензальдегид, бета-дамасценон, эфиры</x:v>
      </x:c>
      <x:c r="L630" s="28" t="str">
        <x:v>C6-альдегиды, пиразины, сернистые соединения</x:v>
      </x:c>
      <x:c r="M630" s="28" t="str">
        <x:v>прямое совпадение семейств не установлено</x:v>
      </x:c>
      <x:c r="N630" s="28" t="str">
        <x:v>не подтверждены; механизм не сводится к одной общей молекуле</x:v>
      </x:c>
      <x:c r="O630" s="28" t="str">
        <x:v>контраст/комплементарность + матричный эффект</x:v>
      </x:c>
      <x:c r="P630" s="28" t="str">
        <x:v>Оба компонента формируют сладкий, умеренно кислый и растительный, иногда умами контур; сахар, кислота и горечь должны быть выровнены дегустацией.</x:v>
      </x:c>
      <x:c r="Q630" s="28" t="str">
        <x:v>Специфического тройничного эффекта обычно нет; кислотность усиливает слюноотделение.</x:v>
      </x:c>
      <x:c r="R630" s="28" t="str">
        <x:v>Ягода: нежнее кислой вишни; легко становится приторной.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63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63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зелёный, землистый, сернистый. Оба компонента формируют сладкий, умеренно кислый и растительный, иногда умами контур; сахар, кислота и горечь должны быть выровнены дегустацией. Ягода: нежнее кислой вишни; легко становится приторной.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630" s="28" t="str">
        <x:v>Не использовать повреждённые косточки без валидированной технологии: они содержат цианогенные гликозиды.</x:v>
      </x:c>
      <x:c r="V630" s="28" t="str">
        <x:v>уксус или мягкий сыр</x:v>
      </x:c>
      <x:c r="W630" s="28" t="str">
        <x:v>соус, глазировка, салат, сырная подача или горячее блюдо; маринад, гастрик, чатни, кетчуп или редукция</x:v>
      </x:c>
      <x:c r="X630" s="28" t="str">
        <x:v>еда; соусы/маринады</x:v>
      </x:c>
      <x:c r="Y630" s="28" t="str">
        <x:v>Средняя</x:v>
      </x:c>
      <x:c r="Z630" s="28" t="str">
        <x:v>The Art &amp; Science of Foodpairing</x:v>
      </x:c>
      <x:c r="AA630" s="28" t="str">
        <x:v>The Art &amp; Science of Foodpairing: 268</x:v>
      </x:c>
      <x:c r="AB630" s="28" t="str">
        <x:v>Ingredient pairings with Cucumber: sweet cherry</x:v>
      </x:c>
      <x:c r="AC630" s="28" t="n">
        <x:v>1</x:v>
      </x:c>
      <x:c r="AD630" s="28" t="n">
        <x:v>1</x:v>
      </x:c>
    </x:row>
    <x:row r="631" ht="58" customHeight="1">
      <x:c r="A631" s="28" t="str">
        <x:v>BER-0630</x:v>
      </x:c>
      <x:c r="B631" s="28" t="str">
        <x:v>Десерты и выпечка</x:v>
      </x:c>
      <x:c r="C631" s="28" t="str">
        <x:v>черешня</x:v>
      </x:c>
      <x:c r="D631" s="28" t="str">
        <x:v>sweet cherry</x:v>
      </x:c>
      <x:c r="E631" s="28" t="str">
        <x:v>Ягоды и производные</x:v>
      </x:c>
      <x:c r="F631" s="28" t="str">
        <x:v>оливковое масло</x:v>
      </x:c>
      <x:c r="G631" s="28" t="str">
        <x:v>Olive Oil</x:v>
      </x:c>
      <x:c r="H631" s="28" t="str">
        <x:v>Молочные продукты и сыры</x:v>
      </x:c>
      <x:c r="I631" s="28" t="str">
        <x:v>миндальный, сладко-фруктовый, цветочный</x:v>
      </x:c>
      <x:c r="J631" s="28" t="str">
        <x:v>масляный, молочный, сливочный, сырный</x:v>
      </x:c>
      <x:c r="K631" s="28" t="str">
        <x:v>бензальдегид, бета-дамасценон, эфиры</x:v>
      </x:c>
      <x:c r="L631" s="28" t="str">
        <x:v>диацетил, жирные кислоты, лактоны</x:v>
      </x:c>
      <x:c r="M631" s="28" t="str">
        <x:v>прямое совпадение семейств не установлено</x:v>
      </x:c>
      <x:c r="N631" s="28" t="str">
        <x:v>не подтверждены; механизм не сводится к одной общей молекуле</x:v>
      </x:c>
      <x:c r="O631" s="28" t="str">
        <x:v>контраст/комплементарность + матричный эффект</x:v>
      </x:c>
      <x:c r="P631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631" s="28" t="str">
        <x:v>Специфического тройничного эффекта обычно нет; кислотность усиливает слюноотделение.</x:v>
      </x:c>
      <x:c r="R631" s="28" t="str">
        <x:v>Жировая фаза удерживает гидрофобные одоранты и продлевает послевкусие; кислотность ягод повышает слюноотделение.</x:v>
      </x:c>
      <x:c r="S63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63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631" s="28" t="str">
        <x:v>Не использовать повреждённые косточки без валидированной технологии: они содержат цианогенные гликозиды. Высокая кислотность может свернуть молочный белок; смешивать при контролируемой температуре.</x:v>
      </x:c>
      <x:c r="V631" s="28" t="str">
        <x:v>мёд или миндаль</x:v>
      </x:c>
      <x:c r="W631" s="28" t="str">
        <x:v>сорбет, крем, ганаш, выпечка, джем или соус для десерта; соус, глазировка, салат, сырная подача или горячее блюдо</x:v>
      </x:c>
      <x:c r="X631" s="28" t="str">
        <x:v>десерты; еда</x:v>
      </x:c>
      <x:c r="Y631" s="28" t="str">
        <x:v>Средняя</x:v>
      </x:c>
      <x:c r="Z631" s="28" t="str">
        <x:v>The Art &amp; Science of Foodpairing</x:v>
      </x:c>
      <x:c r="AA631" s="28" t="str">
        <x:v>The Art &amp; Science of Foodpairing: 172</x:v>
      </x:c>
      <x:c r="AB631" s="28" t="str">
        <x:v>Ingredient pairings with Olive Oil: sweet cherry</x:v>
      </x:c>
      <x:c r="AC631" s="28" t="n">
        <x:v>1</x:v>
      </x:c>
      <x:c r="AD631" s="28" t="n">
        <x:v>1</x:v>
      </x:c>
    </x:row>
    <x:row r="632" ht="58" customHeight="1">
      <x:c r="A632" s="28" t="str">
        <x:v>BER-0631</x:v>
      </x:c>
      <x:c r="B632" s="28" t="str">
        <x:v>Универсальные</x:v>
      </x:c>
      <x:c r="C632" s="28" t="str">
        <x:v>черешня</x:v>
      </x:c>
      <x:c r="D632" s="28" t="str">
        <x:v>sweet cherry</x:v>
      </x:c>
      <x:c r="E632" s="28" t="str">
        <x:v>Ягоды и производные</x:v>
      </x:c>
      <x:c r="F632" s="28" t="str">
        <x:v>перец чили</x:v>
      </x:c>
      <x:c r="G632" s="28" t="str">
        <x:v>Chilli Pepper</x:v>
      </x:c>
      <x:c r="H632" s="28" t="str">
        <x:v>Специи</x:v>
      </x:c>
      <x:c r="I632" s="28" t="str">
        <x:v>миндальный, сладко-фруктовый, цветочный</x:v>
      </x:c>
      <x:c r="J632" s="28" t="str">
        <x:v>древесный, пряный, тёплый</x:v>
      </x:c>
      <x:c r="K632" s="28" t="str">
        <x:v>бензальдегид, бета-дамасценон, эфиры</x:v>
      </x:c>
      <x:c r="L632" s="28" t="str">
        <x:v>коричный альдегид, терпены, эвгенол</x:v>
      </x:c>
      <x:c r="M632" s="28" t="str">
        <x:v>прямое совпадение семейств не установлено</x:v>
      </x:c>
      <x:c r="N632" s="28" t="str">
        <x:v>не подтверждены; механизм не сводится к одной общей молекуле</x:v>
      </x:c>
      <x:c r="O632" s="28" t="str">
        <x:v>контраст/комплементарность + матричный эффект</x:v>
      </x:c>
      <x:c r="P632" s="28" t="str">
        <x:v>Ягодная сладость смягчает горечь и пряность, а кислотность делает пряный, иногда горький профиль ярче.</x:v>
      </x:c>
      <x:c r="Q632" s="28" t="str">
        <x:v>Кислотность ягоды усиливает слюноотделение, а капсаицин/пиперин/гингеролы дают тепло и покалывание; дозировка должна быть низкой.</x:v>
      </x:c>
      <x:c r="R632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63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3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32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V632" s="28" t="str">
        <x:v>мёд или цитрус</x:v>
      </x:c>
      <x:c r="W63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632" s="28" t="str">
        <x:v>напитки; десерты; еда; соусы/маринады</x:v>
      </x:c>
      <x:c r="Y632" s="28" t="str">
        <x:v>Средняя</x:v>
      </x:c>
      <x:c r="Z632" s="28" t="str">
        <x:v>The Art &amp; Science of Foodpairing</x:v>
      </x:c>
      <x:c r="AA632" s="28" t="str">
        <x:v>The Art &amp; Science of Foodpairing: 95</x:v>
      </x:c>
      <x:c r="AB632" s="28" t="str">
        <x:v>Ingredient pairings with Chilli Pepper: sweet cherry</x:v>
      </x:c>
      <x:c r="AC632" s="28" t="n">
        <x:v>1</x:v>
      </x:c>
      <x:c r="AD632" s="28" t="n">
        <x:v>1</x:v>
      </x:c>
    </x:row>
    <x:row r="633" ht="58" customHeight="1">
      <x:c r="A633" s="28" t="str">
        <x:v>BER-0632</x:v>
      </x:c>
      <x:c r="B633" s="28" t="str">
        <x:v>Универсальные</x:v>
      </x:c>
      <x:c r="C633" s="28" t="str">
        <x:v>черешня</x:v>
      </x:c>
      <x:c r="D633" s="28" t="str">
        <x:v>sweet cherry</x:v>
      </x:c>
      <x:c r="E633" s="28" t="str">
        <x:v>Ягоды и производные</x:v>
      </x:c>
      <x:c r="F633" s="28" t="str">
        <x:v>персик</x:v>
      </x:c>
      <x:c r="G633" s="28" t="str">
        <x:v>Peach</x:v>
      </x:c>
      <x:c r="H633" s="28" t="str">
        <x:v>Фрукты</x:v>
      </x:c>
      <x:c r="I633" s="28" t="str">
        <x:v>миндальный, сладко-фруктовый, цветочный</x:v>
      </x:c>
      <x:c r="J633" s="28" t="str">
        <x:v>зелёный, фруктовый, цветочный</x:v>
      </x:c>
      <x:c r="K633" s="28" t="str">
        <x:v>бензальдегид, бета-дамасценон, эфиры</x:v>
      </x:c>
      <x:c r="L633" s="28" t="str">
        <x:v>лактоны, терпены, эфиры</x:v>
      </x:c>
      <x:c r="M633" s="28" t="str">
        <x:v>цветочный</x:v>
      </x:c>
      <x:c r="N633" s="28" t="str">
        <x:v>эфиры</x:v>
      </x:c>
      <x:c r="O633" s="28" t="str">
        <x:v>ароматическое сходство + вкусовой баланс</x:v>
      </x:c>
      <x:c r="P633" s="28" t="str">
        <x:v>Оба компонента формируют сладкий, умеренно кислый и сладко-кислый контур; сахар, кислота и горечь должны быть выровнены дегустацией.</x:v>
      </x:c>
      <x:c r="Q633" s="28" t="str">
        <x:v>Специфического тройничного эффекта обычно нет; кислотность усиливает слюноотделение.</x:v>
      </x:c>
      <x:c r="R633" s="28" t="str">
        <x:v>Ягода: нежнее кислой вишни; легко становится приторной. Партнёр: водная фруктовая матрица. В воде аромат раскрывается быстрее, в жире и этаноле — дольше удерживается.</x:v>
      </x:c>
      <x:c r="S63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33" s="28" t="str">
        <x:v>Прямой вероятный молекулярный мост: эфиры. Ягодный компонент несёт семейства миндальный, сладко-фруктовый, цветочный; партнёр — зелёный, фруктовый, цветочный. Оба компонента формируют сладкий, умеренно кислый и сладко-кислый контур; сахар, кислота и горечь должны быть выровнены дегустацией. Ягода: нежнее кислой вишни; легко становится приторной.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33" s="28" t="str">
        <x:v>Не использовать повреждённые косточки без валидированной технологии: они содержат цианогенные гликозиды.</x:v>
      </x:c>
      <x:c r="V633" s="28" t="str">
        <x:v>ваниль или лимон</x:v>
      </x:c>
      <x:c r="W63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633" s="28" t="str">
        <x:v>напитки; десерты</x:v>
      </x:c>
      <x:c r="Y633" s="28" t="str">
        <x:v>Средняя</x:v>
      </x:c>
      <x:c r="Z633" s="28" t="str">
        <x:v>The Art &amp; Science of Foodpairing</x:v>
      </x:c>
      <x:c r="AA633" s="28" t="str">
        <x:v>The Art &amp; Science of Foodpairing: 260, 261</x:v>
      </x:c>
      <x:c r="AB633" s="28" t="str">
        <x:v>Ingredient pairings with Peach: sweet cherry | Ingredient pairings with Peach: sweet cherry | Ingredient pairings with Peach: sweet cherry</x:v>
      </x:c>
      <x:c r="AC633" s="28" t="n">
        <x:v>1</x:v>
      </x:c>
      <x:c r="AD633" s="28" t="n">
        <x:v>3</x:v>
      </x:c>
    </x:row>
    <x:row r="634" ht="58" customHeight="1">
      <x:c r="A634" s="28" t="str">
        <x:v>BER-0633</x:v>
      </x:c>
      <x:c r="B634" s="28" t="str">
        <x:v>Напитки</x:v>
      </x:c>
      <x:c r="C634" s="28" t="str">
        <x:v>черешня</x:v>
      </x:c>
      <x:c r="D634" s="28" t="str">
        <x:v>sweet cherry</x:v>
      </x:c>
      <x:c r="E634" s="28" t="str">
        <x:v>Ягоды и производные</x:v>
      </x:c>
      <x:c r="F634" s="28" t="str">
        <x:v>текила</x:v>
      </x:c>
      <x:c r="G634" s="28" t="str">
        <x:v>Tequila</x:v>
      </x:c>
      <x:c r="H634" s="28" t="str">
        <x:v>Алкогольные напитки</x:v>
      </x:c>
      <x:c r="I634" s="28" t="str">
        <x:v>миндальный, сладко-фруктовый, цветочный</x:v>
      </x:c>
      <x:c r="J634" s="28" t="str">
        <x:v>древесный, фруктовый, эфирный</x:v>
      </x:c>
      <x:c r="K634" s="28" t="str">
        <x:v>бензальдегид, бета-дамасценон, эфиры</x:v>
      </x:c>
      <x:c r="L634" s="28" t="str">
        <x:v>ванилин, дубовые лактоны, этиловые эфиры</x:v>
      </x:c>
      <x:c r="M634" s="28" t="str">
        <x:v>прямое совпадение семейств не установлено</x:v>
      </x:c>
      <x:c r="N634" s="28" t="str">
        <x:v>не подтверждены; механизм не сводится к одной общей молекуле</x:v>
      </x:c>
      <x:c r="O634" s="28" t="str">
        <x:v>контраст/комплементарность + матричный эффект</x:v>
      </x:c>
      <x:c r="P634" s="28" t="str">
        <x:v>Кисло-сладкий ягодный профиль балансирует крепость и возможную дубовую горечь напитка.</x:v>
      </x:c>
      <x:c r="Q634" s="28" t="str">
        <x:v>Специфического тройничного эффекта обычно нет; кислотность усиливает слюноотделение.</x:v>
      </x:c>
      <x:c r="R634" s="28" t="str">
        <x:v>Этанол усиливает извлечение гидрофобных терпенов, иононов и эфиров, но при высокой крепости может подчеркнуть резкость.</x:v>
      </x:c>
      <x:c r="S63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T63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U634" s="28" t="str">
        <x:v>Не использовать повреждённые косточки без валидированной технологии: они содержат цианогенные гликозиды. Высокая крепость и избыток сахара маскируют свежесть и усиливают терпкость.</x:v>
      </x:c>
      <x:c r="V634" s="28" t="str">
        <x:v>цитрус или вермут</x:v>
      </x:c>
      <x:c r="W634" s="28" t="str">
        <x:v>кордиал, лимонад, чай, коктейль, настой или ферментированный напиток</x:v>
      </x:c>
      <x:c r="X634" s="28" t="str">
        <x:v>напитки</x:v>
      </x:c>
      <x:c r="Y634" s="28" t="str">
        <x:v>Средняя</x:v>
      </x:c>
      <x:c r="Z634" s="28" t="str">
        <x:v>The Art &amp; Science of Foodpairing</x:v>
      </x:c>
      <x:c r="AA634" s="28" t="str">
        <x:v>The Art &amp; Science of Foodpairing: 82, 83</x:v>
      </x:c>
      <x:c r="AB634" s="28" t="str">
        <x:v>Ingredient pairings with Tequila: sweet cherry | Ingredient pairings with Tequila: sweet cherry</x:v>
      </x:c>
      <x:c r="AC634" s="28" t="n">
        <x:v>1</x:v>
      </x:c>
      <x:c r="AD634" s="28" t="n">
        <x:v>2</x:v>
      </x:c>
    </x:row>
    <x:row r="635" ht="58" customHeight="1">
      <x:c r="A635" s="28" t="str">
        <x:v>BER-0634</x:v>
      </x:c>
      <x:c r="B635" s="28" t="str">
        <x:v>Еда и соусы</x:v>
      </x:c>
      <x:c r="C635" s="28" t="str">
        <x:v>черешня</x:v>
      </x:c>
      <x:c r="D635" s="28" t="str">
        <x:v>sweet cherry</x:v>
      </x:c>
      <x:c r="E635" s="28" t="str">
        <x:v>Ягоды и производные</x:v>
      </x:c>
      <x:c r="F635" s="28" t="str">
        <x:v>томат</x:v>
      </x:c>
      <x:c r="G635" s="28" t="str">
        <x:v>Tomato</x:v>
      </x:c>
      <x:c r="H635" s="28" t="str">
        <x:v>Овощи и грибы</x:v>
      </x:c>
      <x:c r="I635" s="28" t="str">
        <x:v>миндальный, сладко-фруктовый, цветочный</x:v>
      </x:c>
      <x:c r="J635" s="28" t="str">
        <x:v>зелёный, землистый, сернистый</x:v>
      </x:c>
      <x:c r="K635" s="28" t="str">
        <x:v>бензальдегид, бета-дамасценон, эфиры</x:v>
      </x:c>
      <x:c r="L635" s="28" t="str">
        <x:v>C6-альдегиды, пиразины, сернистые соединения</x:v>
      </x:c>
      <x:c r="M635" s="28" t="str">
        <x:v>прямое совпадение семейств не установлено</x:v>
      </x:c>
      <x:c r="N635" s="28" t="str">
        <x:v>не подтверждены; механизм не сводится к одной общей молекуле</x:v>
      </x:c>
      <x:c r="O635" s="28" t="str">
        <x:v>контраст/комплементарность + матричный эффект</x:v>
      </x:c>
      <x:c r="P635" s="28" t="str">
        <x:v>Оба компонента формируют сладкий, умеренно кислый и растительный, иногда умами контур; сахар, кислота и горечь должны быть выровнены дегустацией.</x:v>
      </x:c>
      <x:c r="Q635" s="28" t="str">
        <x:v>Специфического тройничного эффекта обычно нет; кислотность усиливает слюноотделение.</x:v>
      </x:c>
      <x:c r="R635" s="28" t="str">
        <x:v>Ягода: нежнее кислой вишни; легко становится приторной.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63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63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зелёный, землистый, сернистый. Оба компонента формируют сладкий, умеренно кислый и растительный, иногда умами контур; сахар, кислота и горечь должны быть выровнены дегустацией. Ягода: нежнее кислой вишни; легко становится приторной.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635" s="28" t="str">
        <x:v>Не использовать повреждённые косточки без валидированной технологии: они содержат цианогенные гликозиды.</x:v>
      </x:c>
      <x:c r="V635" s="28" t="str">
        <x:v>уксус или мягкий сыр</x:v>
      </x:c>
      <x:c r="W635" s="28" t="str">
        <x:v>соус, глазировка, салат, сырная подача или горячее блюдо; маринад, гастрик, чатни, кетчуп или редукция</x:v>
      </x:c>
      <x:c r="X635" s="28" t="str">
        <x:v>еда; соусы/маринады</x:v>
      </x:c>
      <x:c r="Y635" s="28" t="str">
        <x:v>Средняя</x:v>
      </x:c>
      <x:c r="Z635" s="28" t="str">
        <x:v>The Art &amp; Science of Foodpairing</x:v>
      </x:c>
      <x:c r="AA635" s="28" t="str">
        <x:v>The Art &amp; Science of Foodpairing: 161</x:v>
      </x:c>
      <x:c r="AB635" s="28" t="str">
        <x:v>Ingredient pairings with Tomato: sweet cherry</x:v>
      </x:c>
      <x:c r="AC635" s="28" t="n">
        <x:v>1</x:v>
      </x:c>
      <x:c r="AD635" s="28" t="n">
        <x:v>1</x:v>
      </x:c>
    </x:row>
    <x:row r="636" ht="58" customHeight="1">
      <x:c r="A636" s="28" t="str">
        <x:v>BER-0635</x:v>
      </x:c>
      <x:c r="B636" s="28" t="str">
        <x:v>Еда и соусы</x:v>
      </x:c>
      <x:c r="C636" s="28" t="str">
        <x:v>черешня</x:v>
      </x:c>
      <x:c r="D636" s="28" t="str">
        <x:v>sweet cherry</x:v>
      </x:c>
      <x:c r="E636" s="28" t="str">
        <x:v>Ягоды и производные</x:v>
      </x:c>
      <x:c r="F636" s="28" t="str">
        <x:v>трюфель</x:v>
      </x:c>
      <x:c r="G636" s="28" t="str">
        <x:v>Truffle</x:v>
      </x:c>
      <x:c r="H636" s="28" t="str">
        <x:v>Овощи и грибы</x:v>
      </x:c>
      <x:c r="I636" s="28" t="str">
        <x:v>миндальный, сладко-фруктовый, цветочный</x:v>
      </x:c>
      <x:c r="J636" s="28" t="str">
        <x:v>зелёный, землистый, сернистый</x:v>
      </x:c>
      <x:c r="K636" s="28" t="str">
        <x:v>бензальдегид, бета-дамасценон, эфиры</x:v>
      </x:c>
      <x:c r="L636" s="28" t="str">
        <x:v>C6-альдегиды, пиразины, сернистые соединения</x:v>
      </x:c>
      <x:c r="M636" s="28" t="str">
        <x:v>прямое совпадение семейств не установлено</x:v>
      </x:c>
      <x:c r="N636" s="28" t="str">
        <x:v>не подтверждены; механизм не сводится к одной общей молекуле</x:v>
      </x:c>
      <x:c r="O636" s="28" t="str">
        <x:v>контраст/комплементарность + матричный эффект</x:v>
      </x:c>
      <x:c r="P636" s="28" t="str">
        <x:v>Оба компонента формируют сладкий, умеренно кислый и растительный, иногда умами контур; сахар, кислота и горечь должны быть выровнены дегустацией.</x:v>
      </x:c>
      <x:c r="Q636" s="28" t="str">
        <x:v>Специфического тройничного эффекта обычно нет; кислотность усиливает слюноотделение.</x:v>
      </x:c>
      <x:c r="R636" s="28" t="str">
        <x:v>Ягода: нежнее кислой вишни; легко становится приторной.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63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63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зелёный, землистый, сернистый. Оба компонента формируют сладкий, умеренно кислый и растительный, иногда умами контур; сахар, кислота и горечь должны быть выровнены дегустацией. Ягода: нежнее кислой вишни; легко становится приторной.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636" s="28" t="str">
        <x:v>Не использовать повреждённые косточки без валидированной технологии: они содержат цианогенные гликозиды.</x:v>
      </x:c>
      <x:c r="V636" s="28" t="str">
        <x:v>уксус или мягкий сыр</x:v>
      </x:c>
      <x:c r="W636" s="28" t="str">
        <x:v>соус, глазировка, салат, сырная подача или горячее блюдо; маринад, гастрик, чатни, кетчуп или редукция</x:v>
      </x:c>
      <x:c r="X636" s="28" t="str">
        <x:v>еда; соусы/маринады</x:v>
      </x:c>
      <x:c r="Y636" s="28" t="str">
        <x:v>Средняя</x:v>
      </x:c>
      <x:c r="Z636" s="28" t="str">
        <x:v>The Art &amp; Science of Foodpairing</x:v>
      </x:c>
      <x:c r="AA636" s="28" t="str">
        <x:v>The Art &amp; Science of Foodpairing: 193</x:v>
      </x:c>
      <x:c r="AB636" s="28" t="str">
        <x:v>Ingredient pairings with Truffle: sweet cherry | Ingredient pairings with Truffle: sweet cherry</x:v>
      </x:c>
      <x:c r="AC636" s="28" t="n">
        <x:v>1</x:v>
      </x:c>
      <x:c r="AD636" s="28" t="n">
        <x:v>2</x:v>
      </x:c>
    </x:row>
    <x:row r="637" ht="58" customHeight="1">
      <x:c r="A637" s="28" t="str">
        <x:v>BER-0636</x:v>
      </x:c>
      <x:c r="B637" s="28" t="str">
        <x:v>Еда и соусы</x:v>
      </x:c>
      <x:c r="C637" s="28" t="str">
        <x:v>черешня</x:v>
      </x:c>
      <x:c r="D637" s="28" t="str">
        <x:v>sweet cherry</x:v>
      </x:c>
      <x:c r="E637" s="28" t="str">
        <x:v>Ягоды и производные</x:v>
      </x:c>
      <x:c r="F637" s="28" t="str">
        <x:v>устрица</x:v>
      </x:c>
      <x:c r="G637" s="28" t="str">
        <x:v>Oyster</x:v>
      </x:c>
      <x:c r="H637" s="28" t="str">
        <x:v>Рыба и морепродукты</x:v>
      </x:c>
      <x:c r="I637" s="28" t="str">
        <x:v>миндальный, сладко-фруктовый, цветочный</x:v>
      </x:c>
      <x:c r="J637" s="28" t="str">
        <x:v>жирный, морской, умами</x:v>
      </x:c>
      <x:c r="K637" s="28" t="str">
        <x:v>бензальдегид, бета-дамасценон, эфиры</x:v>
      </x:c>
      <x:c r="L637" s="28" t="str">
        <x:v>альдегиды, амины, сернистые соединения</x:v>
      </x:c>
      <x:c r="M637" s="28" t="str">
        <x:v>прямое совпадение семейств не установлено</x:v>
      </x:c>
      <x:c r="N637" s="28" t="str">
        <x:v>не подтверждены; механизм не сводится к одной общей молекуле</x:v>
      </x:c>
      <x:c r="O637" s="28" t="str">
        <x:v>контраст/комплементарность + матричный эффект</x:v>
      </x:c>
      <x:c r="P637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637" s="28" t="str">
        <x:v>Специфического тройничного эффекта обычно нет; кислотность усиливает слюноотделение.</x:v>
      </x:c>
      <x:c r="R637" s="28" t="str">
        <x:v>Белок и жир смягчают кислоту; ягодный соус должен сохранять достаточную концентрацию и соль.</x:v>
      </x:c>
      <x:c r="S63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63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637" s="28" t="str">
        <x:v>Не использовать повреждённые косточки без валидированной технологии: они содержат цианогенные гликозиды.</x:v>
      </x:c>
      <x:c r="V637" s="28" t="str">
        <x:v>цитрус или огурец</x:v>
      </x:c>
      <x:c r="W637" s="28" t="str">
        <x:v>соус, глазировка, салат, сырная подача или горячее блюдо; маринад, гастрик, чатни, кетчуп или редукция</x:v>
      </x:c>
      <x:c r="X637" s="28" t="str">
        <x:v>еда; соусы/маринады</x:v>
      </x:c>
      <x:c r="Y637" s="28" t="str">
        <x:v>Средняя</x:v>
      </x:c>
      <x:c r="Z637" s="28" t="str">
        <x:v>The Art &amp; Science of Foodpairing</x:v>
      </x:c>
      <x:c r="AA637" s="28" t="str">
        <x:v>The Art &amp; Science of Foodpairing: 370</x:v>
      </x:c>
      <x:c r="AB637" s="28" t="str">
        <x:v>Ingredient pairings with Oyster: sweet cherry</x:v>
      </x:c>
      <x:c r="AC637" s="28" t="n">
        <x:v>1</x:v>
      </x:c>
      <x:c r="AD637" s="28" t="n">
        <x:v>1</x:v>
      </x:c>
    </x:row>
    <x:row r="638" ht="58" customHeight="1">
      <x:c r="A638" s="28" t="str">
        <x:v>BER-0637</x:v>
      </x:c>
      <x:c r="B638" s="28" t="str">
        <x:v>Универсальные</x:v>
      </x:c>
      <x:c r="C638" s="28" t="str">
        <x:v>чёрная смородина</x:v>
      </x:c>
      <x:c r="D638" s="28" t="str">
        <x:v>blackcurrant</x:v>
      </x:c>
      <x:c r="E638" s="28" t="str">
        <x:v>Ягоды и производные</x:v>
      </x:c>
      <x:c r="F638" s="28" t="str">
        <x:v>авокадо</x:v>
      </x:c>
      <x:c r="G638" s="28" t="str">
        <x:v>Avocado</x:v>
      </x:c>
      <x:c r="H638" s="28" t="str">
        <x:v>Прочее</x:v>
      </x:c>
      <x:c r="I638" s="28" t="str">
        <x:v>зелёный, листовой, сернистый, тёмно-фруктовый, цветочный</x:v>
      </x:c>
      <x:c r="J638" s="28" t="str">
        <x:v>комплексный</x:v>
      </x:c>
      <x:c r="K638" s="28" t="str">
        <x:v>3-меркаптогексанол, 3-меркаптогексилацетат, 4-метокси-2-метил-2-бутантиол, терпены</x:v>
      </x:c>
      <x:c r="L638" s="28" t="str">
        <x:v>нет надёжной конкретизации</x:v>
      </x:c>
      <x:c r="M638" s="28" t="str">
        <x:v>прямое совпадение семейств не установлено</x:v>
      </x:c>
      <x:c r="N638" s="28" t="str">
        <x:v>не подтверждены; механизм не сводится к одной общей молекуле</x:v>
      </x:c>
      <x:c r="O638" s="28" t="str">
        <x:v>контраст/комплементарность + матричный эффект</x:v>
      </x:c>
      <x:c r="P638" s="28" t="str">
        <x:v>Оба компонента формируют ярко-кислый, терпкий и зависит от ингредиента контур; сахар, кислота и горечь должны быть выровнены дегустацией.</x:v>
      </x:c>
      <x:c r="Q638" s="28" t="str">
        <x:v>Специфического тройничного эффекта обычно нет; кислотность усиливает слюноотделение.</x:v>
      </x:c>
      <x:c r="R638" s="28" t="str">
        <x:v>Ягода: следовые тиолы чрезвычайно мощные; передозировка даёт «кошачий» тон. Партнёр: механизм зависит от конкретного продукта. В воде аромат раскрывается быстрее, в жире и этаноле — дольше удерживается.</x:v>
      </x:c>
      <x:c r="S63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3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комплексный. Оба компонента формируют ярко-кислый, терпкий и зависит от ингредиента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38" s="28" t="str">
        <x:v>Тиольный профиль чёрной смородины легко доминирует и при избытке становится сернисто-«кошачьим».</x:v>
      </x:c>
      <x:c r="V638" s="28" t="str">
        <x:v>лимон или ваниль</x:v>
      </x:c>
      <x:c r="W638" s="28" t="str">
        <x:v>сенсорная проба в малой дозировке</x:v>
      </x:c>
      <x:c r="X638" s="28" t="str">
        <x:v>универсально</x:v>
      </x:c>
      <x:c r="Y638" s="28" t="str">
        <x:v>Средняя</x:v>
      </x:c>
      <x:c r="Z638" s="28" t="str">
        <x:v>The Art &amp; Science of Foodpairing</x:v>
      </x:c>
      <x:c r="AA638" s="28" t="str">
        <x:v>The Art &amp; Science of Foodpairing: 354</x:v>
      </x:c>
      <x:c r="AB638" s="28" t="str">
        <x:v>Ingredient pairings with Avocado: blackcurrant</x:v>
      </x:c>
      <x:c r="AC638" s="28" t="n">
        <x:v>1</x:v>
      </x:c>
      <x:c r="AD638" s="28" t="n">
        <x:v>1</x:v>
      </x:c>
    </x:row>
    <x:row r="639" ht="58" customHeight="1">
      <x:c r="A639" s="28" t="str">
        <x:v>BER-0638</x:v>
      </x:c>
      <x:c r="B639" s="28" t="str">
        <x:v>Универсальные</x:v>
      </x:c>
      <x:c r="C639" s="28" t="str">
        <x:v>чёрная смородина</x:v>
      </x:c>
      <x:c r="D639" s="28" t="str">
        <x:v>blackcurrant</x:v>
      </x:c>
      <x:c r="E639" s="28" t="str">
        <x:v>Ягоды и производные</x:v>
      </x:c>
      <x:c r="F639" s="28" t="str">
        <x:v>ананас</x:v>
      </x:c>
      <x:c r="G639" s="28" t="str">
        <x:v>Pineapple</x:v>
      </x:c>
      <x:c r="H639" s="28" t="str">
        <x:v>Фрукты</x:v>
      </x:c>
      <x:c r="I639" s="28" t="str">
        <x:v>зелёный, листовой, сернистый, тёмно-фруктовый, цветочный</x:v>
      </x:c>
      <x:c r="J639" s="28" t="str">
        <x:v>зелёный, фруктовый, цветочный</x:v>
      </x:c>
      <x:c r="K639" s="28" t="str">
        <x:v>3-меркаптогексанол, 3-меркаптогексилацетат, 4-метокси-2-метил-2-бутантиол, терпены</x:v>
      </x:c>
      <x:c r="L639" s="28" t="str">
        <x:v>лактоны, терпены, эфиры</x:v>
      </x:c>
      <x:c r="M639" s="28" t="str">
        <x:v>зелёный, цветочный</x:v>
      </x:c>
      <x:c r="N639" s="28" t="str">
        <x:v>терпены</x:v>
      </x:c>
      <x:c r="O639" s="28" t="str">
        <x:v>ароматическое сходство + вкусовой баланс</x:v>
      </x:c>
      <x:c r="P639" s="28" t="str">
        <x:v>Оба компонента формируют ярко-кислый, терпкий и сладко-кислый контур; сахар, кислота и горечь должны быть выровнены дегустацией.</x:v>
      </x:c>
      <x:c r="Q639" s="28" t="str">
        <x:v>Специфического тройничного эффекта обычно нет; кислотность усиливает слюноотделение.</x:v>
      </x:c>
      <x:c r="R639" s="28" t="str">
        <x:v>Ягода: следовые тиолы чрезвычайно мощные; передозировка даёт «кошачий» тон. Партнёр: водная фруктовая матрица. В воде аромат раскрывается быстрее, в жире и этаноле — дольше удерживается.</x:v>
      </x:c>
      <x:c r="S63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39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фруктовый, цветочный. Оба компонента формируют ярко-кислый, терпкий и сладко-кислый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39" s="28" t="str">
        <x:v>Тиольный профиль чёрной смородины легко доминирует и при избытке становится сернисто-«кошачьим».</x:v>
      </x:c>
      <x:c r="V639" s="28" t="str">
        <x:v>ваниль или лимон</x:v>
      </x:c>
      <x:c r="W63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639" s="28" t="str">
        <x:v>напитки; десерты</x:v>
      </x:c>
      <x:c r="Y639" s="28" t="str">
        <x:v>Средняя</x:v>
      </x:c>
      <x:c r="Z639" s="28" t="str">
        <x:v>The Art &amp; Science of Foodpairing</x:v>
      </x:c>
      <x:c r="AA639" s="28" t="str">
        <x:v>The Art &amp; Science of Foodpairing: 243</x:v>
      </x:c>
      <x:c r="AB639" s="28" t="str">
        <x:v>Ingredient pairings with Pineapple: blackcurrant | Ingredient pairings with Pineapple: blackcurrant</x:v>
      </x:c>
      <x:c r="AC639" s="28" t="n">
        <x:v>1</x:v>
      </x:c>
      <x:c r="AD639" s="28" t="n">
        <x:v>2</x:v>
      </x:c>
    </x:row>
    <x:row r="640" ht="58" customHeight="1">
      <x:c r="A640" s="28" t="str">
        <x:v>BER-0639</x:v>
      </x:c>
      <x:c r="B640" s="28" t="str">
        <x:v>Универсальные</x:v>
      </x:c>
      <x:c r="C640" s="28" t="str">
        <x:v>чёрная смородина</x:v>
      </x:c>
      <x:c r="D640" s="28" t="str">
        <x:v>Черная смородина | черная смородина</x:v>
      </x:c>
      <x:c r="E640" s="28" t="str">
        <x:v>Ягоды и производные</x:v>
      </x:c>
      <x:c r="F640" s="28" t="str">
        <x:v>анис</x:v>
      </x:c>
      <x:c r="G640" s="28" t="str">
        <x:v>Анис | анис</x:v>
      </x:c>
      <x:c r="H640" s="28" t="str">
        <x:v>Специи</x:v>
      </x:c>
      <x:c r="I640" s="28" t="str">
        <x:v>зелёный, листовой, сернистый, тёмно-фруктовый, цветочный</x:v>
      </x:c>
      <x:c r="J640" s="28" t="str">
        <x:v>древесный, пряный, тёплый</x:v>
      </x:c>
      <x:c r="K640" s="28" t="str">
        <x:v>3-меркаптогексанол, 3-меркаптогексилацетат, 4-метокси-2-метил-2-бутантиол, терпены</x:v>
      </x:c>
      <x:c r="L640" s="28" t="str">
        <x:v>коричный альдегид, терпены, эвгенол</x:v>
      </x:c>
      <x:c r="M640" s="28" t="str">
        <x:v>прямое совпадение семейств не установлено</x:v>
      </x:c>
      <x:c r="N640" s="28" t="str">
        <x:v>терпены</x:v>
      </x:c>
      <x:c r="O640" s="28" t="str">
        <x:v>ароматическое сходство + вкусовой баланс</x:v>
      </x:c>
      <x:c r="P640" s="28" t="str">
        <x:v>Ягодная сладость смягчает горечь и пряность, а кислотность делает пряный, иногда горький профиль ярче.</x:v>
      </x:c>
      <x:c r="Q640" s="28" t="str">
        <x:v>Специфического тройничного эффекта обычно нет; кислотность усиливает слюноотделение.</x:v>
      </x:c>
      <x:c r="R640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64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40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40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V640" s="28" t="str">
        <x:v>мёд или цитрус</x:v>
      </x:c>
      <x:c r="W64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640" s="28" t="str">
        <x:v>напитки; десерты; еда; соусы/маринады</x:v>
      </x:c>
      <x:c r="Y640" s="28" t="str">
        <x:v>Высокая</x:v>
      </x:c>
      <x:c r="Z640" s="28" t="str">
        <x:v>Тезариус вкусов</x:v>
      </x:c>
      <x:c r="AA640" s="28" t="str">
        <x:v>Тезариус вкусов: 488, 873</x:v>
      </x:c>
      <x:c r="AB640" s="28" t="str">
        <x:v>Анис и черная смородина. См. Черная См. роди- на и анис | Черная смородина и анис. В былые дни, когда ин- дустрия напитков еще не додумалась до того, чтобы смешивать сладкую бурду с наливками и потчевать ею тинейджеров, нам приходилось делать эту работу самим. Мы добавляли сок лайма в лагер, сок апель- сина – в джин, лимонад – в портвейн, а сок черной смородины абсолютно во все: пиво и смородина, сидр и смородина… Мы бы добавляли сок черной сморо- дины и в белое вино, как, по слухам, делали фран</x:v>
      </x:c>
      <x:c r="AC640" s="28" t="n">
        <x:v>1</x:v>
      </x:c>
      <x:c r="AD640" s="28" t="n">
        <x:v>2</x:v>
      </x:c>
    </x:row>
    <x:row r="641" ht="58" customHeight="1">
      <x:c r="A641" s="28" t="str">
        <x:v>BER-0640</x:v>
      </x:c>
      <x:c r="B641" s="28" t="str">
        <x:v>Универсальные</x:v>
      </x:c>
      <x:c r="C641" s="28" t="str">
        <x:v>чёрная смородина</x:v>
      </x:c>
      <x:c r="D641" s="28" t="str">
        <x:v>Черная смородина | черная смородина</x:v>
      </x:c>
      <x:c r="E641" s="28" t="str">
        <x:v>Ягоды и производные</x:v>
      </x:c>
      <x:c r="F641" s="28" t="str">
        <x:v>арахис</x:v>
      </x:c>
      <x:c r="G641" s="28" t="str">
        <x:v>Арахис | арахис | арахис)</x:v>
      </x:c>
      <x:c r="H641" s="28" t="str">
        <x:v>Прочее</x:v>
      </x:c>
      <x:c r="I641" s="28" t="str">
        <x:v>зелёный, листовой, сернистый, тёмно-фруктовый, цветочный</x:v>
      </x:c>
      <x:c r="J641" s="28" t="str">
        <x:v>комплексный</x:v>
      </x:c>
      <x:c r="K641" s="28" t="str">
        <x:v>3-меркаптогексанол, 3-меркаптогексилацетат, 4-метокси-2-метил-2-бутантиол, терпены</x:v>
      </x:c>
      <x:c r="L641" s="28" t="str">
        <x:v>нет надёжной конкретизации</x:v>
      </x:c>
      <x:c r="M641" s="28" t="str">
        <x:v>прямое совпадение семейств не установлено</x:v>
      </x:c>
      <x:c r="N641" s="28" t="str">
        <x:v>не подтверждены; механизм не сводится к одной общей молекуле</x:v>
      </x:c>
      <x:c r="O641" s="28" t="str">
        <x:v>контраст/комплементарность + матричный эффект</x:v>
      </x:c>
      <x:c r="P641" s="28" t="str">
        <x:v>Оба компонента формируют ярко-кислый, терпкий и зависит от ингредиента контур; сахар, кислота и горечь должны быть выровнены дегустацией.</x:v>
      </x:c>
      <x:c r="Q641" s="28" t="str">
        <x:v>Специфического тройничного эффекта обычно нет; кислотность усиливает слюноотделение.</x:v>
      </x:c>
      <x:c r="R641" s="28" t="str">
        <x:v>Ягода: следовые тиолы чрезвычайно мощные; передозировка даёт «кошачий» тон. Партнёр: механизм зависит от конкретного продукта. В воде аромат раскрывается быстрее, в жире и этаноле — дольше удерживается.</x:v>
      </x:c>
      <x:c r="S64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4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комплексный. Оба компонента формируют ярко-кислый, терпкий и зависит от ингредиента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41" s="28" t="str">
        <x:v>Тиольный профиль чёрной смородины легко доминирует и при избытке становится сернисто-«кошачьим».</x:v>
      </x:c>
      <x:c r="V641" s="28" t="str">
        <x:v>лимон или ваниль</x:v>
      </x:c>
      <x:c r="W641" s="28" t="str">
        <x:v>сенсорная проба в малой дозировке</x:v>
      </x:c>
      <x:c r="X641" s="28" t="str">
        <x:v>универсально</x:v>
      </x:c>
      <x:c r="Y641" s="28" t="str">
        <x:v>Высокая</x:v>
      </x:c>
      <x:c r="Z641" s="28" t="str">
        <x:v>Тезариус вкусов</x:v>
      </x:c>
      <x:c r="AA641" s="28" t="str">
        <x:v>Тезариус вкусов: 59, 665, 875</x:v>
      </x:c>
      <x:c r="AB641" s="28" t="str">
        <x:v>Арахис и черная смородина. См. Черная сморо- дина и арахис | Черная смородина и арахис). Такое желе делают из винограда сорта Конкорд (Concord), вкус которо- го мы в Великобритании знаем только по импортно- му соку либо по сладостям «со вкусом винограда». В силу этого дегустирование реального винограда пре- вращается в размышления о природе субъективности («Это? Виноград? Вы шутите?»). Я впервые попробо- вала виноград Конкорд в киоске на рынке, устроен- ном на Юнион-сквер в Нью-Йорке. «Боже мой!» – вот что подумала я тогда. Вкус винограда показался мне одновременно и очень примитивным, и очень изыс- канным, как у грошового леденца с сильным арома- том жасмина. Вернувшись домой, я сравнила впечат- ления | Черная смородина и арахис. Переезжая в США, я была готова к определенному культурному шоку, но что действительно застало меня врасплох – так это сэндвичи с арахисовым маслом и желе. И не са- ми по себе, а потому что они были сделаны с вино- градным, а иногда даже с клубничным джемом. К</x:v>
      </x:c>
      <x:c r="AC641" s="28" t="n">
        <x:v>1</x:v>
      </x:c>
      <x:c r="AD641" s="28" t="n">
        <x:v>3</x:v>
      </x:c>
    </x:row>
    <x:row r="642" ht="58" customHeight="1">
      <x:c r="A642" s="28" t="str">
        <x:v>BER-0641</x:v>
      </x:c>
      <x:c r="B642" s="28" t="str">
        <x:v>Универсальные</x:v>
      </x:c>
      <x:c r="C642" s="28" t="str">
        <x:v>чёрная смородина</x:v>
      </x:c>
      <x:c r="D642" s="28" t="str">
        <x:v>blackcurrant | Чёрная смородина</x:v>
      </x:c>
      <x:c r="E642" s="28" t="str">
        <x:v>Ягоды и производные</x:v>
      </x:c>
      <x:c r="F642" s="28" t="str">
        <x:v>базилик</x:v>
      </x:c>
      <x:c r="G642" s="28" t="str">
        <x:v>Basil | базилик</x:v>
      </x:c>
      <x:c r="H642" s="28" t="str">
        <x:v>Травы и цветы</x:v>
      </x:c>
      <x:c r="I642" s="28" t="str">
        <x:v>зелёный, листовой, сернистый, тёмно-фруктовый, цветочный</x:v>
      </x:c>
      <x:c r="J642" s="28" t="str">
        <x:v>зелёный, травянистый, цветочный</x:v>
      </x:c>
      <x:c r="K642" s="28" t="str">
        <x:v>3-меркаптогексанол, 3-меркаптогексилацетат, 4-метокси-2-метил-2-бутантиол, терпены</x:v>
      </x:c>
      <x:c r="L642" s="28" t="str">
        <x:v>гераниол, линалоол, терпены, эвгенол</x:v>
      </x:c>
      <x:c r="M642" s="28" t="str">
        <x:v>зелёный, цветочный</x:v>
      </x:c>
      <x:c r="N642" s="28" t="str">
        <x:v>терпены</x:v>
      </x:c>
      <x:c r="O642" s="28" t="str">
        <x:v>ароматическое сходство + вкусовой баланс</x:v>
      </x:c>
      <x:c r="P642" s="28" t="str">
        <x:v>Ягодная сладость смягчает горечь и пряность, а кислотность делает горьковатый, свежий профиль ярче.</x:v>
      </x:c>
      <x:c r="Q642" s="28" t="str">
        <x:v>Специфического тройничного эффекта обычно нет; кислотность усиливает слюноотделение.</x:v>
      </x:c>
      <x:c r="R642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64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42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42" s="28" t="str">
        <x:v>Тиольный профиль чёрной смородины легко доминирует и при избытке становится сернисто-«кошачьим».</x:v>
      </x:c>
      <x:c r="V642" s="28" t="str">
        <x:v>лимон или мёд</x:v>
      </x:c>
      <x:c r="W64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642" s="28" t="str">
        <x:v>напитки; еда; соусы/маринады</x:v>
      </x:c>
      <x:c r="Y642" s="28" t="str">
        <x:v>Высокая</x:v>
      </x:c>
      <x:c r="Z642" s="28" t="str">
        <x:v>The Art &amp; Science of Foodpairing; Таблица сочетаний</x:v>
      </x:c>
      <x:c r="AA642" s="28" t="str">
        <x:v>The Art &amp; Science of Foodpairing: 74; Таблица сочетаний: 2</x:v>
      </x:c>
      <x:c r="AB642" s="28" t="str">
        <x:v>Чёрная смородина: базилик | Ingredient pairings with Basil: blackcurrant</x:v>
      </x:c>
      <x:c r="AC642" s="28" t="n">
        <x:v>2</x:v>
      </x:c>
      <x:c r="AD642" s="28" t="n">
        <x:v>2</x:v>
      </x:c>
    </x:row>
    <x:row r="643" ht="58" customHeight="1">
      <x:c r="A643" s="28" t="str">
        <x:v>BER-0642</x:v>
      </x:c>
      <x:c r="B643" s="28" t="str">
        <x:v>Десерты и выпечка</x:v>
      </x:c>
      <x:c r="C643" s="28" t="str">
        <x:v>чёрная смородина</x:v>
      </x:c>
      <x:c r="D643" s="28" t="str">
        <x:v>blackcurrant</x:v>
      </x:c>
      <x:c r="E643" s="28" t="str">
        <x:v>Ягоды и производные</x:v>
      </x:c>
      <x:c r="F643" s="28" t="str">
        <x:v>голубой сыр</x:v>
      </x:c>
      <x:c r="G643" s="28" t="str">
        <x:v>Blue Cheese</x:v>
      </x:c>
      <x:c r="H643" s="28" t="str">
        <x:v>Молочные продукты и сыры</x:v>
      </x:c>
      <x:c r="I643" s="28" t="str">
        <x:v>зелёный, листовой, сернистый, тёмно-фруктовый, цветочный</x:v>
      </x:c>
      <x:c r="J643" s="28" t="str">
        <x:v>масляный, молочный, сливочный, сырный</x:v>
      </x:c>
      <x:c r="K643" s="28" t="str">
        <x:v>3-меркаптогексанол, 3-меркаптогексилацетат, 4-метокси-2-метил-2-бутантиол, терпены</x:v>
      </x:c>
      <x:c r="L643" s="28" t="str">
        <x:v>диацетил, жирные кислоты, лактоны</x:v>
      </x:c>
      <x:c r="M643" s="28" t="str">
        <x:v>прямое совпадение семейств не установлено</x:v>
      </x:c>
      <x:c r="N643" s="28" t="str">
        <x:v>не подтверждены; механизм не сводится к одной общей молекуле</x:v>
      </x:c>
      <x:c r="O643" s="28" t="str">
        <x:v>контраст/комплементарность + матричный эффект</x:v>
      </x:c>
      <x:c r="P643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643" s="28" t="str">
        <x:v>Специфического тройничного эффекта обычно нет; кислотность усиливает слюноотделение.</x:v>
      </x:c>
      <x:c r="R643" s="28" t="str">
        <x:v>Жировая фаза удерживает гидрофобные одоранты и продлевает послевкусие; кислотность ягод повышает слюноотделение.</x:v>
      </x:c>
      <x:c r="S64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64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643" s="28" t="str">
        <x:v>Тиольный профиль чёрной смородины легко доминирует и при избытке становится сернисто-«кошачьим». Высокая кислотность может свернуть молочный белок; смешивать при контролируемой температуре.</x:v>
      </x:c>
      <x:c r="V643" s="28" t="str">
        <x:v>мёд или миндаль</x:v>
      </x:c>
      <x:c r="W643" s="28" t="str">
        <x:v>сорбет, крем, ганаш, выпечка, джем или соус для десерта; соус, глазировка, салат, сырная подача или горячее блюдо</x:v>
      </x:c>
      <x:c r="X643" s="28" t="str">
        <x:v>десерты; еда</x:v>
      </x:c>
      <x:c r="Y643" s="28" t="str">
        <x:v>Средняя</x:v>
      </x:c>
      <x:c r="Z643" s="28" t="str">
        <x:v>The Art &amp; Science of Foodpairing</x:v>
      </x:c>
      <x:c r="AA643" s="28" t="str">
        <x:v>The Art &amp; Science of Foodpairing: 164</x:v>
      </x:c>
      <x:c r="AB643" s="28" t="str">
        <x:v>Ingredient pairings with Blue Cheese: blackcurrant | Ingredient pairings with Blue Cheese: blackcurrant</x:v>
      </x:c>
      <x:c r="AC643" s="28" t="n">
        <x:v>1</x:v>
      </x:c>
      <x:c r="AD643" s="28" t="n">
        <x:v>2</x:v>
      </x:c>
    </x:row>
    <x:row r="644" ht="58" customHeight="1">
      <x:c r="A644" s="28" t="str">
        <x:v>BER-0643</x:v>
      </x:c>
      <x:c r="B644" s="28" t="str">
        <x:v>Напитки</x:v>
      </x:c>
      <x:c r="C644" s="28" t="str">
        <x:v>чёрная смородина</x:v>
      </x:c>
      <x:c r="D644" s="28" t="str">
        <x:v>blackcurrant</x:v>
      </x:c>
      <x:c r="E644" s="28" t="str">
        <x:v>Ягоды и производные</x:v>
      </x:c>
      <x:c r="F644" s="28" t="str">
        <x:v>грейпфрут</x:v>
      </x:c>
      <x:c r="G644" s="28" t="str">
        <x:v>Grapefruit</x:v>
      </x:c>
      <x:c r="H644" s="28" t="str">
        <x:v>Цитрусовые</x:v>
      </x:c>
      <x:c r="I644" s="28" t="str">
        <x:v>зелёный, листовой, сернистый, тёмно-фруктовый, цветочный</x:v>
      </x:c>
      <x:c r="J644" s="28" t="str">
        <x:v>зелёный, цветочный, цитрусовый</x:v>
      </x:c>
      <x:c r="K644" s="28" t="str">
        <x:v>3-меркаптогексанол, 3-меркаптогексилацетат, 4-метокси-2-метил-2-бутантиол, терпены</x:v>
      </x:c>
      <x:c r="L644" s="28" t="str">
        <x:v>лимонен, линалоол, цитраль</x:v>
      </x:c>
      <x:c r="M644" s="28" t="str">
        <x:v>зелёный, цветочный</x:v>
      </x:c>
      <x:c r="N644" s="28" t="str">
        <x:v>не подтверждены; механизм не сводится к одной общей молекуле</x:v>
      </x:c>
      <x:c r="O644" s="28" t="str">
        <x:v>сходство ароматических семейств + комплементарность</x:v>
      </x:c>
      <x:c r="P644" s="28" t="str">
        <x:v>Оба компонента формируют ярко-кислый, терпкий и кислый, свежий контур; сахар, кислота и горечь должны быть выровнены дегустацией.</x:v>
      </x:c>
      <x:c r="Q644" s="28" t="str">
        <x:v>Специфического тройничного эффекта обычно нет; кислотность усиливает слюноотделение.</x:v>
      </x:c>
      <x:c r="R644" s="28" t="str">
        <x:v>Ягода: следовые тиолы чрезвычайно мощные; передозировка даёт «кошачий» тон. Партнёр: вода и эфирные масла; цедра гидрофобна. В воде аромат раскрывается быстрее, в жире и этаноле — дольше удерживается.</x:v>
      </x:c>
      <x:c r="S64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44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листовой, сернистый, тёмно-фруктовый, цветочный; партнёр — зелёный, цветочный, цитрусовый. Оба компонента формируют ярко-кислый, терпкий и кислый, свежий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44" s="28" t="str">
        <x:v>Тиольный профиль чёрной смородины легко доминирует и при избытке становится сернисто-«кошачьим».</x:v>
      </x:c>
      <x:c r="V644" s="28" t="str">
        <x:v>мёд или базилик</x:v>
      </x:c>
      <x:c r="W644" s="28" t="str">
        <x:v>кордиал, лимонад, чай, коктейль, настой или ферментированный напиток; маринад, гастрик, чатни, кетчуп или редукция</x:v>
      </x:c>
      <x:c r="X644" s="28" t="str">
        <x:v>напитки; соусы/маринады</x:v>
      </x:c>
      <x:c r="Y644" s="28" t="str">
        <x:v>Средняя</x:v>
      </x:c>
      <x:c r="Z644" s="28" t="str">
        <x:v>The Art &amp; Science of Foodpairing</x:v>
      </x:c>
      <x:c r="AA644" s="28" t="str">
        <x:v>The Art &amp; Science of Foodpairing: 359</x:v>
      </x:c>
      <x:c r="AB644" s="28" t="str">
        <x:v>Ingredient pairings with Grapefruit: blackcurrant</x:v>
      </x:c>
      <x:c r="AC644" s="28" t="n">
        <x:v>1</x:v>
      </x:c>
      <x:c r="AD644" s="28" t="n">
        <x:v>1</x:v>
      </x:c>
    </x:row>
    <x:row r="645" ht="58" customHeight="1">
      <x:c r="A645" s="28" t="str">
        <x:v>BER-0644</x:v>
      </x:c>
      <x:c r="B645" s="28" t="str">
        <x:v>Универсальные</x:v>
      </x:c>
      <x:c r="C645" s="28" t="str">
        <x:v>чёрная смородина</x:v>
      </x:c>
      <x:c r="D645" s="28" t="str">
        <x:v>Чёрная смородина</x:v>
      </x:c>
      <x:c r="E645" s="28" t="str">
        <x:v>Ягоды и производные</x:v>
      </x:c>
      <x:c r="F645" s="28" t="str">
        <x:v>груша</x:v>
      </x:c>
      <x:c r="G645" s="28" t="str">
        <x:v>груша</x:v>
      </x:c>
      <x:c r="H645" s="28" t="str">
        <x:v>Фрукты</x:v>
      </x:c>
      <x:c r="I645" s="28" t="str">
        <x:v>зелёный, листовой, сернистый, тёмно-фруктовый, цветочный</x:v>
      </x:c>
      <x:c r="J645" s="28" t="str">
        <x:v>зелёный, фруктовый, цветочный</x:v>
      </x:c>
      <x:c r="K645" s="28" t="str">
        <x:v>3-меркаптогексанол, 3-меркаптогексилацетат, 4-метокси-2-метил-2-бутантиол, терпены</x:v>
      </x:c>
      <x:c r="L645" s="28" t="str">
        <x:v>лактоны, терпены, эфиры</x:v>
      </x:c>
      <x:c r="M645" s="28" t="str">
        <x:v>зелёный, цветочный</x:v>
      </x:c>
      <x:c r="N645" s="28" t="str">
        <x:v>терпены</x:v>
      </x:c>
      <x:c r="O645" s="28" t="str">
        <x:v>ароматическое сходство + вкусовой баланс</x:v>
      </x:c>
      <x:c r="P645" s="28" t="str">
        <x:v>Оба компонента формируют ярко-кислый, терпкий и сладко-кислый контур; сахар, кислота и горечь должны быть выровнены дегустацией.</x:v>
      </x:c>
      <x:c r="Q645" s="28" t="str">
        <x:v>Специфического тройничного эффекта обычно нет; кислотность усиливает слюноотделение.</x:v>
      </x:c>
      <x:c r="R645" s="28" t="str">
        <x:v>Ягода: следовые тиолы чрезвычайно мощные; передозировка даёт «кошачий» тон. Партнёр: водная фруктовая матрица. В воде аромат раскрывается быстрее, в жире и этаноле — дольше удерживается.</x:v>
      </x:c>
      <x:c r="S64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45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фруктовый, цветочный. Оба компонента формируют ярко-кислый, терпкий и сладко-кислый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45" s="28" t="str">
        <x:v>Тиольный профиль чёрной смородины легко доминирует и при избытке становится сернисто-«кошачьим».</x:v>
      </x:c>
      <x:c r="V645" s="28" t="str">
        <x:v>ваниль или лимон</x:v>
      </x:c>
      <x:c r="W64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645" s="28" t="str">
        <x:v>напитки; десерты</x:v>
      </x:c>
      <x:c r="Y645" s="28" t="str">
        <x:v>Средняя</x:v>
      </x:c>
      <x:c r="Z645" s="28" t="str">
        <x:v>Таблица сочетаний</x:v>
      </x:c>
      <x:c r="AA645" s="28" t="str">
        <x:v>Таблица сочетаний: 2</x:v>
      </x:c>
      <x:c r="AB645" s="28" t="str">
        <x:v>Чёрная смородина: груша</x:v>
      </x:c>
      <x:c r="AC645" s="28" t="n">
        <x:v>1</x:v>
      </x:c>
      <x:c r="AD645" s="28" t="n">
        <x:v>1</x:v>
      </x:c>
    </x:row>
    <x:row r="646" ht="58" customHeight="1">
      <x:c r="A646" s="28" t="str">
        <x:v>BER-0645</x:v>
      </x:c>
      <x:c r="B646" s="28" t="str">
        <x:v>Напитки</x:v>
      </x:c>
      <x:c r="C646" s="28" t="str">
        <x:v>чёрная смородина</x:v>
      </x:c>
      <x:c r="D646" s="28" t="str">
        <x:v>blackcurrant</x:v>
      </x:c>
      <x:c r="E646" s="28" t="str">
        <x:v>Ягоды и производные</x:v>
      </x:c>
      <x:c r="F646" s="28" t="str">
        <x:v>джин</x:v>
      </x:c>
      <x:c r="G646" s="28" t="str">
        <x:v>Gin</x:v>
      </x:c>
      <x:c r="H646" s="28" t="str">
        <x:v>Алкогольные напитки</x:v>
      </x:c>
      <x:c r="I646" s="28" t="str">
        <x:v>зелёный, листовой, сернистый, тёмно-фруктовый, цветочный</x:v>
      </x:c>
      <x:c r="J646" s="28" t="str">
        <x:v>древесный, фруктовый, эфирный</x:v>
      </x:c>
      <x:c r="K646" s="28" t="str">
        <x:v>3-меркаптогексанол, 3-меркаптогексилацетат, 4-метокси-2-метил-2-бутантиол, терпены</x:v>
      </x:c>
      <x:c r="L646" s="28" t="str">
        <x:v>ванилин, дубовые лактоны, этиловые эфиры</x:v>
      </x:c>
      <x:c r="M646" s="28" t="str">
        <x:v>прямое совпадение семейств не установлено</x:v>
      </x:c>
      <x:c r="N646" s="28" t="str">
        <x:v>не подтверждены; механизм не сводится к одной общей молекуле</x:v>
      </x:c>
      <x:c r="O646" s="28" t="str">
        <x:v>контраст/комплементарность + матричный эффект</x:v>
      </x:c>
      <x:c r="P646" s="28" t="str">
        <x:v>Кисло-сладкий ягодный профиль балансирует крепость и возможную дубовую горечь напитка.</x:v>
      </x:c>
      <x:c r="Q646" s="28" t="str">
        <x:v>Специфического тройничного эффекта обычно нет; кислотность усиливает слюноотделение.</x:v>
      </x:c>
      <x:c r="R646" s="28" t="str">
        <x:v>Этанол усиливает извлечение гидрофобных терпенов, иононов и эфиров, но при высокой крепости может подчеркнуть резкость.</x:v>
      </x:c>
      <x:c r="S64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T64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U646" s="28" t="str">
        <x:v>Тиольный профиль чёрной смородины легко доминирует и при избытке становится сернисто-«кошачьим». Высокая крепость и избыток сахара маскируют свежесть и усиливают терпкость.</x:v>
      </x:c>
      <x:c r="V646" s="28" t="str">
        <x:v>цитрус или вермут</x:v>
      </x:c>
      <x:c r="W646" s="28" t="str">
        <x:v>кордиал, лимонад, чай, коктейль, настой или ферментированный напиток</x:v>
      </x:c>
      <x:c r="X646" s="28" t="str">
        <x:v>напитки</x:v>
      </x:c>
      <x:c r="Y646" s="28" t="str">
        <x:v>Средняя</x:v>
      </x:c>
      <x:c r="Z646" s="28" t="str">
        <x:v>The Art &amp; Science of Foodpairing</x:v>
      </x:c>
      <x:c r="AA646" s="28" t="str">
        <x:v>The Art &amp; Science of Foodpairing: 215</x:v>
      </x:c>
      <x:c r="AB646" s="28" t="str">
        <x:v>Ingredient pairings with Gin: blackcurrant</x:v>
      </x:c>
      <x:c r="AC646" s="28" t="n">
        <x:v>1</x:v>
      </x:c>
      <x:c r="AD646" s="28" t="n">
        <x:v>1</x:v>
      </x:c>
    </x:row>
    <x:row r="647" ht="58" customHeight="1">
      <x:c r="A647" s="28" t="str">
        <x:v>BER-0646</x:v>
      </x:c>
      <x:c r="B647" s="28" t="str">
        <x:v>Еда и соусы</x:v>
      </x:c>
      <x:c r="C647" s="28" t="str">
        <x:v>чёрная смородина</x:v>
      </x:c>
      <x:c r="D647" s="28" t="str">
        <x:v>blackcurrant</x:v>
      </x:c>
      <x:c r="E647" s="28" t="str">
        <x:v>Ягоды и производные</x:v>
      </x:c>
      <x:c r="F647" s="28" t="str">
        <x:v>зелёная фасоль</x:v>
      </x:c>
      <x:c r="G647" s="28" t="str">
        <x:v>Green Beans</x:v>
      </x:c>
      <x:c r="H647" s="28" t="str">
        <x:v>Овощи и грибы</x:v>
      </x:c>
      <x:c r="I647" s="28" t="str">
        <x:v>зелёный, листовой, сернистый, тёмно-фруктовый, цветочный</x:v>
      </x:c>
      <x:c r="J647" s="28" t="str">
        <x:v>зелёный, землистый, сернистый</x:v>
      </x:c>
      <x:c r="K647" s="28" t="str">
        <x:v>3-меркаптогексанол, 3-меркаптогексилацетат, 4-метокси-2-метил-2-бутантиол, терпены</x:v>
      </x:c>
      <x:c r="L647" s="28" t="str">
        <x:v>C6-альдегиды, пиразины, сернистые соединения</x:v>
      </x:c>
      <x:c r="M647" s="28" t="str">
        <x:v>зелёный, сернистый</x:v>
      </x:c>
      <x:c r="N647" s="28" t="str">
        <x:v>не подтверждены; механизм не сводится к одной общей молекуле</x:v>
      </x:c>
      <x:c r="O647" s="28" t="str">
        <x:v>сходство ароматических семейств + комплементарность</x:v>
      </x:c>
      <x:c r="P647" s="28" t="str">
        <x:v>Оба компонента формируют ярко-кислый, терпкий и растительный, иногда умами контур; сахар, кислота и горечь должны быть выровнены дегустацией.</x:v>
      </x:c>
      <x:c r="Q647" s="28" t="str">
        <x:v>Специфического тройничного эффекта обычно нет; кислотность усиливает слюноотделение.</x:v>
      </x:c>
      <x:c r="R647" s="28" t="str">
        <x:v>Ягода: следовые тиолы чрезвычайно мощные; передозировка даёт «кошачий» тон.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64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647" s="28" t="str">
        <x:v>Общие ароматические семейства: зелёный, сернистый; конкретная доля одорантов зависит от сорта и обработки. Ягодный компонент несёт семейства зелёный, листовой, сернистый, тёмно-фруктовый, цветочный; партнёр — зелёный, землистый, сернистый. Оба компонента формируют ярко-кислый, терпкий и растительный, иногда умами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647" s="28" t="str">
        <x:v>Тиольный профиль чёрной смородины легко доминирует и при избытке становится сернисто-«кошачьим».</x:v>
      </x:c>
      <x:c r="V647" s="28" t="str">
        <x:v>уксус или мягкий сыр</x:v>
      </x:c>
      <x:c r="W647" s="28" t="str">
        <x:v>соус, глазировка, салат, сырная подача или горячее блюдо; маринад, гастрик, чатни, кетчуп или редукция</x:v>
      </x:c>
      <x:c r="X647" s="28" t="str">
        <x:v>еда; соусы/маринады</x:v>
      </x:c>
      <x:c r="Y647" s="28" t="str">
        <x:v>Средняя</x:v>
      </x:c>
      <x:c r="Z647" s="28" t="str">
        <x:v>The Art &amp; Science of Foodpairing</x:v>
      </x:c>
      <x:c r="AA647" s="28" t="str">
        <x:v>The Art &amp; Science of Foodpairing: 321</x:v>
      </x:c>
      <x:c r="AB647" s="28" t="str">
        <x:v>Ingredient pairings with Green Beans: blackcurrant</x:v>
      </x:c>
      <x:c r="AC647" s="28" t="n">
        <x:v>1</x:v>
      </x:c>
      <x:c r="AD647" s="28" t="n">
        <x:v>1</x:v>
      </x:c>
    </x:row>
    <x:row r="648" ht="58" customHeight="1">
      <x:c r="A648" s="28" t="str">
        <x:v>BER-0647</x:v>
      </x:c>
      <x:c r="B648" s="28" t="str">
        <x:v>Универсальные</x:v>
      </x:c>
      <x:c r="C648" s="28" t="str">
        <x:v>чёрная смородина</x:v>
      </x:c>
      <x:c r="D648" s="28" t="str">
        <x:v>Чёрная смородина</x:v>
      </x:c>
      <x:c r="E648" s="28" t="str">
        <x:v>Ягоды и производные</x:v>
      </x:c>
      <x:c r="F648" s="28" t="str">
        <x:v>имбирь</x:v>
      </x:c>
      <x:c r="G648" s="28" t="str">
        <x:v>имбирь</x:v>
      </x:c>
      <x:c r="H648" s="28" t="str">
        <x:v>Специи</x:v>
      </x:c>
      <x:c r="I648" s="28" t="str">
        <x:v>зелёный, листовой, сернистый, тёмно-фруктовый, цветочный</x:v>
      </x:c>
      <x:c r="J648" s="28" t="str">
        <x:v>древесный, пряный, тёплый</x:v>
      </x:c>
      <x:c r="K648" s="28" t="str">
        <x:v>3-меркаптогексанол, 3-меркаптогексилацетат, 4-метокси-2-метил-2-бутантиол, терпены</x:v>
      </x:c>
      <x:c r="L648" s="28" t="str">
        <x:v>коричный альдегид, терпены, эвгенол</x:v>
      </x:c>
      <x:c r="M648" s="28" t="str">
        <x:v>прямое совпадение семейств не установлено</x:v>
      </x:c>
      <x:c r="N648" s="28" t="str">
        <x:v>терпены</x:v>
      </x:c>
      <x:c r="O648" s="28" t="str">
        <x:v>ароматическое сходство + вкусовой баланс</x:v>
      </x:c>
      <x:c r="P648" s="28" t="str">
        <x:v>Ягодная сладость смягчает горечь и пряность, а кислотность делает пряный, иногда горький профиль ярче.</x:v>
      </x:c>
      <x:c r="Q648" s="28" t="str">
        <x:v>Кислотность ягоды усиливает слюноотделение, а капсаицин/пиперин/гингеролы дают тепло и покалывание; дозировка должна быть низкой.</x:v>
      </x:c>
      <x:c r="R648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64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48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48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V648" s="28" t="str">
        <x:v>мёд или цитрус</x:v>
      </x:c>
      <x:c r="W64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648" s="28" t="str">
        <x:v>напитки; десерты; еда; соусы/маринады</x:v>
      </x:c>
      <x:c r="Y648" s="28" t="str">
        <x:v>Средняя</x:v>
      </x:c>
      <x:c r="Z648" s="28" t="str">
        <x:v>Таблица сочетаний</x:v>
      </x:c>
      <x:c r="AA648" s="28" t="str">
        <x:v>Таблица сочетаний: 2</x:v>
      </x:c>
      <x:c r="AB648" s="28" t="str">
        <x:v>Чёрная смородина: имбирь</x:v>
      </x:c>
      <x:c r="AC648" s="28" t="n">
        <x:v>1</x:v>
      </x:c>
      <x:c r="AD648" s="28" t="n">
        <x:v>1</x:v>
      </x:c>
    </x:row>
    <x:row r="649" ht="58" customHeight="1">
      <x:c r="A649" s="28" t="str">
        <x:v>BER-0648</x:v>
      </x:c>
      <x:c r="B649" s="28" t="str">
        <x:v>Универсальные</x:v>
      </x:c>
      <x:c r="C649" s="28" t="str">
        <x:v>чёрная смородина</x:v>
      </x:c>
      <x:c r="D649" s="28" t="str">
        <x:v>Чёрная смородина</x:v>
      </x:c>
      <x:c r="E649" s="28" t="str">
        <x:v>Ягоды и производные</x:v>
      </x:c>
      <x:c r="F649" s="28" t="str">
        <x:v>инжир</x:v>
      </x:c>
      <x:c r="G649" s="28" t="str">
        <x:v>инжир</x:v>
      </x:c>
      <x:c r="H649" s="28" t="str">
        <x:v>Фрукты</x:v>
      </x:c>
      <x:c r="I649" s="28" t="str">
        <x:v>зелёный, листовой, сернистый, тёмно-фруктовый, цветочный</x:v>
      </x:c>
      <x:c r="J649" s="28" t="str">
        <x:v>зелёный, фруктовый, цветочный</x:v>
      </x:c>
      <x:c r="K649" s="28" t="str">
        <x:v>3-меркаптогексанол, 3-меркаптогексилацетат, 4-метокси-2-метил-2-бутантиол, терпены</x:v>
      </x:c>
      <x:c r="L649" s="28" t="str">
        <x:v>лактоны, терпены, эфиры</x:v>
      </x:c>
      <x:c r="M649" s="28" t="str">
        <x:v>зелёный, цветочный</x:v>
      </x:c>
      <x:c r="N649" s="28" t="str">
        <x:v>терпены</x:v>
      </x:c>
      <x:c r="O649" s="28" t="str">
        <x:v>ароматическое сходство + вкусовой баланс</x:v>
      </x:c>
      <x:c r="P649" s="28" t="str">
        <x:v>Оба компонента формируют ярко-кислый, терпкий и сладко-кислый контур; сахар, кислота и горечь должны быть выровнены дегустацией.</x:v>
      </x:c>
      <x:c r="Q649" s="28" t="str">
        <x:v>Специфического тройничного эффекта обычно нет; кислотность усиливает слюноотделение.</x:v>
      </x:c>
      <x:c r="R649" s="28" t="str">
        <x:v>Ягода: следовые тиолы чрезвычайно мощные; передозировка даёт «кошачий» тон. Партнёр: водная фруктовая матрица. В воде аромат раскрывается быстрее, в жире и этаноле — дольше удерживается.</x:v>
      </x:c>
      <x:c r="S64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49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фруктовый, цветочный. Оба компонента формируют ярко-кислый, терпкий и сладко-кислый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49" s="28" t="str">
        <x:v>Тиольный профиль чёрной смородины легко доминирует и при избытке становится сернисто-«кошачьим».</x:v>
      </x:c>
      <x:c r="V649" s="28" t="str">
        <x:v>ваниль или лимон</x:v>
      </x:c>
      <x:c r="W64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649" s="28" t="str">
        <x:v>напитки; десерты</x:v>
      </x:c>
      <x:c r="Y649" s="28" t="str">
        <x:v>Средняя</x:v>
      </x:c>
      <x:c r="Z649" s="28" t="str">
        <x:v>Таблица сочетаний</x:v>
      </x:c>
      <x:c r="AA649" s="28" t="str">
        <x:v>Таблица сочетаний: 2</x:v>
      </x:c>
      <x:c r="AB649" s="28" t="str">
        <x:v>Чёрная смородина: инжир</x:v>
      </x:c>
      <x:c r="AC649" s="28" t="n">
        <x:v>1</x:v>
      </x:c>
      <x:c r="AD649" s="28" t="n">
        <x:v>1</x:v>
      </x:c>
    </x:row>
    <x:row r="650" ht="58" customHeight="1">
      <x:c r="A650" s="28" t="str">
        <x:v>BER-0649</x:v>
      </x:c>
      <x:c r="B650" s="28" t="str">
        <x:v>Десерты и выпечка</x:v>
      </x:c>
      <x:c r="C650" s="28" t="str">
        <x:v>чёрная смородина</x:v>
      </x:c>
      <x:c r="D650" s="28" t="str">
        <x:v>Черная смородина | черная смородина</x:v>
      </x:c>
      <x:c r="E650" s="28" t="str">
        <x:v>Ягоды и производные</x:v>
      </x:c>
      <x:c r="F650" s="28" t="str">
        <x:v>кофе</x:v>
      </x:c>
      <x:c r="G650" s="28" t="str">
        <x:v>Кофе | кофе</x:v>
      </x:c>
      <x:c r="H650" s="28" t="str">
        <x:v>Шоколад, кофе и жареные продукты</x:v>
      </x:c>
      <x:c r="I650" s="28" t="str">
        <x:v>зелёный, листовой, сернистый, тёмно-фруктовый, цветочный</x:v>
      </x:c>
      <x:c r="J650" s="28" t="str">
        <x:v>горький, жареный, карамельный, ореховый</x:v>
      </x:c>
      <x:c r="K650" s="28" t="str">
        <x:v>3-меркаптогексанол, 3-меркаптогексилацетат, 4-метокси-2-метил-2-бутантиол, терпены</x:v>
      </x:c>
      <x:c r="L650" s="28" t="str">
        <x:v>ванилин, пиразины, фураны</x:v>
      </x:c>
      <x:c r="M650" s="28" t="str">
        <x:v>прямое совпадение семейств не установлено</x:v>
      </x:c>
      <x:c r="N650" s="28" t="str">
        <x:v>не подтверждены; механизм не сводится к одной общей молекуле</x:v>
      </x:c>
      <x:c r="O650" s="28" t="str">
        <x:v>контраст/комплементарность + матричный эффект</x:v>
      </x:c>
      <x:c r="P650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650" s="28" t="str">
        <x:v>Специфического тройничного эффекта обычно нет; кислотность усиливает слюноотделение.</x:v>
      </x:c>
      <x:c r="R650" s="28" t="str">
        <x:v>Жировая фаза удерживает гидрофобные одоранты и продлевает послевкусие; кислотность ягод повышает слюноотделение.</x:v>
      </x:c>
      <x:c r="S65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5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50" s="28" t="str">
        <x:v>Тиольный профиль чёрной смородины легко доминирует и при избытке становится сернисто-«кошачьим».</x:v>
      </x:c>
      <x:c r="V650" s="28" t="str">
        <x:v>ваниль или орехи</x:v>
      </x:c>
      <x:c r="W650" s="28" t="str">
        <x:v>сорбет, крем, ганаш, выпечка, джем или соус для десерта</x:v>
      </x:c>
      <x:c r="X650" s="28" t="str">
        <x:v>десерты</x:v>
      </x:c>
      <x:c r="Y650" s="28" t="str">
        <x:v>Высокая</x:v>
      </x:c>
      <x:c r="Z650" s="28" t="str">
        <x:v>Тезариус вкусов</x:v>
      </x:c>
      <x:c r="AA650" s="28" t="str">
        <x:v>Тезариус вкусов: 48, 877</x:v>
      </x:c>
      <x:c r="AB650" s="28" t="str">
        <x:v>Кофе и черная смородина. На удивление хоро- шая пара, которую часто упоминают на дегустациях вин. Существует даже редкий сорт черного виногра- да Лагрейн (Lagrein), рожденный в Итальянских Аль- пах, который после винификации дает продукт с обо- ими этими вкусами. Я встретилась с ним на границе с Верхней Савойей, пробуя божественный десерт ва- шерен глясе (vacherin glacé). Слои безе, сорбе из чер- ной смородины, взбитых сливок и кофейного моро- женого, посыпанного поджаренным миндалем, – это самый нежный десерт, который я пробовала в сво- ей жизни! При этом вкус кофе был реальным вкусом только что смолотых зерен, а вкус черной смородины намека | Черная смородина и кофе. См. Кофе и черная См. родина</x:v>
      </x:c>
      <x:c r="AC650" s="28" t="n">
        <x:v>1</x:v>
      </x:c>
      <x:c r="AD650" s="28" t="n">
        <x:v>2</x:v>
      </x:c>
    </x:row>
    <x:row r="651" ht="58" customHeight="1">
      <x:c r="A651" s="28" t="str">
        <x:v>BER-0650</x:v>
      </x:c>
      <x:c r="B651" s="28" t="str">
        <x:v>Универсальные</x:v>
      </x:c>
      <x:c r="C651" s="28" t="str">
        <x:v>чёрная смородина</x:v>
      </x:c>
      <x:c r="D651" s="28" t="str">
        <x:v>blackcurrant</x:v>
      </x:c>
      <x:c r="E651" s="28" t="str">
        <x:v>Ягоды и производные</x:v>
      </x:c>
      <x:c r="F651" s="28" t="str">
        <x:v>красный сладкий перец</x:v>
      </x:c>
      <x:c r="G651" s="28" t="str">
        <x:v>Red Bell Pepper</x:v>
      </x:c>
      <x:c r="H651" s="28" t="str">
        <x:v>Специи</x:v>
      </x:c>
      <x:c r="I651" s="28" t="str">
        <x:v>зелёный, листовой, сернистый, тёмно-фруктовый, цветочный</x:v>
      </x:c>
      <x:c r="J651" s="28" t="str">
        <x:v>древесный, пряный, тёплый</x:v>
      </x:c>
      <x:c r="K651" s="28" t="str">
        <x:v>3-меркаптогексанол, 3-меркаптогексилацетат, 4-метокси-2-метил-2-бутантиол, терпены</x:v>
      </x:c>
      <x:c r="L651" s="28" t="str">
        <x:v>коричный альдегид, терпены, эвгенол</x:v>
      </x:c>
      <x:c r="M651" s="28" t="str">
        <x:v>прямое совпадение семейств не установлено</x:v>
      </x:c>
      <x:c r="N651" s="28" t="str">
        <x:v>терпены</x:v>
      </x:c>
      <x:c r="O651" s="28" t="str">
        <x:v>ароматическое сходство + вкусовой баланс</x:v>
      </x:c>
      <x:c r="P651" s="28" t="str">
        <x:v>Ягодная сладость смягчает горечь и пряность, а кислотность делает пряный, иногда горький профиль ярче.</x:v>
      </x:c>
      <x:c r="Q651" s="28" t="str">
        <x:v>Специфического тройничного эффекта обычно нет; кислотность усиливает слюноотделение.</x:v>
      </x:c>
      <x:c r="R651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65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51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51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V651" s="28" t="str">
        <x:v>мёд или цитрус</x:v>
      </x:c>
      <x:c r="W65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651" s="28" t="str">
        <x:v>напитки; десерты; еда; соусы/маринады</x:v>
      </x:c>
      <x:c r="Y651" s="28" t="str">
        <x:v>Средняя</x:v>
      </x:c>
      <x:c r="Z651" s="28" t="str">
        <x:v>The Art &amp; Science of Foodpairing</x:v>
      </x:c>
      <x:c r="AA651" s="28" t="str">
        <x:v>The Art &amp; Science of Foodpairing: 109</x:v>
      </x:c>
      <x:c r="AB651" s="28" t="str">
        <x:v>Ingredient pairings with Red Bell Pepper: blackcurrant</x:v>
      </x:c>
      <x:c r="AC651" s="28" t="n">
        <x:v>1</x:v>
      </x:c>
      <x:c r="AD651" s="28" t="n">
        <x:v>1</x:v>
      </x:c>
    </x:row>
    <x:row r="652" ht="58" customHeight="1">
      <x:c r="A652" s="28" t="str">
        <x:v>BER-0651</x:v>
      </x:c>
      <x:c r="B652" s="28" t="str">
        <x:v>Напитки</x:v>
      </x:c>
      <x:c r="C652" s="28" t="str">
        <x:v>чёрная смородина</x:v>
      </x:c>
      <x:c r="D652" s="28" t="str">
        <x:v>blackcurrant</x:v>
      </x:c>
      <x:c r="E652" s="28" t="str">
        <x:v>Ягоды и производные</x:v>
      </x:c>
      <x:c r="F652" s="28" t="str">
        <x:v>лимон и лайм</x:v>
      </x:c>
      <x:c r="G652" s="28" t="str">
        <x:v>Lemon&amp;Lime</x:v>
      </x:c>
      <x:c r="H652" s="28" t="str">
        <x:v>Цитрусовые</x:v>
      </x:c>
      <x:c r="I652" s="28" t="str">
        <x:v>зелёный, листовой, сернистый, тёмно-фруктовый, цветочный</x:v>
      </x:c>
      <x:c r="J652" s="28" t="str">
        <x:v>зелёный, цветочный, цитрусовый</x:v>
      </x:c>
      <x:c r="K652" s="28" t="str">
        <x:v>3-меркаптогексанол, 3-меркаптогексилацетат, 4-метокси-2-метил-2-бутантиол, терпены</x:v>
      </x:c>
      <x:c r="L652" s="28" t="str">
        <x:v>лимонен, линалоол, цитраль</x:v>
      </x:c>
      <x:c r="M652" s="28" t="str">
        <x:v>зелёный, цветочный</x:v>
      </x:c>
      <x:c r="N652" s="28" t="str">
        <x:v>не подтверждены; механизм не сводится к одной общей молекуле</x:v>
      </x:c>
      <x:c r="O652" s="28" t="str">
        <x:v>сходство ароматических семейств + комплементарность</x:v>
      </x:c>
      <x:c r="P652" s="28" t="str">
        <x:v>Оба компонента формируют ярко-кислый, терпкий и кислый, свежий контур; сахар, кислота и горечь должны быть выровнены дегустацией.</x:v>
      </x:c>
      <x:c r="Q652" s="28" t="str">
        <x:v>Специфического тройничного эффекта обычно нет; кислотность усиливает слюноотделение.</x:v>
      </x:c>
      <x:c r="R652" s="28" t="str">
        <x:v>Ягода: следовые тиолы чрезвычайно мощные; передозировка даёт «кошачий» тон. Партнёр: вода и эфирные масла; цедра гидрофобна. В воде аромат раскрывается быстрее, в жире и этаноле — дольше удерживается.</x:v>
      </x:c>
      <x:c r="S65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52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листовой, сернистый, тёмно-фруктовый, цветочный; партнёр — зелёный, цветочный, цитрусовый. Оба компонента формируют ярко-кислый, терпкий и кислый, свежий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52" s="28" t="str">
        <x:v>Тиольный профиль чёрной смородины легко доминирует и при избытке становится сернисто-«кошачьим».</x:v>
      </x:c>
      <x:c r="V652" s="28" t="str">
        <x:v>мёд или базилик</x:v>
      </x:c>
      <x:c r="W652" s="28" t="str">
        <x:v>кордиал, лимонад, чай, коктейль, настой или ферментированный напиток; маринад, гастрик, чатни, кетчуп или редукция</x:v>
      </x:c>
      <x:c r="X652" s="28" t="str">
        <x:v>напитки; соусы/маринады</x:v>
      </x:c>
      <x:c r="Y652" s="28" t="str">
        <x:v>Средняя</x:v>
      </x:c>
      <x:c r="Z652" s="28" t="str">
        <x:v>The Art &amp; Science of Foodpairing</x:v>
      </x:c>
      <x:c r="AA652" s="28" t="str">
        <x:v>The Art &amp; Science of Foodpairing: 87</x:v>
      </x:c>
      <x:c r="AB652" s="28" t="str">
        <x:v>Ingredient pairings with Lemon&amp;Lime: blackcurrant</x:v>
      </x:c>
      <x:c r="AC652" s="28" t="n">
        <x:v>1</x:v>
      </x:c>
      <x:c r="AD652" s="28" t="n">
        <x:v>1</x:v>
      </x:c>
    </x:row>
    <x:row r="653" ht="58" customHeight="1">
      <x:c r="A653" s="28" t="str">
        <x:v>BER-0652</x:v>
      </x:c>
      <x:c r="B653" s="28" t="str">
        <x:v>Универсальные</x:v>
      </x:c>
      <x:c r="C653" s="28" t="str">
        <x:v>чёрная смородина</x:v>
      </x:c>
      <x:c r="D653" s="28" t="str">
        <x:v>Чёрная смородина</x:v>
      </x:c>
      <x:c r="E653" s="28" t="str">
        <x:v>Ягоды и производные</x:v>
      </x:c>
      <x:c r="F653" s="28" t="str">
        <x:v>мёд</x:v>
      </x:c>
      <x:c r="G653" s="28" t="str">
        <x:v>мёд</x:v>
      </x:c>
      <x:c r="H653" s="28" t="str">
        <x:v>Прочее</x:v>
      </x:c>
      <x:c r="I653" s="28" t="str">
        <x:v>зелёный, листовой, сернистый, тёмно-фруктовый, цветочный</x:v>
      </x:c>
      <x:c r="J653" s="28" t="str">
        <x:v>комплексный</x:v>
      </x:c>
      <x:c r="K653" s="28" t="str">
        <x:v>3-меркаптогексанол, 3-меркаптогексилацетат, 4-метокси-2-метил-2-бутантиол, терпены</x:v>
      </x:c>
      <x:c r="L653" s="28" t="str">
        <x:v>нет надёжной конкретизации</x:v>
      </x:c>
      <x:c r="M653" s="28" t="str">
        <x:v>прямое совпадение семейств не установлено</x:v>
      </x:c>
      <x:c r="N653" s="28" t="str">
        <x:v>не подтверждены; механизм не сводится к одной общей молекуле</x:v>
      </x:c>
      <x:c r="O653" s="28" t="str">
        <x:v>контраст/комплементарность + матричный эффект</x:v>
      </x:c>
      <x:c r="P653" s="28" t="str">
        <x:v>Оба компонента формируют ярко-кислый, терпкий и зависит от ингредиента контур; сахар, кислота и горечь должны быть выровнены дегустацией.</x:v>
      </x:c>
      <x:c r="Q653" s="28" t="str">
        <x:v>Специфического тройничного эффекта обычно нет; кислотность усиливает слюноотделение.</x:v>
      </x:c>
      <x:c r="R653" s="28" t="str">
        <x:v>Ягода: следовые тиолы чрезвычайно мощные; передозировка даёт «кошачий» тон. Партнёр: механизм зависит от конкретного продукта. В воде аромат раскрывается быстрее, в жире и этаноле — дольше удерживается.</x:v>
      </x:c>
      <x:c r="S65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5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комплексный. Оба компонента формируют ярко-кислый, терпкий и зависит от ингредиента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53" s="28" t="str">
        <x:v>Тиольный профиль чёрной смородины легко доминирует и при избытке становится сернисто-«кошачьим».</x:v>
      </x:c>
      <x:c r="V653" s="28" t="str">
        <x:v>лимон или ваниль</x:v>
      </x:c>
      <x:c r="W653" s="28" t="str">
        <x:v>сенсорная проба в малой дозировке</x:v>
      </x:c>
      <x:c r="X653" s="28" t="str">
        <x:v>универсально</x:v>
      </x:c>
      <x:c r="Y653" s="28" t="str">
        <x:v>Средняя</x:v>
      </x:c>
      <x:c r="Z653" s="28" t="str">
        <x:v>Таблица сочетаний</x:v>
      </x:c>
      <x:c r="AA653" s="28" t="str">
        <x:v>Таблица сочетаний: 2</x:v>
      </x:c>
      <x:c r="AB653" s="28" t="str">
        <x:v>Чёрная смородина: мёд</x:v>
      </x:c>
      <x:c r="AC653" s="28" t="n">
        <x:v>1</x:v>
      </x:c>
      <x:c r="AD653" s="28" t="n">
        <x:v>1</x:v>
      </x:c>
    </x:row>
    <x:row r="654" ht="58" customHeight="1">
      <x:c r="A654" s="28" t="str">
        <x:v>BER-0653</x:v>
      </x:c>
      <x:c r="B654" s="28" t="str">
        <x:v>Десерты и выпечка</x:v>
      </x:c>
      <x:c r="C654" s="28" t="str">
        <x:v>чёрная смородина</x:v>
      </x:c>
      <x:c r="D654" s="28" t="str">
        <x:v>Черная смородина | Чёрная смородина | черная смородина</x:v>
      </x:c>
      <x:c r="E654" s="28" t="str">
        <x:v>Ягоды и производные</x:v>
      </x:c>
      <x:c r="F654" s="28" t="str">
        <x:v>миндаль</x:v>
      </x:c>
      <x:c r="G654" s="28" t="str">
        <x:v>Миндаль | миндаль</x:v>
      </x:c>
      <x:c r="H654" s="28" t="str">
        <x:v>Орехи и семена</x:v>
      </x:c>
      <x:c r="I654" s="28" t="str">
        <x:v>зелёный, листовой, сернистый, тёмно-фруктовый, цветочный</x:v>
      </x:c>
      <x:c r="J654" s="28" t="str">
        <x:v>жареный, миндальный, ореховый</x:v>
      </x:c>
      <x:c r="K654" s="28" t="str">
        <x:v>3-меркаптогексанол, 3-меркаптогексилацетат, 4-метокси-2-метил-2-бутантиол, терпены</x:v>
      </x:c>
      <x:c r="L654" s="28" t="str">
        <x:v>бензальдегид, пиразины, фураны</x:v>
      </x:c>
      <x:c r="M654" s="28" t="str">
        <x:v>прямое совпадение семейств не установлено</x:v>
      </x:c>
      <x:c r="N654" s="28" t="str">
        <x:v>не подтверждены; механизм не сводится к одной общей молекуле</x:v>
      </x:c>
      <x:c r="O654" s="28" t="str">
        <x:v>контраст/комплементарность + матричный эффект</x:v>
      </x:c>
      <x:c r="P654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654" s="28" t="str">
        <x:v>Специфического тройничного эффекта обычно нет; кислотность усиливает слюноотделение.</x:v>
      </x:c>
      <x:c r="R654" s="28" t="str">
        <x:v>Жировая фаза удерживает гидрофобные одоранты и продлевает послевкусие; кислотность ягод повышает слюноотделение.</x:v>
      </x:c>
      <x:c r="S65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5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54" s="28" t="str">
        <x:v>Тиольный профиль чёрной смородины легко доминирует и при избытке становится сернисто-«кошачьим».</x:v>
      </x:c>
      <x:c r="V654" s="28" t="str">
        <x:v>ваниль или сливки</x:v>
      </x:c>
      <x:c r="W654" s="28" t="str">
        <x:v>сорбет, крем, ганаш, выпечка, джем или соус для десерта</x:v>
      </x:c>
      <x:c r="X654" s="28" t="str">
        <x:v>десерты</x:v>
      </x:c>
      <x:c r="Y654" s="28" t="str">
        <x:v>Высокая</x:v>
      </x:c>
      <x:c r="Z654" s="28" t="str">
        <x:v>Таблица сочетаний; Тезариус вкусов</x:v>
      </x:c>
      <x:c r="AA654" s="28" t="str">
        <x:v>Тезариус вкусов: 649, 877; Таблица сочетаний: 2</x:v>
      </x:c>
      <x:c r="AB654" s="28" t="str">
        <x:v>Миндаль и черная смородина. См. Черная См. родина и миндаль | Черная смородина и миндаль. Сара Рэйвен (Sarah Raven) приводит рецепт пирога с черной смо- родиной и миндалем, который хорошо «идет» как с пудингом, так и с послеобеденным чаем. Объем чер- ной смородины, используемой для пирога, может по- казаться небольшим, но это не так: вкус ягоды на- столько интенсивен, что было бы ошибкой класть ее больше. Вкус орехов получает поддержку со сторо- ны миндального экстракта, который к тому же прида- ет пирогу вкус марципана. Разотрите 200 г сливочного масла с таким же количеством сахарной пудры. Когда смесь станет бледной, добавьте три яйца, по одному зараз, и хорошо их разотрите. Всыпьте в смесь 200 г моло | Чёрная смородина: миндаль</x:v>
      </x:c>
      <x:c r="AC654" s="28" t="n">
        <x:v>2</x:v>
      </x:c>
      <x:c r="AD654" s="28" t="n">
        <x:v>3</x:v>
      </x:c>
    </x:row>
    <x:row r="655" ht="58" customHeight="1">
      <x:c r="A655" s="28" t="str">
        <x:v>BER-0654</x:v>
      </x:c>
      <x:c r="B655" s="28" t="str">
        <x:v>Универсальные</x:v>
      </x:c>
      <x:c r="C655" s="28" t="str">
        <x:v>чёрная смородина</x:v>
      </x:c>
      <x:c r="D655" s="28" t="str">
        <x:v>Черная смородина | черная смородина</x:v>
      </x:c>
      <x:c r="E655" s="28" t="str">
        <x:v>Ягоды и производные</x:v>
      </x:c>
      <x:c r="F655" s="28" t="str">
        <x:v>можжевельник</x:v>
      </x:c>
      <x:c r="G655" s="28" t="str">
        <x:v>Можжевельник | можжевельник</x:v>
      </x:c>
      <x:c r="H655" s="28" t="str">
        <x:v>Прочее</x:v>
      </x:c>
      <x:c r="I655" s="28" t="str">
        <x:v>зелёный, листовой, сернистый, тёмно-фруктовый, цветочный</x:v>
      </x:c>
      <x:c r="J655" s="28" t="str">
        <x:v>комплексный</x:v>
      </x:c>
      <x:c r="K655" s="28" t="str">
        <x:v>3-меркаптогексанол, 3-меркаптогексилацетат, 4-метокси-2-метил-2-бутантиол, терпены</x:v>
      </x:c>
      <x:c r="L655" s="28" t="str">
        <x:v>нет надёжной конкретизации</x:v>
      </x:c>
      <x:c r="M655" s="28" t="str">
        <x:v>прямое совпадение семейств не установлено</x:v>
      </x:c>
      <x:c r="N655" s="28" t="str">
        <x:v>не подтверждены; механизм не сводится к одной общей молекуле</x:v>
      </x:c>
      <x:c r="O655" s="28" t="str">
        <x:v>контраст/комплементарность + матричный эффект</x:v>
      </x:c>
      <x:c r="P655" s="28" t="str">
        <x:v>Оба компонента формируют ярко-кислый, терпкий и зависит от ингредиента контур; сахар, кислота и горечь должны быть выровнены дегустацией.</x:v>
      </x:c>
      <x:c r="Q655" s="28" t="str">
        <x:v>Специфического тройничного эффекта обычно нет; кислотность усиливает слюноотделение.</x:v>
      </x:c>
      <x:c r="R655" s="28" t="str">
        <x:v>Ягода: следовые тиолы чрезвычайно мощные; передозировка даёт «кошачий» тон. Партнёр: механизм зависит от конкретного продукта. В воде аромат раскрывается быстрее, в жире и этаноле — дольше удерживается.</x:v>
      </x:c>
      <x:c r="S65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5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комплексный. Оба компонента формируют ярко-кислый, терпкий и зависит от ингредиента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55" s="28" t="str">
        <x:v>Тиольный профиль чёрной смородины легко доминирует и при избытке становится сернисто-«кошачьим».</x:v>
      </x:c>
      <x:c r="V655" s="28" t="str">
        <x:v>лимон или ваниль</x:v>
      </x:c>
      <x:c r="W655" s="28" t="str">
        <x:v>сенсорная проба в малой дозировке</x:v>
      </x:c>
      <x:c r="X655" s="28" t="str">
        <x:v>универсально</x:v>
      </x:c>
      <x:c r="Y655" s="28" t="str">
        <x:v>Высокая</x:v>
      </x:c>
      <x:c r="Z655" s="28" t="str">
        <x:v>Тезариус вкусов</x:v>
      </x:c>
      <x:c r="AA655" s="28" t="str">
        <x:v>Тезариус вкусов: 853, 878</x:v>
      </x:c>
      <x:c r="AB655" s="28" t="str">
        <x:v>Можжевельник и черная смородина. См. Черная | Черная смородина и можжевельник. Как черная смородина, так и можжевельник – это распространен- ные в Северной Европе ягоды с сильным вкусом. Их сочетание, как правило, используется при приготов- лении соуса, который подается к темному мясу ди- чи. Из этих двух компонентов также делают хорошее вкусное желе, которое подают к темному мясу и зре- лому твердому сыру. Можно также настоять джин с черной смородиной и сахаром – получится мощный ликер. Более мягкие варианты предлагает компания Lindt, которая выпускает батончики из молочного шо- колада, заполненные шоколадным муссом и желе из черной смородины и можжевельника</x:v>
      </x:c>
      <x:c r="AC655" s="28" t="n">
        <x:v>1</x:v>
      </x:c>
      <x:c r="AD655" s="28" t="n">
        <x:v>2</x:v>
      </x:c>
    </x:row>
    <x:row r="656" ht="58" customHeight="1">
      <x:c r="A656" s="28" t="str">
        <x:v>BER-0655</x:v>
      </x:c>
      <x:c r="B656" s="28" t="str">
        <x:v>Еда и соусы</x:v>
      </x:c>
      <x:c r="C656" s="28" t="str">
        <x:v>чёрная смородина</x:v>
      </x:c>
      <x:c r="D656" s="28" t="str">
        <x:v>Чёрная смородина</x:v>
      </x:c>
      <x:c r="E656" s="28" t="str">
        <x:v>Ягоды и производные</x:v>
      </x:c>
      <x:c r="F656" s="28" t="str">
        <x:v>морковь</x:v>
      </x:c>
      <x:c r="G656" s="28" t="str">
        <x:v>морковь</x:v>
      </x:c>
      <x:c r="H656" s="28" t="str">
        <x:v>Овощи и грибы</x:v>
      </x:c>
      <x:c r="I656" s="28" t="str">
        <x:v>зелёный, листовой, сернистый, тёмно-фруктовый, цветочный</x:v>
      </x:c>
      <x:c r="J656" s="28" t="str">
        <x:v>зелёный, землистый, сернистый</x:v>
      </x:c>
      <x:c r="K656" s="28" t="str">
        <x:v>3-меркаптогексанол, 3-меркаптогексилацетат, 4-метокси-2-метил-2-бутантиол, терпены</x:v>
      </x:c>
      <x:c r="L656" s="28" t="str">
        <x:v>C6-альдегиды, пиразины, сернистые соединения</x:v>
      </x:c>
      <x:c r="M656" s="28" t="str">
        <x:v>зелёный, сернистый</x:v>
      </x:c>
      <x:c r="N656" s="28" t="str">
        <x:v>не подтверждены; механизм не сводится к одной общей молекуле</x:v>
      </x:c>
      <x:c r="O656" s="28" t="str">
        <x:v>сходство ароматических семейств + комплементарность</x:v>
      </x:c>
      <x:c r="P656" s="28" t="str">
        <x:v>Оба компонента формируют ярко-кислый, терпкий и растительный, иногда умами контур; сахар, кислота и горечь должны быть выровнены дегустацией.</x:v>
      </x:c>
      <x:c r="Q656" s="28" t="str">
        <x:v>Специфического тройничного эффекта обычно нет; кислотность усиливает слюноотделение.</x:v>
      </x:c>
      <x:c r="R656" s="28" t="str">
        <x:v>Ягода: следовые тиолы чрезвычайно мощные; передозировка даёт «кошачий» тон.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65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656" s="28" t="str">
        <x:v>Общие ароматические семейства: зелёный, сернистый; конкретная доля одорантов зависит от сорта и обработки. Ягодный компонент несёт семейства зелёный, листовой, сернистый, тёмно-фруктовый, цветочный; партнёр — зелёный, землистый, сернистый. Оба компонента формируют ярко-кислый, терпкий и растительный, иногда умами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656" s="28" t="str">
        <x:v>Тиольный профиль чёрной смородины легко доминирует и при избытке становится сернисто-«кошачьим».</x:v>
      </x:c>
      <x:c r="V656" s="28" t="str">
        <x:v>уксус или мягкий сыр</x:v>
      </x:c>
      <x:c r="W656" s="28" t="str">
        <x:v>соус, глазировка, салат, сырная подача или горячее блюдо; маринад, гастрик, чатни, кетчуп или редукция</x:v>
      </x:c>
      <x:c r="X656" s="28" t="str">
        <x:v>еда; соусы/маринады</x:v>
      </x:c>
      <x:c r="Y656" s="28" t="str">
        <x:v>Средняя</x:v>
      </x:c>
      <x:c r="Z656" s="28" t="str">
        <x:v>Таблица сочетаний</x:v>
      </x:c>
      <x:c r="AA656" s="28" t="str">
        <x:v>Таблица сочетаний: 2</x:v>
      </x:c>
      <x:c r="AB656" s="28" t="str">
        <x:v>Чёрная смородина: морковь</x:v>
      </x:c>
      <x:c r="AC656" s="28" t="n">
        <x:v>1</x:v>
      </x:c>
      <x:c r="AD656" s="28" t="n">
        <x:v>1</x:v>
      </x:c>
    </x:row>
    <x:row r="657" ht="58" customHeight="1">
      <x:c r="A657" s="28" t="str">
        <x:v>BER-0656</x:v>
      </x:c>
      <x:c r="B657" s="28" t="str">
        <x:v>Десерты и выпечка</x:v>
      </x:c>
      <x:c r="C657" s="28" t="str">
        <x:v>чёрная смородина</x:v>
      </x:c>
      <x:c r="D657" s="28" t="str">
        <x:v>Черная смородина | черная смородина</x:v>
      </x:c>
      <x:c r="E657" s="28" t="str">
        <x:v>Ягоды и производные</x:v>
      </x:c>
      <x:c r="F657" s="28" t="str">
        <x:v>мягкий сыр</x:v>
      </x:c>
      <x:c r="G657" s="28" t="str">
        <x:v>Мягкий сыр | мягкий сыр</x:v>
      </x:c>
      <x:c r="H657" s="28" t="str">
        <x:v>Молочные продукты и сыры</x:v>
      </x:c>
      <x:c r="I657" s="28" t="str">
        <x:v>зелёный, листовой, сернистый, тёмно-фруктовый, цветочный</x:v>
      </x:c>
      <x:c r="J657" s="28" t="str">
        <x:v>масляный, молочный, сливочный, сырный</x:v>
      </x:c>
      <x:c r="K657" s="28" t="str">
        <x:v>3-меркаптогексанол, 3-меркаптогексилацетат, 4-метокси-2-метил-2-бутантиол, терпены</x:v>
      </x:c>
      <x:c r="L657" s="28" t="str">
        <x:v>диацетил, жирные кислоты, лактоны</x:v>
      </x:c>
      <x:c r="M657" s="28" t="str">
        <x:v>прямое совпадение семейств не установлено</x:v>
      </x:c>
      <x:c r="N657" s="28" t="str">
        <x:v>не подтверждены; механизм не сводится к одной общей молекуле</x:v>
      </x:c>
      <x:c r="O657" s="28" t="str">
        <x:v>контраст/комплементарность + матричный эффект</x:v>
      </x:c>
      <x:c r="P657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657" s="28" t="str">
        <x:v>Специфического тройничного эффекта обычно нет; кислотность усиливает слюноотделение.</x:v>
      </x:c>
      <x:c r="R657" s="28" t="str">
        <x:v>Жировая фаза удерживает гидрофобные одоранты и продлевает послевкусие; кислотность ягод повышает слюноотделение.</x:v>
      </x:c>
      <x:c r="S65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65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657" s="28" t="str">
        <x:v>Тиольный профиль чёрной смородины легко доминирует и при избытке становится сернисто-«кошачьим». Высокая кислотность может свернуть молочный белок; смешивать при контролируемой температуре.</x:v>
      </x:c>
      <x:c r="V657" s="28" t="str">
        <x:v>мёд или миндаль</x:v>
      </x:c>
      <x:c r="W657" s="28" t="str">
        <x:v>сорбет, крем, ганаш, выпечка, джем или соус для десерта; соус, глазировка, салат, сырная подача или горячее блюдо</x:v>
      </x:c>
      <x:c r="X657" s="28" t="str">
        <x:v>десерты; еда</x:v>
      </x:c>
      <x:c r="Y657" s="28" t="str">
        <x:v>Высокая</x:v>
      </x:c>
      <x:c r="Z657" s="28" t="str">
        <x:v>Тезариус вкусов</x:v>
      </x:c>
      <x:c r="AA657" s="28" t="str">
        <x:v>Тезариус вкусов: 188, 878</x:v>
      </x:c>
      <x:c r="AB657" s="28" t="str">
        <x:v>Мягкий сыр и черная смородина. Острая, горь- коватая смородина компенсирует приторную бархати- стость ватрушки с творогом. Если у вас нет време- ни делать свой собственный пирог или вы просто не хотите создавать беспорядок в холодильнике, то на- мажьте купленное для десерта печенье сливочным сыром и положите сверху немного джема из черной смородины. Пирог готов! Не экономьте сыр – вы долж- ны почувствовать, как зубы буквально погружаются в него… | Черная смородина и мягкий сыр. См. Мягкий сыр и черная См. родина</x:v>
      </x:c>
      <x:c r="AC657" s="28" t="n">
        <x:v>1</x:v>
      </x:c>
      <x:c r="AD657" s="28" t="n">
        <x:v>2</x:v>
      </x:c>
    </x:row>
    <x:row r="658" ht="58" customHeight="1">
      <x:c r="A658" s="28" t="str">
        <x:v>BER-0657</x:v>
      </x:c>
      <x:c r="B658" s="28" t="str">
        <x:v>Универсальные</x:v>
      </x:c>
      <x:c r="C658" s="28" t="str">
        <x:v>чёрная смородина</x:v>
      </x:c>
      <x:c r="D658" s="28" t="str">
        <x:v>Черная смородина | Чёрная смородина | черная смородина</x:v>
      </x:c>
      <x:c r="E658" s="28" t="str">
        <x:v>Ягоды и производные</x:v>
      </x:c>
      <x:c r="F658" s="28" t="str">
        <x:v>мята</x:v>
      </x:c>
      <x:c r="G658" s="28" t="str">
        <x:v>Мята | мята</x:v>
      </x:c>
      <x:c r="H658" s="28" t="str">
        <x:v>Травы и цветы</x:v>
      </x:c>
      <x:c r="I658" s="28" t="str">
        <x:v>зелёный, листовой, сернистый, тёмно-фруктовый, цветочный</x:v>
      </x:c>
      <x:c r="J658" s="28" t="str">
        <x:v>зелёный, травянистый, цветочный</x:v>
      </x:c>
      <x:c r="K658" s="28" t="str">
        <x:v>3-меркаптогексанол, 3-меркаптогексилацетат, 4-метокси-2-метил-2-бутантиол, терпены</x:v>
      </x:c>
      <x:c r="L658" s="28" t="str">
        <x:v>гераниол, линалоол, терпены, эвгенол</x:v>
      </x:c>
      <x:c r="M658" s="28" t="str">
        <x:v>зелёный, цветочный</x:v>
      </x:c>
      <x:c r="N658" s="28" t="str">
        <x:v>терпены</x:v>
      </x:c>
      <x:c r="O658" s="28" t="str">
        <x:v>ароматическое сходство + вкусовой баланс</x:v>
      </x:c>
      <x:c r="P658" s="28" t="str">
        <x:v>Ягодная сладость смягчает горечь и пряность, а кислотность делает горьковатый, свежий профиль ярче.</x:v>
      </x:c>
      <x:c r="Q658" s="28" t="str">
        <x:v>Специфического тройничного эффекта обычно нет; кислотность усиливает слюноотделение.</x:v>
      </x:c>
      <x:c r="R658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65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58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58" s="28" t="str">
        <x:v>Тиольный профиль чёрной смородины легко доминирует и при избытке становится сернисто-«кошачьим».</x:v>
      </x:c>
      <x:c r="V658" s="28" t="str">
        <x:v>лимон или мёд</x:v>
      </x:c>
      <x:c r="W65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658" s="28" t="str">
        <x:v>напитки; еда; соусы/маринады</x:v>
      </x:c>
      <x:c r="Y658" s="28" t="str">
        <x:v>Высокая</x:v>
      </x:c>
      <x:c r="Z658" s="28" t="str">
        <x:v>Таблица сочетаний; Тезариус вкусов</x:v>
      </x:c>
      <x:c r="AA658" s="28" t="str">
        <x:v>Тезариус вкусов: 870, 878; Таблица сочетаний: 2</x:v>
      </x:c>
      <x:c r="AB658" s="28" t="str">
        <x:v>Мята и черная смородина. Темный цвет, глубокий вкус и травяной аромат этой комбинации напоминает об одном из немногих лекарств от кашля, вкус кото- рых нам нравится. Объедините черную смородину с мятой в тарте-«перевертыше». Выложите порванные листья мяты на квадрат из слоеного теста размером 10 см, положите в центр полную столовую ложку дже- ма из черной смородины. Смочите края теста моло- ком, сложите тесто пополам по диагонали и прижми- те края друг к другу, чтобы запечатать «конверт». В верхней части проделайте ножом несколько неболь- ших щелей, а затем смажьте тесто молоком и при же- лании посыпьте сахаром. Выпекайте при 220 °C (от- метк | Черная смородина и мята. См. Мята и черная См. родина | Чёрная смородина: мята</x:v>
      </x:c>
      <x:c r="AC658" s="28" t="n">
        <x:v>2</x:v>
      </x:c>
      <x:c r="AD658" s="28" t="n">
        <x:v>3</x:v>
      </x:c>
    </x:row>
    <x:row r="659" ht="58" customHeight="1">
      <x:c r="A659" s="28" t="str">
        <x:v>BER-0658</x:v>
      </x:c>
      <x:c r="B659" s="28" t="str">
        <x:v>Еда и соусы</x:v>
      </x:c>
      <x:c r="C659" s="28" t="str">
        <x:v>чёрная смородина</x:v>
      </x:c>
      <x:c r="D659" s="28" t="str">
        <x:v>blackcurrant</x:v>
      </x:c>
      <x:c r="E659" s="28" t="str">
        <x:v>Ягоды и производные</x:v>
      </x:c>
      <x:c r="F659" s="28" t="str">
        <x:v>пармиджано-реджано</x:v>
      </x:c>
      <x:c r="G659" s="28" t="str">
        <x:v>Parmigiano-Reggiano</x:v>
      </x:c>
      <x:c r="H659" s="28" t="str">
        <x:v>Рыба и морепродукты</x:v>
      </x:c>
      <x:c r="I659" s="28" t="str">
        <x:v>зелёный, листовой, сернистый, тёмно-фруктовый, цветочный</x:v>
      </x:c>
      <x:c r="J659" s="28" t="str">
        <x:v>жирный, морской, умами</x:v>
      </x:c>
      <x:c r="K659" s="28" t="str">
        <x:v>3-меркаптогексанол, 3-меркаптогексилацетат, 4-метокси-2-метил-2-бутантиол, терпены</x:v>
      </x:c>
      <x:c r="L659" s="28" t="str">
        <x:v>альдегиды, амины, сернистые соединения</x:v>
      </x:c>
      <x:c r="M659" s="28" t="str">
        <x:v>прямое совпадение семейств не установлено</x:v>
      </x:c>
      <x:c r="N659" s="28" t="str">
        <x:v>не подтверждены; механизм не сводится к одной общей молекуле</x:v>
      </x:c>
      <x:c r="O659" s="28" t="str">
        <x:v>контраст/комплементарность + матричный эффект</x:v>
      </x:c>
      <x:c r="P659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659" s="28" t="str">
        <x:v>Специфического тройничного эффекта обычно нет; кислотность усиливает слюноотделение.</x:v>
      </x:c>
      <x:c r="R659" s="28" t="str">
        <x:v>Белок и жир смягчают кислоту; ягодный соус должен сохранять достаточную концентрацию и соль.</x:v>
      </x:c>
      <x:c r="S65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65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659" s="28" t="str">
        <x:v>Тиольный профиль чёрной смородины легко доминирует и при избытке становится сернисто-«кошачьим».</x:v>
      </x:c>
      <x:c r="V659" s="28" t="str">
        <x:v>цитрус или огурец</x:v>
      </x:c>
      <x:c r="W659" s="28" t="str">
        <x:v>соус, глазировка, салат, сырная подача или горячее блюдо; маринад, гастрик, чатни, кетчуп или редукция</x:v>
      </x:c>
      <x:c r="X659" s="28" t="str">
        <x:v>еда; соусы/маринады</x:v>
      </x:c>
      <x:c r="Y659" s="28" t="str">
        <x:v>Средняя</x:v>
      </x:c>
      <x:c r="Z659" s="28" t="str">
        <x:v>The Art &amp; Science of Foodpairing</x:v>
      </x:c>
      <x:c r="AA659" s="28" t="str">
        <x:v>The Art &amp; Science of Foodpairing: 282, 283</x:v>
      </x:c>
      <x:c r="AB659" s="28" t="str">
        <x:v>Ingredient pairings with Parmigiano-Reggiano: blackcurrant | Ingredient pairings with Parmigiano-Reggiano: blackcurrant | Ingredient pairings with Parmigiano-Reggiano: blackcurrant</x:v>
      </x:c>
      <x:c r="AC659" s="28" t="n">
        <x:v>1</x:v>
      </x:c>
      <x:c r="AD659" s="28" t="n">
        <x:v>3</x:v>
      </x:c>
    </x:row>
    <x:row r="660" ht="58" customHeight="1">
      <x:c r="A660" s="28" t="str">
        <x:v>BER-0659</x:v>
      </x:c>
      <x:c r="B660" s="28" t="str">
        <x:v>Универсальные</x:v>
      </x:c>
      <x:c r="C660" s="28" t="str">
        <x:v>чёрная смородина</x:v>
      </x:c>
      <x:c r="D660" s="28" t="str">
        <x:v>Чёрная смородина</x:v>
      </x:c>
      <x:c r="E660" s="28" t="str">
        <x:v>Ягоды и производные</x:v>
      </x:c>
      <x:c r="F660" s="28" t="str">
        <x:v>перец</x:v>
      </x:c>
      <x:c r="G660" s="28" t="str">
        <x:v>перец</x:v>
      </x:c>
      <x:c r="H660" s="28" t="str">
        <x:v>Специи</x:v>
      </x:c>
      <x:c r="I660" s="28" t="str">
        <x:v>зелёный, листовой, сернистый, тёмно-фруктовый, цветочный</x:v>
      </x:c>
      <x:c r="J660" s="28" t="str">
        <x:v>древесный, пряный, тёплый</x:v>
      </x:c>
      <x:c r="K660" s="28" t="str">
        <x:v>3-меркаптогексанол, 3-меркаптогексилацетат, 4-метокси-2-метил-2-бутантиол, терпены</x:v>
      </x:c>
      <x:c r="L660" s="28" t="str">
        <x:v>коричный альдегид, терпены, эвгенол</x:v>
      </x:c>
      <x:c r="M660" s="28" t="str">
        <x:v>прямое совпадение семейств не установлено</x:v>
      </x:c>
      <x:c r="N660" s="28" t="str">
        <x:v>терпены</x:v>
      </x:c>
      <x:c r="O660" s="28" t="str">
        <x:v>ароматическое сходство + вкусовой баланс</x:v>
      </x:c>
      <x:c r="P660" s="28" t="str">
        <x:v>Ягодная сладость смягчает горечь и пряность, а кислотность делает пряный, иногда горький профиль ярче.</x:v>
      </x:c>
      <x:c r="Q660" s="28" t="str">
        <x:v>Специфического тройничного эффекта обычно нет; кислотность усиливает слюноотделение.</x:v>
      </x:c>
      <x:c r="R660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66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60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60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V660" s="28" t="str">
        <x:v>мёд или цитрус</x:v>
      </x:c>
      <x:c r="W66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660" s="28" t="str">
        <x:v>напитки; десерты; еда; соусы/маринады</x:v>
      </x:c>
      <x:c r="Y660" s="28" t="str">
        <x:v>Средняя</x:v>
      </x:c>
      <x:c r="Z660" s="28" t="str">
        <x:v>Таблица сочетаний</x:v>
      </x:c>
      <x:c r="AA660" s="28" t="str">
        <x:v>Таблица сочетаний: 2</x:v>
      </x:c>
      <x:c r="AB660" s="28" t="str">
        <x:v>Чёрная смородина: перец</x:v>
      </x:c>
      <x:c r="AC660" s="28" t="n">
        <x:v>1</x:v>
      </x:c>
      <x:c r="AD660" s="28" t="n">
        <x:v>1</x:v>
      </x:c>
    </x:row>
    <x:row r="661" ht="58" customHeight="1">
      <x:c r="A661" s="28" t="str">
        <x:v>BER-0660</x:v>
      </x:c>
      <x:c r="B661" s="28" t="str">
        <x:v>Универсальные</x:v>
      </x:c>
      <x:c r="C661" s="28" t="str">
        <x:v>чёрная смородина</x:v>
      </x:c>
      <x:c r="D661" s="28" t="str">
        <x:v>Чёрная смородина</x:v>
      </x:c>
      <x:c r="E661" s="28" t="str">
        <x:v>Ягоды и производные</x:v>
      </x:c>
      <x:c r="F661" s="28" t="str">
        <x:v>персик</x:v>
      </x:c>
      <x:c r="G661" s="28" t="str">
        <x:v>персик</x:v>
      </x:c>
      <x:c r="H661" s="28" t="str">
        <x:v>Фрукты</x:v>
      </x:c>
      <x:c r="I661" s="28" t="str">
        <x:v>зелёный, листовой, сернистый, тёмно-фруктовый, цветочный</x:v>
      </x:c>
      <x:c r="J661" s="28" t="str">
        <x:v>зелёный, фруктовый, цветочный</x:v>
      </x:c>
      <x:c r="K661" s="28" t="str">
        <x:v>3-меркаптогексанол, 3-меркаптогексилацетат, 4-метокси-2-метил-2-бутантиол, терпены</x:v>
      </x:c>
      <x:c r="L661" s="28" t="str">
        <x:v>лактоны, терпены, эфиры</x:v>
      </x:c>
      <x:c r="M661" s="28" t="str">
        <x:v>зелёный, цветочный</x:v>
      </x:c>
      <x:c r="N661" s="28" t="str">
        <x:v>терпены</x:v>
      </x:c>
      <x:c r="O661" s="28" t="str">
        <x:v>ароматическое сходство + вкусовой баланс</x:v>
      </x:c>
      <x:c r="P661" s="28" t="str">
        <x:v>Оба компонента формируют ярко-кислый, терпкий и сладко-кислый контур; сахар, кислота и горечь должны быть выровнены дегустацией.</x:v>
      </x:c>
      <x:c r="Q661" s="28" t="str">
        <x:v>Специфического тройничного эффекта обычно нет; кислотность усиливает слюноотделение.</x:v>
      </x:c>
      <x:c r="R661" s="28" t="str">
        <x:v>Ягода: следовые тиолы чрезвычайно мощные; передозировка даёт «кошачий» тон. Партнёр: водная фруктовая матрица. В воде аромат раскрывается быстрее, в жире и этаноле — дольше удерживается.</x:v>
      </x:c>
      <x:c r="S66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61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фруктовый, цветочный. Оба компонента формируют ярко-кислый, терпкий и сладко-кислый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61" s="28" t="str">
        <x:v>Тиольный профиль чёрной смородины легко доминирует и при избытке становится сернисто-«кошачьим».</x:v>
      </x:c>
      <x:c r="V661" s="28" t="str">
        <x:v>ваниль или лимон</x:v>
      </x:c>
      <x:c r="W66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661" s="28" t="str">
        <x:v>напитки; десерты</x:v>
      </x:c>
      <x:c r="Y661" s="28" t="str">
        <x:v>Средняя</x:v>
      </x:c>
      <x:c r="Z661" s="28" t="str">
        <x:v>Таблица сочетаний</x:v>
      </x:c>
      <x:c r="AA661" s="28" t="str">
        <x:v>Таблица сочетаний: 2</x:v>
      </x:c>
      <x:c r="AB661" s="28" t="str">
        <x:v>Чёрная смородина: персик</x:v>
      </x:c>
      <x:c r="AC661" s="28" t="n">
        <x:v>1</x:v>
      </x:c>
      <x:c r="AD661" s="28" t="n">
        <x:v>1</x:v>
      </x:c>
    </x:row>
    <x:row r="662" ht="58" customHeight="1">
      <x:c r="A662" s="28" t="str">
        <x:v>BER-0661</x:v>
      </x:c>
      <x:c r="B662" s="28" t="str">
        <x:v>Универсальные</x:v>
      </x:c>
      <x:c r="C662" s="28" t="str">
        <x:v>чёрная смородина</x:v>
      </x:c>
      <x:c r="D662" s="28" t="str">
        <x:v>Чёрная смородина</x:v>
      </x:c>
      <x:c r="E662" s="28" t="str">
        <x:v>Ягоды и производные</x:v>
      </x:c>
      <x:c r="F662" s="28" t="str">
        <x:v>розмарин</x:v>
      </x:c>
      <x:c r="G662" s="28" t="str">
        <x:v>розмарин</x:v>
      </x:c>
      <x:c r="H662" s="28" t="str">
        <x:v>Травы и цветы</x:v>
      </x:c>
      <x:c r="I662" s="28" t="str">
        <x:v>зелёный, листовой, сернистый, тёмно-фруктовый, цветочный</x:v>
      </x:c>
      <x:c r="J662" s="28" t="str">
        <x:v>зелёный, травянистый, цветочный</x:v>
      </x:c>
      <x:c r="K662" s="28" t="str">
        <x:v>3-меркаптогексанол, 3-меркаптогексилацетат, 4-метокси-2-метил-2-бутантиол, терпены</x:v>
      </x:c>
      <x:c r="L662" s="28" t="str">
        <x:v>гераниол, линалоол, терпены, эвгенол</x:v>
      </x:c>
      <x:c r="M662" s="28" t="str">
        <x:v>зелёный, цветочный</x:v>
      </x:c>
      <x:c r="N662" s="28" t="str">
        <x:v>терпены</x:v>
      </x:c>
      <x:c r="O662" s="28" t="str">
        <x:v>ароматическое сходство + вкусовой баланс</x:v>
      </x:c>
      <x:c r="P662" s="28" t="str">
        <x:v>Ягодная сладость смягчает горечь и пряность, а кислотность делает горьковатый, свежий профиль ярче.</x:v>
      </x:c>
      <x:c r="Q662" s="28" t="str">
        <x:v>Специфического тройничного эффекта обычно нет; кислотность усиливает слюноотделение.</x:v>
      </x:c>
      <x:c r="R662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66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62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62" s="28" t="str">
        <x:v>Тиольный профиль чёрной смородины легко доминирует и при избытке становится сернисто-«кошачьим».</x:v>
      </x:c>
      <x:c r="V662" s="28" t="str">
        <x:v>лимон или мёд</x:v>
      </x:c>
      <x:c r="W66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662" s="28" t="str">
        <x:v>напитки; еда; соусы/маринады</x:v>
      </x:c>
      <x:c r="Y662" s="28" t="str">
        <x:v>Средняя</x:v>
      </x:c>
      <x:c r="Z662" s="28" t="str">
        <x:v>Таблица сочетаний</x:v>
      </x:c>
      <x:c r="AA662" s="28" t="str">
        <x:v>Таблица сочетаний: 2</x:v>
      </x:c>
      <x:c r="AB662" s="28" t="str">
        <x:v>Чёрная смородина: розмарин</x:v>
      </x:c>
      <x:c r="AC662" s="28" t="n">
        <x:v>1</x:v>
      </x:c>
      <x:c r="AD662" s="28" t="n">
        <x:v>1</x:v>
      </x:c>
    </x:row>
    <x:row r="663" ht="58" customHeight="1">
      <x:c r="A663" s="28" t="str">
        <x:v>BER-0662</x:v>
      </x:c>
      <x:c r="B663" s="28" t="str">
        <x:v>Еда и соусы</x:v>
      </x:c>
      <x:c r="C663" s="28" t="str">
        <x:v>чёрная смородина</x:v>
      </x:c>
      <x:c r="D663" s="28" t="str">
        <x:v>blackcurrant</x:v>
      </x:c>
      <x:c r="E663" s="28" t="str">
        <x:v>Ягоды и производные</x:v>
      </x:c>
      <x:c r="F663" s="28" t="str">
        <x:v>рыба</x:v>
      </x:c>
      <x:c r="G663" s="28" t="str">
        <x:v>Fish</x:v>
      </x:c>
      <x:c r="H663" s="28" t="str">
        <x:v>Рыба и морепродукты</x:v>
      </x:c>
      <x:c r="I663" s="28" t="str">
        <x:v>зелёный, листовой, сернистый, тёмно-фруктовый, цветочный</x:v>
      </x:c>
      <x:c r="J663" s="28" t="str">
        <x:v>жирный, морской, умами</x:v>
      </x:c>
      <x:c r="K663" s="28" t="str">
        <x:v>3-меркаптогексанол, 3-меркаптогексилацетат, 4-метокси-2-метил-2-бутантиол, терпены</x:v>
      </x:c>
      <x:c r="L663" s="28" t="str">
        <x:v>альдегиды, амины, сернистые соединения</x:v>
      </x:c>
      <x:c r="M663" s="28" t="str">
        <x:v>прямое совпадение семейств не установлено</x:v>
      </x:c>
      <x:c r="N663" s="28" t="str">
        <x:v>не подтверждены; механизм не сводится к одной общей молекуле</x:v>
      </x:c>
      <x:c r="O663" s="28" t="str">
        <x:v>контраст/комплементарность + матричный эффект</x:v>
      </x:c>
      <x:c r="P663" s="28" t="str">
        <x:v>Кислота и фруктовая терпкость создают контраст к умами и жиру; небольшая сладость поддерживает реакционные жареные ноты.</x:v>
      </x:c>
      <x:c r="Q663" s="28" t="str">
        <x:v>Специфического тройничного эффекта обычно нет; кислотность усиливает слюноотделение.</x:v>
      </x:c>
      <x:c r="R663" s="28" t="str">
        <x:v>Белок и жир смягчают кислоту; ягодный соус должен сохранять достаточную концентрацию и соль.</x:v>
      </x:c>
      <x:c r="S66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66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663" s="28" t="str">
        <x:v>Тиольный профиль чёрной смородины легко доминирует и при избытке становится сернисто-«кошачьим».</x:v>
      </x:c>
      <x:c r="V663" s="28" t="str">
        <x:v>цитрус или огурец</x:v>
      </x:c>
      <x:c r="W663" s="28" t="str">
        <x:v>соус, глазировка, салат, сырная подача или горячее блюдо; маринад, гастрик, чатни, кетчуп или редукция</x:v>
      </x:c>
      <x:c r="X663" s="28" t="str">
        <x:v>еда; соусы/маринады</x:v>
      </x:c>
      <x:c r="Y663" s="28" t="str">
        <x:v>Средняя</x:v>
      </x:c>
      <x:c r="Z663" s="28" t="str">
        <x:v>The Art &amp; Science of Foodpairing</x:v>
      </x:c>
      <x:c r="AA663" s="28" t="str">
        <x:v>The Art &amp; Science of Foodpairing: 104</x:v>
      </x:c>
      <x:c r="AB663" s="28" t="str">
        <x:v>Ingredient pairings with Fish: blackcurrant</x:v>
      </x:c>
      <x:c r="AC663" s="28" t="n">
        <x:v>1</x:v>
      </x:c>
      <x:c r="AD663" s="28" t="n">
        <x:v>1</x:v>
      </x:c>
    </x:row>
    <x:row r="664" ht="58" customHeight="1">
      <x:c r="A664" s="28" t="str">
        <x:v>BER-0663</x:v>
      </x:c>
      <x:c r="B664" s="28" t="str">
        <x:v>Еда и соусы</x:v>
      </x:c>
      <x:c r="C664" s="28" t="str">
        <x:v>чёрная смородина</x:v>
      </x:c>
      <x:c r="D664" s="28" t="str">
        <x:v>blackcurrant</x:v>
      </x:c>
      <x:c r="E664" s="28" t="str">
        <x:v>Ягоды и производные</x:v>
      </x:c>
      <x:c r="F664" s="28" t="str">
        <x:v>свёкла</x:v>
      </x:c>
      <x:c r="G664" s="28" t="str">
        <x:v>Beetroot</x:v>
      </x:c>
      <x:c r="H664" s="28" t="str">
        <x:v>Овощи и грибы</x:v>
      </x:c>
      <x:c r="I664" s="28" t="str">
        <x:v>зелёный, листовой, сернистый, тёмно-фруктовый, цветочный</x:v>
      </x:c>
      <x:c r="J664" s="28" t="str">
        <x:v>зелёный, землистый, сернистый</x:v>
      </x:c>
      <x:c r="K664" s="28" t="str">
        <x:v>3-меркаптогексанол, 3-меркаптогексилацетат, 4-метокси-2-метил-2-бутантиол, терпены</x:v>
      </x:c>
      <x:c r="L664" s="28" t="str">
        <x:v>C6-альдегиды, пиразины, сернистые соединения</x:v>
      </x:c>
      <x:c r="M664" s="28" t="str">
        <x:v>зелёный, сернистый</x:v>
      </x:c>
      <x:c r="N664" s="28" t="str">
        <x:v>не подтверждены; механизм не сводится к одной общей молекуле</x:v>
      </x:c>
      <x:c r="O664" s="28" t="str">
        <x:v>сходство ароматических семейств + комплементарность</x:v>
      </x:c>
      <x:c r="P664" s="28" t="str">
        <x:v>Оба компонента формируют ярко-кислый, терпкий и растительный, иногда умами контур; сахар, кислота и горечь должны быть выровнены дегустацией.</x:v>
      </x:c>
      <x:c r="Q664" s="28" t="str">
        <x:v>Специфического тройничного эффекта обычно нет; кислотность усиливает слюноотделение.</x:v>
      </x:c>
      <x:c r="R664" s="28" t="str">
        <x:v>Ягода: следовые тиолы чрезвычайно мощные; передозировка даёт «кошачий» тон.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66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664" s="28" t="str">
        <x:v>Общие ароматические семейства: зелёный, сернистый; конкретная доля одорантов зависит от сорта и обработки. Ягодный компонент несёт семейства зелёный, листовой, сернистый, тёмно-фруктовый, цветочный; партнёр — зелёный, землистый, сернистый. Оба компонента формируют ярко-кислый, терпкий и растительный, иногда умами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664" s="28" t="str">
        <x:v>Тиольный профиль чёрной смородины легко доминирует и при избытке становится сернисто-«кошачьим».</x:v>
      </x:c>
      <x:c r="V664" s="28" t="str">
        <x:v>уксус или мягкий сыр</x:v>
      </x:c>
      <x:c r="W664" s="28" t="str">
        <x:v>соус, глазировка, салат, сырная подача или горячее блюдо; маринад, гастрик, чатни, кетчуп или редукция</x:v>
      </x:c>
      <x:c r="X664" s="28" t="str">
        <x:v>еда; соусы/маринады</x:v>
      </x:c>
      <x:c r="Y664" s="28" t="str">
        <x:v>Средняя</x:v>
      </x:c>
      <x:c r="Z664" s="28" t="str">
        <x:v>The Art &amp; Science of Foodpairing</x:v>
      </x:c>
      <x:c r="AA664" s="28" t="str">
        <x:v>The Art &amp; Science of Foodpairing: 224</x:v>
      </x:c>
      <x:c r="AB664" s="28" t="str">
        <x:v>Ingredient pairings with Beetroot: blackcurrant</x:v>
      </x:c>
      <x:c r="AC664" s="28" t="n">
        <x:v>1</x:v>
      </x:c>
      <x:c r="AD664" s="28" t="n">
        <x:v>1</x:v>
      </x:c>
    </x:row>
    <x:row r="665" ht="58" customHeight="1">
      <x:c r="A665" s="28" t="str">
        <x:v>BER-0664</x:v>
      </x:c>
      <x:c r="B665" s="28" t="str">
        <x:v>Еда и соусы</x:v>
      </x:c>
      <x:c r="C665" s="28" t="str">
        <x:v>чёрная смородина</x:v>
      </x:c>
      <x:c r="D665" s="28" t="str">
        <x:v>blackcurrant</x:v>
      </x:c>
      <x:c r="E665" s="28" t="str">
        <x:v>Ягоды и производные</x:v>
      </x:c>
      <x:c r="F665" s="28" t="str">
        <x:v>соевый соус</x:v>
      </x:c>
      <x:c r="G665" s="28" t="str">
        <x:v>Soy Sauce</x:v>
      </x:c>
      <x:c r="H665" s="28" t="str">
        <x:v>Ферментированные продукты, соусы и уксусы</x:v>
      </x:c>
      <x:c r="I665" s="28" t="str">
        <x:v>зелёный, листовой, сернистый, тёмно-фруктовый, цветочный</x:v>
      </x:c>
      <x:c r="J665" s="28" t="str">
        <x:v>кислый, умами, ферментированный</x:v>
      </x:c>
      <x:c r="K665" s="28" t="str">
        <x:v>3-меркаптогексанол, 3-меркаптогексилацетат, 4-метокси-2-метил-2-бутантиол, терпены</x:v>
      </x:c>
      <x:c r="L665" s="28" t="str">
        <x:v>аминокислоты, органические кислоты, эфиры</x:v>
      </x:c>
      <x:c r="M665" s="28" t="str">
        <x:v>прямое совпадение семейств не установлено</x:v>
      </x:c>
      <x:c r="N665" s="28" t="str">
        <x:v>не подтверждены; механизм не сводится к одной общей молекуле</x:v>
      </x:c>
      <x:c r="O665" s="28" t="str">
        <x:v>контраст/комплементарность + матричный эффект</x:v>
      </x:c>
      <x:c r="P665" s="28" t="str">
        <x:v>Оба компонента формируют ярко-кислый, терпкий и кислый/солёный/умами контур; сахар, кислота и горечь должны быть выровнены дегустацией.</x:v>
      </x:c>
      <x:c r="Q665" s="28" t="str">
        <x:v>Специфического тройничного эффекта обычно нет; кислотность усиливает слюноотделение.</x:v>
      </x:c>
      <x:c r="R665" s="28" t="str">
        <x:v>Ягода: следовые тиолы чрезвычайно мощные; передозировка даёт «кошачий» тон. Партнёр: вода, соль и продукты ферментации. В воде аромат раскрывается быстрее, в жире и этаноле — дольше удерживается.</x:v>
      </x:c>
      <x:c r="S66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6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кислый, умами, ферментированный. Оба компонента формируют ярко-кислый, терпкий и кислый/солёный/умами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65" s="28" t="str">
        <x:v>Тиольный профиль чёрной смородины легко доминирует и при избытке становится сернисто-«кошачьим».</x:v>
      </x:c>
      <x:c r="V665" s="28" t="str">
        <x:v>мёд или соевый соус</x:v>
      </x:c>
      <x:c r="W665" s="28" t="str">
        <x:v>соус, глазировка, салат, сырная подача или горячее блюдо; маринад, гастрик, чатни, кетчуп или редукция</x:v>
      </x:c>
      <x:c r="X665" s="28" t="str">
        <x:v>еда; соусы/маринады</x:v>
      </x:c>
      <x:c r="Y665" s="28" t="str">
        <x:v>Средняя</x:v>
      </x:c>
      <x:c r="Z665" s="28" t="str">
        <x:v>The Art &amp; Science of Foodpairing</x:v>
      </x:c>
      <x:c r="AA665" s="28" t="str">
        <x:v>The Art &amp; Science of Foodpairing: 300</x:v>
      </x:c>
      <x:c r="AB665" s="28" t="str">
        <x:v>Ingredient pairings with Soy Sauce: blackcurrant</x:v>
      </x:c>
      <x:c r="AC665" s="28" t="n">
        <x:v>1</x:v>
      </x:c>
      <x:c r="AD665" s="28" t="n">
        <x:v>1</x:v>
      </x:c>
    </x:row>
    <x:row r="666" ht="58" customHeight="1">
      <x:c r="A666" s="28" t="str">
        <x:v>BER-0665</x:v>
      </x:c>
      <x:c r="B666" s="28" t="str">
        <x:v>Универсальные</x:v>
      </x:c>
      <x:c r="C666" s="28" t="str">
        <x:v>чёрная смородина</x:v>
      </x:c>
      <x:c r="D666" s="28" t="str">
        <x:v>Чёрная смородина</x:v>
      </x:c>
      <x:c r="E666" s="28" t="str">
        <x:v>Ягоды и производные</x:v>
      </x:c>
      <x:c r="F666" s="28" t="str">
        <x:v>фенхель</x:v>
      </x:c>
      <x:c r="G666" s="28" t="str">
        <x:v>фенхель</x:v>
      </x:c>
      <x:c r="H666" s="28" t="str">
        <x:v>Прочее</x:v>
      </x:c>
      <x:c r="I666" s="28" t="str">
        <x:v>зелёный, листовой, сернистый, тёмно-фруктовый, цветочный</x:v>
      </x:c>
      <x:c r="J666" s="28" t="str">
        <x:v>комплексный</x:v>
      </x:c>
      <x:c r="K666" s="28" t="str">
        <x:v>3-меркаптогексанол, 3-меркаптогексилацетат, 4-метокси-2-метил-2-бутантиол, терпены</x:v>
      </x:c>
      <x:c r="L666" s="28" t="str">
        <x:v>нет надёжной конкретизации</x:v>
      </x:c>
      <x:c r="M666" s="28" t="str">
        <x:v>прямое совпадение семейств не установлено</x:v>
      </x:c>
      <x:c r="N666" s="28" t="str">
        <x:v>не подтверждены; механизм не сводится к одной общей молекуле</x:v>
      </x:c>
      <x:c r="O666" s="28" t="str">
        <x:v>контраст/комплементарность + матричный эффект</x:v>
      </x:c>
      <x:c r="P666" s="28" t="str">
        <x:v>Оба компонента формируют ярко-кислый, терпкий и зависит от ингредиента контур; сахар, кислота и горечь должны быть выровнены дегустацией.</x:v>
      </x:c>
      <x:c r="Q666" s="28" t="str">
        <x:v>Специфического тройничного эффекта обычно нет; кислотность усиливает слюноотделение.</x:v>
      </x:c>
      <x:c r="R666" s="28" t="str">
        <x:v>Ягода: следовые тиолы чрезвычайно мощные; передозировка даёт «кошачий» тон. Партнёр: механизм зависит от конкретного продукта. В воде аромат раскрывается быстрее, в жире и этаноле — дольше удерживается.</x:v>
      </x:c>
      <x:c r="S66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6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комплексный. Оба компонента формируют ярко-кислый, терпкий и зависит от ингредиента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66" s="28" t="str">
        <x:v>Тиольный профиль чёрной смородины легко доминирует и при избытке становится сернисто-«кошачьим».</x:v>
      </x:c>
      <x:c r="V666" s="28" t="str">
        <x:v>лимон или ваниль</x:v>
      </x:c>
      <x:c r="W666" s="28" t="str">
        <x:v>сенсорная проба в малой дозировке</x:v>
      </x:c>
      <x:c r="X666" s="28" t="str">
        <x:v>универсально</x:v>
      </x:c>
      <x:c r="Y666" s="28" t="str">
        <x:v>Средняя</x:v>
      </x:c>
      <x:c r="Z666" s="28" t="str">
        <x:v>Таблица сочетаний</x:v>
      </x:c>
      <x:c r="AA666" s="28" t="str">
        <x:v>Таблица сочетаний: 2</x:v>
      </x:c>
      <x:c r="AB666" s="28" t="str">
        <x:v>Чёрная смородина: фенхель</x:v>
      </x:c>
      <x:c r="AC666" s="28" t="n">
        <x:v>1</x:v>
      </x:c>
      <x:c r="AD666" s="28" t="n">
        <x:v>1</x:v>
      </x:c>
    </x:row>
    <x:row r="667" ht="58" customHeight="1">
      <x:c r="A667" s="28" t="str">
        <x:v>BER-0666</x:v>
      </x:c>
      <x:c r="B667" s="28" t="str">
        <x:v>Еда и соусы</x:v>
      </x:c>
      <x:c r="C667" s="28" t="str">
        <x:v>чёрная смородина</x:v>
      </x:c>
      <x:c r="D667" s="28" t="str">
        <x:v>blackcurrant</x:v>
      </x:c>
      <x:c r="E667" s="28" t="str">
        <x:v>Ягоды и производные</x:v>
      </x:c>
      <x:c r="F667" s="28" t="str">
        <x:v>хамон иберико</x:v>
      </x:c>
      <x:c r="G667" s="28" t="str">
        <x:v>Iberico Ham</x:v>
      </x:c>
      <x:c r="H667" s="28" t="str">
        <x:v>Мясо и птица</x:v>
      </x:c>
      <x:c r="I667" s="28" t="str">
        <x:v>зелёный, листовой, сернистый, тёмно-фруктовый, цветочный</x:v>
      </x:c>
      <x:c r="J667" s="28" t="str">
        <x:v>жареный, жирный, сернистый, умами</x:v>
      </x:c>
      <x:c r="K667" s="28" t="str">
        <x:v>3-меркаптогексанол, 3-меркаптогексилацетат, 4-метокси-2-метил-2-бутантиол, терпены</x:v>
      </x:c>
      <x:c r="L667" s="28" t="str">
        <x:v>альдегиды, пиразины, сернистые соединения</x:v>
      </x:c>
      <x:c r="M667" s="28" t="str">
        <x:v>сернистый</x:v>
      </x:c>
      <x:c r="N667" s="28" t="str">
        <x:v>не подтверждены; механизм не сводится к одной общей молекуле</x:v>
      </x:c>
      <x:c r="O667" s="28" t="str">
        <x:v>сходство ароматических семейств + комплементарность</x:v>
      </x:c>
      <x:c r="P667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667" s="28" t="str">
        <x:v>Специфического тройничного эффекта обычно нет; кислотность усиливает слюноотделение.</x:v>
      </x:c>
      <x:c r="R667" s="28" t="str">
        <x:v>Жировая фаза удерживает гидрофобные одоранты и продлевает послевкусие; кислотность ягод повышает слюноотделение.</x:v>
      </x:c>
      <x:c r="S66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667" s="28" t="str">
        <x:v>Общие ароматические семейства: сернистый; конкретная доля одорантов зависит от сорта и обработки. Ягодный компонент несёт семейства зелёный, листовой, сернистый, тёмно-фруктовый,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667" s="28" t="str">
        <x:v>Тиольный профиль чёрной смородины легко доминирует и при избытке становится сернисто-«кошачьим».</x:v>
      </x:c>
      <x:c r="V667" s="28" t="str">
        <x:v>красное вино или чёрный перец</x:v>
      </x:c>
      <x:c r="W667" s="28" t="str">
        <x:v>соус, глазировка, салат, сырная подача или горячее блюдо; маринад, гастрик, чатни, кетчуп или редукция</x:v>
      </x:c>
      <x:c r="X667" s="28" t="str">
        <x:v>еда; соусы/маринады</x:v>
      </x:c>
      <x:c r="Y667" s="28" t="str">
        <x:v>Средняя</x:v>
      </x:c>
      <x:c r="Z667" s="28" t="str">
        <x:v>The Art &amp; Science of Foodpairing</x:v>
      </x:c>
      <x:c r="AA667" s="28" t="str">
        <x:v>The Art &amp; Science of Foodpairing: 279</x:v>
      </x:c>
      <x:c r="AB667" s="28" t="str">
        <x:v>Ingredient pairings with Iberico Ham: blackcurrant</x:v>
      </x:c>
      <x:c r="AC667" s="28" t="n">
        <x:v>1</x:v>
      </x:c>
      <x:c r="AD667" s="28" t="n">
        <x:v>1</x:v>
      </x:c>
    </x:row>
    <x:row r="668" ht="58" customHeight="1">
      <x:c r="A668" s="28" t="str">
        <x:v>BER-0667</x:v>
      </x:c>
      <x:c r="B668" s="28" t="str">
        <x:v>Универсальные</x:v>
      </x:c>
      <x:c r="C668" s="28" t="str">
        <x:v>чёрная смородина</x:v>
      </x:c>
      <x:c r="D668" s="28" t="str">
        <x:v>blackcurrant</x:v>
      </x:c>
      <x:c r="E668" s="28" t="str">
        <x:v>Ягоды и производные</x:v>
      </x:c>
      <x:c r="F668" s="28" t="str">
        <x:v>цветная капуста</x:v>
      </x:c>
      <x:c r="G668" s="28" t="str">
        <x:v>Cauliflower</x:v>
      </x:c>
      <x:c r="H668" s="28" t="str">
        <x:v>Травы и цветы</x:v>
      </x:c>
      <x:c r="I668" s="28" t="str">
        <x:v>зелёный, листовой, сернистый, тёмно-фруктовый, цветочный</x:v>
      </x:c>
      <x:c r="J668" s="28" t="str">
        <x:v>зелёный, травянистый, цветочный</x:v>
      </x:c>
      <x:c r="K668" s="28" t="str">
        <x:v>3-меркаптогексанол, 3-меркаптогексилацетат, 4-метокси-2-метил-2-бутантиол, терпены</x:v>
      </x:c>
      <x:c r="L668" s="28" t="str">
        <x:v>гераниол, линалоол, терпены, эвгенол</x:v>
      </x:c>
      <x:c r="M668" s="28" t="str">
        <x:v>зелёный, цветочный</x:v>
      </x:c>
      <x:c r="N668" s="28" t="str">
        <x:v>терпены</x:v>
      </x:c>
      <x:c r="O668" s="28" t="str">
        <x:v>ароматическое сходство + вкусовой баланс</x:v>
      </x:c>
      <x:c r="P668" s="28" t="str">
        <x:v>Ягодная сладость смягчает горечь и пряность, а кислотность делает горьковатый, свежий профиль ярче.</x:v>
      </x:c>
      <x:c r="Q668" s="28" t="str">
        <x:v>Специфического тройничного эффекта обычно нет; кислотность усиливает слюноотделение.</x:v>
      </x:c>
      <x:c r="R668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66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68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68" s="28" t="str">
        <x:v>Тиольный профиль чёрной смородины легко доминирует и при избытке становится сернисто-«кошачьим».</x:v>
      </x:c>
      <x:c r="V668" s="28" t="str">
        <x:v>лимон или мёд</x:v>
      </x:c>
      <x:c r="W66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668" s="28" t="str">
        <x:v>напитки; еда; соусы/маринады</x:v>
      </x:c>
      <x:c r="Y668" s="28" t="str">
        <x:v>Средняя</x:v>
      </x:c>
      <x:c r="Z668" s="28" t="str">
        <x:v>The Art &amp; Science of Foodpairing</x:v>
      </x:c>
      <x:c r="AA668" s="28" t="str">
        <x:v>The Art &amp; Science of Foodpairing: 67</x:v>
      </x:c>
      <x:c r="AB668" s="28" t="str">
        <x:v>Ingredient pairings with Cauliflower: blackcurrant</x:v>
      </x:c>
      <x:c r="AC668" s="28" t="n">
        <x:v>1</x:v>
      </x:c>
      <x:c r="AD668" s="28" t="n">
        <x:v>1</x:v>
      </x:c>
    </x:row>
    <x:row r="669" ht="58" customHeight="1">
      <x:c r="A669" s="28" t="str">
        <x:v>BER-0668</x:v>
      </x:c>
      <x:c r="B669" s="28" t="str">
        <x:v>Напитки</x:v>
      </x:c>
      <x:c r="C669" s="28" t="str">
        <x:v>чёрная смородина</x:v>
      </x:c>
      <x:c r="D669" s="28" t="str">
        <x:v>blackcurrant</x:v>
      </x:c>
      <x:c r="E669" s="28" t="str">
        <x:v>Ягоды и производные</x:v>
      </x:c>
      <x:c r="F669" s="28" t="str">
        <x:v>чай</x:v>
      </x:c>
      <x:c r="G669" s="28" t="str">
        <x:v>Tea</x:v>
      </x:c>
      <x:c r="H669" s="28" t="str">
        <x:v>Чай и безалкогольные напитки</x:v>
      </x:c>
      <x:c r="I669" s="28" t="str">
        <x:v>зелёный, листовой, сернистый, тёмно-фруктовый, цветочный</x:v>
      </x:c>
      <x:c r="J669" s="28" t="str">
        <x:v>терпкий, травянистый, цветочный</x:v>
      </x:c>
      <x:c r="K669" s="28" t="str">
        <x:v>3-меркаптогексанол, 3-меркаптогексилацетат, 4-метокси-2-метил-2-бутантиол, терпены</x:v>
      </x:c>
      <x:c r="L669" s="28" t="str">
        <x:v>гераниол, линалоол, полифенолы</x:v>
      </x:c>
      <x:c r="M669" s="28" t="str">
        <x:v>цветочный</x:v>
      </x:c>
      <x:c r="N669" s="28" t="str">
        <x:v>не подтверждены; механизм не сводится к одной общей молекуле</x:v>
      </x:c>
      <x:c r="O669" s="28" t="str">
        <x:v>сходство ароматических семейств + комплементарность</x:v>
      </x:c>
      <x:c r="P669" s="28" t="str">
        <x:v>Оба компонента формируют ярко-кислый, терпкий и горьковатый, терпкий контур; сахар, кислота и горечь должны быть выровнены дегустацией.</x:v>
      </x:c>
      <x:c r="Q669" s="28" t="str">
        <x:v>Специфического тройничного эффекта обычно нет; кислотность усиливает слюноотделение.</x:v>
      </x:c>
      <x:c r="R669" s="28" t="str">
        <x:v>Ягода: следовые тиолы чрезвычайно мощные; передозировка даёт «кошачий» тон. Партнёр: водная матрица; температура определяет экстракцию. В воде аромат раскрывается быстрее, в жире и этаноле — дольше удерживается.</x:v>
      </x:c>
      <x:c r="S66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69" s="28" t="str">
        <x:v>Общие ароматические семейства: цветочный; конкретная доля одорантов зависит от сорта и обработки. Ягодный компонент несёт семейства зелёный, листовой, сернистый, тёмно-фруктовый, цветочный; партнёр — терпкий, травянистый, цветочный. Оба компонента формируют ярко-кислый, терпкий и горьковатый, терпкий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водная матрица; температура определяет экстракцию.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69" s="28" t="str">
        <x:v>Тиольный профиль чёрной смородины легко доминирует и при избытке становится сернисто-«кошачьим».</x:v>
      </x:c>
      <x:c r="V669" s="28" t="str">
        <x:v>мёд или лимон</x:v>
      </x:c>
      <x:c r="W669" s="28" t="str">
        <x:v>кордиал, лимонад, чай, коктейль, настой или ферментированный напиток</x:v>
      </x:c>
      <x:c r="X669" s="28" t="str">
        <x:v>напитки</x:v>
      </x:c>
      <x:c r="Y669" s="28" t="str">
        <x:v>Средняя</x:v>
      </x:c>
      <x:c r="Z669" s="28" t="str">
        <x:v>The Art &amp; Science of Foodpairing</x:v>
      </x:c>
      <x:c r="AA669" s="28" t="str">
        <x:v>The Art &amp; Science of Foodpairing: 365</x:v>
      </x:c>
      <x:c r="AB669" s="28" t="str">
        <x:v>Ingredient pairings with Tea: blackcurrant</x:v>
      </x:c>
      <x:c r="AC669" s="28" t="n">
        <x:v>1</x:v>
      </x:c>
      <x:c r="AD669" s="28" t="n">
        <x:v>1</x:v>
      </x:c>
    </x:row>
    <x:row r="670" ht="58" customHeight="1">
      <x:c r="A670" s="28" t="str">
        <x:v>BER-0669</x:v>
      </x:c>
      <x:c r="B670" s="28" t="str">
        <x:v>Универсальные</x:v>
      </x:c>
      <x:c r="C670" s="28" t="str">
        <x:v>чёрная смородина</x:v>
      </x:c>
      <x:c r="D670" s="28" t="str">
        <x:v>Чёрная смородина</x:v>
      </x:c>
      <x:c r="E670" s="28" t="str">
        <x:v>Ягоды и производные</x:v>
      </x:c>
      <x:c r="F670" s="28" t="str">
        <x:v>чернослив</x:v>
      </x:c>
      <x:c r="G670" s="28" t="str">
        <x:v>чернослив</x:v>
      </x:c>
      <x:c r="H670" s="28" t="str">
        <x:v>Прочее</x:v>
      </x:c>
      <x:c r="I670" s="28" t="str">
        <x:v>зелёный, листовой, сернистый, тёмно-фруктовый, цветочный</x:v>
      </x:c>
      <x:c r="J670" s="28" t="str">
        <x:v>комплексный</x:v>
      </x:c>
      <x:c r="K670" s="28" t="str">
        <x:v>3-меркаптогексанол, 3-меркаптогексилацетат, 4-метокси-2-метил-2-бутантиол, терпены</x:v>
      </x:c>
      <x:c r="L670" s="28" t="str">
        <x:v>нет надёжной конкретизации</x:v>
      </x:c>
      <x:c r="M670" s="28" t="str">
        <x:v>прямое совпадение семейств не установлено</x:v>
      </x:c>
      <x:c r="N670" s="28" t="str">
        <x:v>не подтверждены; механизм не сводится к одной общей молекуле</x:v>
      </x:c>
      <x:c r="O670" s="28" t="str">
        <x:v>контраст/комплементарность + матричный эффект</x:v>
      </x:c>
      <x:c r="P670" s="28" t="str">
        <x:v>Оба компонента формируют ярко-кислый, терпкий и зависит от ингредиента контур; сахар, кислота и горечь должны быть выровнены дегустацией.</x:v>
      </x:c>
      <x:c r="Q670" s="28" t="str">
        <x:v>Специфического тройничного эффекта обычно нет; кислотность усиливает слюноотделение.</x:v>
      </x:c>
      <x:c r="R670" s="28" t="str">
        <x:v>Ягода: следовые тиолы чрезвычайно мощные; передозировка даёт «кошачий» тон. Партнёр: механизм зависит от конкретного продукта. В воде аромат раскрывается быстрее, в жире и этаноле — дольше удерживается.</x:v>
      </x:c>
      <x:c r="S67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7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комплексный. Оба компонента формируют ярко-кислый, терпкий и зависит от ингредиента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70" s="28" t="str">
        <x:v>Тиольный профиль чёрной смородины легко доминирует и при избытке становится сернисто-«кошачьим».</x:v>
      </x:c>
      <x:c r="V670" s="28" t="str">
        <x:v>лимон или ваниль</x:v>
      </x:c>
      <x:c r="W670" s="28" t="str">
        <x:v>сенсорная проба в малой дозировке</x:v>
      </x:c>
      <x:c r="X670" s="28" t="str">
        <x:v>универсально</x:v>
      </x:c>
      <x:c r="Y670" s="28" t="str">
        <x:v>Средняя</x:v>
      </x:c>
      <x:c r="Z670" s="28" t="str">
        <x:v>Таблица сочетаний</x:v>
      </x:c>
      <x:c r="AA670" s="28" t="str">
        <x:v>Таблица сочетаний: 2</x:v>
      </x:c>
      <x:c r="AB670" s="28" t="str">
        <x:v>Чёрная смородина: чернослив</x:v>
      </x:c>
      <x:c r="AC670" s="28" t="n">
        <x:v>1</x:v>
      </x:c>
      <x:c r="AD670" s="28" t="n">
        <x:v>1</x:v>
      </x:c>
    </x:row>
    <x:row r="671" ht="58" customHeight="1">
      <x:c r="A671" s="28" t="str">
        <x:v>BER-0670</x:v>
      </x:c>
      <x:c r="B671" s="28" t="str">
        <x:v>Универсальные</x:v>
      </x:c>
      <x:c r="C671" s="28" t="str">
        <x:v>чёрная смородина</x:v>
      </x:c>
      <x:c r="D671" s="28" t="str">
        <x:v>blackcurrant</x:v>
      </x:c>
      <x:c r="E671" s="28" t="str">
        <x:v>Ягоды и производные</x:v>
      </x:c>
      <x:c r="F671" s="28" t="str">
        <x:v>чёрный перец</x:v>
      </x:c>
      <x:c r="G671" s="28" t="str">
        <x:v>Black Peppercorns</x:v>
      </x:c>
      <x:c r="H671" s="28" t="str">
        <x:v>Специи</x:v>
      </x:c>
      <x:c r="I671" s="28" t="str">
        <x:v>зелёный, листовой, сернистый, тёмно-фруктовый, цветочный</x:v>
      </x:c>
      <x:c r="J671" s="28" t="str">
        <x:v>древесный, пряный, тёплый</x:v>
      </x:c>
      <x:c r="K671" s="28" t="str">
        <x:v>3-меркаптогексанол, 3-меркаптогексилацетат, 4-метокси-2-метил-2-бутантиол, терпены</x:v>
      </x:c>
      <x:c r="L671" s="28" t="str">
        <x:v>коричный альдегид, терпены, эвгенол</x:v>
      </x:c>
      <x:c r="M671" s="28" t="str">
        <x:v>прямое совпадение семейств не установлено</x:v>
      </x:c>
      <x:c r="N671" s="28" t="str">
        <x:v>терпены</x:v>
      </x:c>
      <x:c r="O671" s="28" t="str">
        <x:v>ароматическое сходство + вкусовой баланс</x:v>
      </x:c>
      <x:c r="P671" s="28" t="str">
        <x:v>Ягодная сладость смягчает горечь и пряность, а кислотность делает пряный, иногда горький профиль ярче.</x:v>
      </x:c>
      <x:c r="Q671" s="28" t="str">
        <x:v>Специфического тройничного эффекта обычно нет; кислотность усиливает слюноотделение.</x:v>
      </x:c>
      <x:c r="R671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67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71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71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V671" s="28" t="str">
        <x:v>мёд или цитрус</x:v>
      </x:c>
      <x:c r="W67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671" s="28" t="str">
        <x:v>напитки; десерты; еда; соусы/маринады</x:v>
      </x:c>
      <x:c r="Y671" s="28" t="str">
        <x:v>Средняя</x:v>
      </x:c>
      <x:c r="Z671" s="28" t="str">
        <x:v>The Art &amp; Science of Foodpairing</x:v>
      </x:c>
      <x:c r="AA671" s="28" t="str">
        <x:v>The Art &amp; Science of Foodpairing: 273</x:v>
      </x:c>
      <x:c r="AB671" s="28" t="str">
        <x:v>Ingredient pairings with Black Peppercorns: blackcurrant</x:v>
      </x:c>
      <x:c r="AC671" s="28" t="n">
        <x:v>1</x:v>
      </x:c>
      <x:c r="AD671" s="28" t="n">
        <x:v>1</x:v>
      </x:c>
    </x:row>
    <x:row r="672" ht="58" customHeight="1">
      <x:c r="A672" s="28" t="str">
        <x:v>BER-0671</x:v>
      </x:c>
      <x:c r="B672" s="28" t="str">
        <x:v>Универсальные</x:v>
      </x:c>
      <x:c r="C672" s="28" t="str">
        <x:v>чёрная смородина</x:v>
      </x:c>
      <x:c r="D672" s="28" t="str">
        <x:v>blackcurrant</x:v>
      </x:c>
      <x:c r="E672" s="28" t="str">
        <x:v>Ягоды и производные</x:v>
      </x:c>
      <x:c r="F672" s="28" t="str">
        <x:v>чеснок</x:v>
      </x:c>
      <x:c r="G672" s="28" t="str">
        <x:v>Garlic</x:v>
      </x:c>
      <x:c r="H672" s="28" t="str">
        <x:v>Прочее</x:v>
      </x:c>
      <x:c r="I672" s="28" t="str">
        <x:v>зелёный, листовой, сернистый, тёмно-фруктовый, цветочный</x:v>
      </x:c>
      <x:c r="J672" s="28" t="str">
        <x:v>комплексный</x:v>
      </x:c>
      <x:c r="K672" s="28" t="str">
        <x:v>3-меркаптогексанол, 3-меркаптогексилацетат, 4-метокси-2-метил-2-бутантиол, терпены</x:v>
      </x:c>
      <x:c r="L672" s="28" t="str">
        <x:v>нет надёжной конкретизации</x:v>
      </x:c>
      <x:c r="M672" s="28" t="str">
        <x:v>прямое совпадение семейств не установлено</x:v>
      </x:c>
      <x:c r="N672" s="28" t="str">
        <x:v>не подтверждены; механизм не сводится к одной общей молекуле</x:v>
      </x:c>
      <x:c r="O672" s="28" t="str">
        <x:v>контраст/комплементарность + матричный эффект</x:v>
      </x:c>
      <x:c r="P672" s="28" t="str">
        <x:v>Оба компонента формируют ярко-кислый, терпкий и зависит от ингредиента контур; сахар, кислота и горечь должны быть выровнены дегустацией.</x:v>
      </x:c>
      <x:c r="Q672" s="28" t="str">
        <x:v>Специфического тройничного эффекта обычно нет; кислотность усиливает слюноотделение.</x:v>
      </x:c>
      <x:c r="R672" s="28" t="str">
        <x:v>Ягода: следовые тиолы чрезвычайно мощные; передозировка даёт «кошачий» тон. Партнёр: механизм зависит от конкретного продукта. В воде аромат раскрывается быстрее, в жире и этаноле — дольше удерживается.</x:v>
      </x:c>
      <x:c r="S67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7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комплексный. Оба компонента формируют ярко-кислый, терпкий и зависит от ингредиента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72" s="28" t="str">
        <x:v>Тиольный профиль чёрной смородины легко доминирует и при избытке становится сернисто-«кошачьим».</x:v>
      </x:c>
      <x:c r="V672" s="28" t="str">
        <x:v>лимон или ваниль</x:v>
      </x:c>
      <x:c r="W672" s="28" t="str">
        <x:v>сенсорная проба в малой дозировке</x:v>
      </x:c>
      <x:c r="X672" s="28" t="str">
        <x:v>универсально</x:v>
      </x:c>
      <x:c r="Y672" s="28" t="str">
        <x:v>Средняя</x:v>
      </x:c>
      <x:c r="Z672" s="28" t="str">
        <x:v>The Art &amp; Science of Foodpairing</x:v>
      </x:c>
      <x:c r="AA672" s="28" t="str">
        <x:v>The Art &amp; Science of Foodpairing: 113</x:v>
      </x:c>
      <x:c r="AB672" s="28" t="str">
        <x:v>Ingredient pairings with Garlic: blackcurrant</x:v>
      </x:c>
      <x:c r="AC672" s="28" t="n">
        <x:v>1</x:v>
      </x:c>
      <x:c r="AD672" s="28" t="n">
        <x:v>1</x:v>
      </x:c>
    </x:row>
    <x:row r="673" ht="58" customHeight="1">
      <x:c r="A673" s="28" t="str">
        <x:v>BER-0672</x:v>
      </x:c>
      <x:c r="B673" s="28" t="str">
        <x:v>Десерты и выпечка</x:v>
      </x:c>
      <x:c r="C673" s="28" t="str">
        <x:v>чёрная смородина</x:v>
      </x:c>
      <x:c r="D673" s="28" t="str">
        <x:v>Черная смородина | черная смородина</x:v>
      </x:c>
      <x:c r="E673" s="28" t="str">
        <x:v>Ягоды и производные</x:v>
      </x:c>
      <x:c r="F673" s="28" t="str">
        <x:v>шоколад</x:v>
      </x:c>
      <x:c r="G673" s="28" t="str">
        <x:v>Шоколад | шоколад</x:v>
      </x:c>
      <x:c r="H673" s="28" t="str">
        <x:v>Шоколад, кофе и жареные продукты</x:v>
      </x:c>
      <x:c r="I673" s="28" t="str">
        <x:v>зелёный, листовой, сернистый, тёмно-фруктовый, цветочный</x:v>
      </x:c>
      <x:c r="J673" s="28" t="str">
        <x:v>горький, жареный, карамельный, ореховый</x:v>
      </x:c>
      <x:c r="K673" s="28" t="str">
        <x:v>3-меркаптогексанол, 3-меркаптогексилацетат, 4-метокси-2-метил-2-бутантиол, терпены</x:v>
      </x:c>
      <x:c r="L673" s="28" t="str">
        <x:v>ванилин, пиразины, фураны</x:v>
      </x:c>
      <x:c r="M673" s="28" t="str">
        <x:v>прямое совпадение семейств не установлено</x:v>
      </x:c>
      <x:c r="N673" s="28" t="str">
        <x:v>не подтверждены; механизм не сводится к одной общей молекуле</x:v>
      </x:c>
      <x:c r="O673" s="28" t="str">
        <x:v>контраст/комплементарность + матричный эффект</x:v>
      </x:c>
      <x:c r="P673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673" s="28" t="str">
        <x:v>Специфического тройничного эффекта обычно нет; кислотность усиливает слюноотделение.</x:v>
      </x:c>
      <x:c r="R673" s="28" t="str">
        <x:v>Жировая фаза удерживает гидрофобные одоранты и продлевает послевкусие; кислотность ягод повышает слюноотделение.</x:v>
      </x:c>
      <x:c r="S67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7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73" s="28" t="str">
        <x:v>Тиольный профиль чёрной смородины легко доминирует и при избытке становится сернисто-«кошачьим».</x:v>
      </x:c>
      <x:c r="V673" s="28" t="str">
        <x:v>ваниль или орехи</x:v>
      </x:c>
      <x:c r="W673" s="28" t="str">
        <x:v>сорбет, крем, ганаш, выпечка, джем или соус для десерта</x:v>
      </x:c>
      <x:c r="X673" s="28" t="str">
        <x:v>десерты</x:v>
      </x:c>
      <x:c r="Y673" s="28" t="str">
        <x:v>Высокая</x:v>
      </x:c>
      <x:c r="Z673" s="28" t="str">
        <x:v>Тезариус вкусов</x:v>
      </x:c>
      <x:c r="AA673" s="28" t="str">
        <x:v>Тезариус вкусов: 37, 878</x:v>
      </x:c>
      <x:c r="AB673" s="28" t="str">
        <x:v>Шоколад и черная смородина. Сочетание мрач- ное и тяжелое, как финская готическая поэзия, но да- леко не такое популярное. Лишь некоторые извест- ные бренды (Matchmakers, Jaffa Cakes) под фанфары выпустили на рынок пару продуктов с такими вкусо- выми сочетаниями, но затем эти новинки тихо исчезли с него через черный ход. Похоже, это сочетание луч- ше работает в комплексе с «успокаивающими» мо | Черная смородина и шоколад. См. Шоколад и черная См. родина</x:v>
      </x:c>
      <x:c r="AC673" s="28" t="n">
        <x:v>1</x:v>
      </x:c>
      <x:c r="AD673" s="28" t="n">
        <x:v>2</x:v>
      </x:c>
    </x:row>
    <x:row r="674" ht="58" customHeight="1">
      <x:c r="A674" s="28" t="str">
        <x:v>BER-0673</x:v>
      </x:c>
      <x:c r="B674" s="28" t="str">
        <x:v>Универсальные</x:v>
      </x:c>
      <x:c r="C674" s="28" t="str">
        <x:v>чёрная смородина</x:v>
      </x:c>
      <x:c r="D674" s="28" t="str">
        <x:v>blackcurrant | Чёрная смородина</x:v>
      </x:c>
      <x:c r="E674" s="28" t="str">
        <x:v>Ягоды и производные</x:v>
      </x:c>
      <x:c r="F674" s="28" t="str">
        <x:v>яблоко</x:v>
      </x:c>
      <x:c r="G674" s="28" t="str">
        <x:v>Apple | яблоко</x:v>
      </x:c>
      <x:c r="H674" s="28" t="str">
        <x:v>Фрукты</x:v>
      </x:c>
      <x:c r="I674" s="28" t="str">
        <x:v>зелёный, листовой, сернистый, тёмно-фруктовый, цветочный</x:v>
      </x:c>
      <x:c r="J674" s="28" t="str">
        <x:v>зелёный, фруктовый, цветочный</x:v>
      </x:c>
      <x:c r="K674" s="28" t="str">
        <x:v>3-меркаптогексанол, 3-меркаптогексилацетат, 4-метокси-2-метил-2-бутантиол, терпены</x:v>
      </x:c>
      <x:c r="L674" s="28" t="str">
        <x:v>лактоны, терпены, эфиры</x:v>
      </x:c>
      <x:c r="M674" s="28" t="str">
        <x:v>зелёный, цветочный</x:v>
      </x:c>
      <x:c r="N674" s="28" t="str">
        <x:v>терпены</x:v>
      </x:c>
      <x:c r="O674" s="28" t="str">
        <x:v>ароматическое сходство + вкусовой баланс</x:v>
      </x:c>
      <x:c r="P674" s="28" t="str">
        <x:v>Оба компонента формируют ярко-кислый, терпкий и сладко-кислый контур; сахар, кислота и горечь должны быть выровнены дегустацией.</x:v>
      </x:c>
      <x:c r="Q674" s="28" t="str">
        <x:v>Специфического тройничного эффекта обычно нет; кислотность усиливает слюноотделение.</x:v>
      </x:c>
      <x:c r="R674" s="28" t="str">
        <x:v>Ягода: следовые тиолы чрезвычайно мощные; передозировка даёт «кошачий» тон. Партнёр: водная фруктовая матрица. В воде аромат раскрывается быстрее, в жире и этаноле — дольше удерживается.</x:v>
      </x:c>
      <x:c r="S67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74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фруктовый, цветочный. Оба компонента формируют ярко-кислый, терпкий и сладко-кислый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74" s="28" t="str">
        <x:v>Тиольный профиль чёрной смородины легко доминирует и при избытке становится сернисто-«кошачьим».</x:v>
      </x:c>
      <x:c r="V674" s="28" t="str">
        <x:v>ваниль или лимон</x:v>
      </x:c>
      <x:c r="W67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674" s="28" t="str">
        <x:v>напитки; десерты</x:v>
      </x:c>
      <x:c r="Y674" s="28" t="str">
        <x:v>Высокая</x:v>
      </x:c>
      <x:c r="Z674" s="28" t="str">
        <x:v>The Art &amp; Science of Foodpairing; Таблица сочетаний</x:v>
      </x:c>
      <x:c r="AA674" s="28" t="str">
        <x:v>The Art &amp; Science of Foodpairing: 49; Таблица сочетаний: 2</x:v>
      </x:c>
      <x:c r="AB674" s="28" t="str">
        <x:v>Чёрная смородина: яблоко | Ingredient pairings with Apple: blackcurrant</x:v>
      </x:c>
      <x:c r="AC674" s="28" t="n">
        <x:v>2</x:v>
      </x:c>
      <x:c r="AD674" s="28" t="n">
        <x:v>2</x:v>
      </x:c>
    </x:row>
    <x:row r="675" ht="58" customHeight="1">
      <x:c r="A675" s="28" t="str">
        <x:v>BER-0674</x:v>
      </x:c>
      <x:c r="B675" s="28" t="str">
        <x:v>Универсальные</x:v>
      </x:c>
      <x:c r="C675" s="28" t="str">
        <x:v>черника</x:v>
      </x:c>
      <x:c r="D675" s="28" t="str">
        <x:v>bilberry</x:v>
      </x:c>
      <x:c r="E675" s="28" t="str">
        <x:v>Ягоды и производные</x:v>
      </x:c>
      <x:c r="F675" s="28" t="str">
        <x:v>арбуз</x:v>
      </x:c>
      <x:c r="G675" s="28" t="str">
        <x:v>Watermelon</x:v>
      </x:c>
      <x:c r="H675" s="28" t="str">
        <x:v>Фрукты</x:v>
      </x:c>
      <x:c r="I675" s="28" t="str">
        <x:v>древесный, зелёный, тёмно-фруктовый, цветочный</x:v>
      </x:c>
      <x:c r="J675" s="28" t="str">
        <x:v>зелёный, фруктовый, цветочный</x:v>
      </x:c>
      <x:c r="K675" s="28" t="str">
        <x:v>C6-альдегиды, иононы, терпены, эфиры</x:v>
      </x:c>
      <x:c r="L675" s="28" t="str">
        <x:v>лактоны, терпены, эфиры</x:v>
      </x:c>
      <x:c r="M675" s="28" t="str">
        <x:v>зелёный, цветочный</x:v>
      </x:c>
      <x:c r="N675" s="28" t="str">
        <x:v>терпены, эфиры</x:v>
      </x:c>
      <x:c r="O675" s="28" t="str">
        <x:v>ароматическое сходство + вкусовой баланс</x:v>
      </x:c>
      <x:c r="P675" s="28" t="str">
        <x:v>Оба компонента формируют кисло-сладкий, терпкий и сладко-кислый контур; сахар, кислота и горечь должны быть выровнены дегустацией.</x:v>
      </x:c>
      <x:c r="Q675" s="28" t="str">
        <x:v>Специфического тройничного эффекта обычно нет; кислотность усиливает слюноотделение.</x:v>
      </x:c>
      <x:c r="R675" s="28" t="str">
        <x:v>Ягода: антоцианы отвечают за цвет, но не за основной запах. Партнёр: водная фруктовая матрица. В воде аромат раскрывается быстрее, в жире и этаноле — дольше удерживается.</x:v>
      </x:c>
      <x:c r="S67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75" s="28" t="str">
        <x:v>Прямой вероятный молекулярный мост: терпены, эфиры. Ягодный компонент несёт семейства древесный,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антоцианы отвечают за цвет, но не за основной запах.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7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75" s="28" t="str">
        <x:v>ваниль или лимон</x:v>
      </x:c>
      <x:c r="W67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675" s="28" t="str">
        <x:v>напитки; десерты</x:v>
      </x:c>
      <x:c r="Y675" s="28" t="str">
        <x:v>Средняя</x:v>
      </x:c>
      <x:c r="Z675" s="28" t="str">
        <x:v>The Art &amp; Science of Foodpairing</x:v>
      </x:c>
      <x:c r="AA675" s="28" t="str">
        <x:v>The Art &amp; Science of Foodpairing: 79</x:v>
      </x:c>
      <x:c r="AB675" s="28" t="str">
        <x:v>Ingredient pairings with Watermelon: bilberry</x:v>
      </x:c>
      <x:c r="AC675" s="28" t="n">
        <x:v>1</x:v>
      </x:c>
      <x:c r="AD675" s="28" t="n">
        <x:v>1</x:v>
      </x:c>
    </x:row>
    <x:row r="676" ht="58" customHeight="1">
      <x:c r="A676" s="28" t="str">
        <x:v>BER-0675</x:v>
      </x:c>
      <x:c r="B676" s="28" t="str">
        <x:v>Универсальные</x:v>
      </x:c>
      <x:c r="C676" s="28" t="str">
        <x:v>черника</x:v>
      </x:c>
      <x:c r="D676" s="28" t="str">
        <x:v>Черника | черника</x:v>
      </x:c>
      <x:c r="E676" s="28" t="str">
        <x:v>Ягоды и производные</x:v>
      </x:c>
      <x:c r="F676" s="28" t="str">
        <x:v>ваниль</x:v>
      </x:c>
      <x:c r="G676" s="28" t="str">
        <x:v>Ваниль | ваниль</x:v>
      </x:c>
      <x:c r="H676" s="28" t="str">
        <x:v>Прочее</x:v>
      </x:c>
      <x:c r="I676" s="28" t="str">
        <x:v>древесный, зелёный, тёмно-фруктовый, цветочный</x:v>
      </x:c>
      <x:c r="J676" s="28" t="str">
        <x:v>комплексный</x:v>
      </x:c>
      <x:c r="K676" s="28" t="str">
        <x:v>C6-альдегиды, иононы, терпены, эфиры</x:v>
      </x:c>
      <x:c r="L676" s="28" t="str">
        <x:v>нет надёжной конкретизации</x:v>
      </x:c>
      <x:c r="M676" s="28" t="str">
        <x:v>прямое совпадение семейств не установлено</x:v>
      </x:c>
      <x:c r="N676" s="28" t="str">
        <x:v>не подтверждены; механизм не сводится к одной общей молекуле</x:v>
      </x:c>
      <x:c r="O676" s="28" t="str">
        <x:v>контраст/комплементарность + матричный эффект</x:v>
      </x:c>
      <x:c r="P676" s="28" t="str">
        <x:v>Оба компонента формируют кисло-сладкий, терпкий и зависит от ингредиента контур; сахар, кислота и горечь должны быть выровнены дегустацией.</x:v>
      </x:c>
      <x:c r="Q676" s="28" t="str">
        <x:v>Специфического тройничного эффекта обычно нет; кислотность усиливает слюноотделение.</x:v>
      </x:c>
      <x:c r="R676" s="28" t="str">
        <x:v>Ягода: антоцианы отвечают за цвет, но не за основной запах. Партнёр: механизм зависит от конкретного продукта. В воде аромат раскрывается быстрее, в жире и этаноле — дольше удерживается.</x:v>
      </x:c>
      <x:c r="S67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7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тёмно-фруктовый, цветочный; партнёр — комплексный. Оба компонента формируют кисло-сладкий, терпкий и зависит от ингредиента контур; сахар, кислота и горечь должны быть выровнены дегустацией. Ягода: антоцианы отвечают за цвет, но не за основной запах.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7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76" s="28" t="str">
        <x:v>лимон или ваниль</x:v>
      </x:c>
      <x:c r="W676" s="28" t="str">
        <x:v>сенсорная проба в малой дозировке</x:v>
      </x:c>
      <x:c r="X676" s="28" t="str">
        <x:v>универсально</x:v>
      </x:c>
      <x:c r="Y676" s="28" t="str">
        <x:v>Высокая</x:v>
      </x:c>
      <x:c r="Z676" s="28" t="str">
        <x:v>Тезариус вкусов</x:v>
      </x:c>
      <x:c r="AA676" s="28" t="str">
        <x:v>Тезариус вкусов: 903, 920</x:v>
      </x:c>
      <x:c r="AB676" s="28" t="str">
        <x:v>Черника и ваниль. Вкус хорошей черники должен демонстрировать верхние цветочные ноты и сливоч- ное и фруктовое послевкусие. В приведенном ниже рецепте самого замечательного пирога с черникой и ванилью старая добрая ваниль, всеобщая подруга, сама демонстрирует все эти качества и потому пре | Ваниль и черника. См. Черника и ваниль</x:v>
      </x:c>
      <x:c r="AC676" s="28" t="n">
        <x:v>1</x:v>
      </x:c>
      <x:c r="AD676" s="28" t="n">
        <x:v>2</x:v>
      </x:c>
    </x:row>
    <x:row r="677" ht="58" customHeight="1">
      <x:c r="A677" s="28" t="str">
        <x:v>BER-0676</x:v>
      </x:c>
      <x:c r="B677" s="28" t="str">
        <x:v>Десерты и выпечка</x:v>
      </x:c>
      <x:c r="C677" s="28" t="str">
        <x:v>черника</x:v>
      </x:c>
      <x:c r="D677" s="28" t="str">
        <x:v>bilberry | Черника | черника</x:v>
      </x:c>
      <x:c r="E677" s="28" t="str">
        <x:v>Ягоды и производные</x:v>
      </x:c>
      <x:c r="F677" s="28" t="str">
        <x:v>голубой сыр</x:v>
      </x:c>
      <x:c r="G677" s="28" t="str">
        <x:v>Blue Cheese | Голубой сыр | голубой сыр</x:v>
      </x:c>
      <x:c r="H677" s="28" t="str">
        <x:v>Молочные продукты и сыры</x:v>
      </x:c>
      <x:c r="I677" s="28" t="str">
        <x:v>древесный, зелёный, тёмно-фруктовый, цветочный</x:v>
      </x:c>
      <x:c r="J677" s="28" t="str">
        <x:v>масляный, молочный, сливочный, сырный</x:v>
      </x:c>
      <x:c r="K677" s="28" t="str">
        <x:v>C6-альдегиды, иононы, терпены, эфиры</x:v>
      </x:c>
      <x:c r="L677" s="28" t="str">
        <x:v>диацетил, жирные кислоты, лактоны</x:v>
      </x:c>
      <x:c r="M677" s="28" t="str">
        <x:v>прямое совпадение семейств не установлено</x:v>
      </x:c>
      <x:c r="N677" s="28" t="str">
        <x:v>не подтверждены; механизм не сводится к одной общей молекуле</x:v>
      </x:c>
      <x:c r="O677" s="28" t="str">
        <x:v>контраст/комплементарность + матричный эффект</x:v>
      </x:c>
      <x:c r="P677" s="28" t="str">
        <x:v>Кислотность и терпкость ягод режут ощущение жира и сладости; жирный, кислый/солёный профиль партнёра округляет ягодную резкость.</x:v>
      </x:c>
      <x:c r="Q677" s="28" t="str">
        <x:v>Специфического тройничного эффекта обычно нет; кислотность усиливает слюноотделение.</x:v>
      </x:c>
      <x:c r="R677" s="28" t="str">
        <x:v>Жировая фаза удерживает гидрофобные одоранты и продлевает послевкусие; кислотность ягод повышает слюноотделение.</x:v>
      </x:c>
      <x:c r="S67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T67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тёмно-фруктовый,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U677" s="28" t="str">
        <x:v>Высокая кислотность может свернуть молочный белок; смешивать при контролируемой температуре.</x:v>
      </x:c>
      <x:c r="V677" s="28" t="str">
        <x:v>мёд или миндаль</x:v>
      </x:c>
      <x:c r="W677" s="28" t="str">
        <x:v>сорбет, крем, ганаш, выпечка, джем или соус для десерта; соус, глазировка, салат, сырная подача или горячее блюдо</x:v>
      </x:c>
      <x:c r="X677" s="28" t="str">
        <x:v>десерты; еда</x:v>
      </x:c>
      <x:c r="Y677" s="28" t="str">
        <x:v>Высокая</x:v>
      </x:c>
      <x:c r="Z677" s="28" t="str">
        <x:v>The Art &amp; Science of Foodpairing; Тезариус вкусов</x:v>
      </x:c>
      <x:c r="AA677" s="28" t="str">
        <x:v>Тезариус вкусов: 162, 904; The Art &amp; Science of Foodpairing: 165</x:v>
      </x:c>
      <x:c r="AB677" s="28" t="str">
        <x:v>Голубой сыр и черника. См. Черника и голубой сыр | Черника и голубой сыр. В чернике есть опреде- ленная резкость, что делает ее прекрасным партне- ром для голубого сыра при использовании в салатах. Уоррен Джерати (Warren Geraghty), шеф-повар ресто- рана West в Ванкувере, предлагает гостям диск из поджаренной булочки с коричным маслом под чизкей- ком с голубым сыром, посыпанный черникой, прова- ренной на медленном огне в порто, ванилью и корич- невым сахаром | Ingredient pairings with Blue Cheese: bilberry</x:v>
      </x:c>
      <x:c r="AC677" s="28" t="n">
        <x:v>2</x:v>
      </x:c>
      <x:c r="AD677" s="28" t="n">
        <x:v>3</x:v>
      </x:c>
    </x:row>
    <x:row r="678" ht="58" customHeight="1">
      <x:c r="A678" s="28" t="str">
        <x:v>BER-0677</x:v>
      </x:c>
      <x:c r="B678" s="28" t="str">
        <x:v>Еда и соусы</x:v>
      </x:c>
      <x:c r="C678" s="28" t="str">
        <x:v>черника</x:v>
      </x:c>
      <x:c r="D678" s="28" t="str">
        <x:v>Черника | черника</x:v>
      </x:c>
      <x:c r="E678" s="28" t="str">
        <x:v>Ягоды и производные</x:v>
      </x:c>
      <x:c r="F678" s="28" t="str">
        <x:v>грибы</x:v>
      </x:c>
      <x:c r="G678" s="28" t="str">
        <x:v>Грибы | грибы</x:v>
      </x:c>
      <x:c r="H678" s="28" t="str">
        <x:v>Овощи и грибы</x:v>
      </x:c>
      <x:c r="I678" s="28" t="str">
        <x:v>древесный, зелёный, тёмно-фруктовый, цветочный</x:v>
      </x:c>
      <x:c r="J678" s="28" t="str">
        <x:v>зелёный, землистый, сернистый</x:v>
      </x:c>
      <x:c r="K678" s="28" t="str">
        <x:v>C6-альдегиды, иононы, терпены, эфиры</x:v>
      </x:c>
      <x:c r="L678" s="28" t="str">
        <x:v>C6-альдегиды, пиразины, сернистые соединения</x:v>
      </x:c>
      <x:c r="M678" s="28" t="str">
        <x:v>зелёный</x:v>
      </x:c>
      <x:c r="N678" s="28" t="str">
        <x:v>C6-альдегиды</x:v>
      </x:c>
      <x:c r="O678" s="28" t="str">
        <x:v>ароматическое сходство + вкусовой баланс</x:v>
      </x:c>
      <x:c r="P678" s="28" t="str">
        <x:v>Оба компонента формируют кисло-сладкий, терпкий и растительный, иногда умами контур; сахар, кислота и горечь должны быть выровнены дегустацией.</x:v>
      </x:c>
      <x:c r="Q678" s="28" t="str">
        <x:v>Специфического тройничного эффекта обычно нет; кислотность усиливает слюноотделение.</x:v>
      </x:c>
      <x:c r="R678" s="28" t="str">
        <x:v>Ягода: антоцианы отвечают за цвет, но не за основной запах.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67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678" s="28" t="str">
        <x:v>Прямой вероятный молекулярный мост: C6-альдегиды. Ягодный компонент несёт семейства древесный, зелёный, тёмно-фруктовый, цветочный; партнёр — зелёный, землистый, сернистый. Оба компонента формируют кисло-сладкий, терпкий и растительный, иногда умами контур; сахар, кислота и горечь должны быть выровнены дегустацией. Ягода: антоцианы отвечают за цвет, но не за основной запах.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67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78" s="28" t="str">
        <x:v>уксус или мягкий сыр</x:v>
      </x:c>
      <x:c r="W678" s="28" t="str">
        <x:v>соус, глазировка, салат, сырная подача или горячее блюдо; маринад, гастрик, чатни, кетчуп или редукция</x:v>
      </x:c>
      <x:c r="X678" s="28" t="str">
        <x:v>еда; соусы/маринады</x:v>
      </x:c>
      <x:c r="Y678" s="28" t="str">
        <x:v>Высокая</x:v>
      </x:c>
      <x:c r="Z678" s="28" t="str">
        <x:v>Тезариус вкусов</x:v>
      </x:c>
      <x:c r="AA678" s="28" t="str">
        <x:v>Тезариус вкусов: 206, 904</x:v>
      </x:c>
      <x:c r="AB678" s="28" t="str">
        <x:v>Грибы и черника. См. Черника и грибы | Черника и грибы. Фрукты и грибы – это сочетание</x:v>
      </x:c>
      <x:c r="AC678" s="28" t="n">
        <x:v>1</x:v>
      </x:c>
      <x:c r="AD678" s="28" t="n">
        <x:v>2</x:v>
      </x:c>
    </x:row>
    <x:row r="679" ht="58" customHeight="1">
      <x:c r="A679" s="28" t="str">
        <x:v>BER-0678</x:v>
      </x:c>
      <x:c r="B679" s="28" t="str">
        <x:v>Универсальные</x:v>
      </x:c>
      <x:c r="C679" s="28" t="str">
        <x:v>черника</x:v>
      </x:c>
      <x:c r="D679" s="28" t="str">
        <x:v>Черника | черника</x:v>
      </x:c>
      <x:c r="E679" s="28" t="str">
        <x:v>Ягоды и производные</x:v>
      </x:c>
      <x:c r="F679" s="28" t="str">
        <x:v>корица</x:v>
      </x:c>
      <x:c r="G679" s="28" t="str">
        <x:v>Корица | корица</x:v>
      </x:c>
      <x:c r="H679" s="28" t="str">
        <x:v>Специи</x:v>
      </x:c>
      <x:c r="I679" s="28" t="str">
        <x:v>древесный, зелёный, тёмно-фруктовый, цветочный</x:v>
      </x:c>
      <x:c r="J679" s="28" t="str">
        <x:v>древесный, пряный, тёплый</x:v>
      </x:c>
      <x:c r="K679" s="28" t="str">
        <x:v>C6-альдегиды, иононы, терпены, эфиры</x:v>
      </x:c>
      <x:c r="L679" s="28" t="str">
        <x:v>коричный альдегид, терпены, эвгенол</x:v>
      </x:c>
      <x:c r="M679" s="28" t="str">
        <x:v>древесный</x:v>
      </x:c>
      <x:c r="N679" s="28" t="str">
        <x:v>терпены</x:v>
      </x:c>
      <x:c r="O679" s="28" t="str">
        <x:v>ароматическое сходство + вкусовой баланс</x:v>
      </x:c>
      <x:c r="P679" s="28" t="str">
        <x:v>Ягодная сладость смягчает горечь и пряность, а кислотность делает пряный, иногда горький профиль ярче.</x:v>
      </x:c>
      <x:c r="Q679" s="28" t="str">
        <x:v>Специфического тройничного эффекта обычно нет; кислотность усиливает слюноотделение.</x:v>
      </x:c>
      <x:c r="R679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67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79" s="28" t="str">
        <x:v>Прямой вероятный молекулярный мост: терпены. Ягодный компонент несёт семейства древесный,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79" s="28" t="str">
        <x:v>Пряность дозировать как акцент: она быстро перекрывает тонкие ягодные эфиры.</x:v>
      </x:c>
      <x:c r="V679" s="28" t="str">
        <x:v>мёд или цитрус</x:v>
      </x:c>
      <x:c r="W67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679" s="28" t="str">
        <x:v>напитки; десерты; еда; соусы/маринады</x:v>
      </x:c>
      <x:c r="Y679" s="28" t="str">
        <x:v>Высокая</x:v>
      </x:c>
      <x:c r="Z679" s="28" t="str">
        <x:v>Тезариус вкусов</x:v>
      </x:c>
      <x:c r="AA679" s="28" t="str">
        <x:v>Тезариус вкусов: 580, 905</x:v>
      </x:c>
      <x:c r="AB679" s="28" t="str">
        <x:v>Корица и черника. См. Черника и корица | Черника и корица. Полностью выявляет свой вкус только черника, подвергшаяся тепловой обработке; чтобы еще более усилить и улучшить этот вкус, до- бавьте к чернике корицы. Марион Каннингем (Marion Cunningham) окунает теплые маффины с черникой в растопленное сливочное масло, а затем – в сахар с корицей</x:v>
      </x:c>
      <x:c r="AC679" s="28" t="n">
        <x:v>1</x:v>
      </x:c>
      <x:c r="AD679" s="28" t="n">
        <x:v>2</x:v>
      </x:c>
    </x:row>
    <x:row r="680" ht="58" customHeight="1">
      <x:c r="A680" s="28" t="str">
        <x:v>BER-0679</x:v>
      </x:c>
      <x:c r="B680" s="28" t="str">
        <x:v>Напитки</x:v>
      </x:c>
      <x:c r="C680" s="28" t="str">
        <x:v>черника</x:v>
      </x:c>
      <x:c r="D680" s="28" t="str">
        <x:v>Черника | черника</x:v>
      </x:c>
      <x:c r="E680" s="28" t="str">
        <x:v>Ягоды и производные</x:v>
      </x:c>
      <x:c r="F680" s="28" t="str">
        <x:v>лимон</x:v>
      </x:c>
      <x:c r="G680" s="28" t="str">
        <x:v>Лимон | лимон</x:v>
      </x:c>
      <x:c r="H680" s="28" t="str">
        <x:v>Цитрусовые</x:v>
      </x:c>
      <x:c r="I680" s="28" t="str">
        <x:v>древесный, зелёный, тёмно-фруктовый, цветочный</x:v>
      </x:c>
      <x:c r="J680" s="28" t="str">
        <x:v>зелёный, цветочный, цитрусовый</x:v>
      </x:c>
      <x:c r="K680" s="28" t="str">
        <x:v>C6-альдегиды, иононы, терпены, эфиры</x:v>
      </x:c>
      <x:c r="L680" s="28" t="str">
        <x:v>лимонен, линалоол, цитраль</x:v>
      </x:c>
      <x:c r="M680" s="28" t="str">
        <x:v>зелёный, цветочный</x:v>
      </x:c>
      <x:c r="N680" s="28" t="str">
        <x:v>не подтверждены; механизм не сводится к одной общей молекуле</x:v>
      </x:c>
      <x:c r="O680" s="28" t="str">
        <x:v>сходство ароматических семейств + комплементарность</x:v>
      </x:c>
      <x:c r="P680" s="28" t="str">
        <x:v>Оба компонента формируют кисло-сладкий, терпкий и кислый, свежий контур; сахар, кислота и горечь должны быть выровнены дегустацией.</x:v>
      </x:c>
      <x:c r="Q680" s="28" t="str">
        <x:v>Специфического тройничного эффекта обычно нет; кислотность усиливает слюноотделение.</x:v>
      </x:c>
      <x:c r="R680" s="28" t="str">
        <x:v>Ягода: антоцианы отвечают за цвет, но не за основной запах. Партнёр: вода и эфирные масла; цедра гидрофобна. В воде аромат раскрывается быстрее, в жире и этаноле — дольше удерживается.</x:v>
      </x:c>
      <x:c r="S68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80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древесный,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антоцианы отвечают за цвет, но не за основной запах.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8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80" s="28" t="str">
        <x:v>мёд или базилик</x:v>
      </x:c>
      <x:c r="W680" s="28" t="str">
        <x:v>кордиал, лимонад, чай, коктейль, настой или ферментированный напиток; маринад, гастрик, чатни, кетчуп или редукция</x:v>
      </x:c>
      <x:c r="X680" s="28" t="str">
        <x:v>напитки; соусы/маринады</x:v>
      </x:c>
      <x:c r="Y680" s="28" t="str">
        <x:v>Высокая</x:v>
      </x:c>
      <x:c r="Z680" s="28" t="str">
        <x:v>Тезариус вкусов</x:v>
      </x:c>
      <x:c r="AA680" s="28" t="str">
        <x:v>Тезариус вкусов: 810, 905</x:v>
      </x:c>
      <x:c r="AB680" s="28" t="str">
        <x:v>Лимон и черника. Бедная черника! Красивые цве- точные ноты ее вкуса полностью скрываются тем кис- лым соком, который излучает надкушенный лимон. Кислотность лимона замывает и тонкий цветочный аромат черники. Но… На фоне всепобеждающей сла- дости сахара или меда оба вкуса получают шанс про- явить себя, образуя пьяняще душистое сочетание в пирожных и пудингах | Черника и лимон. См. Лимон и черника</x:v>
      </x:c>
      <x:c r="AC680" s="28" t="n">
        <x:v>1</x:v>
      </x:c>
      <x:c r="AD680" s="28" t="n">
        <x:v>2</x:v>
      </x:c>
    </x:row>
    <x:row r="681" ht="58" customHeight="1">
      <x:c r="A681" s="28" t="str">
        <x:v>BER-0680</x:v>
      </x:c>
      <x:c r="B681" s="28" t="str">
        <x:v>Универсальные</x:v>
      </x:c>
      <x:c r="C681" s="28" t="str">
        <x:v>черника</x:v>
      </x:c>
      <x:c r="D681" s="28" t="str">
        <x:v>bilberry</x:v>
      </x:c>
      <x:c r="E681" s="28" t="str">
        <x:v>Ягоды и производные</x:v>
      </x:c>
      <x:c r="F681" s="28" t="str">
        <x:v>манго</x:v>
      </x:c>
      <x:c r="G681" s="28" t="str">
        <x:v>Mango</x:v>
      </x:c>
      <x:c r="H681" s="28" t="str">
        <x:v>Фрукты</x:v>
      </x:c>
      <x:c r="I681" s="28" t="str">
        <x:v>древесный, зелёный, тёмно-фруктовый, цветочный</x:v>
      </x:c>
      <x:c r="J681" s="28" t="str">
        <x:v>зелёный, фруктовый, цветочный</x:v>
      </x:c>
      <x:c r="K681" s="28" t="str">
        <x:v>C6-альдегиды, иононы, терпены, эфиры</x:v>
      </x:c>
      <x:c r="L681" s="28" t="str">
        <x:v>лактоны, терпены, эфиры</x:v>
      </x:c>
      <x:c r="M681" s="28" t="str">
        <x:v>зелёный, цветочный</x:v>
      </x:c>
      <x:c r="N681" s="28" t="str">
        <x:v>терпены, эфиры</x:v>
      </x:c>
      <x:c r="O681" s="28" t="str">
        <x:v>ароматическое сходство + вкусовой баланс</x:v>
      </x:c>
      <x:c r="P681" s="28" t="str">
        <x:v>Оба компонента формируют кисло-сладкий, терпкий и сладко-кислый контур; сахар, кислота и горечь должны быть выровнены дегустацией.</x:v>
      </x:c>
      <x:c r="Q681" s="28" t="str">
        <x:v>Специфического тройничного эффекта обычно нет; кислотность усиливает слюноотделение.</x:v>
      </x:c>
      <x:c r="R681" s="28" t="str">
        <x:v>Ягода: антоцианы отвечают за цвет, но не за основной запах. Партнёр: водная фруктовая матрица. В воде аромат раскрывается быстрее, в жире и этаноле — дольше удерживается.</x:v>
      </x:c>
      <x:c r="S68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81" s="28" t="str">
        <x:v>Прямой вероятный молекулярный мост: терпены, эфиры. Ягодный компонент несёт семейства древесный,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антоцианы отвечают за цвет, но не за основной запах.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8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81" s="28" t="str">
        <x:v>ваниль или лимон</x:v>
      </x:c>
      <x:c r="W68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681" s="28" t="str">
        <x:v>напитки; десерты</x:v>
      </x:c>
      <x:c r="Y681" s="28" t="str">
        <x:v>Средняя</x:v>
      </x:c>
      <x:c r="Z681" s="28" t="str">
        <x:v>The Art &amp; Science of Foodpairing</x:v>
      </x:c>
      <x:c r="AA681" s="28" t="str">
        <x:v>The Art &amp; Science of Foodpairing: 313</x:v>
      </x:c>
      <x:c r="AB681" s="28" t="str">
        <x:v>Ingredient pairings with Mango: bilberry</x:v>
      </x:c>
      <x:c r="AC681" s="28" t="n">
        <x:v>1</x:v>
      </x:c>
      <x:c r="AD681" s="28" t="n">
        <x:v>1</x:v>
      </x:c>
    </x:row>
    <x:row r="682" ht="58" customHeight="1">
      <x:c r="A682" s="28" t="str">
        <x:v>BER-0681</x:v>
      </x:c>
      <x:c r="B682" s="28" t="str">
        <x:v>Десерты и выпечка</x:v>
      </x:c>
      <x:c r="C682" s="28" t="str">
        <x:v>черника</x:v>
      </x:c>
      <x:c r="D682" s="28" t="str">
        <x:v>Черника | черника</x:v>
      </x:c>
      <x:c r="E682" s="28" t="str">
        <x:v>Ягоды и производные</x:v>
      </x:c>
      <x:c r="F682" s="28" t="str">
        <x:v>миндаль</x:v>
      </x:c>
      <x:c r="G682" s="28" t="str">
        <x:v>Миндаль | миндаль</x:v>
      </x:c>
      <x:c r="H682" s="28" t="str">
        <x:v>Орехи и семена</x:v>
      </x:c>
      <x:c r="I682" s="28" t="str">
        <x:v>древесный, зелёный, тёмно-фруктовый, цветочный</x:v>
      </x:c>
      <x:c r="J682" s="28" t="str">
        <x:v>жареный, миндальный, ореховый</x:v>
      </x:c>
      <x:c r="K682" s="28" t="str">
        <x:v>C6-альдегиды, иононы, терпены, эфиры</x:v>
      </x:c>
      <x:c r="L682" s="28" t="str">
        <x:v>бензальдегид, пиразины, фураны</x:v>
      </x:c>
      <x:c r="M682" s="28" t="str">
        <x:v>прямое совпадение семейств не установлено</x:v>
      </x:c>
      <x:c r="N682" s="28" t="str">
        <x:v>не подтверждены; механизм не сводится к одной общей молекуле</x:v>
      </x:c>
      <x:c r="O682" s="28" t="str">
        <x:v>контраст/комплементарность + матричный эффект</x:v>
      </x:c>
      <x:c r="P682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682" s="28" t="str">
        <x:v>Специфического тройничного эффекта обычно нет; кислотность усиливает слюноотделение.</x:v>
      </x:c>
      <x:c r="R682" s="28" t="str">
        <x:v>Жировая фаза удерживает гидрофобные одоранты и продлевает послевкусие; кислотность ягод повышает слюноотделение.</x:v>
      </x:c>
      <x:c r="S68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8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тёмно-фруктовый,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8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82" s="28" t="str">
        <x:v>ваниль или сливки</x:v>
      </x:c>
      <x:c r="W682" s="28" t="str">
        <x:v>сорбет, крем, ганаш, выпечка, джем или соус для десерта</x:v>
      </x:c>
      <x:c r="X682" s="28" t="str">
        <x:v>десерты</x:v>
      </x:c>
      <x:c r="Y682" s="28" t="str">
        <x:v>Высокая</x:v>
      </x:c>
      <x:c r="Z682" s="28" t="str">
        <x:v>Тезариус вкусов</x:v>
      </x:c>
      <x:c r="AA682" s="28" t="str">
        <x:v>Тезариус вкусов: 649, 905</x:v>
      </x:c>
      <x:c r="AB682" s="28" t="str">
        <x:v>Миндаль и черника. Замечательная комбинация для мюслей, но вы ведь не хотите встретить ее в ме | Черника и миндаль. См. Миндаль и черника</x:v>
      </x:c>
      <x:c r="AC682" s="28" t="n">
        <x:v>1</x:v>
      </x:c>
      <x:c r="AD682" s="28" t="n">
        <x:v>2</x:v>
      </x:c>
    </x:row>
    <x:row r="683" ht="58" customHeight="1">
      <x:c r="A683" s="28" t="str">
        <x:v>BER-0682</x:v>
      </x:c>
      <x:c r="B683" s="28" t="str">
        <x:v>Еда и соусы</x:v>
      </x:c>
      <x:c r="C683" s="28" t="str">
        <x:v>черника</x:v>
      </x:c>
      <x:c r="D683" s="28" t="str">
        <x:v>bilberry</x:v>
      </x:c>
      <x:c r="E683" s="28" t="str">
        <x:v>Ягоды и производные</x:v>
      </x:c>
      <x:c r="F683" s="28" t="str">
        <x:v>мясо</x:v>
      </x:c>
      <x:c r="G683" s="28" t="str">
        <x:v>Meat</x:v>
      </x:c>
      <x:c r="H683" s="28" t="str">
        <x:v>Мясо и птица</x:v>
      </x:c>
      <x:c r="I683" s="28" t="str">
        <x:v>древесный, зелёный, тёмно-фруктовый, цветочный</x:v>
      </x:c>
      <x:c r="J683" s="28" t="str">
        <x:v>жареный, жирный, сернистый, умами</x:v>
      </x:c>
      <x:c r="K683" s="28" t="str">
        <x:v>C6-альдегиды, иононы, терпены, эфиры</x:v>
      </x:c>
      <x:c r="L683" s="28" t="str">
        <x:v>альдегиды, пиразины, сернистые соединения</x:v>
      </x:c>
      <x:c r="M683" s="28" t="str">
        <x:v>прямое совпадение семейств не установлено</x:v>
      </x:c>
      <x:c r="N683" s="28" t="str">
        <x:v>не подтверждены; механизм не сводится к одной общей молекуле</x:v>
      </x:c>
      <x:c r="O683" s="28" t="str">
        <x:v>контраст/комплементарность + матричный эффект</x:v>
      </x:c>
      <x:c r="P683" s="28" t="str">
        <x:v>Кислотность и терпкость ягод режут ощущение жира и сладости; умами, солёный, жирный профиль партнёра округляет ягодную резкость.</x:v>
      </x:c>
      <x:c r="Q683" s="28" t="str">
        <x:v>Специфического тройничного эффекта обычно нет; кислотность усиливает слюноотделение.</x:v>
      </x:c>
      <x:c r="R683" s="28" t="str">
        <x:v>Жировая фаза удерживает гидрофобные одоранты и продлевает послевкусие; кислотность ягод повышает слюноотделение.</x:v>
      </x:c>
      <x:c r="S68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68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тёмно-фруктовый,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68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83" s="28" t="str">
        <x:v>красное вино или чёрный перец</x:v>
      </x:c>
      <x:c r="W683" s="28" t="str">
        <x:v>соус, глазировка, салат, сырная подача или горячее блюдо; маринад, гастрик, чатни, кетчуп или редукция</x:v>
      </x:c>
      <x:c r="X683" s="28" t="str">
        <x:v>еда; соусы/маринады</x:v>
      </x:c>
      <x:c r="Y683" s="28" t="str">
        <x:v>Средняя</x:v>
      </x:c>
      <x:c r="Z683" s="28" t="str">
        <x:v>The Art &amp; Science of Foodpairing</x:v>
      </x:c>
      <x:c r="AA683" s="28" t="str">
        <x:v>The Art &amp; Science of Foodpairing: 187</x:v>
      </x:c>
      <x:c r="AB683" s="28" t="str">
        <x:v>Ingredient pairings with Meat: bilberry</x:v>
      </x:c>
      <x:c r="AC683" s="28" t="n">
        <x:v>1</x:v>
      </x:c>
      <x:c r="AD683" s="28" t="n">
        <x:v>1</x:v>
      </x:c>
    </x:row>
    <x:row r="684" ht="58" customHeight="1">
      <x:c r="A684" s="28" t="str">
        <x:v>BER-0683</x:v>
      </x:c>
      <x:c r="B684" s="28" t="str">
        <x:v>Универсальные</x:v>
      </x:c>
      <x:c r="C684" s="28" t="str">
        <x:v>черника</x:v>
      </x:c>
      <x:c r="D684" s="28" t="str">
        <x:v>Черника | черника</x:v>
      </x:c>
      <x:c r="E684" s="28" t="str">
        <x:v>Ягоды и производные</x:v>
      </x:c>
      <x:c r="F684" s="28" t="str">
        <x:v>персик</x:v>
      </x:c>
      <x:c r="G684" s="28" t="str">
        <x:v>Персик | персик</x:v>
      </x:c>
      <x:c r="H684" s="28" t="str">
        <x:v>Фрукты</x:v>
      </x:c>
      <x:c r="I684" s="28" t="str">
        <x:v>древесный, зелёный, тёмно-фруктовый, цветочный</x:v>
      </x:c>
      <x:c r="J684" s="28" t="str">
        <x:v>зелёный, фруктовый, цветочный</x:v>
      </x:c>
      <x:c r="K684" s="28" t="str">
        <x:v>C6-альдегиды, иононы, терпены, эфиры</x:v>
      </x:c>
      <x:c r="L684" s="28" t="str">
        <x:v>лактоны, терпены, эфиры</x:v>
      </x:c>
      <x:c r="M684" s="28" t="str">
        <x:v>зелёный, цветочный</x:v>
      </x:c>
      <x:c r="N684" s="28" t="str">
        <x:v>терпены, эфиры</x:v>
      </x:c>
      <x:c r="O684" s="28" t="str">
        <x:v>ароматическое сходство + вкусовой баланс</x:v>
      </x:c>
      <x:c r="P684" s="28" t="str">
        <x:v>Оба компонента формируют кисло-сладкий, терпкий и сладко-кислый контур; сахар, кислота и горечь должны быть выровнены дегустацией.</x:v>
      </x:c>
      <x:c r="Q684" s="28" t="str">
        <x:v>Специфического тройничного эффекта обычно нет; кислотность усиливает слюноотделение.</x:v>
      </x:c>
      <x:c r="R684" s="28" t="str">
        <x:v>Ягода: антоцианы отвечают за цвет, но не за основной запах. Партнёр: водная фруктовая матрица. В воде аромат раскрывается быстрее, в жире и этаноле — дольше удерживается.</x:v>
      </x:c>
      <x:c r="S68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84" s="28" t="str">
        <x:v>Прямой вероятный молекулярный мост: терпены, эфиры. Ягодный компонент несёт семейства древесный,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антоцианы отвечают за цвет, но не за основной запах.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8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84" s="28" t="str">
        <x:v>ваниль или лимон</x:v>
      </x:c>
      <x:c r="W68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684" s="28" t="str">
        <x:v>напитки; десерты</x:v>
      </x:c>
      <x:c r="Y684" s="28" t="str">
        <x:v>Высокая</x:v>
      </x:c>
      <x:c r="Z684" s="28" t="str">
        <x:v>Тезариус вкусов</x:v>
      </x:c>
      <x:c r="AA684" s="28" t="str">
        <x:v>Тезариус вкусов: 751, 905</x:v>
      </x:c>
      <x:c r="AB684" s="28" t="str">
        <x:v>Персик и черника. Это нечто более американское, чем даже яблочный пирог. Пара хорошо смотрится в коблерах (см. Персик и ежевика) и тартах. Обрати- те внимание на то, что персики с белой мякотью, как правило, очень сладкие и менее кислые, чем те, у ко- торых мякоть желтая. Они также обладают и более сильным вкусом с нежными оттенками жасмина и чая, которые вступают в «высокие отношения» с цветоч- ным, но вместе с тем вяжущим вкусом черники | Черника и персик. См. Персик и черника</x:v>
      </x:c>
      <x:c r="AC684" s="28" t="n">
        <x:v>1</x:v>
      </x:c>
      <x:c r="AD684" s="28" t="n">
        <x:v>2</x:v>
      </x:c>
    </x:row>
    <x:row r="685" ht="58" customHeight="1">
      <x:c r="A685" s="28" t="str">
        <x:v>BER-0684</x:v>
      </x:c>
      <x:c r="B685" s="28" t="str">
        <x:v>Универсальные</x:v>
      </x:c>
      <x:c r="C685" s="28" t="str">
        <x:v>черника</x:v>
      </x:c>
      <x:c r="D685" s="28" t="str">
        <x:v>Черника | черника</x:v>
      </x:c>
      <x:c r="E685" s="28" t="str">
        <x:v>Ягоды и производные</x:v>
      </x:c>
      <x:c r="F685" s="28" t="str">
        <x:v>семена кориандра</x:v>
      </x:c>
      <x:c r="G685" s="28" t="str">
        <x:v>Семена кориандра | семена кориандра</x:v>
      </x:c>
      <x:c r="H685" s="28" t="str">
        <x:v>Прочее</x:v>
      </x:c>
      <x:c r="I685" s="28" t="str">
        <x:v>древесный, зелёный, тёмно-фруктовый, цветочный</x:v>
      </x:c>
      <x:c r="J685" s="28" t="str">
        <x:v>комплексный</x:v>
      </x:c>
      <x:c r="K685" s="28" t="str">
        <x:v>C6-альдегиды, иононы, терпены, эфиры</x:v>
      </x:c>
      <x:c r="L685" s="28" t="str">
        <x:v>нет надёжной конкретизации</x:v>
      </x:c>
      <x:c r="M685" s="28" t="str">
        <x:v>прямое совпадение семейств не установлено</x:v>
      </x:c>
      <x:c r="N685" s="28" t="str">
        <x:v>не подтверждены; механизм не сводится к одной общей молекуле</x:v>
      </x:c>
      <x:c r="O685" s="28" t="str">
        <x:v>контраст/комплементарность + матричный эффект</x:v>
      </x:c>
      <x:c r="P685" s="28" t="str">
        <x:v>Оба компонента формируют кисло-сладкий, терпкий и зависит от ингредиента контур; сахар, кислота и горечь должны быть выровнены дегустацией.</x:v>
      </x:c>
      <x:c r="Q685" s="28" t="str">
        <x:v>Специфического тройничного эффекта обычно нет; кислотность усиливает слюноотделение.</x:v>
      </x:c>
      <x:c r="R685" s="28" t="str">
        <x:v>Ягода: антоцианы отвечают за цвет, но не за основной запах. Партнёр: механизм зависит от конкретного продукта. В воде аромат раскрывается быстрее, в жире и этаноле — дольше удерживается.</x:v>
      </x:c>
      <x:c r="S68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8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тёмно-фруктовый, цветочный; партнёр — комплексный. Оба компонента формируют кисло-сладкий, терпкий и зависит от ингредиента контур; сахар, кислота и горечь должны быть выровнены дегустацией. Ягода: антоцианы отвечают за цвет, но не за основной запах.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8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85" s="28" t="str">
        <x:v>лимон или ваниль</x:v>
      </x:c>
      <x:c r="W685" s="28" t="str">
        <x:v>сенсорная проба в малой дозировке</x:v>
      </x:c>
      <x:c r="X685" s="28" t="str">
        <x:v>универсально</x:v>
      </x:c>
      <x:c r="Y685" s="28" t="str">
        <x:v>Высокая</x:v>
      </x:c>
      <x:c r="Z685" s="28" t="str">
        <x:v>Тезариус вкусов</x:v>
      </x:c>
      <x:c r="AA685" s="28" t="str">
        <x:v>Тезариус вкусов: 905, 909</x:v>
      </x:c>
      <x:c r="AB685" s="28" t="str">
        <x:v>Черника и семена кориандра. См. Семена кори- андра и черника | Семена кориандра и черника. Семена кориандра могут содержать до 85 % линалоола, соединения с древесным, цветочным и слегка цитрусовым вкусом, который является ключевым компонентом синтезиро- ванного вкуса черники. В силу этого свежемолотые се- мена кориандра могут внести вкусную фоновую ноту в вашу домашнюю выпечку – например кексы с чер- никой. Более авантюрный подход предлагает лондон</x:v>
      </x:c>
      <x:c r="AC685" s="28" t="n">
        <x:v>1</x:v>
      </x:c>
      <x:c r="AD685" s="28" t="n">
        <x:v>2</x:v>
      </x:c>
    </x:row>
    <x:row r="686" ht="58" customHeight="1">
      <x:c r="A686" s="28" t="str">
        <x:v>BER-0685</x:v>
      </x:c>
      <x:c r="B686" s="28" t="str">
        <x:v>Десерты и выпечка</x:v>
      </x:c>
      <x:c r="C686" s="28" t="str">
        <x:v>черника</x:v>
      </x:c>
      <x:c r="D686" s="28" t="str">
        <x:v>bilberry</x:v>
      </x:c>
      <x:c r="E686" s="28" t="str">
        <x:v>Ягоды и производные</x:v>
      </x:c>
      <x:c r="F686" s="28" t="str">
        <x:v>шоколад</x:v>
      </x:c>
      <x:c r="G686" s="28" t="str">
        <x:v>Chocolate</x:v>
      </x:c>
      <x:c r="H686" s="28" t="str">
        <x:v>Шоколад, кофе и жареные продукты</x:v>
      </x:c>
      <x:c r="I686" s="28" t="str">
        <x:v>древесный, зелёный, тёмно-фруктовый, цветочный</x:v>
      </x:c>
      <x:c r="J686" s="28" t="str">
        <x:v>горький, жареный, карамельный, ореховый</x:v>
      </x:c>
      <x:c r="K686" s="28" t="str">
        <x:v>C6-альдегиды, иононы, терпены, эфиры</x:v>
      </x:c>
      <x:c r="L686" s="28" t="str">
        <x:v>ванилин, пиразины, фураны</x:v>
      </x:c>
      <x:c r="M686" s="28" t="str">
        <x:v>прямое совпадение семейств не установлено</x:v>
      </x:c>
      <x:c r="N686" s="28" t="str">
        <x:v>не подтверждены; механизм не сводится к одной общей молекуле</x:v>
      </x:c>
      <x:c r="O686" s="28" t="str">
        <x:v>контраст/комплементарность + матричный эффект</x:v>
      </x:c>
      <x:c r="P686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686" s="28" t="str">
        <x:v>Специфического тройничного эффекта обычно нет; кислотность усиливает слюноотделение.</x:v>
      </x:c>
      <x:c r="R686" s="28" t="str">
        <x:v>Жировая фаза удерживает гидрофобные одоранты и продлевает послевкусие; кислотность ягод повышает слюноотделение.</x:v>
      </x:c>
      <x:c r="S68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8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тёмно-фруктовый,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8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86" s="28" t="str">
        <x:v>ваниль или орехи</x:v>
      </x:c>
      <x:c r="W686" s="28" t="str">
        <x:v>сорбет, крем, ганаш, выпечка, джем или соус для десерта</x:v>
      </x:c>
      <x:c r="X686" s="28" t="str">
        <x:v>десерты</x:v>
      </x:c>
      <x:c r="Y686" s="28" t="str">
        <x:v>Средняя</x:v>
      </x:c>
      <x:c r="Z686" s="28" t="str">
        <x:v>The Art &amp; Science of Foodpairing</x:v>
      </x:c>
      <x:c r="AA686" s="28" t="str">
        <x:v>The Art &amp; Science of Foodpairing: 63</x:v>
      </x:c>
      <x:c r="AB686" s="28" t="str">
        <x:v>Ingredient pairings with Chocolate: bilberry</x:v>
      </x:c>
      <x:c r="AC686" s="28" t="n">
        <x:v>1</x:v>
      </x:c>
      <x:c r="AD686" s="28" t="n">
        <x:v>1</x:v>
      </x:c>
    </x:row>
    <x:row r="687" ht="58" customHeight="1">
      <x:c r="A687" s="28" t="str">
        <x:v>BER-0686</x:v>
      </x:c>
      <x:c r="B687" s="28" t="str">
        <x:v>Универсальные</x:v>
      </x:c>
      <x:c r="C687" s="28" t="str">
        <x:v>черника</x:v>
      </x:c>
      <x:c r="D687" s="28" t="str">
        <x:v>Черника | черника</x:v>
      </x:c>
      <x:c r="E687" s="28" t="str">
        <x:v>Ягоды и производные</x:v>
      </x:c>
      <x:c r="F687" s="28" t="str">
        <x:v>яблоко</x:v>
      </x:c>
      <x:c r="G687" s="28" t="str">
        <x:v>Яблоко | яблоко</x:v>
      </x:c>
      <x:c r="H687" s="28" t="str">
        <x:v>Фрукты</x:v>
      </x:c>
      <x:c r="I687" s="28" t="str">
        <x:v>древесный, зелёный, тёмно-фруктовый, цветочный</x:v>
      </x:c>
      <x:c r="J687" s="28" t="str">
        <x:v>зелёный, фруктовый, цветочный</x:v>
      </x:c>
      <x:c r="K687" s="28" t="str">
        <x:v>C6-альдегиды, иононы, терпены, эфиры</x:v>
      </x:c>
      <x:c r="L687" s="28" t="str">
        <x:v>лактоны, терпены, эфиры</x:v>
      </x:c>
      <x:c r="M687" s="28" t="str">
        <x:v>зелёный, цветочный</x:v>
      </x:c>
      <x:c r="N687" s="28" t="str">
        <x:v>терпены, эфиры</x:v>
      </x:c>
      <x:c r="O687" s="28" t="str">
        <x:v>ароматическое сходство + вкусовой баланс</x:v>
      </x:c>
      <x:c r="P687" s="28" t="str">
        <x:v>Оба компонента формируют кисло-сладкий, терпкий и сладко-кислый контур; сахар, кислота и горечь должны быть выровнены дегустацией.</x:v>
      </x:c>
      <x:c r="Q687" s="28" t="str">
        <x:v>Специфического тройничного эффекта обычно нет; кислотность усиливает слюноотделение.</x:v>
      </x:c>
      <x:c r="R687" s="28" t="str">
        <x:v>Ягода: антоцианы отвечают за цвет, но не за основной запах. Партнёр: водная фруктовая матрица. В воде аромат раскрывается быстрее, в жире и этаноле — дольше удерживается.</x:v>
      </x:c>
      <x:c r="S68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87" s="28" t="str">
        <x:v>Прямой вероятный молекулярный мост: терпены, эфиры. Ягодный компонент несёт семейства древесный,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антоцианы отвечают за цвет, но не за основной запах.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8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87" s="28" t="str">
        <x:v>ваниль или лимон</x:v>
      </x:c>
      <x:c r="W68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687" s="28" t="str">
        <x:v>напитки; десерты</x:v>
      </x:c>
      <x:c r="Y687" s="28" t="str">
        <x:v>Высокая</x:v>
      </x:c>
      <x:c r="Z687" s="28" t="str">
        <x:v>Тезариус вкусов</x:v>
      </x:c>
      <x:c r="AA687" s="28" t="str">
        <x:v>Тезариус вкусов: 719, 905</x:v>
      </x:c>
      <x:c r="AB687" s="28" t="str">
        <x:v>Яблоко и черника. Нет сомнений в том, кто де- лает всю работу в этом партнерстве: даже неболь- шое количество яблок даст фруктовый толчок не уве- ренной в себе чернике. Попробуйте добавить черни- ку (да, именно ту чернику, которую вы купили на зав- трак) в тарт или в крамбл, то есть в пирог с крошкой, вместо арахиса в шоколаде. Получится отличная за- мена монстру, оккупировавшему ваш холодильник, – неопределенно-рыхлому, как ваши добрые намере- ния | Черника и яблоко. См. Яблоко и черника</x:v>
      </x:c>
      <x:c r="AC687" s="28" t="n">
        <x:v>1</x:v>
      </x:c>
      <x:c r="AD687" s="28" t="n">
        <x:v>2</x:v>
      </x:c>
    </x:row>
    <x:row r="688" ht="58" customHeight="1">
      <x:c r="A688" s="28" t="str">
        <x:v>BER-0687</x:v>
      </x:c>
      <x:c r="B688" s="28" t="str">
        <x:v>Универсальные</x:v>
      </x:c>
      <x:c r="C688" s="28" t="str">
        <x:v>шелковица</x:v>
      </x:c>
      <x:c r="D688" s="28" t="str">
        <x:v>mulberry</x:v>
      </x:c>
      <x:c r="E688" s="28" t="str">
        <x:v>Ягоды и производные</x:v>
      </x:c>
      <x:c r="F688" s="28" t="str">
        <x:v>банан</x:v>
      </x:c>
      <x:c r="G688" s="28" t="str">
        <x:v>Banana</x:v>
      </x:c>
      <x:c r="H688" s="28" t="str">
        <x:v>Фрукты</x:v>
      </x:c>
      <x:c r="I688" s="28" t="str">
        <x:v>джемовый, фруктовый, цветочный</x:v>
      </x:c>
      <x:c r="J688" s="28" t="str">
        <x:v>зелёный, фруктовый, цветочный</x:v>
      </x:c>
      <x:c r="K688" s="28" t="str">
        <x:v>иононы, терпены, эфиры</x:v>
      </x:c>
      <x:c r="L688" s="28" t="str">
        <x:v>лактоны, терпены, эфиры</x:v>
      </x:c>
      <x:c r="M688" s="28" t="str">
        <x:v>фруктовый, цветочный</x:v>
      </x:c>
      <x:c r="N688" s="28" t="str">
        <x:v>терпены, эфиры</x:v>
      </x:c>
      <x:c r="O688" s="28" t="str">
        <x:v>ароматическое сходство + вкусовой баланс</x:v>
      </x:c>
      <x:c r="P688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688" s="28" t="str">
        <x:v>Специфического тройничного эффекта обычно нет; кислотность усиливает слюноотделение.</x:v>
      </x:c>
      <x:c r="R688" s="28" t="str">
        <x:v>Ягода: мягкий аромат нуждается в кислотной опоре. Партнёр: водная фруктовая матрица. В воде аромат раскрывается быстрее, в жире и этаноле — дольше удерживается.</x:v>
      </x:c>
      <x:c r="S68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88" s="28" t="str">
        <x:v>Прямой вероятный молекулярный мост: терпены, эфиры. Ягодный компонент несёт семейства джемовый,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мягкий аромат нуждается в кислотной опоре.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8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88" s="28" t="str">
        <x:v>ваниль или лимон</x:v>
      </x:c>
      <x:c r="W68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688" s="28" t="str">
        <x:v>напитки; десерты</x:v>
      </x:c>
      <x:c r="Y688" s="28" t="str">
        <x:v>Средняя</x:v>
      </x:c>
      <x:c r="Z688" s="28" t="str">
        <x:v>The Art &amp; Science of Foodpairing</x:v>
      </x:c>
      <x:c r="AA688" s="28" t="str">
        <x:v>The Art &amp; Science of Foodpairing: 342</x:v>
      </x:c>
      <x:c r="AB688" s="28" t="str">
        <x:v>Ingredient pairings with Banana: mulberry</x:v>
      </x:c>
      <x:c r="AC688" s="28" t="n">
        <x:v>1</x:v>
      </x:c>
      <x:c r="AD688" s="28" t="n">
        <x:v>1</x:v>
      </x:c>
    </x:row>
    <x:row r="689" ht="58" customHeight="1">
      <x:c r="A689" s="28" t="str">
        <x:v>BER-0688</x:v>
      </x:c>
      <x:c r="B689" s="28" t="str">
        <x:v>Еда и соусы</x:v>
      </x:c>
      <x:c r="C689" s="28" t="str">
        <x:v>шелковица</x:v>
      </x:c>
      <x:c r="D689" s="28" t="str">
        <x:v>mulberry</x:v>
      </x:c>
      <x:c r="E689" s="28" t="str">
        <x:v>Ягоды и производные</x:v>
      </x:c>
      <x:c r="F689" s="28" t="str">
        <x:v>доджанг</x:v>
      </x:c>
      <x:c r="G689" s="28" t="str">
        <x:v>Doenjang</x:v>
      </x:c>
      <x:c r="H689" s="28" t="str">
        <x:v>Ферментированные продукты, соусы и уксусы</x:v>
      </x:c>
      <x:c r="I689" s="28" t="str">
        <x:v>джемовый, фруктовый, цветочный</x:v>
      </x:c>
      <x:c r="J689" s="28" t="str">
        <x:v>кислый, умами, ферментированный</x:v>
      </x:c>
      <x:c r="K689" s="28" t="str">
        <x:v>иононы, терпены, эфиры</x:v>
      </x:c>
      <x:c r="L689" s="28" t="str">
        <x:v>аминокислоты, органические кислоты, эфиры</x:v>
      </x:c>
      <x:c r="M689" s="28" t="str">
        <x:v>прямое совпадение семейств не установлено</x:v>
      </x:c>
      <x:c r="N689" s="28" t="str">
        <x:v>эфиры</x:v>
      </x:c>
      <x:c r="O689" s="28" t="str">
        <x:v>ароматическое сходство + вкусовой баланс</x:v>
      </x:c>
      <x:c r="P689" s="28" t="str">
        <x:v>Оба компонента формируют сладко-кислый и кислый/солёный/умами контур; сахар, кислота и горечь должны быть выровнены дегустацией.</x:v>
      </x:c>
      <x:c r="Q689" s="28" t="str">
        <x:v>Специфического тройничного эффекта обычно нет; кислотность усиливает слюноотделение.</x:v>
      </x:c>
      <x:c r="R689" s="28" t="str">
        <x:v>Ягода: мягкий аромат нуждается в кислотной опоре. Партнёр: вода, соль и продукты ферментации. В воде аромат раскрывается быстрее, в жире и этаноле — дольше удерживается.</x:v>
      </x:c>
      <x:c r="S68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89" s="28" t="str">
        <x:v>Прямой вероятный молекулярный мост: эфиры. Ягодный компонент несёт семейства джемовый, фруктовый, цветочный; партнёр — кислый, умами, ферментированный. Оба компонента формируют сладко-кислый и кислый/солёный/умами контур; сахар, кислота и горечь должны быть выровнены дегустацией. Ягода: мягкий аромат нуждается в кислотной опоре.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8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89" s="28" t="str">
        <x:v>мёд или соевый соус</x:v>
      </x:c>
      <x:c r="W689" s="28" t="str">
        <x:v>соус, глазировка, салат, сырная подача или горячее блюдо; маринад, гастрик, чатни, кетчуп или редукция</x:v>
      </x:c>
      <x:c r="X689" s="28" t="str">
        <x:v>еда; соусы/маринады</x:v>
      </x:c>
      <x:c r="Y689" s="28" t="str">
        <x:v>Средняя</x:v>
      </x:c>
      <x:c r="Z689" s="28" t="str">
        <x:v>The Art &amp; Science of Foodpairing</x:v>
      </x:c>
      <x:c r="AA689" s="28" t="str">
        <x:v>The Art &amp; Science of Foodpairing: 247</x:v>
      </x:c>
      <x:c r="AB689" s="28" t="str">
        <x:v>Ingredient pairings with Doenjang: mulberry</x:v>
      </x:c>
      <x:c r="AC689" s="28" t="n">
        <x:v>1</x:v>
      </x:c>
      <x:c r="AD689" s="28" t="n">
        <x:v>1</x:v>
      </x:c>
    </x:row>
    <x:row r="690" ht="58" customHeight="1">
      <x:c r="A690" s="28" t="str">
        <x:v>BER-0689</x:v>
      </x:c>
      <x:c r="B690" s="28" t="str">
        <x:v>Напитки</x:v>
      </x:c>
      <x:c r="C690" s="28" t="str">
        <x:v>шелковица</x:v>
      </x:c>
      <x:c r="D690" s="28" t="str">
        <x:v>Шелковица</x:v>
      </x:c>
      <x:c r="E690" s="28" t="str">
        <x:v>Ягоды и производные</x:v>
      </x:c>
      <x:c r="F690" s="28" t="str">
        <x:v>лимон</x:v>
      </x:c>
      <x:c r="G690" s="28" t="str">
        <x:v>лимон</x:v>
      </x:c>
      <x:c r="H690" s="28" t="str">
        <x:v>Цитрусовые</x:v>
      </x:c>
      <x:c r="I690" s="28" t="str">
        <x:v>джемовый, фруктовый, цветочный</x:v>
      </x:c>
      <x:c r="J690" s="28" t="str">
        <x:v>зелёный, цветочный, цитрусовый</x:v>
      </x:c>
      <x:c r="K690" s="28" t="str">
        <x:v>иононы, терпены, эфиры</x:v>
      </x:c>
      <x:c r="L690" s="28" t="str">
        <x:v>лимонен, линалоол, цитраль</x:v>
      </x:c>
      <x:c r="M690" s="28" t="str">
        <x:v>цветочный</x:v>
      </x:c>
      <x:c r="N690" s="28" t="str">
        <x:v>не подтверждены; механизм не сводится к одной общей молекуле</x:v>
      </x:c>
      <x:c r="O690" s="28" t="str">
        <x:v>сходство ароматических семейств + комплементарность</x:v>
      </x:c>
      <x:c r="P690" s="28" t="str">
        <x:v>Оба компонента формируют сладко-кислый и кислый, свежий контур; сахар, кислота и горечь должны быть выровнены дегустацией.</x:v>
      </x:c>
      <x:c r="Q690" s="28" t="str">
        <x:v>Специфического тройничного эффекта обычно нет; кислотность усиливает слюноотделение.</x:v>
      </x:c>
      <x:c r="R690" s="28" t="str">
        <x:v>Ягода: мягкий аромат нуждается в кислотной опоре. Партнёр: вода и эфирные масла; цедра гидрофобна. В воде аромат раскрывается быстрее, в жире и этаноле — дольше удерживается.</x:v>
      </x:c>
      <x:c r="S69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90" s="28" t="str">
        <x:v>Общие ароматические семейства: цветочный; конкретная доля одорантов зависит от сорта и обработки. Ягодный компонент несёт семейства джемовый,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мягкий аромат нуждается в кислотной опоре.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9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90" s="28" t="str">
        <x:v>мёд или базилик</x:v>
      </x:c>
      <x:c r="W690" s="28" t="str">
        <x:v>кордиал, лимонад, чай, коктейль, настой или ферментированный напиток; маринад, гастрик, чатни, кетчуп или редукция</x:v>
      </x:c>
      <x:c r="X690" s="28" t="str">
        <x:v>напитки; соусы/маринады</x:v>
      </x:c>
      <x:c r="Y690" s="28" t="str">
        <x:v>Средняя</x:v>
      </x:c>
      <x:c r="Z690" s="28" t="str">
        <x:v>Таблица сочетаний</x:v>
      </x:c>
      <x:c r="AA690" s="28" t="str">
        <x:v>Таблица сочетаний: 13</x:v>
      </x:c>
      <x:c r="AB690" s="28" t="str">
        <x:v>Шелковица: лимон</x:v>
      </x:c>
      <x:c r="AC690" s="28" t="n">
        <x:v>1</x:v>
      </x:c>
      <x:c r="AD690" s="28" t="n">
        <x:v>1</x:v>
      </x:c>
    </x:row>
    <x:row r="691" ht="58" customHeight="1">
      <x:c r="A691" s="28" t="str">
        <x:v>BER-0690</x:v>
      </x:c>
      <x:c r="B691" s="28" t="str">
        <x:v>Универсальные</x:v>
      </x:c>
      <x:c r="C691" s="28" t="str">
        <x:v>шелковица</x:v>
      </x:c>
      <x:c r="D691" s="28" t="str">
        <x:v>Шелковица</x:v>
      </x:c>
      <x:c r="E691" s="28" t="str">
        <x:v>Ягоды и производные</x:v>
      </x:c>
      <x:c r="F691" s="28" t="str">
        <x:v>можжевельник</x:v>
      </x:c>
      <x:c r="G691" s="28" t="str">
        <x:v>можжевельник</x:v>
      </x:c>
      <x:c r="H691" s="28" t="str">
        <x:v>Прочее</x:v>
      </x:c>
      <x:c r="I691" s="28" t="str">
        <x:v>джемовый, фруктовый, цветочный</x:v>
      </x:c>
      <x:c r="J691" s="28" t="str">
        <x:v>комплексный</x:v>
      </x:c>
      <x:c r="K691" s="28" t="str">
        <x:v>иононы, терпены, эфиры</x:v>
      </x:c>
      <x:c r="L691" s="28" t="str">
        <x:v>нет надёжной конкретизации</x:v>
      </x:c>
      <x:c r="M691" s="28" t="str">
        <x:v>прямое совпадение семейств не установлено</x:v>
      </x:c>
      <x:c r="N691" s="28" t="str">
        <x:v>не подтверждены; механизм не сводится к одной общей молекуле</x:v>
      </x:c>
      <x:c r="O691" s="28" t="str">
        <x:v>контраст/комплементарность + матричный эффект</x:v>
      </x:c>
      <x:c r="P691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691" s="28" t="str">
        <x:v>Специфического тройничного эффекта обычно нет; кислотность усиливает слюноотделение.</x:v>
      </x:c>
      <x:c r="R691" s="28" t="str">
        <x:v>Ягода: мягкий аромат нуждается в кислотной опоре. Партнёр: механизм зависит от конкретного продукта. В воде аромат раскрывается быстрее, в жире и этаноле — дольше удерживается.</x:v>
      </x:c>
      <x:c r="S69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9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джемовый,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мягкий аромат нуждается в кислотной опоре.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9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91" s="28" t="str">
        <x:v>лимон или ваниль</x:v>
      </x:c>
      <x:c r="W691" s="28" t="str">
        <x:v>сенсорная проба в малой дозировке</x:v>
      </x:c>
      <x:c r="X691" s="28" t="str">
        <x:v>универсально</x:v>
      </x:c>
      <x:c r="Y691" s="28" t="str">
        <x:v>Средняя</x:v>
      </x:c>
      <x:c r="Z691" s="28" t="str">
        <x:v>Таблица сочетаний</x:v>
      </x:c>
      <x:c r="AA691" s="28" t="str">
        <x:v>Таблица сочетаний: 13</x:v>
      </x:c>
      <x:c r="AB691" s="28" t="str">
        <x:v>Шелковица: можжевельник</x:v>
      </x:c>
      <x:c r="AC691" s="28" t="n">
        <x:v>1</x:v>
      </x:c>
      <x:c r="AD691" s="28" t="n">
        <x:v>1</x:v>
      </x:c>
    </x:row>
    <x:row r="692" ht="58" customHeight="1">
      <x:c r="A692" s="28" t="str">
        <x:v>BER-0691</x:v>
      </x:c>
      <x:c r="B692" s="28" t="str">
        <x:v>Универсальные</x:v>
      </x:c>
      <x:c r="C692" s="28" t="str">
        <x:v>шелковица</x:v>
      </x:c>
      <x:c r="D692" s="28" t="str">
        <x:v>Шелковица</x:v>
      </x:c>
      <x:c r="E692" s="28" t="str">
        <x:v>Ягоды и производные</x:v>
      </x:c>
      <x:c r="F692" s="28" t="str">
        <x:v>мята</x:v>
      </x:c>
      <x:c r="G692" s="28" t="str">
        <x:v>мята</x:v>
      </x:c>
      <x:c r="H692" s="28" t="str">
        <x:v>Травы и цветы</x:v>
      </x:c>
      <x:c r="I692" s="28" t="str">
        <x:v>джемовый, фруктовый, цветочный</x:v>
      </x:c>
      <x:c r="J692" s="28" t="str">
        <x:v>зелёный, травянистый, цветочный</x:v>
      </x:c>
      <x:c r="K692" s="28" t="str">
        <x:v>иононы, терпены, эфиры</x:v>
      </x:c>
      <x:c r="L692" s="28" t="str">
        <x:v>гераниол, линалоол, терпены, эвгенол</x:v>
      </x:c>
      <x:c r="M692" s="28" t="str">
        <x:v>цветочный</x:v>
      </x:c>
      <x:c r="N692" s="28" t="str">
        <x:v>терпены</x:v>
      </x:c>
      <x:c r="O692" s="28" t="str">
        <x:v>ароматическое сходство + вкусовой баланс</x:v>
      </x:c>
      <x:c r="P692" s="28" t="str">
        <x:v>Ягодная сладость смягчает горечь и пряность, а кислотность делает горьковатый, свежий профиль ярче.</x:v>
      </x:c>
      <x:c r="Q692" s="28" t="str">
        <x:v>Специфического тройничного эффекта обычно нет; кислотность усиливает слюноотделение.</x:v>
      </x:c>
      <x:c r="R692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69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92" s="28" t="str">
        <x:v>Прямой вероятный молекулярный мост: терпены. Ягодный компонент несёт семейства джемовый,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9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92" s="28" t="str">
        <x:v>лимон или мёд</x:v>
      </x:c>
      <x:c r="W69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692" s="28" t="str">
        <x:v>напитки; еда; соусы/маринады</x:v>
      </x:c>
      <x:c r="Y692" s="28" t="str">
        <x:v>Средняя</x:v>
      </x:c>
      <x:c r="Z692" s="28" t="str">
        <x:v>Таблица сочетаний</x:v>
      </x:c>
      <x:c r="AA692" s="28" t="str">
        <x:v>Таблица сочетаний: 13</x:v>
      </x:c>
      <x:c r="AB692" s="28" t="str">
        <x:v>Шелковица: мята</x:v>
      </x:c>
      <x:c r="AC692" s="28" t="n">
        <x:v>1</x:v>
      </x:c>
      <x:c r="AD692" s="28" t="n">
        <x:v>1</x:v>
      </x:c>
    </x:row>
    <x:row r="693" ht="58" customHeight="1">
      <x:c r="A693" s="28" t="str">
        <x:v>BER-0692</x:v>
      </x:c>
      <x:c r="B693" s="28" t="str">
        <x:v>Универсальные</x:v>
      </x:c>
      <x:c r="C693" s="28" t="str">
        <x:v>шелковица</x:v>
      </x:c>
      <x:c r="D693" s="28" t="str">
        <x:v>Шелковица</x:v>
      </x:c>
      <x:c r="E693" s="28" t="str">
        <x:v>Ягоды и производные</x:v>
      </x:c>
      <x:c r="F693" s="28" t="str">
        <x:v>розмарин</x:v>
      </x:c>
      <x:c r="G693" s="28" t="str">
        <x:v>розмарин</x:v>
      </x:c>
      <x:c r="H693" s="28" t="str">
        <x:v>Травы и цветы</x:v>
      </x:c>
      <x:c r="I693" s="28" t="str">
        <x:v>джемовый, фруктовый, цветочный</x:v>
      </x:c>
      <x:c r="J693" s="28" t="str">
        <x:v>зелёный, травянистый, цветочный</x:v>
      </x:c>
      <x:c r="K693" s="28" t="str">
        <x:v>иононы, терпены, эфиры</x:v>
      </x:c>
      <x:c r="L693" s="28" t="str">
        <x:v>гераниол, линалоол, терпены, эвгенол</x:v>
      </x:c>
      <x:c r="M693" s="28" t="str">
        <x:v>цветочный</x:v>
      </x:c>
      <x:c r="N693" s="28" t="str">
        <x:v>терпены</x:v>
      </x:c>
      <x:c r="O693" s="28" t="str">
        <x:v>ароматическое сходство + вкусовой баланс</x:v>
      </x:c>
      <x:c r="P693" s="28" t="str">
        <x:v>Ягодная сладость смягчает горечь и пряность, а кислотность делает горьковатый, свежий профиль ярче.</x:v>
      </x:c>
      <x:c r="Q693" s="28" t="str">
        <x:v>Специфического тройничного эффекта обычно нет; кислотность усиливает слюноотделение.</x:v>
      </x:c>
      <x:c r="R693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69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93" s="28" t="str">
        <x:v>Прямой вероятный молекулярный мост: терпены. Ягодный компонент несёт семейства джемовый,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9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93" s="28" t="str">
        <x:v>лимон или мёд</x:v>
      </x:c>
      <x:c r="W693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693" s="28" t="str">
        <x:v>напитки; еда; соусы/маринады</x:v>
      </x:c>
      <x:c r="Y693" s="28" t="str">
        <x:v>Средняя</x:v>
      </x:c>
      <x:c r="Z693" s="28" t="str">
        <x:v>Таблица сочетаний</x:v>
      </x:c>
      <x:c r="AA693" s="28" t="str">
        <x:v>Таблица сочетаний: 13</x:v>
      </x:c>
      <x:c r="AB693" s="28" t="str">
        <x:v>Шелковица: розмарин</x:v>
      </x:c>
      <x:c r="AC693" s="28" t="n">
        <x:v>1</x:v>
      </x:c>
      <x:c r="AD693" s="28" t="n">
        <x:v>1</x:v>
      </x:c>
    </x:row>
    <x:row r="694" ht="58" customHeight="1">
      <x:c r="A694" s="28" t="str">
        <x:v>BER-0693</x:v>
      </x:c>
      <x:c r="B694" s="28" t="str">
        <x:v>Универсальные</x:v>
      </x:c>
      <x:c r="C694" s="28" t="str">
        <x:v>шелковица</x:v>
      </x:c>
      <x:c r="D694" s="28" t="str">
        <x:v>Шелковица</x:v>
      </x:c>
      <x:c r="E694" s="28" t="str">
        <x:v>Ягоды и производные</x:v>
      </x:c>
      <x:c r="F694" s="28" t="str">
        <x:v>слива</x:v>
      </x:c>
      <x:c r="G694" s="28" t="str">
        <x:v>слива</x:v>
      </x:c>
      <x:c r="H694" s="28" t="str">
        <x:v>Прочее</x:v>
      </x:c>
      <x:c r="I694" s="28" t="str">
        <x:v>джемовый, фруктовый, цветочный</x:v>
      </x:c>
      <x:c r="J694" s="28" t="str">
        <x:v>комплексный</x:v>
      </x:c>
      <x:c r="K694" s="28" t="str">
        <x:v>иононы, терпены, эфиры</x:v>
      </x:c>
      <x:c r="L694" s="28" t="str">
        <x:v>нет надёжной конкретизации</x:v>
      </x:c>
      <x:c r="M694" s="28" t="str">
        <x:v>прямое совпадение семейств не установлено</x:v>
      </x:c>
      <x:c r="N694" s="28" t="str">
        <x:v>не подтверждены; механизм не сводится к одной общей молекуле</x:v>
      </x:c>
      <x:c r="O694" s="28" t="str">
        <x:v>контраст/комплементарность + матричный эффект</x:v>
      </x:c>
      <x:c r="P694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694" s="28" t="str">
        <x:v>Специфического тройничного эффекта обычно нет; кислотность усиливает слюноотделение.</x:v>
      </x:c>
      <x:c r="R694" s="28" t="str">
        <x:v>Ягода: мягкий аромат нуждается в кислотной опоре. Партнёр: механизм зависит от конкретного продукта. В воде аромат раскрывается быстрее, в жире и этаноле — дольше удерживается.</x:v>
      </x:c>
      <x:c r="S69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9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джемовый,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мягкий аромат нуждается в кислотной опоре.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9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94" s="28" t="str">
        <x:v>лимон или ваниль</x:v>
      </x:c>
      <x:c r="W694" s="28" t="str">
        <x:v>сенсорная проба в малой дозировке</x:v>
      </x:c>
      <x:c r="X694" s="28" t="str">
        <x:v>универсально</x:v>
      </x:c>
      <x:c r="Y694" s="28" t="str">
        <x:v>Средняя</x:v>
      </x:c>
      <x:c r="Z694" s="28" t="str">
        <x:v>Таблица сочетаний</x:v>
      </x:c>
      <x:c r="AA694" s="28" t="str">
        <x:v>Таблица сочетаний: 13</x:v>
      </x:c>
      <x:c r="AB694" s="28" t="str">
        <x:v>Шелковица: слива</x:v>
      </x:c>
      <x:c r="AC694" s="28" t="n">
        <x:v>1</x:v>
      </x:c>
      <x:c r="AD694" s="28" t="n">
        <x:v>1</x:v>
      </x:c>
    </x:row>
    <x:row r="695" ht="58" customHeight="1">
      <x:c r="A695" s="28" t="str">
        <x:v>BER-0694</x:v>
      </x:c>
      <x:c r="B695" s="28" t="str">
        <x:v>Универсальные</x:v>
      </x:c>
      <x:c r="C695" s="28" t="str">
        <x:v>шелковица</x:v>
      </x:c>
      <x:c r="D695" s="28" t="str">
        <x:v>Шелковица</x:v>
      </x:c>
      <x:c r="E695" s="28" t="str">
        <x:v>Ягоды и производные</x:v>
      </x:c>
      <x:c r="F695" s="28" t="str">
        <x:v>тимьян</x:v>
      </x:c>
      <x:c r="G695" s="28" t="str">
        <x:v>тимьян</x:v>
      </x:c>
      <x:c r="H695" s="28" t="str">
        <x:v>Травы и цветы</x:v>
      </x:c>
      <x:c r="I695" s="28" t="str">
        <x:v>джемовый, фруктовый, цветочный</x:v>
      </x:c>
      <x:c r="J695" s="28" t="str">
        <x:v>зелёный, травянистый, цветочный</x:v>
      </x:c>
      <x:c r="K695" s="28" t="str">
        <x:v>иононы, терпены, эфиры</x:v>
      </x:c>
      <x:c r="L695" s="28" t="str">
        <x:v>гераниол, линалоол, терпены, эвгенол</x:v>
      </x:c>
      <x:c r="M695" s="28" t="str">
        <x:v>цветочный</x:v>
      </x:c>
      <x:c r="N695" s="28" t="str">
        <x:v>терпены</x:v>
      </x:c>
      <x:c r="O695" s="28" t="str">
        <x:v>ароматическое сходство + вкусовой баланс</x:v>
      </x:c>
      <x:c r="P695" s="28" t="str">
        <x:v>Ягодная сладость смягчает горечь и пряность, а кислотность делает горьковатый, свежий профиль ярче.</x:v>
      </x:c>
      <x:c r="Q695" s="28" t="str">
        <x:v>Специфического тройничного эффекта обычно нет; кислотность усиливает слюноотделение.</x:v>
      </x:c>
      <x:c r="R695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69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95" s="28" t="str">
        <x:v>Прямой вероятный молекулярный мост: терпены. Ягодный компонент несёт семейства джемовый,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9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95" s="28" t="str">
        <x:v>лимон или мёд</x:v>
      </x:c>
      <x:c r="W69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695" s="28" t="str">
        <x:v>напитки; еда; соусы/маринады</x:v>
      </x:c>
      <x:c r="Y695" s="28" t="str">
        <x:v>Средняя</x:v>
      </x:c>
      <x:c r="Z695" s="28" t="str">
        <x:v>Таблица сочетаний</x:v>
      </x:c>
      <x:c r="AA695" s="28" t="str">
        <x:v>Таблица сочетаний: 13</x:v>
      </x:c>
      <x:c r="AB695" s="28" t="str">
        <x:v>Шелковица: тимьян</x:v>
      </x:c>
      <x:c r="AC695" s="28" t="n">
        <x:v>1</x:v>
      </x:c>
      <x:c r="AD695" s="28" t="n">
        <x:v>1</x:v>
      </x:c>
    </x:row>
    <x:row r="696" ht="58" customHeight="1">
      <x:c r="A696" s="28" t="str">
        <x:v>BER-0695</x:v>
      </x:c>
      <x:c r="B696" s="28" t="str">
        <x:v>Универсальные</x:v>
      </x:c>
      <x:c r="C696" s="28" t="str">
        <x:v>шелковица</x:v>
      </x:c>
      <x:c r="D696" s="28" t="str">
        <x:v>Шелковица</x:v>
      </x:c>
      <x:c r="E696" s="28" t="str">
        <x:v>Ягоды и производные</x:v>
      </x:c>
      <x:c r="F696" s="28" t="str">
        <x:v>чёрный перец</x:v>
      </x:c>
      <x:c r="G696" s="28" t="str">
        <x:v>чёрный перец</x:v>
      </x:c>
      <x:c r="H696" s="28" t="str">
        <x:v>Специи</x:v>
      </x:c>
      <x:c r="I696" s="28" t="str">
        <x:v>джемовый, фруктовый, цветочный</x:v>
      </x:c>
      <x:c r="J696" s="28" t="str">
        <x:v>древесный, пряный, тёплый</x:v>
      </x:c>
      <x:c r="K696" s="28" t="str">
        <x:v>иононы, терпены, эфиры</x:v>
      </x:c>
      <x:c r="L696" s="28" t="str">
        <x:v>коричный альдегид, терпены, эвгенол</x:v>
      </x:c>
      <x:c r="M696" s="28" t="str">
        <x:v>прямое совпадение семейств не установлено</x:v>
      </x:c>
      <x:c r="N696" s="28" t="str">
        <x:v>терпены</x:v>
      </x:c>
      <x:c r="O696" s="28" t="str">
        <x:v>ароматическое сходство + вкусовой баланс</x:v>
      </x:c>
      <x:c r="P696" s="28" t="str">
        <x:v>Ягодная сладость смягчает горечь и пряность, а кислотность делает пряный, иногда горький профиль ярче.</x:v>
      </x:c>
      <x:c r="Q696" s="28" t="str">
        <x:v>Специфического тройничного эффекта обычно нет; кислотность усиливает слюноотделение.</x:v>
      </x:c>
      <x:c r="R696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69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96" s="28" t="str">
        <x:v>Прямой вероятный молекулярный мост: терпены. Ягодный компонент несёт семейства джемовый,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96" s="28" t="str">
        <x:v>Пряность дозировать как акцент: она быстро перекрывает тонкие ягодные эфиры.</x:v>
      </x:c>
      <x:c r="V696" s="28" t="str">
        <x:v>мёд или цитрус</x:v>
      </x:c>
      <x:c r="W69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696" s="28" t="str">
        <x:v>напитки; десерты; еда; соусы/маринады</x:v>
      </x:c>
      <x:c r="Y696" s="28" t="str">
        <x:v>Средняя</x:v>
      </x:c>
      <x:c r="Z696" s="28" t="str">
        <x:v>Таблица сочетаний</x:v>
      </x:c>
      <x:c r="AA696" s="28" t="str">
        <x:v>Таблица сочетаний: 13</x:v>
      </x:c>
      <x:c r="AB696" s="28" t="str">
        <x:v>Шелковица: чёрный перец</x:v>
      </x:c>
      <x:c r="AC696" s="28" t="n">
        <x:v>1</x:v>
      </x:c>
      <x:c r="AD696" s="28" t="n">
        <x:v>1</x:v>
      </x:c>
    </x:row>
    <x:row r="697" ht="58" customHeight="1">
      <x:c r="A697" s="28" t="str">
        <x:v>BER-0696</x:v>
      </x:c>
      <x:c r="B697" s="28" t="str">
        <x:v>Универсальные</x:v>
      </x:c>
      <x:c r="C697" s="28" t="str">
        <x:v>шелковица</x:v>
      </x:c>
      <x:c r="D697" s="28" t="str">
        <x:v>Шелковица</x:v>
      </x:c>
      <x:c r="E697" s="28" t="str">
        <x:v>Ягоды и производные</x:v>
      </x:c>
      <x:c r="F697" s="28" t="str">
        <x:v>яблоко</x:v>
      </x:c>
      <x:c r="G697" s="28" t="str">
        <x:v>яблоко</x:v>
      </x:c>
      <x:c r="H697" s="28" t="str">
        <x:v>Фрукты</x:v>
      </x:c>
      <x:c r="I697" s="28" t="str">
        <x:v>джемовый, фруктовый, цветочный</x:v>
      </x:c>
      <x:c r="J697" s="28" t="str">
        <x:v>зелёный, фруктовый, цветочный</x:v>
      </x:c>
      <x:c r="K697" s="28" t="str">
        <x:v>иононы, терпены, эфиры</x:v>
      </x:c>
      <x:c r="L697" s="28" t="str">
        <x:v>лактоны, терпены, эфиры</x:v>
      </x:c>
      <x:c r="M697" s="28" t="str">
        <x:v>фруктовый, цветочный</x:v>
      </x:c>
      <x:c r="N697" s="28" t="str">
        <x:v>терпены, эфиры</x:v>
      </x:c>
      <x:c r="O697" s="28" t="str">
        <x:v>ароматическое сходство + вкусовой баланс</x:v>
      </x:c>
      <x:c r="P697" s="28" t="str">
        <x:v>Оба компонента формируют сладко-кислый и сладко-кислый контур; сахар, кислота и горечь должны быть выровнены дегустацией.</x:v>
      </x:c>
      <x:c r="Q697" s="28" t="str">
        <x:v>Специфического тройничного эффекта обычно нет; кислотность усиливает слюноотделение.</x:v>
      </x:c>
      <x:c r="R697" s="28" t="str">
        <x:v>Ягода: мягкий аромат нуждается в кислотной опоре. Партнёр: водная фруктовая матрица. В воде аромат раскрывается быстрее, в жире и этаноле — дольше удерживается.</x:v>
      </x:c>
      <x:c r="S69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97" s="28" t="str">
        <x:v>Прямой вероятный молекулярный мост: терпены, эфиры. Ягодный компонент несёт семейства джемовый,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мягкий аромат нуждается в кислотной опоре.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9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97" s="28" t="str">
        <x:v>ваниль или лимон</x:v>
      </x:c>
      <x:c r="W69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697" s="28" t="str">
        <x:v>напитки; десерты</x:v>
      </x:c>
      <x:c r="Y697" s="28" t="str">
        <x:v>Средняя</x:v>
      </x:c>
      <x:c r="Z697" s="28" t="str">
        <x:v>Таблица сочетаний</x:v>
      </x:c>
      <x:c r="AA697" s="28" t="str">
        <x:v>Таблица сочетаний: 13</x:v>
      </x:c>
      <x:c r="AB697" s="28" t="str">
        <x:v>Шелковица: яблоко</x:v>
      </x:c>
      <x:c r="AC697" s="28" t="n">
        <x:v>1</x:v>
      </x:c>
      <x:c r="AD697" s="28" t="n">
        <x:v>1</x:v>
      </x:c>
    </x:row>
    <x:row r="698" ht="58" customHeight="1">
      <x:c r="A698" s="28" t="str">
        <x:v>BER-0697</x:v>
      </x:c>
      <x:c r="B698" s="28" t="str">
        <x:v>Универсальные</x:v>
      </x:c>
      <x:c r="C698" s="28" t="str">
        <x:v>шелковица</x:v>
      </x:c>
      <x:c r="D698" s="28" t="str">
        <x:v>Шелковица</x:v>
      </x:c>
      <x:c r="E698" s="28" t="str">
        <x:v>Ягоды и производные</x:v>
      </x:c>
      <x:c r="F698" s="28" t="str">
        <x:v>ягоды</x:v>
      </x:c>
      <x:c r="G698" s="28" t="str">
        <x:v>ягоды</x:v>
      </x:c>
      <x:c r="H698" s="28" t="str">
        <x:v>Прочее</x:v>
      </x:c>
      <x:c r="I698" s="28" t="str">
        <x:v>джемовый, фруктовый, цветочный</x:v>
      </x:c>
      <x:c r="J698" s="28" t="str">
        <x:v>комплексный</x:v>
      </x:c>
      <x:c r="K698" s="28" t="str">
        <x:v>иононы, терпены, эфиры</x:v>
      </x:c>
      <x:c r="L698" s="28" t="str">
        <x:v>нет надёжной конкретизации</x:v>
      </x:c>
      <x:c r="M698" s="28" t="str">
        <x:v>прямое совпадение семейств не установлено</x:v>
      </x:c>
      <x:c r="N698" s="28" t="str">
        <x:v>не подтверждены; механизм не сводится к одной общей молекуле</x:v>
      </x:c>
      <x:c r="O698" s="28" t="str">
        <x:v>контраст/комплементарность + матричный эффект</x:v>
      </x:c>
      <x:c r="P698" s="28" t="str">
        <x:v>Оба компонента формируют сладко-кислый и зависит от ингредиента контур; сахар, кислота и горечь должны быть выровнены дегустацией.</x:v>
      </x:c>
      <x:c r="Q698" s="28" t="str">
        <x:v>Специфического тройничного эффекта обычно нет; кислотность усиливает слюноотделение.</x:v>
      </x:c>
      <x:c r="R698" s="28" t="str">
        <x:v>Ягода: мягкий аромат нуждается в кислотной опоре. Партнёр: механизм зависит от конкретного продукта. В воде аромат раскрывается быстрее, в жире и этаноле — дольше удерживается.</x:v>
      </x:c>
      <x:c r="S69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9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джемовый, фруктовый, цветочный; партнёр — комплексный. Оба компонента формируют сладко-кислый и зависит от ингредиента контур; сахар, кислота и горечь должны быть выровнены дегустацией. Ягода: мягкий аромат нуждается в кислотной опоре.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9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698" s="28" t="str">
        <x:v>лимон или ваниль</x:v>
      </x:c>
      <x:c r="W698" s="28" t="str">
        <x:v>сенсорная проба в малой дозировке</x:v>
      </x:c>
      <x:c r="X698" s="28" t="str">
        <x:v>универсально</x:v>
      </x:c>
      <x:c r="Y698" s="28" t="str">
        <x:v>Средняя</x:v>
      </x:c>
      <x:c r="Z698" s="28" t="str">
        <x:v>Таблица сочетаний</x:v>
      </x:c>
      <x:c r="AA698" s="28" t="str">
        <x:v>Таблица сочетаний: 13</x:v>
      </x:c>
      <x:c r="AB698" s="28" t="str">
        <x:v>Шелковица: ягоды</x:v>
      </x:c>
      <x:c r="AC698" s="28" t="n">
        <x:v>1</x:v>
      </x:c>
      <x:c r="AD698" s="28" t="n">
        <x:v>1</x:v>
      </x:c>
    </x:row>
    <x:row r="699" ht="58" customHeight="1">
      <x:c r="A699" s="28" t="str">
        <x:v>BER-0698</x:v>
      </x:c>
      <x:c r="B699" s="28" t="str">
        <x:v>Универсальные</x:v>
      </x:c>
      <x:c r="C699" s="28" t="str">
        <x:v>ягоды асаи</x:v>
      </x:c>
      <x:c r="D699" s="28" t="str">
        <x:v>acai berry</x:v>
      </x:c>
      <x:c r="E699" s="28" t="str">
        <x:v>Ягоды и производные</x:v>
      </x:c>
      <x:c r="F699" s="28" t="str">
        <x:v>имбирь</x:v>
      </x:c>
      <x:c r="G699" s="28" t="str">
        <x:v>Ginger</x:v>
      </x:c>
      <x:c r="H699" s="28" t="str">
        <x:v>Специи</x:v>
      </x:c>
      <x:c r="I699" s="28" t="str">
        <x:v>комплексный</x:v>
      </x:c>
      <x:c r="J699" s="28" t="str">
        <x:v>древесный, пряный, тёплый</x:v>
      </x:c>
      <x:c r="K699" s="28" t="str">
        <x:v>нет надёжной конкретизации</x:v>
      </x:c>
      <x:c r="L699" s="28" t="str">
        <x:v>коричный альдегид, терпены, эвгенол</x:v>
      </x:c>
      <x:c r="M699" s="28" t="str">
        <x:v>прямое совпадение семейств не установлено</x:v>
      </x:c>
      <x:c r="N699" s="28" t="str">
        <x:v>не подтверждены; механизм не сводится к одной общей молекуле</x:v>
      </x:c>
      <x:c r="O699" s="28" t="str">
        <x:v>контраст/комплементарность + матричный эффект</x:v>
      </x:c>
      <x:c r="P699" s="28" t="str">
        <x:v>Ягодная сладость смягчает горечь и пряность, а кислотность делает пряный, иногда горький профиль ярче.</x:v>
      </x:c>
      <x:c r="Q699" s="28" t="str">
        <x:v>Кислотность ягоды усиливает слюноотделение, а капсаицин/пиперин/гингеролы дают тепло и покалывание; дозировка должна быть низкой.</x:v>
      </x:c>
      <x:c r="R699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69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69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699" s="28" t="str">
        <x:v>Пряность дозировать как акцент: она быстро перекрывает тонкие ягодные эфиры.</x:v>
      </x:c>
      <x:c r="V699" s="28" t="str">
        <x:v>мёд или цитрус</x:v>
      </x:c>
      <x:c r="W69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699" s="28" t="str">
        <x:v>напитки; десерты; еда; соусы/маринады</x:v>
      </x:c>
      <x:c r="Y699" s="28" t="str">
        <x:v>Средняя</x:v>
      </x:c>
      <x:c r="Z699" s="28" t="str">
        <x:v>The Art &amp; Science of Foodpairing</x:v>
      </x:c>
      <x:c r="AA699" s="28" t="str">
        <x:v>The Art &amp; Science of Foodpairing: 142</x:v>
      </x:c>
      <x:c r="AB699" s="28" t="str">
        <x:v>Ingredient pairings with Ginger: acai berry</x:v>
      </x:c>
      <x:c r="AC699" s="28" t="n">
        <x:v>1</x:v>
      </x:c>
      <x:c r="AD699" s="28" t="n">
        <x:v>1</x:v>
      </x:c>
    </x:row>
    <x:row r="700" ht="58" customHeight="1">
      <x:c r="A700" s="28" t="str">
        <x:v>BER-0699</x:v>
      </x:c>
      <x:c r="B700" s="28" t="str">
        <x:v>Универсальные</x:v>
      </x:c>
      <x:c r="C700" s="28" t="str">
        <x:v>ягоды асаи</x:v>
      </x:c>
      <x:c r="D700" s="28" t="str">
        <x:v>acai berry</x:v>
      </x:c>
      <x:c r="E700" s="28" t="str">
        <x:v>Ягоды и производные</x:v>
      </x:c>
      <x:c r="F700" s="28" t="str">
        <x:v>кориандр</x:v>
      </x:c>
      <x:c r="G700" s="28" t="str">
        <x:v>Coriander</x:v>
      </x:c>
      <x:c r="H700" s="28" t="str">
        <x:v>Прочее</x:v>
      </x:c>
      <x:c r="I700" s="28" t="str">
        <x:v>комплексный</x:v>
      </x:c>
      <x:c r="J700" s="28" t="str">
        <x:v>комплексный</x:v>
      </x:c>
      <x:c r="K700" s="28" t="str">
        <x:v>нет надёжной конкретизации</x:v>
      </x:c>
      <x:c r="L700" s="28" t="str">
        <x:v>нет надёжной конкретизации</x:v>
      </x:c>
      <x:c r="M700" s="28" t="str">
        <x:v>комплексный</x:v>
      </x:c>
      <x:c r="N700" s="28" t="str">
        <x:v>не подтверждены; механизм не сводится к одной общей молекуле</x:v>
      </x:c>
      <x:c r="O700" s="28" t="str">
        <x:v>сходство ароматических семейств + комплементарность</x:v>
      </x:c>
      <x:c r="P700" s="28" t="str">
        <x:v>Оба компонента формируют зависит от ингредиента и зависит от ингредиента контур; сахар, кислота и горечь должны быть выровнены дегустацией.</x:v>
      </x:c>
      <x:c r="Q700" s="28" t="str">
        <x:v>Специфического тройничного эффекта обычно нет; кислотность усиливает слюноотделение.</x:v>
      </x:c>
      <x:c r="R700" s="28" t="str">
        <x:v>Ягода: механизм зависит от конкретного продукта. Партнёр: механизм зависит от конкретного продукта. В воде аромат раскрывается быстрее, в жире и этаноле — дольше удерживается.</x:v>
      </x:c>
      <x:c r="S70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00" s="28" t="str">
        <x:v>Общие ароматические семейства: комплексный; конкретная доля одорантов зависит от сорта и обработки. Ягодный компонент несёт семейства комплексный; партнёр — комплексный. Оба компонента формируют зависит от ингредиента и зависит от ингредиента контур; сахар, кислота и горечь должны быть выровнены дегустацией. Ягода: механизм зависит от конкретного продукта.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0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700" s="28" t="str">
        <x:v>лимон или ваниль</x:v>
      </x:c>
      <x:c r="W700" s="28" t="str">
        <x:v>сенсорная проба в малой дозировке</x:v>
      </x:c>
      <x:c r="X700" s="28" t="str">
        <x:v>универсально</x:v>
      </x:c>
      <x:c r="Y700" s="28" t="str">
        <x:v>Средняя</x:v>
      </x:c>
      <x:c r="Z700" s="28" t="str">
        <x:v>The Art &amp; Science of Foodpairing</x:v>
      </x:c>
      <x:c r="AA700" s="28" t="str">
        <x:v>The Art &amp; Science of Foodpairing: 98</x:v>
      </x:c>
      <x:c r="AB700" s="28" t="str">
        <x:v>Ingredient pairings with Coriander: acai berry</x:v>
      </x:c>
      <x:c r="AC700" s="28" t="n">
        <x:v>1</x:v>
      </x:c>
      <x:c r="AD700" s="28" t="n">
        <x:v>1</x:v>
      </x:c>
    </x:row>
    <x:row r="701" ht="58" customHeight="1">
      <x:c r="A701" s="28" t="str">
        <x:v>BER-0700</x:v>
      </x:c>
      <x:c r="B701" s="28" t="str">
        <x:v>Десерты и выпечка</x:v>
      </x:c>
      <x:c r="C701" s="28" t="str">
        <x:v>ягоды асаи</x:v>
      </x:c>
      <x:c r="D701" s="28" t="str">
        <x:v>acai berry</x:v>
      </x:c>
      <x:c r="E701" s="28" t="str">
        <x:v>Ягоды и производные</x:v>
      </x:c>
      <x:c r="F701" s="28" t="str">
        <x:v>кунжут</x:v>
      </x:c>
      <x:c r="G701" s="28" t="str">
        <x:v>Sesame Seeds</x:v>
      </x:c>
      <x:c r="H701" s="28" t="str">
        <x:v>Орехи и семена</x:v>
      </x:c>
      <x:c r="I701" s="28" t="str">
        <x:v>комплексный</x:v>
      </x:c>
      <x:c r="J701" s="28" t="str">
        <x:v>жареный, миндальный, ореховый</x:v>
      </x:c>
      <x:c r="K701" s="28" t="str">
        <x:v>нет надёжной конкретизации</x:v>
      </x:c>
      <x:c r="L701" s="28" t="str">
        <x:v>бензальдегид, пиразины, фураны</x:v>
      </x:c>
      <x:c r="M701" s="28" t="str">
        <x:v>прямое совпадение семейств не установлено</x:v>
      </x:c>
      <x:c r="N701" s="28" t="str">
        <x:v>не подтверждены; механизм не сводится к одной общей молекуле</x:v>
      </x:c>
      <x:c r="O701" s="28" t="str">
        <x:v>контраст/комплементарность + матричный эффект</x:v>
      </x:c>
      <x:c r="P701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701" s="28" t="str">
        <x:v>Специфического тройничного эффекта обычно нет; кислотность усиливает слюноотделение.</x:v>
      </x:c>
      <x:c r="R701" s="28" t="str">
        <x:v>Жировая фаза удерживает гидрофобные одоранты и продлевает послевкусие; кислотность ягод повышает слюноотделение.</x:v>
      </x:c>
      <x:c r="S70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0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0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701" s="28" t="str">
        <x:v>ваниль или сливки</x:v>
      </x:c>
      <x:c r="W701" s="28" t="str">
        <x:v>сорбет, крем, ганаш, выпечка, джем или соус для десерта</x:v>
      </x:c>
      <x:c r="X701" s="28" t="str">
        <x:v>десерты</x:v>
      </x:c>
      <x:c r="Y701" s="28" t="str">
        <x:v>Средняя</x:v>
      </x:c>
      <x:c r="Z701" s="28" t="str">
        <x:v>The Art &amp; Science of Foodpairing</x:v>
      </x:c>
      <x:c r="AA701" s="28" t="str">
        <x:v>The Art &amp; Science of Foodpairing: 308</x:v>
      </x:c>
      <x:c r="AB701" s="28" t="str">
        <x:v>Ingredient pairings with Sesame Seeds: acai berry</x:v>
      </x:c>
      <x:c r="AC701" s="28" t="n">
        <x:v>1</x:v>
      </x:c>
      <x:c r="AD701" s="28" t="n">
        <x:v>1</x:v>
      </x:c>
    </x:row>
    <x:row r="702" ht="58" customHeight="1">
      <x:c r="A702" s="28" t="str">
        <x:v>BER-0701</x:v>
      </x:c>
      <x:c r="B702" s="28" t="str">
        <x:v>Универсальные</x:v>
      </x:c>
      <x:c r="C702" s="28" t="str">
        <x:v>ягоды асаи</x:v>
      </x:c>
      <x:c r="D702" s="28" t="str">
        <x:v>acai berry</x:v>
      </x:c>
      <x:c r="E702" s="28" t="str">
        <x:v>Ягоды и производные</x:v>
      </x:c>
      <x:c r="F702" s="28" t="str">
        <x:v>лемонграсс</x:v>
      </x:c>
      <x:c r="G702" s="28" t="str">
        <x:v>Lemongrass</x:v>
      </x:c>
      <x:c r="H702" s="28" t="str">
        <x:v>Прочее</x:v>
      </x:c>
      <x:c r="I702" s="28" t="str">
        <x:v>комплексный</x:v>
      </x:c>
      <x:c r="J702" s="28" t="str">
        <x:v>комплексный</x:v>
      </x:c>
      <x:c r="K702" s="28" t="str">
        <x:v>нет надёжной конкретизации</x:v>
      </x:c>
      <x:c r="L702" s="28" t="str">
        <x:v>нет надёжной конкретизации</x:v>
      </x:c>
      <x:c r="M702" s="28" t="str">
        <x:v>комплексный</x:v>
      </x:c>
      <x:c r="N702" s="28" t="str">
        <x:v>не подтверждены; механизм не сводится к одной общей молекуле</x:v>
      </x:c>
      <x:c r="O702" s="28" t="str">
        <x:v>сходство ароматических семейств + комплементарность</x:v>
      </x:c>
      <x:c r="P702" s="28" t="str">
        <x:v>Оба компонента формируют зависит от ингредиента и зависит от ингредиента контур; сахар, кислота и горечь должны быть выровнены дегустацией.</x:v>
      </x:c>
      <x:c r="Q702" s="28" t="str">
        <x:v>Специфического тройничного эффекта обычно нет; кислотность усиливает слюноотделение.</x:v>
      </x:c>
      <x:c r="R702" s="28" t="str">
        <x:v>Ягода: механизм зависит от конкретного продукта. Партнёр: механизм зависит от конкретного продукта. В воде аромат раскрывается быстрее, в жире и этаноле — дольше удерживается.</x:v>
      </x:c>
      <x:c r="S70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02" s="28" t="str">
        <x:v>Общие ароматические семейства: комплексный; конкретная доля одорантов зависит от сорта и обработки. Ягодный компонент несёт семейства комплексный; партнёр — комплексный. Оба компонента формируют зависит от ингредиента и зависит от ингредиента контур; сахар, кислота и горечь должны быть выровнены дегустацией. Ягода: механизм зависит от конкретного продукта.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0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702" s="28" t="str">
        <x:v>лимон или ваниль</x:v>
      </x:c>
      <x:c r="W702" s="28" t="str">
        <x:v>сенсорная проба в малой дозировке</x:v>
      </x:c>
      <x:c r="X702" s="28" t="str">
        <x:v>универсально</x:v>
      </x:c>
      <x:c r="Y702" s="28" t="str">
        <x:v>Средняя</x:v>
      </x:c>
      <x:c r="Z702" s="28" t="str">
        <x:v>The Art &amp; Science of Foodpairing</x:v>
      </x:c>
      <x:c r="AA702" s="28" t="str">
        <x:v>The Art &amp; Science of Foodpairing: 146</x:v>
      </x:c>
      <x:c r="AB702" s="28" t="str">
        <x:v>Ingredient pairings with Lemongrass: acai berry</x:v>
      </x:c>
      <x:c r="AC702" s="28" t="n">
        <x:v>1</x:v>
      </x:c>
      <x:c r="AD702" s="28" t="n">
        <x:v>1</x:v>
      </x:c>
    </x:row>
    <x:row r="703" ht="58" customHeight="1">
      <x:c r="A703" s="28" t="str">
        <x:v>BER-0702</x:v>
      </x:c>
      <x:c r="B703" s="28" t="str">
        <x:v>Еда и соусы</x:v>
      </x:c>
      <x:c r="C703" s="28" t="str">
        <x:v>ягоды асаи</x:v>
      </x:c>
      <x:c r="D703" s="28" t="str">
        <x:v>acai berry</x:v>
      </x:c>
      <x:c r="E703" s="28" t="str">
        <x:v>Ягоды и производные</x:v>
      </x:c>
      <x:c r="F703" s="28" t="str">
        <x:v>свёкла</x:v>
      </x:c>
      <x:c r="G703" s="28" t="str">
        <x:v>Beetroot</x:v>
      </x:c>
      <x:c r="H703" s="28" t="str">
        <x:v>Овощи и грибы</x:v>
      </x:c>
      <x:c r="I703" s="28" t="str">
        <x:v>комплексный</x:v>
      </x:c>
      <x:c r="J703" s="28" t="str">
        <x:v>зелёный, землистый, сернистый</x:v>
      </x:c>
      <x:c r="K703" s="28" t="str">
        <x:v>нет надёжной конкретизации</x:v>
      </x:c>
      <x:c r="L703" s="28" t="str">
        <x:v>C6-альдегиды, пиразины, сернистые соединения</x:v>
      </x:c>
      <x:c r="M703" s="28" t="str">
        <x:v>прямое совпадение семейств не установлено</x:v>
      </x:c>
      <x:c r="N703" s="28" t="str">
        <x:v>не подтверждены; механизм не сводится к одной общей молекуле</x:v>
      </x:c>
      <x:c r="O703" s="28" t="str">
        <x:v>контраст/комплементарность + матричный эффект</x:v>
      </x:c>
      <x:c r="P703" s="28" t="str">
        <x:v>Оба компонента формируют зависит от ингредиента и растительный, иногда умами контур; сахар, кислота и горечь должны быть выровнены дегустацией.</x:v>
      </x:c>
      <x:c r="Q703" s="28" t="str">
        <x:v>Специфического тройничного эффекта обычно нет; кислотность усиливает слюноотделение.</x:v>
      </x:c>
      <x:c r="R703" s="28" t="str">
        <x:v>Ягода: механизм зависит от конкретного продукта.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70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70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землистый, сернистый. Оба компонента формируют зависит от ингредиента и растительный, иногда умами контур; сахар, кислота и горечь должны быть выровнены дегустацией. Ягода: механизм зависит от конкретного продукта.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70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703" s="28" t="str">
        <x:v>уксус или мягкий сыр</x:v>
      </x:c>
      <x:c r="W703" s="28" t="str">
        <x:v>соус, глазировка, салат, сырная подача или горячее блюдо; маринад, гастрик, чатни, кетчуп или редукция</x:v>
      </x:c>
      <x:c r="X703" s="28" t="str">
        <x:v>еда; соусы/маринады</x:v>
      </x:c>
      <x:c r="Y703" s="28" t="str">
        <x:v>Средняя</x:v>
      </x:c>
      <x:c r="Z703" s="28" t="str">
        <x:v>The Art &amp; Science of Foodpairing</x:v>
      </x:c>
      <x:c r="AA703" s="28" t="str">
        <x:v>The Art &amp; Science of Foodpairing: 224</x:v>
      </x:c>
      <x:c r="AB703" s="28" t="str">
        <x:v>Ingredient pairings with Beetroot: acai berry</x:v>
      </x:c>
      <x:c r="AC703" s="28" t="n">
        <x:v>1</x:v>
      </x:c>
      <x:c r="AD703" s="28" t="n">
        <x:v>1</x:v>
      </x:c>
    </x:row>
    <x:row r="704" ht="58" customHeight="1">
      <x:c r="A704" s="28" t="str">
        <x:v>BER-0703</x:v>
      </x:c>
      <x:c r="B704" s="28" t="str">
        <x:v>Еда и соусы</x:v>
      </x:c>
      <x:c r="C704" s="28" t="str">
        <x:v>ягоды асаи</x:v>
      </x:c>
      <x:c r="D704" s="28" t="str">
        <x:v>acai berry</x:v>
      </x:c>
      <x:c r="E704" s="28" t="str">
        <x:v>Ягоды и производные</x:v>
      </x:c>
      <x:c r="F704" s="28" t="str">
        <x:v>соевый соус</x:v>
      </x:c>
      <x:c r="G704" s="28" t="str">
        <x:v>Soy Sauce</x:v>
      </x:c>
      <x:c r="H704" s="28" t="str">
        <x:v>Ферментированные продукты, соусы и уксусы</x:v>
      </x:c>
      <x:c r="I704" s="28" t="str">
        <x:v>комплексный</x:v>
      </x:c>
      <x:c r="J704" s="28" t="str">
        <x:v>кислый, умами, ферментированный</x:v>
      </x:c>
      <x:c r="K704" s="28" t="str">
        <x:v>нет надёжной конкретизации</x:v>
      </x:c>
      <x:c r="L704" s="28" t="str">
        <x:v>аминокислоты, органические кислоты, эфиры</x:v>
      </x:c>
      <x:c r="M704" s="28" t="str">
        <x:v>прямое совпадение семейств не установлено</x:v>
      </x:c>
      <x:c r="N704" s="28" t="str">
        <x:v>не подтверждены; механизм не сводится к одной общей молекуле</x:v>
      </x:c>
      <x:c r="O704" s="28" t="str">
        <x:v>контраст/комплементарность + матричный эффект</x:v>
      </x:c>
      <x:c r="P704" s="28" t="str">
        <x:v>Оба компонента формируют зависит от ингредиента и кислый/солёный/умами контур; сахар, кислота и горечь должны быть выровнены дегустацией.</x:v>
      </x:c>
      <x:c r="Q704" s="28" t="str">
        <x:v>Специфического тройничного эффекта обычно нет; кислотность усиливает слюноотделение.</x:v>
      </x:c>
      <x:c r="R704" s="28" t="str">
        <x:v>Ягода: механизм зависит от конкретного продукта. Партнёр: вода, соль и продукты ферментации. В воде аромат раскрывается быстрее, в жире и этаноле — дольше удерживается.</x:v>
      </x:c>
      <x:c r="S70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0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кислый, умами, ферментированный. Оба компонента формируют зависит от ингредиента и кислый/солёный/умами контур; сахар, кислота и горечь должны быть выровнены дегустацией. Ягода: механизм зависит от конкретного продукта.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0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704" s="28" t="str">
        <x:v>мёд или соевый соус</x:v>
      </x:c>
      <x:c r="W704" s="28" t="str">
        <x:v>соус, глазировка, салат, сырная подача или горячее блюдо; маринад, гастрик, чатни, кетчуп или редукция</x:v>
      </x:c>
      <x:c r="X704" s="28" t="str">
        <x:v>еда; соусы/маринады</x:v>
      </x:c>
      <x:c r="Y704" s="28" t="str">
        <x:v>Средняя</x:v>
      </x:c>
      <x:c r="Z704" s="28" t="str">
        <x:v>The Art &amp; Science of Foodpairing</x:v>
      </x:c>
      <x:c r="AA704" s="28" t="str">
        <x:v>The Art &amp; Science of Foodpairing: 301</x:v>
      </x:c>
      <x:c r="AB704" s="28" t="str">
        <x:v>Ingredient pairings with Soy Sauce: acai berry</x:v>
      </x:c>
      <x:c r="AC704" s="28" t="n">
        <x:v>1</x:v>
      </x:c>
      <x:c r="AD704" s="28" t="n">
        <x:v>1</x:v>
      </x:c>
    </x:row>
    <x:row r="705" ht="58" customHeight="1">
      <x:c r="A705" s="28" t="str">
        <x:v>BER-0704</x:v>
      </x:c>
      <x:c r="B705" s="28" t="str">
        <x:v>Еда и соусы</x:v>
      </x:c>
      <x:c r="C705" s="28" t="str">
        <x:v>ягоды асаи</x:v>
      </x:c>
      <x:c r="D705" s="28" t="str">
        <x:v>acai berry</x:v>
      </x:c>
      <x:c r="E705" s="28" t="str">
        <x:v>Ягоды и производные</x:v>
      </x:c>
      <x:c r="F705" s="28" t="str">
        <x:v>трюфель</x:v>
      </x:c>
      <x:c r="G705" s="28" t="str">
        <x:v>Truffle</x:v>
      </x:c>
      <x:c r="H705" s="28" t="str">
        <x:v>Овощи и грибы</x:v>
      </x:c>
      <x:c r="I705" s="28" t="str">
        <x:v>комплексный</x:v>
      </x:c>
      <x:c r="J705" s="28" t="str">
        <x:v>зелёный, землистый, сернистый</x:v>
      </x:c>
      <x:c r="K705" s="28" t="str">
        <x:v>нет надёжной конкретизации</x:v>
      </x:c>
      <x:c r="L705" s="28" t="str">
        <x:v>C6-альдегиды, пиразины, сернистые соединения</x:v>
      </x:c>
      <x:c r="M705" s="28" t="str">
        <x:v>прямое совпадение семейств не установлено</x:v>
      </x:c>
      <x:c r="N705" s="28" t="str">
        <x:v>не подтверждены; механизм не сводится к одной общей молекуле</x:v>
      </x:c>
      <x:c r="O705" s="28" t="str">
        <x:v>контраст/комплементарность + матричный эффект</x:v>
      </x:c>
      <x:c r="P705" s="28" t="str">
        <x:v>Оба компонента формируют зависит от ингредиента и растительный, иногда умами контур; сахар, кислота и горечь должны быть выровнены дегустацией.</x:v>
      </x:c>
      <x:c r="Q705" s="28" t="str">
        <x:v>Специфического тройничного эффекта обычно нет; кислотность усиливает слюноотделение.</x:v>
      </x:c>
      <x:c r="R705" s="28" t="str">
        <x:v>Ягода: механизм зависит от конкретного продукта. Партнёр: высокая доля воды; нагрев меняет зелёный профиль. В воде аромат раскрывается быстрее, в жире и этаноле — дольше удерживается.</x:v>
      </x:c>
      <x:c r="S70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T70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землистый, сернистый. Оба компонента формируют зависит от ингредиента и растительный, иногда умами контур; сахар, кислота и горечь должны быть выровнены дегустацией. Ягода: механизм зависит от конкретного продукта.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U70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705" s="28" t="str">
        <x:v>уксус или мягкий сыр</x:v>
      </x:c>
      <x:c r="W705" s="28" t="str">
        <x:v>соус, глазировка, салат, сырная подача или горячее блюдо; маринад, гастрик, чатни, кетчуп или редукция</x:v>
      </x:c>
      <x:c r="X705" s="28" t="str">
        <x:v>еда; соусы/маринады</x:v>
      </x:c>
      <x:c r="Y705" s="28" t="str">
        <x:v>Средняя</x:v>
      </x:c>
      <x:c r="Z705" s="28" t="str">
        <x:v>The Art &amp; Science of Foodpairing</x:v>
      </x:c>
      <x:c r="AA705" s="28" t="str">
        <x:v>The Art &amp; Science of Foodpairing: 193</x:v>
      </x:c>
      <x:c r="AB705" s="28" t="str">
        <x:v>Ingredient pairings with Truffle: acai berry</x:v>
      </x:c>
      <x:c r="AC705" s="28" t="n">
        <x:v>1</x:v>
      </x:c>
      <x:c r="AD705" s="28" t="n">
        <x:v>1</x:v>
      </x:c>
    </x:row>
    <x:row r="706" ht="58" customHeight="1">
      <x:c r="A706" s="28" t="str">
        <x:v>BER-0705</x:v>
      </x:c>
      <x:c r="B706" s="28" t="str">
        <x:v>Напитки</x:v>
      </x:c>
      <x:c r="C706" s="28" t="str">
        <x:v>ягоды асаи</x:v>
      </x:c>
      <x:c r="D706" s="28" t="str">
        <x:v>acai berry</x:v>
      </x:c>
      <x:c r="E706" s="28" t="str">
        <x:v>Ягоды и производные</x:v>
      </x:c>
      <x:c r="F706" s="28" t="str">
        <x:v>чай</x:v>
      </x:c>
      <x:c r="G706" s="28" t="str">
        <x:v>Tea</x:v>
      </x:c>
      <x:c r="H706" s="28" t="str">
        <x:v>Чай и безалкогольные напитки</x:v>
      </x:c>
      <x:c r="I706" s="28" t="str">
        <x:v>комплексный</x:v>
      </x:c>
      <x:c r="J706" s="28" t="str">
        <x:v>терпкий, травянистый, цветочный</x:v>
      </x:c>
      <x:c r="K706" s="28" t="str">
        <x:v>нет надёжной конкретизации</x:v>
      </x:c>
      <x:c r="L706" s="28" t="str">
        <x:v>гераниол, линалоол, полифенолы</x:v>
      </x:c>
      <x:c r="M706" s="28" t="str">
        <x:v>прямое совпадение семейств не установлено</x:v>
      </x:c>
      <x:c r="N706" s="28" t="str">
        <x:v>не подтверждены; механизм не сводится к одной общей молекуле</x:v>
      </x:c>
      <x:c r="O706" s="28" t="str">
        <x:v>контраст/комплементарность + матричный эффект</x:v>
      </x:c>
      <x:c r="P706" s="28" t="str">
        <x:v>Оба компонента формируют зависит от ингредиента и горьковатый, терпкий контур; сахар, кислота и горечь должны быть выровнены дегустацией.</x:v>
      </x:c>
      <x:c r="Q706" s="28" t="str">
        <x:v>Специфического тройничного эффекта обычно нет; кислотность усиливает слюноотделение.</x:v>
      </x:c>
      <x:c r="R706" s="28" t="str">
        <x:v>Ягода: механизм зависит от конкретного продукта. Партнёр: водная матрица; температура определяет экстракцию. В воде аромат раскрывается быстрее, в жире и этаноле — дольше удерживается.</x:v>
      </x:c>
      <x:c r="S70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0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терпкий, травянистый, цветочный. Оба компонента формируют зависит от ингредиента и горьковатый, терпкий контур; сахар, кислота и горечь должны быть выровнены дегустацией. Ягода: механизм зависит от конкретного продукта. Партнёр: водная матрица; температура определяет экстракцию.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0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706" s="28" t="str">
        <x:v>мёд или лимон</x:v>
      </x:c>
      <x:c r="W706" s="28" t="str">
        <x:v>кордиал, лимонад, чай, коктейль, настой или ферментированный напиток</x:v>
      </x:c>
      <x:c r="X706" s="28" t="str">
        <x:v>напитки</x:v>
      </x:c>
      <x:c r="Y706" s="28" t="str">
        <x:v>Средняя</x:v>
      </x:c>
      <x:c r="Z706" s="28" t="str">
        <x:v>The Art &amp; Science of Foodpairing</x:v>
      </x:c>
      <x:c r="AA706" s="28" t="str">
        <x:v>The Art &amp; Science of Foodpairing: 365</x:v>
      </x:c>
      <x:c r="AB706" s="28" t="str">
        <x:v>Ingredient pairings with Tea: acai berry</x:v>
      </x:c>
      <x:c r="AC706" s="28" t="n">
        <x:v>1</x:v>
      </x:c>
      <x:c r="AD706" s="28" t="n">
        <x:v>1</x:v>
      </x:c>
    </x:row>
    <x:row r="707" ht="58" customHeight="1">
      <x:c r="A707" s="28" t="str">
        <x:v>BER-0706</x:v>
      </x:c>
      <x:c r="B707" s="28" t="str">
        <x:v>Универсальные</x:v>
      </x:c>
      <x:c r="C707" s="28" t="str">
        <x:v>ягоды асаи</x:v>
      </x:c>
      <x:c r="D707" s="28" t="str">
        <x:v>асаи</x:v>
      </x:c>
      <x:c r="E707" s="28" t="str">
        <x:v>Ягоды и производные</x:v>
      </x:c>
      <x:c r="F707" s="28" t="str">
        <x:v>ягоды годжи</x:v>
      </x:c>
      <x:c r="G707" s="28" t="str">
        <x:v>Ягоды годжи</x:v>
      </x:c>
      <x:c r="H707" s="28" t="str">
        <x:v>Ягоды и производные</x:v>
      </x:c>
      <x:c r="I707" s="28" t="str">
        <x:v>комплексный</x:v>
      </x:c>
      <x:c r="J707" s="28" t="str">
        <x:v>комплексный</x:v>
      </x:c>
      <x:c r="K707" s="28" t="str">
        <x:v>нет надёжной конкретизации</x:v>
      </x:c>
      <x:c r="L707" s="28" t="str">
        <x:v>нет надёжной конкретизации</x:v>
      </x:c>
      <x:c r="M707" s="28" t="str">
        <x:v>комплексный</x:v>
      </x:c>
      <x:c r="N707" s="28" t="str">
        <x:v>не подтверждены; механизм не сводится к одной общей молекуле</x:v>
      </x:c>
      <x:c r="O707" s="28" t="str">
        <x:v>сходство ароматических семейств + комплементарность</x:v>
      </x:c>
      <x:c r="P707" s="28" t="str">
        <x:v>Оба компонента формируют зависит от ингредиента и зависит от ингредиента контур; сахар, кислота и горечь должны быть выровнены дегустацией.</x:v>
      </x:c>
      <x:c r="Q707" s="28" t="str">
        <x:v>Специфического тройничного эффекта обычно нет; кислотность усиливает слюноотделение.</x:v>
      </x:c>
      <x:c r="R707" s="28" t="str">
        <x:v>Ягода: механизм зависит от конкретного продукта. Партнёр: механизм зависит от конкретного продукта. В воде аромат раскрывается быстрее, в жире и этаноле — дольше удерживается.</x:v>
      </x:c>
      <x:c r="S70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07" s="28" t="str">
        <x:v>Общие ароматические семейства: комплексный; конкретная доля одорантов зависит от сорта и обработки. Ягодный компонент несёт семейства комплексный; партнёр — комплексный. Оба компонента формируют зависит от ингредиента и зависит от ингредиента контур; сахар, кислота и горечь должны быть выровнены дегустацией. Ягода: механизм зависит от конкретного продукта.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0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707" s="28" t="str">
        <x:v>лимон или ваниль</x:v>
      </x:c>
      <x:c r="W707" s="28" t="str">
        <x:v>сенсорная проба в малой дозировке</x:v>
      </x:c>
      <x:c r="X707" s="28" t="str">
        <x:v>универсально</x:v>
      </x:c>
      <x:c r="Y707" s="28" t="str">
        <x:v>Средняя</x:v>
      </x:c>
      <x:c r="Z707" s="28" t="str">
        <x:v>Таблица сочетаний</x:v>
      </x:c>
      <x:c r="AA707" s="28" t="str">
        <x:v>Таблица сочетаний: 8</x:v>
      </x:c>
      <x:c r="AB707" s="28" t="str">
        <x:v>Ягоды годжи: асаи</x:v>
      </x:c>
      <x:c r="AC707" s="28" t="n">
        <x:v>1</x:v>
      </x:c>
      <x:c r="AD707" s="28" t="n">
        <x:v>1</x:v>
      </x:c>
    </x:row>
    <x:row r="708" ht="58" customHeight="1">
      <x:c r="A708" s="28" t="str">
        <x:v>BER-0707</x:v>
      </x:c>
      <x:c r="B708" s="28" t="str">
        <x:v>Универсальные</x:v>
      </x:c>
      <x:c r="C708" s="28" t="str">
        <x:v>ягоды годжи</x:v>
      </x:c>
      <x:c r="D708" s="28" t="str">
        <x:v>goji berry</x:v>
      </x:c>
      <x:c r="E708" s="28" t="str">
        <x:v>Ягоды и производные</x:v>
      </x:c>
      <x:c r="F708" s="28" t="str">
        <x:v>авокадо</x:v>
      </x:c>
      <x:c r="G708" s="28" t="str">
        <x:v>Avocado</x:v>
      </x:c>
      <x:c r="H708" s="28" t="str">
        <x:v>Прочее</x:v>
      </x:c>
      <x:c r="I708" s="28" t="str">
        <x:v>комплексный</x:v>
      </x:c>
      <x:c r="J708" s="28" t="str">
        <x:v>комплексный</x:v>
      </x:c>
      <x:c r="K708" s="28" t="str">
        <x:v>нет надёжной конкретизации</x:v>
      </x:c>
      <x:c r="L708" s="28" t="str">
        <x:v>нет надёжной конкретизации</x:v>
      </x:c>
      <x:c r="M708" s="28" t="str">
        <x:v>комплексный</x:v>
      </x:c>
      <x:c r="N708" s="28" t="str">
        <x:v>не подтверждены; механизм не сводится к одной общей молекуле</x:v>
      </x:c>
      <x:c r="O708" s="28" t="str">
        <x:v>сходство ароматических семейств + комплементарность</x:v>
      </x:c>
      <x:c r="P708" s="28" t="str">
        <x:v>Оба компонента формируют зависит от ингредиента и зависит от ингредиента контур; сахар, кислота и горечь должны быть выровнены дегустацией.</x:v>
      </x:c>
      <x:c r="Q708" s="28" t="str">
        <x:v>Специфического тройничного эффекта обычно нет; кислотность усиливает слюноотделение.</x:v>
      </x:c>
      <x:c r="R708" s="28" t="str">
        <x:v>Ягода: механизм зависит от конкретного продукта. Партнёр: механизм зависит от конкретного продукта. В воде аромат раскрывается быстрее, в жире и этаноле — дольше удерживается.</x:v>
      </x:c>
      <x:c r="S70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08" s="28" t="str">
        <x:v>Общие ароматические семейства: комплексный; конкретная доля одорантов зависит от сорта и обработки. Ягодный компонент несёт семейства комплексный; партнёр — комплексный. Оба компонента формируют зависит от ингредиента и зависит от ингредиента контур; сахар, кислота и горечь должны быть выровнены дегустацией. Ягода: механизм зависит от конкретного продукта.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0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708" s="28" t="str">
        <x:v>лимон или ваниль</x:v>
      </x:c>
      <x:c r="W708" s="28" t="str">
        <x:v>сенсорная проба в малой дозировке</x:v>
      </x:c>
      <x:c r="X708" s="28" t="str">
        <x:v>универсально</x:v>
      </x:c>
      <x:c r="Y708" s="28" t="str">
        <x:v>Средняя</x:v>
      </x:c>
      <x:c r="Z708" s="28" t="str">
        <x:v>The Art &amp; Science of Foodpairing</x:v>
      </x:c>
      <x:c r="AA708" s="28" t="str">
        <x:v>The Art &amp; Science of Foodpairing: 354</x:v>
      </x:c>
      <x:c r="AB708" s="28" t="str">
        <x:v>Ingredient pairings with Avocado: goji berry</x:v>
      </x:c>
      <x:c r="AC708" s="28" t="n">
        <x:v>1</x:v>
      </x:c>
      <x:c r="AD708" s="28" t="n">
        <x:v>1</x:v>
      </x:c>
    </x:row>
    <x:row r="709" ht="58" customHeight="1">
      <x:c r="A709" s="28" t="str">
        <x:v>BER-0708</x:v>
      </x:c>
      <x:c r="B709" s="28" t="str">
        <x:v>Универсальные</x:v>
      </x:c>
      <x:c r="C709" s="28" t="str">
        <x:v>ягоды годжи</x:v>
      </x:c>
      <x:c r="D709" s="28" t="str">
        <x:v>goji berry</x:v>
      </x:c>
      <x:c r="E709" s="28" t="str">
        <x:v>Ягоды и производные</x:v>
      </x:c>
      <x:c r="F709" s="28" t="str">
        <x:v>базилик</x:v>
      </x:c>
      <x:c r="G709" s="28" t="str">
        <x:v>Basil</x:v>
      </x:c>
      <x:c r="H709" s="28" t="str">
        <x:v>Травы и цветы</x:v>
      </x:c>
      <x:c r="I709" s="28" t="str">
        <x:v>комплексный</x:v>
      </x:c>
      <x:c r="J709" s="28" t="str">
        <x:v>зелёный, травянистый, цветочный</x:v>
      </x:c>
      <x:c r="K709" s="28" t="str">
        <x:v>нет надёжной конкретизации</x:v>
      </x:c>
      <x:c r="L709" s="28" t="str">
        <x:v>гераниол, линалоол, терпены, эвгенол</x:v>
      </x:c>
      <x:c r="M709" s="28" t="str">
        <x:v>прямое совпадение семейств не установлено</x:v>
      </x:c>
      <x:c r="N709" s="28" t="str">
        <x:v>не подтверждены; механизм не сводится к одной общей молекуле</x:v>
      </x:c>
      <x:c r="O709" s="28" t="str">
        <x:v>контраст/комплементарность + матричный эффект</x:v>
      </x:c>
      <x:c r="P709" s="28" t="str">
        <x:v>Ягодная сладость смягчает горечь и пряность, а кислотность делает горьковатый, свежий профиль ярче.</x:v>
      </x:c>
      <x:c r="Q709" s="28" t="str">
        <x:v>Специфического тройничного эффекта обычно нет; кислотность усиливает слюноотделение.</x:v>
      </x:c>
      <x:c r="R709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70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0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0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709" s="28" t="str">
        <x:v>лимон или мёд</x:v>
      </x:c>
      <x:c r="W70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709" s="28" t="str">
        <x:v>напитки; еда; соусы/маринады</x:v>
      </x:c>
      <x:c r="Y709" s="28" t="str">
        <x:v>Средняя</x:v>
      </x:c>
      <x:c r="Z709" s="28" t="str">
        <x:v>The Art &amp; Science of Foodpairing</x:v>
      </x:c>
      <x:c r="AA709" s="28" t="str">
        <x:v>The Art &amp; Science of Foodpairing: 74</x:v>
      </x:c>
      <x:c r="AB709" s="28" t="str">
        <x:v>Ingredient pairings with Basil: goji berry</x:v>
      </x:c>
      <x:c r="AC709" s="28" t="n">
        <x:v>1</x:v>
      </x:c>
      <x:c r="AD709" s="28" t="n">
        <x:v>1</x:v>
      </x:c>
    </x:row>
    <x:row r="710" ht="58" customHeight="1">
      <x:c r="A710" s="28" t="str">
        <x:v>BER-0709</x:v>
      </x:c>
      <x:c r="B710" s="28" t="str">
        <x:v>Десерты и выпечка</x:v>
      </x:c>
      <x:c r="C710" s="28" t="str">
        <x:v>ягоды годжи</x:v>
      </x:c>
      <x:c r="D710" s="28" t="str">
        <x:v>Ягоды годжи</x:v>
      </x:c>
      <x:c r="E710" s="28" t="str">
        <x:v>Ягоды и производные</x:v>
      </x:c>
      <x:c r="F710" s="28" t="str">
        <x:v>грецкий орех</x:v>
      </x:c>
      <x:c r="G710" s="28" t="str">
        <x:v>грецкий орех</x:v>
      </x:c>
      <x:c r="H710" s="28" t="str">
        <x:v>Орехи и семена</x:v>
      </x:c>
      <x:c r="I710" s="28" t="str">
        <x:v>комплексный</x:v>
      </x:c>
      <x:c r="J710" s="28" t="str">
        <x:v>жареный, миндальный, ореховый</x:v>
      </x:c>
      <x:c r="K710" s="28" t="str">
        <x:v>нет надёжной конкретизации</x:v>
      </x:c>
      <x:c r="L710" s="28" t="str">
        <x:v>бензальдегид, пиразины, фураны</x:v>
      </x:c>
      <x:c r="M710" s="28" t="str">
        <x:v>прямое совпадение семейств не установлено</x:v>
      </x:c>
      <x:c r="N710" s="28" t="str">
        <x:v>не подтверждены; механизм не сводится к одной общей молекуле</x:v>
      </x:c>
      <x:c r="O710" s="28" t="str">
        <x:v>контраст/комплементарность + матричный эффект</x:v>
      </x:c>
      <x:c r="P710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710" s="28" t="str">
        <x:v>Специфического тройничного эффекта обычно нет; кислотность усиливает слюноотделение.</x:v>
      </x:c>
      <x:c r="R710" s="28" t="str">
        <x:v>Жировая фаза удерживает гидрофобные одоранты и продлевает послевкусие; кислотность ягод повышает слюноотделение.</x:v>
      </x:c>
      <x:c r="S7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1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1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710" s="28" t="str">
        <x:v>ваниль или сливки</x:v>
      </x:c>
      <x:c r="W710" s="28" t="str">
        <x:v>сорбет, крем, ганаш, выпечка, джем или соус для десерта</x:v>
      </x:c>
      <x:c r="X710" s="28" t="str">
        <x:v>десерты</x:v>
      </x:c>
      <x:c r="Y710" s="28" t="str">
        <x:v>Средняя</x:v>
      </x:c>
      <x:c r="Z710" s="28" t="str">
        <x:v>Таблица сочетаний</x:v>
      </x:c>
      <x:c r="AA710" s="28" t="str">
        <x:v>Таблица сочетаний: 8</x:v>
      </x:c>
      <x:c r="AB710" s="28" t="str">
        <x:v>Ягоды годжи: грецкий орех</x:v>
      </x:c>
      <x:c r="AC710" s="28" t="n">
        <x:v>1</x:v>
      </x:c>
      <x:c r="AD710" s="28" t="n">
        <x:v>1</x:v>
      </x:c>
    </x:row>
    <x:row r="711" ht="58" customHeight="1">
      <x:c r="A711" s="28" t="str">
        <x:v>BER-0710</x:v>
      </x:c>
      <x:c r="B711" s="28" t="str">
        <x:v>Десерты и выпечка</x:v>
      </x:c>
      <x:c r="C711" s="28" t="str">
        <x:v>ягоды годжи</x:v>
      </x:c>
      <x:c r="D711" s="28" t="str">
        <x:v>Ягоды годжи</x:v>
      </x:c>
      <x:c r="E711" s="28" t="str">
        <x:v>Ягоды и производные</x:v>
      </x:c>
      <x:c r="F711" s="28" t="str">
        <x:v>кешью</x:v>
      </x:c>
      <x:c r="G711" s="28" t="str">
        <x:v>кешью</x:v>
      </x:c>
      <x:c r="H711" s="28" t="str">
        <x:v>Орехи и семена</x:v>
      </x:c>
      <x:c r="I711" s="28" t="str">
        <x:v>комплексный</x:v>
      </x:c>
      <x:c r="J711" s="28" t="str">
        <x:v>жареный, миндальный, ореховый</x:v>
      </x:c>
      <x:c r="K711" s="28" t="str">
        <x:v>нет надёжной конкретизации</x:v>
      </x:c>
      <x:c r="L711" s="28" t="str">
        <x:v>бензальдегид, пиразины, фураны</x:v>
      </x:c>
      <x:c r="M711" s="28" t="str">
        <x:v>прямое совпадение семейств не установлено</x:v>
      </x:c>
      <x:c r="N711" s="28" t="str">
        <x:v>не подтверждены; механизм не сводится к одной общей молекуле</x:v>
      </x:c>
      <x:c r="O711" s="28" t="str">
        <x:v>контраст/комплементарность + матричный эффект</x:v>
      </x:c>
      <x:c r="P711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711" s="28" t="str">
        <x:v>Специфического тройничного эффекта обычно нет; кислотность усиливает слюноотделение.</x:v>
      </x:c>
      <x:c r="R711" s="28" t="str">
        <x:v>Жировая фаза удерживает гидрофобные одоранты и продлевает послевкусие; кислотность ягод повышает слюноотделение.</x:v>
      </x:c>
      <x:c r="S7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1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1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711" s="28" t="str">
        <x:v>ваниль или сливки</x:v>
      </x:c>
      <x:c r="W711" s="28" t="str">
        <x:v>сорбет, крем, ганаш, выпечка, джем или соус для десерта</x:v>
      </x:c>
      <x:c r="X711" s="28" t="str">
        <x:v>десерты</x:v>
      </x:c>
      <x:c r="Y711" s="28" t="str">
        <x:v>Средняя</x:v>
      </x:c>
      <x:c r="Z711" s="28" t="str">
        <x:v>Таблица сочетаний</x:v>
      </x:c>
      <x:c r="AA711" s="28" t="str">
        <x:v>Таблица сочетаний: 8</x:v>
      </x:c>
      <x:c r="AB711" s="28" t="str">
        <x:v>Ягоды годжи: кешью</x:v>
      </x:c>
      <x:c r="AC711" s="28" t="n">
        <x:v>1</x:v>
      </x:c>
      <x:c r="AD711" s="28" t="n">
        <x:v>1</x:v>
      </x:c>
    </x:row>
    <x:row r="712" ht="58" customHeight="1">
      <x:c r="A712" s="28" t="str">
        <x:v>BER-0711</x:v>
      </x:c>
      <x:c r="B712" s="28" t="str">
        <x:v>Универсальные</x:v>
      </x:c>
      <x:c r="C712" s="28" t="str">
        <x:v>ягоды годжи</x:v>
      </x:c>
      <x:c r="D712" s="28" t="str">
        <x:v>Ягоды годжи</x:v>
      </x:c>
      <x:c r="E712" s="28" t="str">
        <x:v>Ягоды и производные</x:v>
      </x:c>
      <x:c r="F712" s="28" t="str">
        <x:v>корица</x:v>
      </x:c>
      <x:c r="G712" s="28" t="str">
        <x:v>корица</x:v>
      </x:c>
      <x:c r="H712" s="28" t="str">
        <x:v>Специи</x:v>
      </x:c>
      <x:c r="I712" s="28" t="str">
        <x:v>комплексный</x:v>
      </x:c>
      <x:c r="J712" s="28" t="str">
        <x:v>древесный, пряный, тёплый</x:v>
      </x:c>
      <x:c r="K712" s="28" t="str">
        <x:v>нет надёжной конкретизации</x:v>
      </x:c>
      <x:c r="L712" s="28" t="str">
        <x:v>коричный альдегид, терпены, эвгенол</x:v>
      </x:c>
      <x:c r="M712" s="28" t="str">
        <x:v>прямое совпадение семейств не установлено</x:v>
      </x:c>
      <x:c r="N712" s="28" t="str">
        <x:v>не подтверждены; механизм не сводится к одной общей молекуле</x:v>
      </x:c>
      <x:c r="O712" s="28" t="str">
        <x:v>контраст/комплементарность + матричный эффект</x:v>
      </x:c>
      <x:c r="P712" s="28" t="str">
        <x:v>Ягодная сладость смягчает горечь и пряность, а кислотность делает пряный, иногда горький профиль ярче.</x:v>
      </x:c>
      <x:c r="Q712" s="28" t="str">
        <x:v>Специфического тройничного эффекта обычно нет; кислотность усиливает слюноотделение.</x:v>
      </x:c>
      <x:c r="R712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71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1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12" s="28" t="str">
        <x:v>Пряность дозировать как акцент: она быстро перекрывает тонкие ягодные эфиры.</x:v>
      </x:c>
      <x:c r="V712" s="28" t="str">
        <x:v>мёд или цитрус</x:v>
      </x:c>
      <x:c r="W71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X712" s="28" t="str">
        <x:v>напитки; десерты; еда; соусы/маринады</x:v>
      </x:c>
      <x:c r="Y712" s="28" t="str">
        <x:v>Средняя</x:v>
      </x:c>
      <x:c r="Z712" s="28" t="str">
        <x:v>Таблица сочетаний</x:v>
      </x:c>
      <x:c r="AA712" s="28" t="str">
        <x:v>Таблица сочетаний: 8</x:v>
      </x:c>
      <x:c r="AB712" s="28" t="str">
        <x:v>Ягоды годжи: корица</x:v>
      </x:c>
      <x:c r="AC712" s="28" t="n">
        <x:v>1</x:v>
      </x:c>
      <x:c r="AD712" s="28" t="n">
        <x:v>1</x:v>
      </x:c>
    </x:row>
    <x:row r="713" ht="58" customHeight="1">
      <x:c r="A713" s="28" t="str">
        <x:v>BER-0712</x:v>
      </x:c>
      <x:c r="B713" s="28" t="str">
        <x:v>Десерты и выпечка</x:v>
      </x:c>
      <x:c r="C713" s="28" t="str">
        <x:v>ягоды годжи</x:v>
      </x:c>
      <x:c r="D713" s="28" t="str">
        <x:v>Ягоды годжи</x:v>
      </x:c>
      <x:c r="E713" s="28" t="str">
        <x:v>Ягоды и производные</x:v>
      </x:c>
      <x:c r="F713" s="28" t="str">
        <x:v>кофе</x:v>
      </x:c>
      <x:c r="G713" s="28" t="str">
        <x:v>кофе</x:v>
      </x:c>
      <x:c r="H713" s="28" t="str">
        <x:v>Шоколад, кофе и жареные продукты</x:v>
      </x:c>
      <x:c r="I713" s="28" t="str">
        <x:v>комплексный</x:v>
      </x:c>
      <x:c r="J713" s="28" t="str">
        <x:v>горький, жареный, карамельный, ореховый</x:v>
      </x:c>
      <x:c r="K713" s="28" t="str">
        <x:v>нет надёжной конкретизации</x:v>
      </x:c>
      <x:c r="L713" s="28" t="str">
        <x:v>ванилин, пиразины, фураны</x:v>
      </x:c>
      <x:c r="M713" s="28" t="str">
        <x:v>прямое совпадение семейств не установлено</x:v>
      </x:c>
      <x:c r="N713" s="28" t="str">
        <x:v>не подтверждены; механизм не сводится к одной общей молекуле</x:v>
      </x:c>
      <x:c r="O713" s="28" t="str">
        <x:v>контраст/комплементарность + матричный эффект</x:v>
      </x:c>
      <x:c r="P713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713" s="28" t="str">
        <x:v>Специфического тройничного эффекта обычно нет; кислотность усиливает слюноотделение.</x:v>
      </x:c>
      <x:c r="R713" s="28" t="str">
        <x:v>Жировая фаза удерживает гидрофобные одоранты и продлевает послевкусие; кислотность ягод повышает слюноотделение.</x:v>
      </x:c>
      <x:c r="S71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1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1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713" s="28" t="str">
        <x:v>ваниль или орехи</x:v>
      </x:c>
      <x:c r="W713" s="28" t="str">
        <x:v>сорбет, крем, ганаш, выпечка, джем или соус для десерта</x:v>
      </x:c>
      <x:c r="X713" s="28" t="str">
        <x:v>десерты</x:v>
      </x:c>
      <x:c r="Y713" s="28" t="str">
        <x:v>Средняя</x:v>
      </x:c>
      <x:c r="Z713" s="28" t="str">
        <x:v>Таблица сочетаний</x:v>
      </x:c>
      <x:c r="AA713" s="28" t="str">
        <x:v>Таблица сочетаний: 8</x:v>
      </x:c>
      <x:c r="AB713" s="28" t="str">
        <x:v>Ягоды годжи: кофе</x:v>
      </x:c>
      <x:c r="AC713" s="28" t="n">
        <x:v>1</x:v>
      </x:c>
      <x:c r="AD713" s="28" t="n">
        <x:v>1</x:v>
      </x:c>
    </x:row>
    <x:row r="714" ht="58" customHeight="1">
      <x:c r="A714" s="28" t="str">
        <x:v>BER-0713</x:v>
      </x:c>
      <x:c r="B714" s="28" t="str">
        <x:v>Универсальные</x:v>
      </x:c>
      <x:c r="C714" s="28" t="str">
        <x:v>ягоды годжи</x:v>
      </x:c>
      <x:c r="D714" s="28" t="str">
        <x:v>годжи</x:v>
      </x:c>
      <x:c r="E714" s="28" t="str">
        <x:v>Ягоды и производные</x:v>
      </x:c>
      <x:c r="F714" s="28" t="str">
        <x:v>личи</x:v>
      </x:c>
      <x:c r="G714" s="28" t="str">
        <x:v>Личи</x:v>
      </x:c>
      <x:c r="H714" s="28" t="str">
        <x:v>Фрукты</x:v>
      </x:c>
      <x:c r="I714" s="28" t="str">
        <x:v>комплексный</x:v>
      </x:c>
      <x:c r="J714" s="28" t="str">
        <x:v>зелёный, фруктовый, цветочный</x:v>
      </x:c>
      <x:c r="K714" s="28" t="str">
        <x:v>нет надёжной конкретизации</x:v>
      </x:c>
      <x:c r="L714" s="28" t="str">
        <x:v>лактоны, терпены, эфиры</x:v>
      </x:c>
      <x:c r="M714" s="28" t="str">
        <x:v>прямое совпадение семейств не установлено</x:v>
      </x:c>
      <x:c r="N714" s="28" t="str">
        <x:v>не подтверждены; механизм не сводится к одной общей молекуле</x:v>
      </x:c>
      <x:c r="O714" s="28" t="str">
        <x:v>контраст/комплементарность + матричный эффект</x:v>
      </x:c>
      <x:c r="P714" s="28" t="str">
        <x:v>Оба компонента формируют зависит от ингредиента и сладко-кислый контур; сахар, кислота и горечь должны быть выровнены дегустацией.</x:v>
      </x:c>
      <x:c r="Q714" s="28" t="str">
        <x:v>Специфического тройничного эффекта обычно нет; кислотность усиливает слюноотделение.</x:v>
      </x:c>
      <x:c r="R714" s="28" t="str">
        <x:v>Ягода: механизм зависит от конкретного продукта. Партнёр: водная фруктовая матрица. В воде аромат раскрывается быстрее, в жире и этаноле — дольше удерживается.</x:v>
      </x:c>
      <x:c r="S71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1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фруктовый, цветочный. Оба компонента формируют зависит от ингредиента и сладко-кислый контур; сахар, кислота и горечь должны быть выровнены дегустацией. Ягода: механизм зависит от конкретного продукта.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1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714" s="28" t="str">
        <x:v>ваниль или лимон</x:v>
      </x:c>
      <x:c r="W71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X714" s="28" t="str">
        <x:v>напитки; десерты</x:v>
      </x:c>
      <x:c r="Y714" s="28" t="str">
        <x:v>Средняя</x:v>
      </x:c>
      <x:c r="Z714" s="28" t="str">
        <x:v>Таблица сочетаний</x:v>
      </x:c>
      <x:c r="AA714" s="28" t="str">
        <x:v>Таблица сочетаний: 12</x:v>
      </x:c>
      <x:c r="AB714" s="28" t="str">
        <x:v>Личи: годжи</x:v>
      </x:c>
      <x:c r="AC714" s="28" t="n">
        <x:v>1</x:v>
      </x:c>
      <x:c r="AD714" s="28" t="n">
        <x:v>1</x:v>
      </x:c>
    </x:row>
    <x:row r="715" ht="58" customHeight="1">
      <x:c r="A715" s="28" t="str">
        <x:v>BER-0714</x:v>
      </x:c>
      <x:c r="B715" s="28" t="str">
        <x:v>Универсальные</x:v>
      </x:c>
      <x:c r="C715" s="28" t="str">
        <x:v>ягоды годжи</x:v>
      </x:c>
      <x:c r="D715" s="28" t="str">
        <x:v>годжи</x:v>
      </x:c>
      <x:c r="E715" s="28" t="str">
        <x:v>Ягоды и производные</x:v>
      </x:c>
      <x:c r="F715" s="28" t="str">
        <x:v>лонган</x:v>
      </x:c>
      <x:c r="G715" s="28" t="str">
        <x:v>Лонган</x:v>
      </x:c>
      <x:c r="H715" s="28" t="str">
        <x:v>Прочее</x:v>
      </x:c>
      <x:c r="I715" s="28" t="str">
        <x:v>комплексный</x:v>
      </x:c>
      <x:c r="J715" s="28" t="str">
        <x:v>комплексный</x:v>
      </x:c>
      <x:c r="K715" s="28" t="str">
        <x:v>нет надёжной конкретизации</x:v>
      </x:c>
      <x:c r="L715" s="28" t="str">
        <x:v>нет надёжной конкретизации</x:v>
      </x:c>
      <x:c r="M715" s="28" t="str">
        <x:v>комплексный</x:v>
      </x:c>
      <x:c r="N715" s="28" t="str">
        <x:v>не подтверждены; механизм не сводится к одной общей молекуле</x:v>
      </x:c>
      <x:c r="O715" s="28" t="str">
        <x:v>сходство ароматических семейств + комплементарность</x:v>
      </x:c>
      <x:c r="P715" s="28" t="str">
        <x:v>Оба компонента формируют зависит от ингредиента и зависит от ингредиента контур; сахар, кислота и горечь должны быть выровнены дегустацией.</x:v>
      </x:c>
      <x:c r="Q715" s="28" t="str">
        <x:v>Специфического тройничного эффекта обычно нет; кислотность усиливает слюноотделение.</x:v>
      </x:c>
      <x:c r="R715" s="28" t="str">
        <x:v>Ягода: механизм зависит от конкретного продукта. Партнёр: механизм зависит от конкретного продукта. В воде аромат раскрывается быстрее, в жире и этаноле — дольше удерживается.</x:v>
      </x:c>
      <x:c r="S71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15" s="28" t="str">
        <x:v>Общие ароматические семейства: комплексный; конкретная доля одорантов зависит от сорта и обработки. Ягодный компонент несёт семейства комплексный; партнёр — комплексный. Оба компонента формируют зависит от ингредиента и зависит от ингредиента контур; сахар, кислота и горечь должны быть выровнены дегустацией. Ягода: механизм зависит от конкретного продукта.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1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715" s="28" t="str">
        <x:v>лимон или ваниль</x:v>
      </x:c>
      <x:c r="W715" s="28" t="str">
        <x:v>сенсорная проба в малой дозировке</x:v>
      </x:c>
      <x:c r="X715" s="28" t="str">
        <x:v>универсально</x:v>
      </x:c>
      <x:c r="Y715" s="28" t="str">
        <x:v>Средняя</x:v>
      </x:c>
      <x:c r="Z715" s="28" t="str">
        <x:v>Таблица сочетаний</x:v>
      </x:c>
      <x:c r="AA715" s="28" t="str">
        <x:v>Таблица сочетаний: 12</x:v>
      </x:c>
      <x:c r="AB715" s="28" t="str">
        <x:v>Лонган: годжи</x:v>
      </x:c>
      <x:c r="AC715" s="28" t="n">
        <x:v>1</x:v>
      </x:c>
      <x:c r="AD715" s="28" t="n">
        <x:v>1</x:v>
      </x:c>
    </x:row>
    <x:row r="716" ht="58" customHeight="1">
      <x:c r="A716" s="28" t="str">
        <x:v>BER-0715</x:v>
      </x:c>
      <x:c r="B716" s="28" t="str">
        <x:v>Универсальные</x:v>
      </x:c>
      <x:c r="C716" s="28" t="str">
        <x:v>ягоды годжи</x:v>
      </x:c>
      <x:c r="D716" s="28" t="str">
        <x:v>Ягоды годжи</x:v>
      </x:c>
      <x:c r="E716" s="28" t="str">
        <x:v>Ягоды и производные</x:v>
      </x:c>
      <x:c r="F716" s="28" t="str">
        <x:v>мята</x:v>
      </x:c>
      <x:c r="G716" s="28" t="str">
        <x:v>мята</x:v>
      </x:c>
      <x:c r="H716" s="28" t="str">
        <x:v>Травы и цветы</x:v>
      </x:c>
      <x:c r="I716" s="28" t="str">
        <x:v>комплексный</x:v>
      </x:c>
      <x:c r="J716" s="28" t="str">
        <x:v>зелёный, травянистый, цветочный</x:v>
      </x:c>
      <x:c r="K716" s="28" t="str">
        <x:v>нет надёжной конкретизации</x:v>
      </x:c>
      <x:c r="L716" s="28" t="str">
        <x:v>гераниол, линалоол, терпены, эвгенол</x:v>
      </x:c>
      <x:c r="M716" s="28" t="str">
        <x:v>прямое совпадение семейств не установлено</x:v>
      </x:c>
      <x:c r="N716" s="28" t="str">
        <x:v>не подтверждены; механизм не сводится к одной общей молекуле</x:v>
      </x:c>
      <x:c r="O716" s="28" t="str">
        <x:v>контраст/комплементарность + матричный эффект</x:v>
      </x:c>
      <x:c r="P716" s="28" t="str">
        <x:v>Ягодная сладость смягчает горечь и пряность, а кислотность делает горьковатый, свежий профиль ярче.</x:v>
      </x:c>
      <x:c r="Q716" s="28" t="str">
        <x:v>Специфического тройничного эффекта обычно нет; кислотность усиливает слюноотделение.</x:v>
      </x:c>
      <x:c r="R716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71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1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1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716" s="28" t="str">
        <x:v>лимон или мёд</x:v>
      </x:c>
      <x:c r="W71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716" s="28" t="str">
        <x:v>напитки; еда; соусы/маринады</x:v>
      </x:c>
      <x:c r="Y716" s="28" t="str">
        <x:v>Средняя</x:v>
      </x:c>
      <x:c r="Z716" s="28" t="str">
        <x:v>Таблица сочетаний</x:v>
      </x:c>
      <x:c r="AA716" s="28" t="str">
        <x:v>Таблица сочетаний: 8</x:v>
      </x:c>
      <x:c r="AB716" s="28" t="str">
        <x:v>Ягоды годжи: мята</x:v>
      </x:c>
      <x:c r="AC716" s="28" t="n">
        <x:v>1</x:v>
      </x:c>
      <x:c r="AD716" s="28" t="n">
        <x:v>1</x:v>
      </x:c>
    </x:row>
    <x:row r="717" ht="58" customHeight="1">
      <x:c r="A717" s="28" t="str">
        <x:v>BER-0716</x:v>
      </x:c>
      <x:c r="B717" s="28" t="str">
        <x:v>Универсальные</x:v>
      </x:c>
      <x:c r="C717" s="28" t="str">
        <x:v>ягоды годжи</x:v>
      </x:c>
      <x:c r="D717" s="28" t="str">
        <x:v>Ягоды годжи</x:v>
      </x:c>
      <x:c r="E717" s="28" t="str">
        <x:v>Ягоды и производные</x:v>
      </x:c>
      <x:c r="F717" s="28" t="str">
        <x:v>тимьян</x:v>
      </x:c>
      <x:c r="G717" s="28" t="str">
        <x:v>тимьян</x:v>
      </x:c>
      <x:c r="H717" s="28" t="str">
        <x:v>Травы и цветы</x:v>
      </x:c>
      <x:c r="I717" s="28" t="str">
        <x:v>комплексный</x:v>
      </x:c>
      <x:c r="J717" s="28" t="str">
        <x:v>зелёный, травянистый, цветочный</x:v>
      </x:c>
      <x:c r="K717" s="28" t="str">
        <x:v>нет надёжной конкретизации</x:v>
      </x:c>
      <x:c r="L717" s="28" t="str">
        <x:v>гераниол, линалоол, терпены, эвгенол</x:v>
      </x:c>
      <x:c r="M717" s="28" t="str">
        <x:v>прямое совпадение семейств не установлено</x:v>
      </x:c>
      <x:c r="N717" s="28" t="str">
        <x:v>не подтверждены; механизм не сводится к одной общей молекуле</x:v>
      </x:c>
      <x:c r="O717" s="28" t="str">
        <x:v>контраст/комплементарность + матричный эффект</x:v>
      </x:c>
      <x:c r="P717" s="28" t="str">
        <x:v>Ягодная сладость смягчает горечь и пряность, а кислотность делает горьковатый, свежий профиль ярче.</x:v>
      </x:c>
      <x:c r="Q717" s="28" t="str">
        <x:v>Специфического тройничного эффекта обычно нет; кислотность усиливает слюноотделение.</x:v>
      </x:c>
      <x:c r="R717" s="28" t="str">
        <x:v>Эфирные масла лучше раскрываются в небольшом количестве жира или этанола; в воде нужны сахар и достаточная температура экстракции.</x:v>
      </x:c>
      <x:c r="S71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1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1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717" s="28" t="str">
        <x:v>лимон или мёд</x:v>
      </x:c>
      <x:c r="W71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X717" s="28" t="str">
        <x:v>напитки; еда; соусы/маринады</x:v>
      </x:c>
      <x:c r="Y717" s="28" t="str">
        <x:v>Средняя</x:v>
      </x:c>
      <x:c r="Z717" s="28" t="str">
        <x:v>Таблица сочетаний</x:v>
      </x:c>
      <x:c r="AA717" s="28" t="str">
        <x:v>Таблица сочетаний: 8</x:v>
      </x:c>
      <x:c r="AB717" s="28" t="str">
        <x:v>Ягоды годжи: тимьян</x:v>
      </x:c>
      <x:c r="AC717" s="28" t="n">
        <x:v>1</x:v>
      </x:c>
      <x:c r="AD717" s="28" t="n">
        <x:v>1</x:v>
      </x:c>
    </x:row>
    <x:row r="718" ht="58" customHeight="1">
      <x:c r="A718" s="28" t="str">
        <x:v>BER-0717</x:v>
      </x:c>
      <x:c r="B718" s="28" t="str">
        <x:v>Десерты и выпечка</x:v>
      </x:c>
      <x:c r="C718" s="28" t="str">
        <x:v>ягоды годжи</x:v>
      </x:c>
      <x:c r="D718" s="28" t="str">
        <x:v>Ягоды годжи</x:v>
      </x:c>
      <x:c r="E718" s="28" t="str">
        <x:v>Ягоды и производные</x:v>
      </x:c>
      <x:c r="F718" s="28" t="str">
        <x:v>фундук</x:v>
      </x:c>
      <x:c r="G718" s="28" t="str">
        <x:v>фундук</x:v>
      </x:c>
      <x:c r="H718" s="28" t="str">
        <x:v>Орехи и семена</x:v>
      </x:c>
      <x:c r="I718" s="28" t="str">
        <x:v>комплексный</x:v>
      </x:c>
      <x:c r="J718" s="28" t="str">
        <x:v>жареный, миндальный, ореховый</x:v>
      </x:c>
      <x:c r="K718" s="28" t="str">
        <x:v>нет надёжной конкретизации</x:v>
      </x:c>
      <x:c r="L718" s="28" t="str">
        <x:v>бензальдегид, пиразины, фураны</x:v>
      </x:c>
      <x:c r="M718" s="28" t="str">
        <x:v>прямое совпадение семейств не установлено</x:v>
      </x:c>
      <x:c r="N718" s="28" t="str">
        <x:v>не подтверждены; механизм не сводится к одной общей молекуле</x:v>
      </x:c>
      <x:c r="O718" s="28" t="str">
        <x:v>контраст/комплементарность + матричный эффект</x:v>
      </x:c>
      <x:c r="P718" s="28" t="str">
        <x:v>Кислотность и терпкость ягод режут ощущение жира и сладости; сладковатый, жирный профиль партнёра округляет ягодную резкость.</x:v>
      </x:c>
      <x:c r="Q718" s="28" t="str">
        <x:v>Специфического тройничного эффекта обычно нет; кислотность усиливает слюноотделение.</x:v>
      </x:c>
      <x:c r="R718" s="28" t="str">
        <x:v>Жировая фаза удерживает гидрофобные одоранты и продлевает послевкусие; кислотность ягод повышает слюноотделение.</x:v>
      </x:c>
      <x:c r="S71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1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1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718" s="28" t="str">
        <x:v>ваниль или сливки</x:v>
      </x:c>
      <x:c r="W718" s="28" t="str">
        <x:v>сорбет, крем, ганаш, выпечка, джем или соус для десерта</x:v>
      </x:c>
      <x:c r="X718" s="28" t="str">
        <x:v>десерты</x:v>
      </x:c>
      <x:c r="Y718" s="28" t="str">
        <x:v>Средняя</x:v>
      </x:c>
      <x:c r="Z718" s="28" t="str">
        <x:v>Таблица сочетаний</x:v>
      </x:c>
      <x:c r="AA718" s="28" t="str">
        <x:v>Таблица сочетаний: 8</x:v>
      </x:c>
      <x:c r="AB718" s="28" t="str">
        <x:v>Ягоды годжи: фундук</x:v>
      </x:c>
      <x:c r="AC718" s="28" t="n">
        <x:v>1</x:v>
      </x:c>
      <x:c r="AD718" s="28" t="n">
        <x:v>1</x:v>
      </x:c>
    </x:row>
    <x:row r="719" ht="58" customHeight="1">
      <x:c r="A719" s="28" t="str">
        <x:v>BER-0718</x:v>
      </x:c>
      <x:c r="B719" s="28" t="str">
        <x:v>Десерты и выпечка</x:v>
      </x:c>
      <x:c r="C719" s="28" t="str">
        <x:v>ягоды годжи</x:v>
      </x:c>
      <x:c r="D719" s="28" t="str">
        <x:v>Ягоды годжи</x:v>
      </x:c>
      <x:c r="E719" s="28" t="str">
        <x:v>Ягоды и производные</x:v>
      </x:c>
      <x:c r="F719" s="28" t="str">
        <x:v>шоколад</x:v>
      </x:c>
      <x:c r="G719" s="28" t="str">
        <x:v>шоколад</x:v>
      </x:c>
      <x:c r="H719" s="28" t="str">
        <x:v>Шоколад, кофе и жареные продукты</x:v>
      </x:c>
      <x:c r="I719" s="28" t="str">
        <x:v>комплексный</x:v>
      </x:c>
      <x:c r="J719" s="28" t="str">
        <x:v>горький, жареный, карамельный, ореховый</x:v>
      </x:c>
      <x:c r="K719" s="28" t="str">
        <x:v>нет надёжной конкретизации</x:v>
      </x:c>
      <x:c r="L719" s="28" t="str">
        <x:v>ванилин, пиразины, фураны</x:v>
      </x:c>
      <x:c r="M719" s="28" t="str">
        <x:v>прямое совпадение семейств не установлено</x:v>
      </x:c>
      <x:c r="N719" s="28" t="str">
        <x:v>не подтверждены; механизм не сводится к одной общей молекуле</x:v>
      </x:c>
      <x:c r="O719" s="28" t="str">
        <x:v>контраст/комплементарность + матричный эффект</x:v>
      </x:c>
      <x:c r="P719" s="28" t="str">
        <x:v>Кислотность и терпкость ягод режут ощущение жира и сладости; горько-сладкий профиль партнёра округляет ягодную резкость.</x:v>
      </x:c>
      <x:c r="Q719" s="28" t="str">
        <x:v>Специфического тройничного эффекта обычно нет; кислотность усиливает слюноотделение.</x:v>
      </x:c>
      <x:c r="R719" s="28" t="str">
        <x:v>Жировая фаза удерживает гидрофобные одоранты и продлевает послевкусие; кислотность ягод повышает слюноотделение.</x:v>
      </x:c>
      <x:c r="S71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T71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U71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V719" s="28" t="str">
        <x:v>ваниль или орехи</x:v>
      </x:c>
      <x:c r="W719" s="28" t="str">
        <x:v>сорбет, крем, ганаш, выпечка, джем или соус для десерта</x:v>
      </x:c>
      <x:c r="X719" s="28" t="str">
        <x:v>десерты</x:v>
      </x:c>
      <x:c r="Y719" s="28" t="str">
        <x:v>Средняя</x:v>
      </x:c>
      <x:c r="Z719" s="28" t="str">
        <x:v>Таблица сочетаний</x:v>
      </x:c>
      <x:c r="AA719" s="28" t="str">
        <x:v>Таблица сочетаний: 8</x:v>
      </x:c>
      <x:c r="AB719" s="28" t="str">
        <x:v>Ягоды годжи: шоколад</x:v>
      </x:c>
      <x:c r="AC719" s="28" t="n">
        <x:v>1</x:v>
      </x:c>
      <x:c r="AD719" s="28" t="n">
        <x:v>1</x:v>
      </x:c>
    </x:row>
  </x:sheetData>
  <x:conditionalFormatting sqref="Y2:Y719">
    <x:cfRule type="expression" dxfId="0" priority="1">
      <x:formula>Y2="Высокая"</x:formula>
    </x:cfRule>
    <x:cfRule type="expression" dxfId="1" priority="2">
      <x:formula>Y2="Средняя"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48e8c8c61f47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29" hidden="0" customWidth="1"/>
    <x:col min="4" max="4" width="24" hidden="0" customWidth="1"/>
    <x:col min="5" max="5" width="34" hidden="0" customWidth="1"/>
    <x:col min="6" max="6" width="60" hidden="0" customWidth="1"/>
    <x:col min="7" max="7" width="48" hidden="0" customWidth="1"/>
    <x:col min="8" max="8" width="48" hidden="0" customWidth="1"/>
    <x:col min="9" max="9" width="44" hidden="0" customWidth="1"/>
    <x:col min="10" max="10" width="22" hidden="0" customWidth="1"/>
    <x:col min="11" max="11" width="36" hidden="0" customWidth="1"/>
    <x:col min="12" max="12" width="42" hidden="0" customWidth="1"/>
  </x:cols>
  <x:sheetData>
    <x:row r="1" ht="42" customHeight="1">
      <x:c r="A1" s="20" t="str">
        <x:v>ID</x:v>
      </x:c>
      <x:c r="B1" s="20" t="str">
        <x:v>Ягода / производное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Подробное 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Практическое 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2" customHeight="1">
      <x:c r="A2" s="28" t="str">
        <x:v>BER-0002</x:v>
      </x:c>
      <x:c r="B2" s="28" t="str">
        <x:v>барбарис</x:v>
      </x:c>
      <x:c r="C2" s="28" t="str">
        <x:v>коньяк</x:v>
      </x:c>
      <x:c r="D2" s="28" t="str">
        <x:v>Алкогольные напитки</x:v>
      </x:c>
      <x:c r="E2" s="28" t="str">
        <x:v>контраст/комплементарность + матричный эффект</x:v>
      </x:c>
      <x:c r="F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кислый, красно-фруктовый, цветочный;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G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H2" s="28" t="str">
        <x:v>Высокая крепость и избыток сахара маскируют свежесть и усиливают терпкость.</x:v>
      </x:c>
      <x:c r="I2" s="28" t="str">
        <x:v>кордиал, лимонад, чай, коктейль, настой или ферментированный напиток</x:v>
      </x:c>
      <x:c r="J2" s="28" t="str">
        <x:v>Средняя</x:v>
      </x:c>
      <x:c r="K2" s="28" t="str">
        <x:v>The Art &amp; Science of Foodpairing</x:v>
      </x:c>
      <x:c r="L2" s="28" t="str">
        <x:v>The Art &amp; Science of Foodpairing: 123</x:v>
      </x:c>
    </x:row>
    <x:row r="3" ht="62" customHeight="1">
      <x:c r="A3" s="28" t="str">
        <x:v>BER-0004</x:v>
      </x:c>
      <x:c r="B3" s="28" t="str">
        <x:v>барбарис</x:v>
      </x:c>
      <x:c r="C3" s="28" t="str">
        <x:v>текила</x:v>
      </x:c>
      <x:c r="D3" s="28" t="str">
        <x:v>Алкогольные напитки</x:v>
      </x:c>
      <x:c r="E3" s="28" t="str">
        <x:v>контраст/комплементарность + матричный эффект</x:v>
      </x:c>
      <x:c r="F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кислый, красно-фруктовый, цветочный;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G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H3" s="28" t="str">
        <x:v>Высокая крепость и избыток сахара маскируют свежесть и усиливают терпкость.</x:v>
      </x:c>
      <x:c r="I3" s="28" t="str">
        <x:v>кордиал, лимонад, чай, коктейль, настой или ферментированный напиток</x:v>
      </x:c>
      <x:c r="J3" s="28" t="str">
        <x:v>Средняя</x:v>
      </x:c>
      <x:c r="K3" s="28" t="str">
        <x:v>The Art &amp; Science of Foodpairing</x:v>
      </x:c>
      <x:c r="L3" s="28" t="str">
        <x:v>The Art &amp; Science of Foodpairing: 82, 83</x:v>
      </x:c>
    </x:row>
    <x:row r="4" ht="62" customHeight="1">
      <x:c r="A4" s="28" t="str">
        <x:v>BER-0005</x:v>
      </x:c>
      <x:c r="B4" s="28" t="str">
        <x:v>барбарис</x:v>
      </x:c>
      <x:c r="C4" s="28" t="str">
        <x:v>чай</x:v>
      </x:c>
      <x:c r="D4" s="28" t="str">
        <x:v>Чай и безалкогольные напитки</x:v>
      </x:c>
      <x:c r="E4" s="28" t="str">
        <x:v>сходство ароматических семейств + комплементарность</x:v>
      </x:c>
      <x:c r="F4" s="28" t="str">
        <x:v>Общие ароматические семейства: цветочный; конкретная доля одорантов зависит от сорта и обработки. Ягодный компонент несёт семейства кислый, красно-фруктовый, цветочный; партнёр — терпкий, травянистый, цветочный. Оба компонента формируют очень кислый и горьковатый, терпкий контур; сахар, кислота и горечь должны быть выровнены дегустацией. Ягода: лучше работает как кислотный акцент. Партнёр: водная матрица; температура определяет экстракцию.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4" s="28" t="str">
        <x:v>кордиал, лимонад, чай, коктейль, настой или ферментированный напиток</x:v>
      </x:c>
      <x:c r="J4" s="28" t="str">
        <x:v>Средняя</x:v>
      </x:c>
      <x:c r="K4" s="28" t="str">
        <x:v>The Art &amp; Science of Foodpairing</x:v>
      </x:c>
      <x:c r="L4" s="28" t="str">
        <x:v>The Art &amp; Science of Foodpairing: 365</x:v>
      </x:c>
    </x:row>
    <x:row r="5" ht="62" customHeight="1">
      <x:c r="A5" s="28" t="str">
        <x:v>BER-0006</x:v>
      </x:c>
      <x:c r="B5" s="28" t="str">
        <x:v>бойзенова ягода</x:v>
      </x:c>
      <x:c r="C5" s="28" t="str">
        <x:v>базилик</x:v>
      </x:c>
      <x:c r="D5" s="28" t="str">
        <x:v>Травы и цветы</x:v>
      </x:c>
      <x:c r="E5" s="28" t="str">
        <x:v>контраст/комплементарность + матричный эффект</x:v>
      </x:c>
      <x:c r="F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5" s="28" t="str">
        <x:v>Средняя</x:v>
      </x:c>
      <x:c r="K5" s="28" t="str">
        <x:v>The Art &amp; Science of Foodpairing</x:v>
      </x:c>
      <x:c r="L5" s="28" t="str">
        <x:v>The Art &amp; Science of Foodpairing: 74</x:v>
      </x:c>
    </x:row>
    <x:row r="6" ht="62" customHeight="1">
      <x:c r="A6" s="28" t="str">
        <x:v>BER-0007</x:v>
      </x:c>
      <x:c r="B6" s="28" t="str">
        <x:v>брусника</x:v>
      </x:c>
      <x:c r="C6" s="28" t="str">
        <x:v>груша</x:v>
      </x:c>
      <x:c r="D6" s="28" t="str">
        <x:v>Фрукты</x:v>
      </x:c>
      <x:c r="E6" s="28" t="str">
        <x:v>ароматическое сходство + вкусовой баланс</x:v>
      </x:c>
      <x:c r="F6" s="28" t="str">
        <x:v>Прямой вероятный молекулярный мост: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кислый, терпкий и сладко-кислый контур; сахар, кислота и горечь должны быть выровнены дегустацией. Ягода: хорошо выдерживает нагрев, но требует баланса сладостью/жиром.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6" s="28" t="str">
        <x:v>Средняя</x:v>
      </x:c>
      <x:c r="K6" s="28" t="str">
        <x:v>Таблица сочетаний</x:v>
      </x:c>
      <x:c r="L6" s="28" t="str">
        <x:v>Таблица сочетаний: 16</x:v>
      </x:c>
    </x:row>
    <x:row r="7" ht="62" customHeight="1">
      <x:c r="A7" s="28" t="str">
        <x:v>BER-0009</x:v>
      </x:c>
      <x:c r="B7" s="28" t="str">
        <x:v>бузина</x:v>
      </x:c>
      <x:c r="C7" s="28" t="str">
        <x:v>ананас</x:v>
      </x:c>
      <x:c r="D7" s="28" t="str">
        <x:v>Фрукты</x:v>
      </x:c>
      <x:c r="E7" s="28" t="str">
        <x:v>ароматическое сходство + вкусовой баланс</x:v>
      </x:c>
      <x:c r="F7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7" s="28" t="str">
        <x:v>Средняя</x:v>
      </x:c>
      <x:c r="K7" s="28" t="str">
        <x:v>Таблица сочетаний</x:v>
      </x:c>
      <x:c r="L7" s="28" t="str">
        <x:v>Таблица сочетаний: 7</x:v>
      </x:c>
    </x:row>
    <x:row r="8" ht="62" customHeight="1">
      <x:c r="A8" s="28" t="str">
        <x:v>BER-0010</x:v>
      </x:c>
      <x:c r="B8" s="28" t="str">
        <x:v>бузина</x:v>
      </x:c>
      <x:c r="C8" s="28" t="str">
        <x:v>апельсин</x:v>
      </x:c>
      <x:c r="D8" s="28" t="str">
        <x:v>Цитрусовые</x:v>
      </x:c>
      <x:c r="E8" s="28" t="str">
        <x:v>сходство ароматических семейств + комплементарность</x:v>
      </x:c>
      <x:c r="F8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" s="28" t="str">
        <x:v>кордиал, лимонад, чай, коктейль, настой или ферментированный напиток; маринад, гастрик, чатни, кетчуп или редукция</x:v>
      </x:c>
      <x:c r="J8" s="28" t="str">
        <x:v>Средняя</x:v>
      </x:c>
      <x:c r="K8" s="28" t="str">
        <x:v>Таблица сочетаний</x:v>
      </x:c>
      <x:c r="L8" s="28" t="str">
        <x:v>Таблица сочетаний: 7</x:v>
      </x:c>
    </x:row>
    <x:row r="9" ht="62" customHeight="1">
      <x:c r="A9" s="28" t="str">
        <x:v>BER-0011</x:v>
      </x:c>
      <x:c r="B9" s="28" t="str">
        <x:v>бузина</x:v>
      </x:c>
      <x:c r="C9" s="28" t="str">
        <x:v>базилик</x:v>
      </x:c>
      <x:c r="D9" s="28" t="str">
        <x:v>Травы и цветы</x:v>
      </x:c>
      <x:c r="E9" s="28" t="str">
        <x:v>ароматическое сходство + вкусовой баланс</x:v>
      </x:c>
      <x:c r="F9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9" s="28" t="str">
        <x:v>Высокая</x:v>
      </x:c>
      <x:c r="K9" s="28" t="str">
        <x:v>The Art &amp; Science of Foodpairing; Таблица сочетаний</x:v>
      </x:c>
      <x:c r="L9" s="28" t="str">
        <x:v>The Art &amp; Science of Foodpairing: 74; Таблица сочетаний: 7</x:v>
      </x:c>
    </x:row>
    <x:row r="10" ht="62" customHeight="1">
      <x:c r="A10" s="28" t="str">
        <x:v>BER-0013</x:v>
      </x:c>
      <x:c r="B10" s="28" t="str">
        <x:v>бузина</x:v>
      </x:c>
      <x:c r="C10" s="28" t="str">
        <x:v>гвоздика</x:v>
      </x:c>
      <x:c r="D10" s="28" t="str">
        <x:v>Специи</x:v>
      </x:c>
      <x:c r="E10" s="28" t="str">
        <x:v>ароматическое сходство + вкусовой баланс</x:v>
      </x:c>
      <x:c r="F10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" s="28" t="str">
        <x:v>Пряность дозировать как акцент: она быстро перекрывает тонкие ягодные эфиры.</x:v>
      </x:c>
      <x:c r="I1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0" s="28" t="str">
        <x:v>Средняя</x:v>
      </x:c>
      <x:c r="K10" s="28" t="str">
        <x:v>Таблица сочетаний</x:v>
      </x:c>
      <x:c r="L10" s="28" t="str">
        <x:v>Таблица сочетаний: 7</x:v>
      </x:c>
    </x:row>
    <x:row r="11" ht="62" customHeight="1">
      <x:c r="A11" s="28" t="str">
        <x:v>BER-0014</x:v>
      </x:c>
      <x:c r="B11" s="28" t="str">
        <x:v>бузина</x:v>
      </x:c>
      <x:c r="C11" s="28" t="str">
        <x:v>голубика</x:v>
      </x:c>
      <x:c r="D11" s="28" t="str">
        <x:v>Ягоды и производные</x:v>
      </x:c>
      <x:c r="E11" s="28" t="str">
        <x:v>сходство ароматических семейств + комплементарность</x:v>
      </x:c>
      <x:c r="F11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фруктовый, цветочный, цитрусовый. Оба компонента формируют кисло-сладкий, терпкий и сладко-кислый, мягкий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нежный аромат легко теряется на фоне сильной сладости.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1" s="28" t="str">
        <x:v>Средняя</x:v>
      </x:c>
      <x:c r="K11" s="28" t="str">
        <x:v>The Art &amp; Science of Foodpairing</x:v>
      </x:c>
      <x:c r="L11" s="28" t="str">
        <x:v>The Art &amp; Science of Foodpairing: 205</x:v>
      </x:c>
    </x:row>
    <x:row r="12" ht="62" customHeight="1">
      <x:c r="A12" s="28" t="str">
        <x:v>BER-0015</x:v>
      </x:c>
      <x:c r="B12" s="28" t="str">
        <x:v>бузина</x:v>
      </x:c>
      <x:c r="C12" s="28" t="str">
        <x:v>грейпфрут</x:v>
      </x:c>
      <x:c r="D12" s="28" t="str">
        <x:v>Цитрусовые</x:v>
      </x:c>
      <x:c r="E12" s="28" t="str">
        <x:v>сходство ароматических семейств + комплементарность</x:v>
      </x:c>
      <x:c r="F12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" s="28" t="str">
        <x:v>кордиал, лимонад, чай, коктейль, настой или ферментированный напиток; маринад, гастрик, чатни, кетчуп или редукция</x:v>
      </x:c>
      <x:c r="J12" s="28" t="str">
        <x:v>Средняя</x:v>
      </x:c>
      <x:c r="K12" s="28" t="str">
        <x:v>Таблица сочетаний</x:v>
      </x:c>
      <x:c r="L12" s="28" t="str">
        <x:v>Таблица сочетаний: 8</x:v>
      </x:c>
    </x:row>
    <x:row r="13" ht="62" customHeight="1">
      <x:c r="A13" s="28" t="str">
        <x:v>BER-0016</x:v>
      </x:c>
      <x:c r="B13" s="28" t="str">
        <x:v>бузина</x:v>
      </x:c>
      <x:c r="C13" s="28" t="str">
        <x:v>груша</x:v>
      </x:c>
      <x:c r="D13" s="28" t="str">
        <x:v>Фрукты</x:v>
      </x:c>
      <x:c r="E13" s="28" t="str">
        <x:v>ароматическое сходство + вкусовой баланс</x:v>
      </x:c>
      <x:c r="F13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3" s="28" t="str">
        <x:v>Высокая</x:v>
      </x:c>
      <x:c r="K13" s="28" t="str">
        <x:v>The Art &amp; Science of Foodpairing; Таблица сочетаний</x:v>
      </x:c>
      <x:c r="L13" s="28" t="str">
        <x:v>The Art &amp; Science of Foodpairing: 350; Таблица сочетаний: 8</x:v>
      </x:c>
    </x:row>
    <x:row r="14" ht="62" customHeight="1">
      <x:c r="A14" s="28" t="str">
        <x:v>BER-0017</x:v>
      </x:c>
      <x:c r="B14" s="28" t="str">
        <x:v>бузина</x:v>
      </x:c>
      <x:c r="C14" s="28" t="str">
        <x:v>ежевика</x:v>
      </x:c>
      <x:c r="D14" s="28" t="str">
        <x:v>Ягоды и производные</x:v>
      </x:c>
      <x:c r="E14" s="28" t="str">
        <x:v>ароматическое сходство + вкусовой баланс</x:v>
      </x:c>
      <x:c r="F14" s="28" t="str">
        <x:v>Прямой вероятный молекулярный мост: эфиры. Ягодный компонент несёт семейства зелёный, тёмно-фруктовый, цветочный; партнёр — древесный, зелёный, мускусный, тёмно-фруктовый, цветочный. Оба компонента формируют кисло-сладкий, терпкий и кисло-сладкий, умеренно терпкий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пигменты и полифенолы дают цвет и терпкость.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4" s="28" t="str">
        <x:v>Средняя</x:v>
      </x:c>
      <x:c r="K14" s="28" t="str">
        <x:v>Таблица сочетаний</x:v>
      </x:c>
      <x:c r="L14" s="28" t="str">
        <x:v>Таблица сочетаний: 2</x:v>
      </x:c>
    </x:row>
    <x:row r="15" ht="62" customHeight="1">
      <x:c r="A15" s="28" t="str">
        <x:v>BER-0018</x:v>
      </x:c>
      <x:c r="B15" s="28" t="str">
        <x:v>бузина</x:v>
      </x:c>
      <x:c r="C15" s="28" t="str">
        <x:v>жасмин</x:v>
      </x:c>
      <x:c r="D15" s="28" t="str">
        <x:v>Травы и цветы</x:v>
      </x:c>
      <x:c r="E15" s="28" t="str">
        <x:v>ароматическое сходство + вкусовой баланс</x:v>
      </x:c>
      <x:c r="F15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5" s="28" t="str">
        <x:v>Средняя</x:v>
      </x:c>
      <x:c r="K15" s="28" t="str">
        <x:v>Таблица сочетаний</x:v>
      </x:c>
      <x:c r="L15" s="28" t="str">
        <x:v>Таблица сочетаний: 10</x:v>
      </x:c>
    </x:row>
    <x:row r="16" ht="62" customHeight="1">
      <x:c r="A16" s="28" t="str">
        <x:v>BER-0019</x:v>
      </x:c>
      <x:c r="B16" s="28" t="str">
        <x:v>бузина</x:v>
      </x:c>
      <x:c r="C16" s="28" t="str">
        <x:v>имбирь</x:v>
      </x:c>
      <x:c r="D16" s="28" t="str">
        <x:v>Специи</x:v>
      </x:c>
      <x:c r="E16" s="28" t="str">
        <x:v>ароматическое сходство + вкусовой баланс</x:v>
      </x:c>
      <x:c r="F16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" s="28" t="str">
        <x:v>Пряность дозировать как акцент: она быстро перекрывает тонкие ягодные эфиры.</x:v>
      </x:c>
      <x:c r="I1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6" s="28" t="str">
        <x:v>Средняя</x:v>
      </x:c>
      <x:c r="K16" s="28" t="str">
        <x:v>Таблица сочетаний</x:v>
      </x:c>
      <x:c r="L16" s="28" t="str">
        <x:v>Таблица сочетаний: 7</x:v>
      </x:c>
    </x:row>
    <x:row r="17" ht="62" customHeight="1">
      <x:c r="A17" s="28" t="str">
        <x:v>BER-0020</x:v>
      </x:c>
      <x:c r="B17" s="28" t="str">
        <x:v>бузина</x:v>
      </x:c>
      <x:c r="C17" s="28" t="str">
        <x:v>киви</x:v>
      </x:c>
      <x:c r="D17" s="28" t="str">
        <x:v>Фрукты</x:v>
      </x:c>
      <x:c r="E17" s="28" t="str">
        <x:v>ароматическое сходство + вкусовой баланс</x:v>
      </x:c>
      <x:c r="F17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7" s="28" t="str">
        <x:v>Средняя</x:v>
      </x:c>
      <x:c r="K17" s="28" t="str">
        <x:v>Таблица сочетаний</x:v>
      </x:c>
      <x:c r="L17" s="28" t="str">
        <x:v>Таблица сочетаний: 8</x:v>
      </x:c>
    </x:row>
    <x:row r="18" ht="62" customHeight="1">
      <x:c r="A18" s="28" t="str">
        <x:v>BER-0022</x:v>
      </x:c>
      <x:c r="B18" s="28" t="str">
        <x:v>бузина</x:v>
      </x:c>
      <x:c r="C18" s="28" t="str">
        <x:v>коньяк</x:v>
      </x:c>
      <x:c r="D18" s="28" t="str">
        <x:v>Алкогольные напитки</x:v>
      </x:c>
      <x:c r="E18" s="28" t="str">
        <x:v>контраст/комплементарность + матричный эффект</x:v>
      </x:c>
      <x:c r="F1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тёмно-фруктовый, цветочный;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G1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H18" s="28" t="str">
        <x:v>Высокая крепость и избыток сахара маскируют свежесть и усиливают терпкость.</x:v>
      </x:c>
      <x:c r="I18" s="28" t="str">
        <x:v>кордиал, лимонад, чай, коктейль, настой или ферментированный напиток</x:v>
      </x:c>
      <x:c r="J18" s="28" t="str">
        <x:v>Средняя</x:v>
      </x:c>
      <x:c r="K18" s="28" t="str">
        <x:v>The Art &amp; Science of Foodpairing</x:v>
      </x:c>
      <x:c r="L18" s="28" t="str">
        <x:v>The Art &amp; Science of Foodpairing: 123</x:v>
      </x:c>
    </x:row>
    <x:row r="19" ht="62" customHeight="1">
      <x:c r="A19" s="28" t="str">
        <x:v>BER-0023</x:v>
      </x:c>
      <x:c r="B19" s="28" t="str">
        <x:v>бузина</x:v>
      </x:c>
      <x:c r="C19" s="28" t="str">
        <x:v>корица</x:v>
      </x:c>
      <x:c r="D19" s="28" t="str">
        <x:v>Специи</x:v>
      </x:c>
      <x:c r="E19" s="28" t="str">
        <x:v>ароматическое сходство + вкусовой баланс</x:v>
      </x:c>
      <x:c r="F19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" s="28" t="str">
        <x:v>Пряность дозировать как акцент: она быстро перекрывает тонкие ягодные эфиры.</x:v>
      </x:c>
      <x:c r="I1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9" s="28" t="str">
        <x:v>Средняя</x:v>
      </x:c>
      <x:c r="K19" s="28" t="str">
        <x:v>Таблица сочетаний</x:v>
      </x:c>
      <x:c r="L19" s="28" t="str">
        <x:v>Таблица сочетаний: 7</x:v>
      </x:c>
    </x:row>
    <x:row r="20" ht="62" customHeight="1">
      <x:c r="A20" s="28" t="str">
        <x:v>BER-0025</x:v>
      </x:c>
      <x:c r="B20" s="28" t="str">
        <x:v>бузина</x:v>
      </x:c>
      <x:c r="C20" s="28" t="str">
        <x:v>лимон</x:v>
      </x:c>
      <x:c r="D20" s="28" t="str">
        <x:v>Цитрусовые</x:v>
      </x:c>
      <x:c r="E20" s="28" t="str">
        <x:v>сходство ароматических семейств + комплементарность</x:v>
      </x:c>
      <x:c r="F20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" s="28" t="str">
        <x:v>кордиал, лимонад, чай, коктейль, настой или ферментированный напиток; маринад, гастрик, чатни, кетчуп или редукция</x:v>
      </x:c>
      <x:c r="J20" s="28" t="str">
        <x:v>Средняя</x:v>
      </x:c>
      <x:c r="K20" s="28" t="str">
        <x:v>Таблица сочетаний</x:v>
      </x:c>
      <x:c r="L20" s="28" t="str">
        <x:v>Таблица сочетаний: 7</x:v>
      </x:c>
    </x:row>
    <x:row r="21" ht="62" customHeight="1">
      <x:c r="A21" s="28" t="str">
        <x:v>BER-0026</x:v>
      </x:c>
      <x:c r="B21" s="28" t="str">
        <x:v>бузина</x:v>
      </x:c>
      <x:c r="C21" s="28" t="str">
        <x:v>лимон и лайм</x:v>
      </x:c>
      <x:c r="D21" s="28" t="str">
        <x:v>Цитрусовые</x:v>
      </x:c>
      <x:c r="E21" s="28" t="str">
        <x:v>сходство ароматических семейств + комплементарность</x:v>
      </x:c>
      <x:c r="F21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" s="28" t="str">
        <x:v>кордиал, лимонад, чай, коктейль, настой или ферментированный напиток; маринад, гастрик, чатни, кетчуп или редукция</x:v>
      </x:c>
      <x:c r="J21" s="28" t="str">
        <x:v>Средняя</x:v>
      </x:c>
      <x:c r="K21" s="28" t="str">
        <x:v>The Art &amp; Science of Foodpairing</x:v>
      </x:c>
      <x:c r="L21" s="28" t="str">
        <x:v>The Art &amp; Science of Foodpairing: 88</x:v>
      </x:c>
    </x:row>
    <x:row r="22" ht="62" customHeight="1">
      <x:c r="A22" s="28" t="str">
        <x:v>BER-0027</x:v>
      </x:c>
      <x:c r="B22" s="28" t="str">
        <x:v>бузина</x:v>
      </x:c>
      <x:c r="C22" s="28" t="str">
        <x:v>личи</x:v>
      </x:c>
      <x:c r="D22" s="28" t="str">
        <x:v>Фрукты</x:v>
      </x:c>
      <x:c r="E22" s="28" t="str">
        <x:v>ароматическое сходство + вкусовой баланс</x:v>
      </x:c>
      <x:c r="F22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2" s="28" t="str">
        <x:v>Средняя</x:v>
      </x:c>
      <x:c r="K22" s="28" t="str">
        <x:v>Таблица сочетаний</x:v>
      </x:c>
      <x:c r="L22" s="28" t="str">
        <x:v>Таблица сочетаний: 8</x:v>
      </x:c>
    </x:row>
    <x:row r="23" ht="62" customHeight="1">
      <x:c r="A23" s="28" t="str">
        <x:v>BER-0028</x:v>
      </x:c>
      <x:c r="B23" s="28" t="str">
        <x:v>бузина</x:v>
      </x:c>
      <x:c r="C23" s="28" t="str">
        <x:v>манго</x:v>
      </x:c>
      <x:c r="D23" s="28" t="str">
        <x:v>Фрукты</x:v>
      </x:c>
      <x:c r="E23" s="28" t="str">
        <x:v>ароматическое сходство + вкусовой баланс</x:v>
      </x:c>
      <x:c r="F23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3" s="28" t="str">
        <x:v>Средняя</x:v>
      </x:c>
      <x:c r="K23" s="28" t="str">
        <x:v>The Art &amp; Science of Foodpairing</x:v>
      </x:c>
      <x:c r="L23" s="28" t="str">
        <x:v>The Art &amp; Science of Foodpairing: 313</x:v>
      </x:c>
    </x:row>
    <x:row r="24" ht="62" customHeight="1">
      <x:c r="A24" s="28" t="str">
        <x:v>BER-0029</x:v>
      </x:c>
      <x:c r="B24" s="28" t="str">
        <x:v>бузина</x:v>
      </x:c>
      <x:c r="C24" s="28" t="str">
        <x:v>мандарин</x:v>
      </x:c>
      <x:c r="D24" s="28" t="str">
        <x:v>Цитрусовые</x:v>
      </x:c>
      <x:c r="E24" s="28" t="str">
        <x:v>сходство ароматических семейств + комплементарность</x:v>
      </x:c>
      <x:c r="F24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4" s="28" t="str">
        <x:v>кордиал, лимонад, чай, коктейль, настой или ферментированный напиток; маринад, гастрик, чатни, кетчуп или редукция</x:v>
      </x:c>
      <x:c r="J24" s="28" t="str">
        <x:v>Средняя</x:v>
      </x:c>
      <x:c r="K24" s="28" t="str">
        <x:v>Таблица сочетаний</x:v>
      </x:c>
      <x:c r="L24" s="28" t="str">
        <x:v>Таблица сочетаний: 7</x:v>
      </x:c>
    </x:row>
    <x:row r="25" ht="62" customHeight="1">
      <x:c r="A25" s="28" t="str">
        <x:v>BER-0033</x:v>
      </x:c>
      <x:c r="B25" s="28" t="str">
        <x:v>бузина</x:v>
      </x:c>
      <x:c r="C25" s="28" t="str">
        <x:v>мята</x:v>
      </x:c>
      <x:c r="D25" s="28" t="str">
        <x:v>Травы и цветы</x:v>
      </x:c>
      <x:c r="E25" s="28" t="str">
        <x:v>ароматическое сходство + вкусовой баланс</x:v>
      </x:c>
      <x:c r="F25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5" s="28" t="str">
        <x:v>Средняя</x:v>
      </x:c>
      <x:c r="K25" s="28" t="str">
        <x:v>Таблица сочетаний</x:v>
      </x:c>
      <x:c r="L25" s="28" t="str">
        <x:v>Таблица сочетаний: 7</x:v>
      </x:c>
    </x:row>
    <x:row r="26" ht="62" customHeight="1">
      <x:c r="A26" s="28" t="str">
        <x:v>BER-0036</x:v>
      </x:c>
      <x:c r="B26" s="28" t="str">
        <x:v>бузина</x:v>
      </x:c>
      <x:c r="C26" s="28" t="str">
        <x:v>перец чили</x:v>
      </x:c>
      <x:c r="D26" s="28" t="str">
        <x:v>Специи</x:v>
      </x:c>
      <x:c r="E26" s="28" t="str">
        <x:v>ароматическое сходство + вкусовой баланс</x:v>
      </x:c>
      <x:c r="F26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" s="28" t="str">
        <x:v>Пряность дозировать как акцент: она быстро перекрывает тонкие ягодные эфиры.</x:v>
      </x:c>
      <x:c r="I2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6" s="28" t="str">
        <x:v>Средняя</x:v>
      </x:c>
      <x:c r="K26" s="28" t="str">
        <x:v>The Art &amp; Science of Foodpairing</x:v>
      </x:c>
      <x:c r="L26" s="28" t="str">
        <x:v>The Art &amp; Science of Foodpairing: 95</x:v>
      </x:c>
    </x:row>
    <x:row r="27" ht="62" customHeight="1">
      <x:c r="A27" s="28" t="str">
        <x:v>BER-0037</x:v>
      </x:c>
      <x:c r="B27" s="28" t="str">
        <x:v>бузина</x:v>
      </x:c>
      <x:c r="C27" s="28" t="str">
        <x:v>персик</x:v>
      </x:c>
      <x:c r="D27" s="28" t="str">
        <x:v>Фрукты</x:v>
      </x:c>
      <x:c r="E27" s="28" t="str">
        <x:v>ароматическое сходство + вкусовой баланс</x:v>
      </x:c>
      <x:c r="F27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7" s="28" t="str">
        <x:v>Средняя</x:v>
      </x:c>
      <x:c r="K27" s="28" t="str">
        <x:v>Таблица сочетаний</x:v>
      </x:c>
      <x:c r="L27" s="28" t="str">
        <x:v>Таблица сочетаний: 7, 8</x:v>
      </x:c>
    </x:row>
    <x:row r="28" ht="62" customHeight="1">
      <x:c r="A28" s="28" t="str">
        <x:v>BER-0039</x:v>
      </x:c>
      <x:c r="B28" s="28" t="str">
        <x:v>бузина</x:v>
      </x:c>
      <x:c r="C28" s="28" t="str">
        <x:v>розмарин</x:v>
      </x:c>
      <x:c r="D28" s="28" t="str">
        <x:v>Травы и цветы</x:v>
      </x:c>
      <x:c r="E28" s="28" t="str">
        <x:v>ароматическое сходство + вкусовой баланс</x:v>
      </x:c>
      <x:c r="F28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8" s="28" t="str">
        <x:v>Средняя</x:v>
      </x:c>
      <x:c r="K28" s="28" t="str">
        <x:v>Таблица сочетаний</x:v>
      </x:c>
      <x:c r="L28" s="28" t="str">
        <x:v>Таблица сочетаний: 7, 8</x:v>
      </x:c>
    </x:row>
    <x:row r="29" ht="62" customHeight="1">
      <x:c r="A29" s="28" t="str">
        <x:v>BER-0041</x:v>
      </x:c>
      <x:c r="B29" s="28" t="str">
        <x:v>бузина</x:v>
      </x:c>
      <x:c r="C29" s="28" t="str">
        <x:v>тимьян</x:v>
      </x:c>
      <x:c r="D29" s="28" t="str">
        <x:v>Травы и цветы</x:v>
      </x:c>
      <x:c r="E29" s="28" t="str">
        <x:v>ароматическое сходство + вкусовой баланс</x:v>
      </x:c>
      <x:c r="F29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9" s="28" t="str">
        <x:v>Средняя</x:v>
      </x:c>
      <x:c r="K29" s="28" t="str">
        <x:v>Таблица сочетаний</x:v>
      </x:c>
      <x:c r="L29" s="28" t="str">
        <x:v>Таблица сочетаний: 8</x:v>
      </x:c>
    </x:row>
    <x:row r="30" ht="62" customHeight="1">
      <x:c r="A30" s="28" t="str">
        <x:v>BER-0042</x:v>
      </x:c>
      <x:c r="B30" s="28" t="str">
        <x:v>бузина</x:v>
      </x:c>
      <x:c r="C30" s="28" t="str">
        <x:v>фиалка</x:v>
      </x:c>
      <x:c r="D30" s="28" t="str">
        <x:v>Травы и цветы</x:v>
      </x:c>
      <x:c r="E30" s="28" t="str">
        <x:v>ароматическое сходство + вкусовой баланс</x:v>
      </x:c>
      <x:c r="F30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3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30" s="28" t="str">
        <x:v>Средняя</x:v>
      </x:c>
      <x:c r="K30" s="28" t="str">
        <x:v>Таблица сочетаний</x:v>
      </x:c>
      <x:c r="L30" s="28" t="str">
        <x:v>Таблица сочетаний: 21</x:v>
      </x:c>
    </x:row>
    <x:row r="31" ht="62" customHeight="1">
      <x:c r="A31" s="28" t="str">
        <x:v>BER-0044</x:v>
      </x:c>
      <x:c r="B31" s="28" t="str">
        <x:v>бузина</x:v>
      </x:c>
      <x:c r="C31" s="28" t="str">
        <x:v>чёрный перец</x:v>
      </x:c>
      <x:c r="D31" s="28" t="str">
        <x:v>Специи</x:v>
      </x:c>
      <x:c r="E31" s="28" t="str">
        <x:v>ароматическое сходство + вкусовой баланс</x:v>
      </x:c>
      <x:c r="F31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1" s="28" t="str">
        <x:v>Пряность дозировать как акцент: она быстро перекрывает тонкие ягодные эфиры.</x:v>
      </x:c>
      <x:c r="I3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31" s="28" t="str">
        <x:v>Средняя</x:v>
      </x:c>
      <x:c r="K31" s="28" t="str">
        <x:v>Таблица сочетаний</x:v>
      </x:c>
      <x:c r="L31" s="28" t="str">
        <x:v>Таблица сочетаний: 7</x:v>
      </x:c>
    </x:row>
    <x:row r="32" ht="62" customHeight="1">
      <x:c r="A32" s="28" t="str">
        <x:v>BER-0045</x:v>
      </x:c>
      <x:c r="B32" s="28" t="str">
        <x:v>бузина</x:v>
      </x:c>
      <x:c r="C32" s="28" t="str">
        <x:v>шалфей</x:v>
      </x:c>
      <x:c r="D32" s="28" t="str">
        <x:v>Травы и цветы</x:v>
      </x:c>
      <x:c r="E32" s="28" t="str">
        <x:v>ароматическое сходство + вкусовой баланс</x:v>
      </x:c>
      <x:c r="F32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3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32" s="28" t="str">
        <x:v>Средняя</x:v>
      </x:c>
      <x:c r="K32" s="28" t="str">
        <x:v>Таблица сочетаний</x:v>
      </x:c>
      <x:c r="L32" s="28" t="str">
        <x:v>Таблица сочетаний: 7</x:v>
      </x:c>
    </x:row>
    <x:row r="33" ht="62" customHeight="1">
      <x:c r="A33" s="28" t="str">
        <x:v>BER-0046</x:v>
      </x:c>
      <x:c r="B33" s="28" t="str">
        <x:v>бузина</x:v>
      </x:c>
      <x:c r="C33" s="28" t="str">
        <x:v>яблоко</x:v>
      </x:c>
      <x:c r="D33" s="28" t="str">
        <x:v>Фрукты</x:v>
      </x:c>
      <x:c r="E33" s="28" t="str">
        <x:v>ароматическое сходство + вкусовой баланс</x:v>
      </x:c>
      <x:c r="F33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3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33" s="28" t="str">
        <x:v>Средняя</x:v>
      </x:c>
      <x:c r="K33" s="28" t="str">
        <x:v>Таблица сочетаний</x:v>
      </x:c>
      <x:c r="L33" s="28" t="str">
        <x:v>Таблица сочетаний: 7</x:v>
      </x:c>
    </x:row>
    <x:row r="34" ht="62" customHeight="1">
      <x:c r="A34" s="28" t="str">
        <x:v>BER-0048</x:v>
      </x:c>
      <x:c r="B34" s="28" t="str">
        <x:v>бузиновый сок</x:v>
      </x:c>
      <x:c r="C34" s="28" t="str">
        <x:v>клубника</x:v>
      </x:c>
      <x:c r="D34" s="28" t="str">
        <x:v>Ягоды и производные</x:v>
      </x:c>
      <x:c r="E34" s="28" t="str">
        <x:v>контраст/комплементарность + матричный эффект</x:v>
      </x:c>
      <x:c r="F3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карамельный, сливочный, фруктовый, цветочный. Оба компонента формируют зависит от ингредиента и сладко-кислый контур; сахар, кислота и горечь должны быть выровнены дегустацией. Ягода: механизм зависит от конкретного продукта. Партнёр: высокая доля воды; аромат чувствителен к перегреву.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3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34" s="28" t="str">
        <x:v>Средняя</x:v>
      </x:c>
      <x:c r="K34" s="28" t="str">
        <x:v>The Art &amp; Science of Foodpairing</x:v>
      </x:c>
      <x:c r="L34" s="28" t="str">
        <x:v>The Art &amp; Science of Foodpairing: 71</x:v>
      </x:c>
    </x:row>
    <x:row r="35" ht="62" customHeight="1">
      <x:c r="A35" s="28" t="str">
        <x:v>BER-0054</x:v>
      </x:c>
      <x:c r="B35" s="28" t="str">
        <x:v>вишня</x:v>
      </x:c>
      <x:c r="C35" s="28" t="str">
        <x:v>абрикос</x:v>
      </x:c>
      <x:c r="D35" s="28" t="str">
        <x:v>Фрукты</x:v>
      </x:c>
      <x:c r="E35" s="28" t="str">
        <x:v>сходство ароматических семейств + комплементарность</x:v>
      </x:c>
      <x:c r="F35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5" s="28" t="str">
        <x:v>Не использовать повреждённые косточки без валидированной технологии: они содержат цианогенные гликозиды.</x:v>
      </x:c>
      <x:c r="I3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35" s="28" t="str">
        <x:v>Средняя</x:v>
      </x:c>
      <x:c r="K35" s="28" t="str">
        <x:v>Таблица сочетаний</x:v>
      </x:c>
      <x:c r="L35" s="28" t="str">
        <x:v>Таблица сочетаний: 1, 4</x:v>
      </x:c>
    </x:row>
    <x:row r="36" ht="62" customHeight="1">
      <x:c r="A36" s="28" t="str">
        <x:v>BER-0058</x:v>
      </x:c>
      <x:c r="B36" s="28" t="str">
        <x:v>вишня</x:v>
      </x:c>
      <x:c r="C36" s="28" t="str">
        <x:v>ананас</x:v>
      </x:c>
      <x:c r="D36" s="28" t="str">
        <x:v>Фрукты</x:v>
      </x:c>
      <x:c r="E36" s="28" t="str">
        <x:v>сходство ароматических семейств + комплементарность</x:v>
      </x:c>
      <x:c r="F36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6" s="28" t="str">
        <x:v>Не использовать повреждённые косточки без валидированной технологии: они содержат цианогенные гликозиды.</x:v>
      </x:c>
      <x:c r="I3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36" s="28" t="str">
        <x:v>Высокая</x:v>
      </x:c>
      <x:c r="K36" s="28" t="str">
        <x:v>The Art &amp; Science of Foodpairing; Таблица сочетаний</x:v>
      </x:c>
      <x:c r="L36" s="28" t="str">
        <x:v>The Art &amp; Science of Foodpairing: 243; Таблица сочетаний: 17</x:v>
      </x:c>
    </x:row>
    <x:row r="37" ht="62" customHeight="1">
      <x:c r="A37" s="28" t="str">
        <x:v>BER-0059</x:v>
      </x:c>
      <x:c r="B37" s="28" t="str">
        <x:v>вишня</x:v>
      </x:c>
      <x:c r="C37" s="28" t="str">
        <x:v>апельсин</x:v>
      </x:c>
      <x:c r="D37" s="28" t="str">
        <x:v>Цитрусовые</x:v>
      </x:c>
      <x:c r="E37" s="28" t="str">
        <x:v>ароматическое сходство + вкусовой баланс</x:v>
      </x:c>
      <x:c r="F37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цветочный, цитрусовый. Оба компонента формируют сладко-кислый, иногда терпкий и кислый, свежий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7" s="28" t="str">
        <x:v>Не использовать повреждённые косточки без валидированной технологии: они содержат цианогенные гликозиды.</x:v>
      </x:c>
      <x:c r="I37" s="28" t="str">
        <x:v>кордиал, лимонад, чай, коктейль, настой или ферментированный напиток; маринад, гастрик, чатни, кетчуп или редукция</x:v>
      </x:c>
      <x:c r="J37" s="28" t="str">
        <x:v>Средняя</x:v>
      </x:c>
      <x:c r="K37" s="28" t="str">
        <x:v>Таблица сочетаний</x:v>
      </x:c>
      <x:c r="L37" s="28" t="str">
        <x:v>Таблица сочетаний: 14</x:v>
      </x:c>
    </x:row>
    <x:row r="38" ht="62" customHeight="1">
      <x:c r="A38" s="28" t="str">
        <x:v>BER-0061</x:v>
      </x:c>
      <x:c r="B38" s="28" t="str">
        <x:v>вишня</x:v>
      </x:c>
      <x:c r="C38" s="28" t="str">
        <x:v>базилик</x:v>
      </x:c>
      <x:c r="D38" s="28" t="str">
        <x:v>Травы и цветы</x:v>
      </x:c>
      <x:c r="E38" s="28" t="str">
        <x:v>ароматическое сходство + вкусовой баланс</x:v>
      </x:c>
      <x:c r="F38" s="28" t="str">
        <x:v>Прямой вероятный молекулярный мост: линалоол, эвгенол. Ягодный компонент несёт семейства миндальный, пряный,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8" s="28" t="str">
        <x:v>Не использовать повреждённые косточки без валидированной технологии: они содержат цианогенные гликозиды.</x:v>
      </x:c>
      <x:c r="I3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38" s="28" t="str">
        <x:v>Средняя</x:v>
      </x:c>
      <x:c r="K38" s="28" t="str">
        <x:v>The Art &amp; Science of Foodpairing</x:v>
      </x:c>
      <x:c r="L38" s="28" t="str">
        <x:v>The Art &amp; Science of Foodpairing: 74</x:v>
      </x:c>
    </x:row>
    <x:row r="39" ht="62" customHeight="1">
      <x:c r="A39" s="28" t="str">
        <x:v>BER-0063</x:v>
      </x:c>
      <x:c r="B39" s="28" t="str">
        <x:v>вишня</x:v>
      </x:c>
      <x:c r="C39" s="28" t="str">
        <x:v>банан</x:v>
      </x:c>
      <x:c r="D39" s="28" t="str">
        <x:v>Фрукты</x:v>
      </x:c>
      <x:c r="E39" s="28" t="str">
        <x:v>сходство ароматических семейств + комплементарность</x:v>
      </x:c>
      <x:c r="F39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9" s="28" t="str">
        <x:v>Не использовать повреждённые косточки без валидированной технологии: они содержат цианогенные гликозиды.</x:v>
      </x:c>
      <x:c r="I3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39" s="28" t="str">
        <x:v>Высокая</x:v>
      </x:c>
      <x:c r="K39" s="28" t="str">
        <x:v>The Art &amp; Science of Foodpairing; Тезариус вкусов</x:v>
      </x:c>
      <x:c r="L39" s="28" t="str">
        <x:v>Тезариус вкусов: 653, 731; The Art &amp; Science of Foodpairing: 343</x:v>
      </x:c>
    </x:row>
    <x:row r="40" ht="62" customHeight="1">
      <x:c r="A40" s="28" t="str">
        <x:v>BER-0067</x:v>
      </x:c>
      <x:c r="B40" s="28" t="str">
        <x:v>вишня</x:v>
      </x:c>
      <x:c r="C40" s="28" t="str">
        <x:v>голубика</x:v>
      </x:c>
      <x:c r="D40" s="28" t="str">
        <x:v>Ягоды и производные</x:v>
      </x:c>
      <x:c r="E40" s="28" t="str">
        <x:v>ароматическое сходство + вкусовой баланс</x:v>
      </x:c>
      <x:c r="F40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фруктовый, цветочный, цитрусовый. Оба компонента формируют сладко-кислый, иногда терпкий и сладко-кислый, мягкий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нежный аромат легко теряется на фоне сильной сладости.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0" s="28" t="str">
        <x:v>Не использовать повреждённые косточки без валидированной технологии: они содержат цианогенные гликозиды.</x:v>
      </x:c>
      <x:c r="I4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40" s="28" t="str">
        <x:v>Средняя</x:v>
      </x:c>
      <x:c r="K40" s="28" t="str">
        <x:v>The Art &amp; Science of Foodpairing</x:v>
      </x:c>
      <x:c r="L40" s="28" t="str">
        <x:v>The Art &amp; Science of Foodpairing: 204, 205</x:v>
      </x:c>
    </x:row>
    <x:row r="41" ht="62" customHeight="1">
      <x:c r="A41" s="28" t="str">
        <x:v>BER-0069</x:v>
      </x:c>
      <x:c r="B41" s="28" t="str">
        <x:v>вишня</x:v>
      </x:c>
      <x:c r="C41" s="28" t="str">
        <x:v>грейпфрут</x:v>
      </x:c>
      <x:c r="D41" s="28" t="str">
        <x:v>Цитрусовые</x:v>
      </x:c>
      <x:c r="E41" s="28" t="str">
        <x:v>ароматическое сходство + вкусовой баланс</x:v>
      </x:c>
      <x:c r="F41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цветочный, цитрусовый. Оба компонента формируют сладко-кислый, иногда терпкий и кислый, свежий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1" s="28" t="str">
        <x:v>Не использовать повреждённые косточки без валидированной технологии: они содержат цианогенные гликозиды.</x:v>
      </x:c>
      <x:c r="I41" s="28" t="str">
        <x:v>кордиал, лимонад, чай, коктейль, настой или ферментированный напиток; маринад, гастрик, чатни, кетчуп или редукция</x:v>
      </x:c>
      <x:c r="J41" s="28" t="str">
        <x:v>Средняя</x:v>
      </x:c>
      <x:c r="K41" s="28" t="str">
        <x:v>The Art &amp; Science of Foodpairing</x:v>
      </x:c>
      <x:c r="L41" s="28" t="str">
        <x:v>The Art &amp; Science of Foodpairing: 358, 359</x:v>
      </x:c>
    </x:row>
    <x:row r="42" ht="62" customHeight="1">
      <x:c r="A42" s="28" t="str">
        <x:v>BER-0071</x:v>
      </x:c>
      <x:c r="B42" s="28" t="str">
        <x:v>вишня</x:v>
      </x:c>
      <x:c r="C42" s="28" t="str">
        <x:v>груша</x:v>
      </x:c>
      <x:c r="D42" s="28" t="str">
        <x:v>Фрукты</x:v>
      </x:c>
      <x:c r="E42" s="28" t="str">
        <x:v>сходство ароматических семейств + комплементарность</x:v>
      </x:c>
      <x:c r="F42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2" s="28" t="str">
        <x:v>Не использовать повреждённые косточки без валидированной технологии: они содержат цианогенные гликозиды.</x:v>
      </x:c>
      <x:c r="I4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42" s="28" t="str">
        <x:v>Высокая</x:v>
      </x:c>
      <x:c r="K42" s="28" t="str">
        <x:v>The Art &amp; Science of Foodpairing; Таблица сочетаний</x:v>
      </x:c>
      <x:c r="L42" s="28" t="str">
        <x:v>The Art &amp; Science of Foodpairing: 350, 351; Таблица сочетаний: 16</x:v>
      </x:c>
    </x:row>
    <x:row r="43" ht="62" customHeight="1">
      <x:c r="A43" s="28" t="str">
        <x:v>BER-0074</x:v>
      </x:c>
      <x:c r="B43" s="28" t="str">
        <x:v>вишня</x:v>
      </x:c>
      <x:c r="C43" s="28" t="str">
        <x:v>инжир</x:v>
      </x:c>
      <x:c r="D43" s="28" t="str">
        <x:v>Фрукты</x:v>
      </x:c>
      <x:c r="E43" s="28" t="str">
        <x:v>сходство ароматических семейств + комплементарность</x:v>
      </x:c>
      <x:c r="F43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3" s="28" t="str">
        <x:v>Не использовать повреждённые косточки без валидированной технологии: они содержат цианогенные гликозиды.</x:v>
      </x:c>
      <x:c r="I4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43" s="28" t="str">
        <x:v>Средняя</x:v>
      </x:c>
      <x:c r="K43" s="28" t="str">
        <x:v>Таблица сочетаний</x:v>
      </x:c>
      <x:c r="L43" s="28" t="str">
        <x:v>Таблица сочетаний: 8</x:v>
      </x:c>
    </x:row>
    <x:row r="44" ht="62" customHeight="1">
      <x:c r="A44" s="28" t="str">
        <x:v>BER-0076</x:v>
      </x:c>
      <x:c r="B44" s="28" t="str">
        <x:v>вишня</x:v>
      </x:c>
      <x:c r="C44" s="28" t="str">
        <x:v>киви</x:v>
      </x:c>
      <x:c r="D44" s="28" t="str">
        <x:v>Фрукты</x:v>
      </x:c>
      <x:c r="E44" s="28" t="str">
        <x:v>сходство ароматических семейств + комплементарность</x:v>
      </x:c>
      <x:c r="F44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4" s="28" t="str">
        <x:v>Не использовать повреждённые косточки без валидированной технологии: они содержат цианогенные гликозиды.</x:v>
      </x:c>
      <x:c r="I4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44" s="28" t="str">
        <x:v>Средняя</x:v>
      </x:c>
      <x:c r="K44" s="28" t="str">
        <x:v>Таблица сочетаний</x:v>
      </x:c>
      <x:c r="L44" s="28" t="str">
        <x:v>Таблица сочетаний: 10</x:v>
      </x:c>
    </x:row>
    <x:row r="45" ht="62" customHeight="1">
      <x:c r="A45" s="28" t="str">
        <x:v>BER-0081</x:v>
      </x:c>
      <x:c r="B45" s="28" t="str">
        <x:v>вишня</x:v>
      </x:c>
      <x:c r="C45" s="28" t="str">
        <x:v>корица</x:v>
      </x:c>
      <x:c r="D45" s="28" t="str">
        <x:v>Специи</x:v>
      </x:c>
      <x:c r="E45" s="28" t="str">
        <x:v>ароматическое сходство + вкусовой баланс</x:v>
      </x:c>
      <x:c r="F45" s="28" t="str">
        <x:v>Прямой вероятный молекулярный мост: эвгенол. Ягодный компонент несёт семейства миндальный, пряный,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5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4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45" s="28" t="str">
        <x:v>Высокая</x:v>
      </x:c>
      <x:c r="K45" s="28" t="str">
        <x:v>The Art &amp; Science of Foodpairing; Таблица сочетаний; Тезариус вкусов</x:v>
      </x:c>
      <x:c r="L45" s="28" t="str">
        <x:v>Тезариус вкусов: 574, 655; The Art &amp; Science of Foodpairing: 130; Таблица сочетаний: 4</x:v>
      </x:c>
    </x:row>
    <x:row r="46" ht="62" customHeight="1">
      <x:c r="A46" s="28" t="str">
        <x:v>BER-0083</x:v>
      </x:c>
      <x:c r="B46" s="28" t="str">
        <x:v>вишня</x:v>
      </x:c>
      <x:c r="C46" s="28" t="str">
        <x:v>красный сладкий перец</x:v>
      </x:c>
      <x:c r="D46" s="28" t="str">
        <x:v>Специи</x:v>
      </x:c>
      <x:c r="E46" s="28" t="str">
        <x:v>ароматическое сходство + вкусовой баланс</x:v>
      </x:c>
      <x:c r="F46" s="28" t="str">
        <x:v>Прямой вероятный молекулярный мост: эвгенол. Ягодный компонент несёт семейства миндальный, пряный,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6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4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46" s="28" t="str">
        <x:v>Средняя</x:v>
      </x:c>
      <x:c r="K46" s="28" t="str">
        <x:v>The Art &amp; Science of Foodpairing</x:v>
      </x:c>
      <x:c r="L46" s="28" t="str">
        <x:v>The Art &amp; Science of Foodpairing: 108</x:v>
      </x:c>
    </x:row>
    <x:row r="47" ht="62" customHeight="1">
      <x:c r="A47" s="28" t="str">
        <x:v>BER-0086</x:v>
      </x:c>
      <x:c r="B47" s="28" t="str">
        <x:v>вишня</x:v>
      </x:c>
      <x:c r="C47" s="28" t="str">
        <x:v>лимон</x:v>
      </x:c>
      <x:c r="D47" s="28" t="str">
        <x:v>Цитрусовые</x:v>
      </x:c>
      <x:c r="E47" s="28" t="str">
        <x:v>ароматическое сходство + вкусовой баланс</x:v>
      </x:c>
      <x:c r="F47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цветочный, цитрусовый. Оба компонента формируют сладко-кислый, иногда терпкий и кислый, свежий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7" s="28" t="str">
        <x:v>Не использовать повреждённые косточки без валидированной технологии: они содержат цианогенные гликозиды.</x:v>
      </x:c>
      <x:c r="I47" s="28" t="str">
        <x:v>кордиал, лимонад, чай, коктейль, настой или ферментированный напиток; маринад, гастрик, чатни, кетчуп или редукция</x:v>
      </x:c>
      <x:c r="J47" s="28" t="str">
        <x:v>Средняя</x:v>
      </x:c>
      <x:c r="K47" s="28" t="str">
        <x:v>Таблица сочетаний</x:v>
      </x:c>
      <x:c r="L47" s="28" t="str">
        <x:v>Таблица сочетаний: 11</x:v>
      </x:c>
    </x:row>
    <x:row r="48" ht="62" customHeight="1">
      <x:c r="A48" s="28" t="str">
        <x:v>BER-0087</x:v>
      </x:c>
      <x:c r="B48" s="28" t="str">
        <x:v>вишня</x:v>
      </x:c>
      <x:c r="C48" s="28" t="str">
        <x:v>лимон и лайм</x:v>
      </x:c>
      <x:c r="D48" s="28" t="str">
        <x:v>Цитрусовые</x:v>
      </x:c>
      <x:c r="E48" s="28" t="str">
        <x:v>ароматическое сходство + вкусовой баланс</x:v>
      </x:c>
      <x:c r="F48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цветочный, цитрусовый. Оба компонента формируют сладко-кислый, иногда терпкий и кислый, свежий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8" s="28" t="str">
        <x:v>Не использовать повреждённые косточки без валидированной технологии: они содержат цианогенные гликозиды.</x:v>
      </x:c>
      <x:c r="I48" s="28" t="str">
        <x:v>кордиал, лимонад, чай, коктейль, настой или ферментированный напиток; маринад, гастрик, чатни, кетчуп или редукция</x:v>
      </x:c>
      <x:c r="J48" s="28" t="str">
        <x:v>Средняя</x:v>
      </x:c>
      <x:c r="K48" s="28" t="str">
        <x:v>The Art &amp; Science of Foodpairing</x:v>
      </x:c>
      <x:c r="L48" s="28" t="str">
        <x:v>The Art &amp; Science of Foodpairing: 87, 89</x:v>
      </x:c>
    </x:row>
    <x:row r="49" ht="62" customHeight="1">
      <x:c r="A49" s="28" t="str">
        <x:v>BER-0088</x:v>
      </x:c>
      <x:c r="B49" s="28" t="str">
        <x:v>вишня</x:v>
      </x:c>
      <x:c r="C49" s="28" t="str">
        <x:v>личи</x:v>
      </x:c>
      <x:c r="D49" s="28" t="str">
        <x:v>Фрукты</x:v>
      </x:c>
      <x:c r="E49" s="28" t="str">
        <x:v>сходство ароматических семейств + комплементарность</x:v>
      </x:c>
      <x:c r="F49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9" s="28" t="str">
        <x:v>Не использовать повреждённые косточки без валидированной технологии: они содержат цианогенные гликозиды.</x:v>
      </x:c>
      <x:c r="I4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49" s="28" t="str">
        <x:v>Средняя</x:v>
      </x:c>
      <x:c r="K49" s="28" t="str">
        <x:v>Таблица сочетаний</x:v>
      </x:c>
      <x:c r="L49" s="28" t="str">
        <x:v>Таблица сочетаний: 4</x:v>
      </x:c>
    </x:row>
    <x:row r="50" ht="62" customHeight="1">
      <x:c r="A50" s="28" t="str">
        <x:v>BER-0090</x:v>
      </x:c>
      <x:c r="B50" s="28" t="str">
        <x:v>вишня</x:v>
      </x:c>
      <x:c r="C50" s="28" t="str">
        <x:v>мандарин</x:v>
      </x:c>
      <x:c r="D50" s="28" t="str">
        <x:v>Цитрусовые</x:v>
      </x:c>
      <x:c r="E50" s="28" t="str">
        <x:v>ароматическое сходство + вкусовой баланс</x:v>
      </x:c>
      <x:c r="F50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цветочный, цитрусовый. Оба компонента формируют сладко-кислый, иногда терпкий и кислый, свежий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0" s="28" t="str">
        <x:v>Не использовать повреждённые косточки без валидированной технологии: они содержат цианогенные гликозиды.</x:v>
      </x:c>
      <x:c r="I50" s="28" t="str">
        <x:v>кордиал, лимонад, чай, коктейль, настой или ферментированный напиток; маринад, гастрик, чатни, кетчуп или редукция</x:v>
      </x:c>
      <x:c r="J50" s="28" t="str">
        <x:v>Средняя</x:v>
      </x:c>
      <x:c r="K50" s="28" t="str">
        <x:v>Таблица сочетаний</x:v>
      </x:c>
      <x:c r="L50" s="28" t="str">
        <x:v>Таблица сочетаний: 12</x:v>
      </x:c>
    </x:row>
    <x:row r="51" ht="62" customHeight="1">
      <x:c r="A51" s="28" t="str">
        <x:v>BER-0099</x:v>
      </x:c>
      <x:c r="B51" s="28" t="str">
        <x:v>вишня</x:v>
      </x:c>
      <x:c r="C51" s="28" t="str">
        <x:v>перец</x:v>
      </x:c>
      <x:c r="D51" s="28" t="str">
        <x:v>Специи</x:v>
      </x:c>
      <x:c r="E51" s="28" t="str">
        <x:v>ароматическое сходство + вкусовой баланс</x:v>
      </x:c>
      <x:c r="F51" s="28" t="str">
        <x:v>Прямой вероятный молекулярный мост: эвгенол. Ягодный компонент несёт семейства миндальный, пряный,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1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5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51" s="28" t="str">
        <x:v>Средняя</x:v>
      </x:c>
      <x:c r="K51" s="28" t="str">
        <x:v>Таблица сочетаний</x:v>
      </x:c>
      <x:c r="L51" s="28" t="str">
        <x:v>Таблица сочетаний: 16</x:v>
      </x:c>
    </x:row>
    <x:row r="52" ht="62" customHeight="1">
      <x:c r="A52" s="28" t="str">
        <x:v>BER-0100</x:v>
      </x:c>
      <x:c r="B52" s="28" t="str">
        <x:v>вишня</x:v>
      </x:c>
      <x:c r="C52" s="28" t="str">
        <x:v>персик</x:v>
      </x:c>
      <x:c r="D52" s="28" t="str">
        <x:v>Фрукты</x:v>
      </x:c>
      <x:c r="E52" s="28" t="str">
        <x:v>сходство ароматических семейств + комплементарность</x:v>
      </x:c>
      <x:c r="F52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2" s="28" t="str">
        <x:v>Не использовать повреждённые косточки без валидированной технологии: они содержат цианогенные гликозиды.</x:v>
      </x:c>
      <x:c r="I5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52" s="28" t="str">
        <x:v>Высокая</x:v>
      </x:c>
      <x:c r="K52" s="28" t="str">
        <x:v>The Art &amp; Science of Foodpairing; Таблица сочетаний; Тезариус вкусов</x:v>
      </x:c>
      <x:c r="L52" s="28" t="str">
        <x:v>Тезариус вкусов: 656, 749; The Art &amp; Science of Foodpairing: 260; Таблица сочетаний: 4, 15</x:v>
      </x:c>
    </x:row>
    <x:row r="53" ht="62" customHeight="1">
      <x:c r="A53" s="28" t="str">
        <x:v>BER-0104</x:v>
      </x:c>
      <x:c r="B53" s="28" t="str">
        <x:v>вишня</x:v>
      </x:c>
      <x:c r="C53" s="28" t="str">
        <x:v>смородина</x:v>
      </x:c>
      <x:c r="D53" s="28" t="str">
        <x:v>Ягоды и производные</x:v>
      </x:c>
      <x:c r="E53" s="28" t="str">
        <x:v>сходство ароматических семейств + комплементарность</x:v>
      </x:c>
      <x:c r="F53" s="28" t="str">
        <x:v>Общие ароматические семейства: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тёмно-фруктовый, цветочный. Оба компонента формируют сладко-кислый, иногда терпкий и кисло-сладкий, терпкий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профиль зависит от вида смородины.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3" s="28" t="str">
        <x:v>Не использовать повреждённые косточки без валидированной технологии: они содержат цианогенные гликозиды.</x:v>
      </x:c>
      <x:c r="I5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53" s="28" t="str">
        <x:v>Средняя</x:v>
      </x:c>
      <x:c r="K53" s="28" t="str">
        <x:v>Таблица сочетаний</x:v>
      </x:c>
      <x:c r="L53" s="28" t="str">
        <x:v>Таблица сочетаний: 4</x:v>
      </x:c>
    </x:row>
    <x:row r="54" ht="62" customHeight="1">
      <x:c r="A54" s="28" t="str">
        <x:v>BER-0105</x:v>
      </x:c>
      <x:c r="B54" s="28" t="str">
        <x:v>вишня</x:v>
      </x:c>
      <x:c r="C54" s="28" t="str">
        <x:v>текила</x:v>
      </x:c>
      <x:c r="D54" s="28" t="str">
        <x:v>Алкогольные напитки</x:v>
      </x:c>
      <x:c r="E54" s="28" t="str">
        <x:v>сходство ароматических семейств + комплементарность</x:v>
      </x:c>
      <x:c r="F54" s="28" t="str">
        <x:v>Общие ароматические семейства: фруктовый; конкретная доля одорантов зависит от сорта и обработки. Ягодный компонент несёт семейства миндальный, пряный, фруктовый, цветочный;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G5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H54" s="28" t="str">
        <x:v>Не использовать повреждённые косточки без валидированной технологии: они содержат цианогенные гликозиды. Высокая крепость и избыток сахара маскируют свежесть и усиливают терпкость.</x:v>
      </x:c>
      <x:c r="I54" s="28" t="str">
        <x:v>кордиал, лимонад, чай, коктейль, настой или ферментированный напиток</x:v>
      </x:c>
      <x:c r="J54" s="28" t="str">
        <x:v>Средняя</x:v>
      </x:c>
      <x:c r="K54" s="28" t="str">
        <x:v>The Art &amp; Science of Foodpairing</x:v>
      </x:c>
      <x:c r="L54" s="28" t="str">
        <x:v>The Art &amp; Science of Foodpairing: 83</x:v>
      </x:c>
    </x:row>
    <x:row r="55" ht="62" customHeight="1">
      <x:c r="A55" s="28" t="str">
        <x:v>BER-0107</x:v>
      </x:c>
      <x:c r="B55" s="28" t="str">
        <x:v>вишня</x:v>
      </x:c>
      <x:c r="C55" s="28" t="str">
        <x:v>фиалка</x:v>
      </x:c>
      <x:c r="D55" s="28" t="str">
        <x:v>Травы и цветы</x:v>
      </x:c>
      <x:c r="E55" s="28" t="str">
        <x:v>ароматическое сходство + вкусовой баланс</x:v>
      </x:c>
      <x:c r="F55" s="28" t="str">
        <x:v>Прямой вероятный молекулярный мост: линалоол, эвгенол. Ягодный компонент несёт семейства миндальный, пряный,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5" s="28" t="str">
        <x:v>Не использовать повреждённые косточки без валидированной технологии: они содержат цианогенные гликозиды.</x:v>
      </x:c>
      <x:c r="I5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55" s="28" t="str">
        <x:v>Средняя</x:v>
      </x:c>
      <x:c r="K55" s="28" t="str">
        <x:v>Таблица сочетаний</x:v>
      </x:c>
      <x:c r="L55" s="28" t="str">
        <x:v>Таблица сочетаний: 4, 21</x:v>
      </x:c>
    </x:row>
    <x:row r="56" ht="62" customHeight="1">
      <x:c r="A56" s="28" t="str">
        <x:v>BER-0110</x:v>
      </x:c>
      <x:c r="B56" s="28" t="str">
        <x:v>вишня</x:v>
      </x:c>
      <x:c r="C56" s="28" t="str">
        <x:v>цветная капуста</x:v>
      </x:c>
      <x:c r="D56" s="28" t="str">
        <x:v>Травы и цветы</x:v>
      </x:c>
      <x:c r="E56" s="28" t="str">
        <x:v>ароматическое сходство + вкусовой баланс</x:v>
      </x:c>
      <x:c r="F56" s="28" t="str">
        <x:v>Прямой вероятный молекулярный мост: линалоол, эвгенол. Ягодный компонент несёт семейства миндальный, пряный,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6" s="28" t="str">
        <x:v>Не использовать повреждённые косточки без валидированной технологии: они содержат цианогенные гликозиды.</x:v>
      </x:c>
      <x:c r="I5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56" s="28" t="str">
        <x:v>Средняя</x:v>
      </x:c>
      <x:c r="K56" s="28" t="str">
        <x:v>The Art &amp; Science of Foodpairing</x:v>
      </x:c>
      <x:c r="L56" s="28" t="str">
        <x:v>The Art &amp; Science of Foodpairing: 67</x:v>
      </x:c>
    </x:row>
    <x:row r="57" ht="62" customHeight="1">
      <x:c r="A57" s="28" t="str">
        <x:v>BER-0111</x:v>
      </x:c>
      <x:c r="B57" s="28" t="str">
        <x:v>вишня</x:v>
      </x:c>
      <x:c r="C57" s="28" t="str">
        <x:v>цитрусовые</x:v>
      </x:c>
      <x:c r="D57" s="28" t="str">
        <x:v>Цитрусовые</x:v>
      </x:c>
      <x:c r="E57" s="28" t="str">
        <x:v>ароматическое сходство + вкусовой баланс</x:v>
      </x:c>
      <x:c r="F57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цветочный, цитрусовый. Оба компонента формируют сладко-кислый, иногда терпкий и кислый, свежий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7" s="28" t="str">
        <x:v>Не использовать повреждённые косточки без валидированной технологии: они содержат цианогенные гликозиды.</x:v>
      </x:c>
      <x:c r="I57" s="28" t="str">
        <x:v>кордиал, лимонад, чай, коктейль, настой или ферментированный напиток; маринад, гастрик, чатни, кетчуп или редукция</x:v>
      </x:c>
      <x:c r="J57" s="28" t="str">
        <x:v>Средняя</x:v>
      </x:c>
      <x:c r="K57" s="28" t="str">
        <x:v>Таблица сочетаний</x:v>
      </x:c>
      <x:c r="L57" s="28" t="str">
        <x:v>Таблица сочетаний: 4</x:v>
      </x:c>
    </x:row>
    <x:row r="58" ht="62" customHeight="1">
      <x:c r="A58" s="28" t="str">
        <x:v>BER-0112</x:v>
      </x:c>
      <x:c r="B58" s="28" t="str">
        <x:v>вишня</x:v>
      </x:c>
      <x:c r="C58" s="28" t="str">
        <x:v>чай</x:v>
      </x:c>
      <x:c r="D58" s="28" t="str">
        <x:v>Чай и безалкогольные напитки</x:v>
      </x:c>
      <x:c r="E58" s="28" t="str">
        <x:v>ароматическое сходство + вкусовой баланс</x:v>
      </x:c>
      <x:c r="F58" s="28" t="str">
        <x:v>Прямой вероятный молекулярный мост: линалоол. Ягодный компонент несёт семейства миндальный, пряный, фруктовый, цветочный; партнёр — терпкий, травянистый, цветочный. Оба компонента формируют сладко-кислый, иногда терпкий и горьковатый, терпкий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матрица; температура определяет экстракцию.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8" s="28" t="str">
        <x:v>Не использовать повреждённые косточки без валидированной технологии: они содержат цианогенные гликозиды.</x:v>
      </x:c>
      <x:c r="I58" s="28" t="str">
        <x:v>кордиал, лимонад, чай, коктейль, настой или ферментированный напиток</x:v>
      </x:c>
      <x:c r="J58" s="28" t="str">
        <x:v>Средняя</x:v>
      </x:c>
      <x:c r="K58" s="28" t="str">
        <x:v>The Art &amp; Science of Foodpairing</x:v>
      </x:c>
      <x:c r="L58" s="28" t="str">
        <x:v>The Art &amp; Science of Foodpairing: 364, 365</x:v>
      </x:c>
    </x:row>
    <x:row r="59" ht="62" customHeight="1">
      <x:c r="A59" s="28" t="str">
        <x:v>BER-0113</x:v>
      </x:c>
      <x:c r="B59" s="28" t="str">
        <x:v>вишня</x:v>
      </x:c>
      <x:c r="C59" s="28" t="str">
        <x:v>чёрная смородина</x:v>
      </x:c>
      <x:c r="D59" s="28" t="str">
        <x:v>Ягоды и производные</x:v>
      </x:c>
      <x:c r="E59" s="28" t="str">
        <x:v>сходство ароматических семейств + комплементарность</x:v>
      </x:c>
      <x:c r="F59" s="28" t="str">
        <x:v>Общие ароматические семейства: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листовой, сернистый, тёмно-фруктовый, цветочный. Оба компонента формируют сладко-кислый, иногда терпкий и ярко-кислый, терпкий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следовые тиолы чрезвычайно мощные; передозировка даёт «кошачий» тон.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9" s="28" t="str">
        <x:v>Не использовать повреждённые косточки без валидированной технологии: они содержат цианогенные гликозиды.</x:v>
      </x:c>
      <x:c r="I5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59" s="28" t="str">
        <x:v>Средняя</x:v>
      </x:c>
      <x:c r="K59" s="28" t="str">
        <x:v>Таблица сочетаний</x:v>
      </x:c>
      <x:c r="L59" s="28" t="str">
        <x:v>Таблица сочетаний: 2</x:v>
      </x:c>
    </x:row>
    <x:row r="60" ht="62" customHeight="1">
      <x:c r="A60" s="28" t="str">
        <x:v>BER-0114</x:v>
      </x:c>
      <x:c r="B60" s="28" t="str">
        <x:v>вишня</x:v>
      </x:c>
      <x:c r="C60" s="28" t="str">
        <x:v>чёрный перец</x:v>
      </x:c>
      <x:c r="D60" s="28" t="str">
        <x:v>Специи</x:v>
      </x:c>
      <x:c r="E60" s="28" t="str">
        <x:v>ароматическое сходство + вкусовой баланс</x:v>
      </x:c>
      <x:c r="F60" s="28" t="str">
        <x:v>Прямой вероятный молекулярный мост: эвгенол. Ягодный компонент несёт семейства миндальный, пряный,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0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6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60" s="28" t="str">
        <x:v>Средняя</x:v>
      </x:c>
      <x:c r="K60" s="28" t="str">
        <x:v>Таблица сочетаний</x:v>
      </x:c>
      <x:c r="L60" s="28" t="str">
        <x:v>Таблица сочетаний: 4</x:v>
      </x:c>
    </x:row>
    <x:row r="61" ht="62" customHeight="1">
      <x:c r="A61" s="28" t="str">
        <x:v>BER-0116</x:v>
      </x:c>
      <x:c r="B61" s="28" t="str">
        <x:v>вишня</x:v>
      </x:c>
      <x:c r="C61" s="28" t="str">
        <x:v>шалфей</x:v>
      </x:c>
      <x:c r="D61" s="28" t="str">
        <x:v>Травы и цветы</x:v>
      </x:c>
      <x:c r="E61" s="28" t="str">
        <x:v>ароматическое сходство + вкусовой баланс</x:v>
      </x:c>
      <x:c r="F61" s="28" t="str">
        <x:v>Прямой вероятный молекулярный мост: линалоол, эвгенол. Ягодный компонент несёт семейства миндальный, пряный,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1" s="28" t="str">
        <x:v>Не использовать повреждённые косточки без валидированной технологии: они содержат цианогенные гликозиды.</x:v>
      </x:c>
      <x:c r="I6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61" s="28" t="str">
        <x:v>Средняя</x:v>
      </x:c>
      <x:c r="K61" s="28" t="str">
        <x:v>Таблица сочетаний</x:v>
      </x:c>
      <x:c r="L61" s="28" t="str">
        <x:v>Таблица сочетаний: 4, 20</x:v>
      </x:c>
    </x:row>
    <x:row r="62" ht="62" customHeight="1">
      <x:c r="A62" s="28" t="str">
        <x:v>BER-0119</x:v>
      </x:c>
      <x:c r="B62" s="28" t="str">
        <x:v>вишня</x:v>
      </x:c>
      <x:c r="C62" s="28" t="str">
        <x:v>яблоко</x:v>
      </x:c>
      <x:c r="D62" s="28" t="str">
        <x:v>Фрукты</x:v>
      </x:c>
      <x:c r="E62" s="28" t="str">
        <x:v>сходство ароматических семейств + комплементарность</x:v>
      </x:c>
      <x:c r="F62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2" s="28" t="str">
        <x:v>Не использовать повреждённые косточки без валидированной технологии: они содержат цианогенные гликозиды.</x:v>
      </x:c>
      <x:c r="I6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62" s="28" t="str">
        <x:v>Средняя</x:v>
      </x:c>
      <x:c r="K62" s="28" t="str">
        <x:v>The Art &amp; Science of Foodpairing</x:v>
      </x:c>
      <x:c r="L62" s="28" t="str">
        <x:v>The Art &amp; Science of Foodpairing: 48, 49</x:v>
      </x:c>
    </x:row>
    <x:row r="63" ht="62" customHeight="1">
      <x:c r="A63" s="28" t="str">
        <x:v>BER-0120</x:v>
      </x:c>
      <x:c r="B63" s="28" t="str">
        <x:v>голубика</x:v>
      </x:c>
      <x:c r="C63" s="28" t="str">
        <x:v>amarillo chilli</x:v>
      </x:c>
      <x:c r="D63" s="28" t="str">
        <x:v>Специи</x:v>
      </x:c>
      <x:c r="E63" s="28" t="str">
        <x:v>контраст/комплементарность + матричный эффект</x:v>
      </x:c>
      <x:c r="F6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3" s="28" t="str">
        <x:v>Пряность дозировать как акцент: она быстро перекрывает тонкие ягодные эфиры.</x:v>
      </x:c>
      <x:c r="I6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63" s="28" t="str">
        <x:v>Средняя</x:v>
      </x:c>
      <x:c r="K63" s="28" t="str">
        <x:v>The Art &amp; Science of Foodpairing</x:v>
      </x:c>
      <x:c r="L63" s="28" t="str">
        <x:v>The Art &amp; Science of Foodpairing: 204</x:v>
      </x:c>
    </x:row>
    <x:row r="64" ht="62" customHeight="1">
      <x:c r="A64" s="28" t="str">
        <x:v>BER-0121</x:v>
      </x:c>
      <x:c r="B64" s="28" t="str">
        <x:v>голубика</x:v>
      </x:c>
      <x:c r="C64" s="28" t="str">
        <x:v>anberry</x:v>
      </x:c>
      <x:c r="D64" s="28" t="str">
        <x:v>Ягоды и производные</x:v>
      </x:c>
      <x:c r="E64" s="28" t="str">
        <x:v>контраст/комплементарность + матричный эффект</x:v>
      </x:c>
      <x:c r="F6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64" s="28" t="str">
        <x:v>Средняя</x:v>
      </x:c>
      <x:c r="K64" s="28" t="str">
        <x:v>The Art &amp; Science of Foodpairing</x:v>
      </x:c>
      <x:c r="L64" s="28" t="str">
        <x:v>The Art &amp; Science of Foodpairing: 204</x:v>
      </x:c>
    </x:row>
    <x:row r="65" ht="62" customHeight="1">
      <x:c r="A65" s="28" t="str">
        <x:v>BER-0125</x:v>
      </x:c>
      <x:c r="B65" s="28" t="str">
        <x:v>голубика</x:v>
      </x:c>
      <x:c r="C65" s="28" t="str">
        <x:v>banana chips</x:v>
      </x:c>
      <x:c r="D65" s="28" t="str">
        <x:v>Фрукты</x:v>
      </x:c>
      <x:c r="E65" s="28" t="str">
        <x:v>сходство ароматических семейств + комплементарность</x:v>
      </x:c>
      <x:c r="F65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65" s="28" t="str">
        <x:v>Средняя</x:v>
      </x:c>
      <x:c r="K65" s="28" t="str">
        <x:v>The Art &amp; Science of Foodpairing</x:v>
      </x:c>
      <x:c r="L65" s="28" t="str">
        <x:v>The Art &amp; Science of Foodpairing: 205</x:v>
      </x:c>
    </x:row>
    <x:row r="66" ht="62" customHeight="1">
      <x:c r="A66" s="28" t="str">
        <x:v>BER-0128</x:v>
      </x:c>
      <x:c r="B66" s="28" t="str">
        <x:v>голубика</x:v>
      </x:c>
      <x:c r="C66" s="28" t="str">
        <x:v>berry</x:v>
      </x:c>
      <x:c r="D66" s="28" t="str">
        <x:v>Ягоды и производные</x:v>
      </x:c>
      <x:c r="E66" s="28" t="str">
        <x:v>контраст/комплементарность + матричный эффект</x:v>
      </x:c>
      <x:c r="F6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66" s="28" t="str">
        <x:v>Средняя</x:v>
      </x:c>
      <x:c r="K66" s="28" t="str">
        <x:v>The Art &amp; Science of Foodpairing</x:v>
      </x:c>
      <x:c r="L66" s="28" t="str">
        <x:v>The Art &amp; Science of Foodpairing: 204</x:v>
      </x:c>
    </x:row>
    <x:row r="67" ht="62" customHeight="1">
      <x:c r="A67" s="28" t="str">
        <x:v>BER-0129</x:v>
      </x:c>
      <x:c r="B67" s="28" t="str">
        <x:v>голубика</x:v>
      </x:c>
      <x:c r="C67" s="28" t="str">
        <x:v>berry vinegar</x:v>
      </x:c>
      <x:c r="D67" s="28" t="str">
        <x:v>Ягоды и производные</x:v>
      </x:c>
      <x:c r="E67" s="28" t="str">
        <x:v>контраст/комплементарность + матричный эффект</x:v>
      </x:c>
      <x:c r="F6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67" s="28" t="str">
        <x:v>Средняя</x:v>
      </x:c>
      <x:c r="K67" s="28" t="str">
        <x:v>The Art &amp; Science of Foodpairing</x:v>
      </x:c>
      <x:c r="L67" s="28" t="str">
        <x:v>The Art &amp; Science of Foodpairing: 204</x:v>
      </x:c>
    </x:row>
    <x:row r="68" ht="62" customHeight="1">
      <x:c r="A68" s="28" t="str">
        <x:v>BER-0131</x:v>
      </x:c>
      <x:c r="B68" s="28" t="str">
        <x:v>голубика</x:v>
      </x:c>
      <x:c r="C68" s="28" t="str">
        <x:v>black tea gri</x:v>
      </x:c>
      <x:c r="D68" s="28" t="str">
        <x:v>Чай и безалкогольные напитки</x:v>
      </x:c>
      <x:c r="E68" s="28" t="str">
        <x:v>ароматическое сходство + вкусовой баланс</x:v>
      </x:c>
      <x:c r="F68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терпкий, травянистый, цветочный. Оба компонента формируют сладко-кислый, мягкий и горьковатый, терпкий контур; сахар, кислота и горечь должны быть выровнены дегустацией. Ягода: нежный аромат легко теряется на фоне сильной сладости. Партнёр: водная матрица; температура определяет экстракцию.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8" s="28" t="str">
        <x:v>кордиал, лимонад, чай, коктейль, настой или ферментированный напиток</x:v>
      </x:c>
      <x:c r="J68" s="28" t="str">
        <x:v>Средняя</x:v>
      </x:c>
      <x:c r="K68" s="28" t="str">
        <x:v>The Art &amp; Science of Foodpairing</x:v>
      </x:c>
      <x:c r="L68" s="28" t="str">
        <x:v>The Art &amp; Science of Foodpairing: 204</x:v>
      </x:c>
    </x:row>
    <x:row r="69" ht="62" customHeight="1">
      <x:c r="A69" s="28" t="str">
        <x:v>BER-0132</x:v>
      </x:c>
      <x:c r="B69" s="28" t="str">
        <x:v>голубика</x:v>
      </x:c>
      <x:c r="C69" s="28" t="str">
        <x:v>blood orange</x:v>
      </x:c>
      <x:c r="D69" s="28" t="str">
        <x:v>Цитрусовые</x:v>
      </x:c>
      <x:c r="E69" s="28" t="str">
        <x:v>ароматическое сходство + вкусовой баланс</x:v>
      </x:c>
      <x:c r="F69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9" s="28" t="str">
        <x:v>кордиал, лимонад, чай, коктейль, настой или ферментированный напиток; маринад, гастрик, чатни, кетчуп или редукция</x:v>
      </x:c>
      <x:c r="J69" s="28" t="str">
        <x:v>Средняя</x:v>
      </x:c>
      <x:c r="K69" s="28" t="str">
        <x:v>The Art &amp; Science of Foodpairing</x:v>
      </x:c>
      <x:c r="L69" s="28" t="str">
        <x:v>The Art &amp; Science of Foodpairing: 204</x:v>
      </x:c>
    </x:row>
    <x:row r="70" ht="62" customHeight="1">
      <x:c r="A70" s="28" t="str">
        <x:v>BER-0135</x:v>
      </x:c>
      <x:c r="B70" s="28" t="str">
        <x:v>голубика</x:v>
      </x:c>
      <x:c r="C70" s="28" t="str">
        <x:v>calendula flower</x:v>
      </x:c>
      <x:c r="D70" s="28" t="str">
        <x:v>Травы и цветы</x:v>
      </x:c>
      <x:c r="E70" s="28" t="str">
        <x:v>ароматическое сходство + вкусовой баланс</x:v>
      </x:c>
      <x:c r="F70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70" s="28" t="str">
        <x:v>Средняя</x:v>
      </x:c>
      <x:c r="K70" s="28" t="str">
        <x:v>The Art &amp; Science of Foodpairing</x:v>
      </x:c>
      <x:c r="L70" s="28" t="str">
        <x:v>The Art &amp; Science of Foodpairing: 205</x:v>
      </x:c>
    </x:row>
    <x:row r="71" ht="62" customHeight="1">
      <x:c r="A71" s="28" t="str">
        <x:v>BER-0142</x:v>
      </x:c>
      <x:c r="B71" s="28" t="str">
        <x:v>голубика</x:v>
      </x:c>
      <x:c r="C71" s="28" t="str">
        <x:v>ed fig</x:v>
      </x:c>
      <x:c r="D71" s="28" t="str">
        <x:v>Фрукты</x:v>
      </x:c>
      <x:c r="E71" s="28" t="str">
        <x:v>сходство ароматических семейств + комплементарность</x:v>
      </x:c>
      <x:c r="F71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71" s="28" t="str">
        <x:v>Средняя</x:v>
      </x:c>
      <x:c r="K71" s="28" t="str">
        <x:v>The Art &amp; Science of Foodpairing</x:v>
      </x:c>
      <x:c r="L71" s="28" t="str">
        <x:v>The Art &amp; Science of Foodpairing: 204</x:v>
      </x:c>
    </x:row>
    <x:row r="72" ht="62" customHeight="1">
      <x:c r="A72" s="28" t="str">
        <x:v>BER-0148</x:v>
      </x:c>
      <x:c r="B72" s="28" t="str">
        <x:v>голубика</x:v>
      </x:c>
      <x:c r="C72" s="28" t="str">
        <x:v>Gin Mare</x:v>
      </x:c>
      <x:c r="D72" s="28" t="str">
        <x:v>Алкогольные напитки</x:v>
      </x:c>
      <x:c r="E72" s="28" t="str">
        <x:v>сходство ароматических семейств + комплементарность</x:v>
      </x:c>
      <x:c r="F72" s="28" t="str">
        <x:v>Общие ароматические семейства: фруктовый; конкретная доля одорантов зависит от сорта и обработки. Ягодный компонент несёт семейства зелёный, фруктовый, цветочный, цитрусовый;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G7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H72" s="28" t="str">
        <x:v>Высокая крепость и избыток сахара маскируют свежесть и усиливают терпкость.</x:v>
      </x:c>
      <x:c r="I72" s="28" t="str">
        <x:v>кордиал, лимонад, чай, коктейль, настой или ферментированный напиток</x:v>
      </x:c>
      <x:c r="J72" s="28" t="str">
        <x:v>Средняя</x:v>
      </x:c>
      <x:c r="K72" s="28" t="str">
        <x:v>The Art &amp; Science of Foodpairing</x:v>
      </x:c>
      <x:c r="L72" s="28" t="str">
        <x:v>The Art &amp; Science of Foodpairing: 205</x:v>
      </x:c>
    </x:row>
    <x:row r="73" ht="62" customHeight="1">
      <x:c r="A73" s="28" t="str">
        <x:v>BER-0150</x:v>
      </x:c>
      <x:c r="B73" s="28" t="str">
        <x:v>голубика</x:v>
      </x:c>
      <x:c r="C73" s="28" t="str">
        <x:v>honeydew melon</x:v>
      </x:c>
      <x:c r="D73" s="28" t="str">
        <x:v>Фрукты</x:v>
      </x:c>
      <x:c r="E73" s="28" t="str">
        <x:v>сходство ароматических семейств + комплементарность</x:v>
      </x:c>
      <x:c r="F73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73" s="28" t="str">
        <x:v>Средняя</x:v>
      </x:c>
      <x:c r="K73" s="28" t="str">
        <x:v>The Art &amp; Science of Foodpairing</x:v>
      </x:c>
      <x:c r="L73" s="28" t="str">
        <x:v>The Art &amp; Science of Foodpairing: 205</x:v>
      </x:c>
    </x:row>
    <x:row r="74" ht="62" customHeight="1">
      <x:c r="A74" s="28" t="str">
        <x:v>BER-0157</x:v>
      </x:c>
      <x:c r="B74" s="28" t="str">
        <x:v>голубика</x:v>
      </x:c>
      <x:c r="C74" s="28" t="str">
        <x:v>kent mango</x:v>
      </x:c>
      <x:c r="D74" s="28" t="str">
        <x:v>Фрукты</x:v>
      </x:c>
      <x:c r="E74" s="28" t="str">
        <x:v>сходство ароматических семейств + комплементарность</x:v>
      </x:c>
      <x:c r="F74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74" s="28" t="str">
        <x:v>Средняя</x:v>
      </x:c>
      <x:c r="K74" s="28" t="str">
        <x:v>The Art &amp; Science of Foodpairing</x:v>
      </x:c>
      <x:c r="L74" s="28" t="str">
        <x:v>The Art &amp; Science of Foodpairing: 205</x:v>
      </x:c>
    </x:row>
    <x:row r="75" ht="62" customHeight="1">
      <x:c r="A75" s="28" t="str">
        <x:v>BER-0160</x:v>
      </x:c>
      <x:c r="B75" s="28" t="str">
        <x:v>голубика</x:v>
      </x:c>
      <x:c r="C75" s="28" t="str">
        <x:v>lled aubergine</x:v>
      </x:c>
      <x:c r="D75" s="28" t="str">
        <x:v>Алкогольные напитки</x:v>
      </x:c>
      <x:c r="E75" s="28" t="str">
        <x:v>сходство ароматических семейств + комплементарность</x:v>
      </x:c>
      <x:c r="F75" s="28" t="str">
        <x:v>Общие ароматические семейства: фруктовый; конкретная доля одорантов зависит от сорта и обработки. Ягодный компонент несёт семейства зелёный, фруктовый, цветочный, цитрусовый;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G7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H75" s="28" t="str">
        <x:v>Высокая крепость и избыток сахара маскируют свежесть и усиливают терпкость.</x:v>
      </x:c>
      <x:c r="I75" s="28" t="str">
        <x:v>кордиал, лимонад, чай, коктейль, настой или ферментированный напиток</x:v>
      </x:c>
      <x:c r="J75" s="28" t="str">
        <x:v>Средняя</x:v>
      </x:c>
      <x:c r="K75" s="28" t="str">
        <x:v>The Art &amp; Science of Foodpairing</x:v>
      </x:c>
      <x:c r="L75" s="28" t="str">
        <x:v>The Art &amp; Science of Foodpairing: 204</x:v>
      </x:c>
    </x:row>
    <x:row r="76" ht="62" customHeight="1">
      <x:c r="A76" s="28" t="str">
        <x:v>BER-0162</x:v>
      </x:c>
      <x:c r="B76" s="28" t="str">
        <x:v>голубика</x:v>
      </x:c>
      <x:c r="C76" s="28" t="str">
        <x:v>makrut lime leaf</x:v>
      </x:c>
      <x:c r="D76" s="28" t="str">
        <x:v>Цитрусовые</x:v>
      </x:c>
      <x:c r="E76" s="28" t="str">
        <x:v>ароматическое сходство + вкусовой баланс</x:v>
      </x:c>
      <x:c r="F76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6" s="28" t="str">
        <x:v>кордиал, лимонад, чай, коктейль, настой или ферментированный напиток; маринад, гастрик, чатни, кетчуп или редукция</x:v>
      </x:c>
      <x:c r="J76" s="28" t="str">
        <x:v>Средняя</x:v>
      </x:c>
      <x:c r="K76" s="28" t="str">
        <x:v>The Art &amp; Science of Foodpairing</x:v>
      </x:c>
      <x:c r="L76" s="28" t="str">
        <x:v>The Art &amp; Science of Foodpairing: 205</x:v>
      </x:c>
    </x:row>
    <x:row r="77" ht="62" customHeight="1">
      <x:c r="A77" s="28" t="str">
        <x:v>BER-0167</x:v>
      </x:c>
      <x:c r="B77" s="28" t="str">
        <x:v>голубика</x:v>
      </x:c>
      <x:c r="C77" s="28" t="str">
        <x:v>mint Sich</x:v>
      </x:c>
      <x:c r="D77" s="28" t="str">
        <x:v>Травы и цветы</x:v>
      </x:c>
      <x:c r="E77" s="28" t="str">
        <x:v>ароматическое сходство + вкусовой баланс</x:v>
      </x:c>
      <x:c r="F77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77" s="28" t="str">
        <x:v>Средняя</x:v>
      </x:c>
      <x:c r="K77" s="28" t="str">
        <x:v>The Art &amp; Science of Foodpairing</x:v>
      </x:c>
      <x:c r="L77" s="28" t="str">
        <x:v>The Art &amp; Science of Foodpairing: 204</x:v>
      </x:c>
    </x:row>
    <x:row r="78" ht="62" customHeight="1">
      <x:c r="A78" s="28" t="str">
        <x:v>BER-0170</x:v>
      </x:c>
      <x:c r="B78" s="28" t="str">
        <x:v>голубика</x:v>
      </x:c>
      <x:c r="C78" s="28" t="str">
        <x:v>oven-приготовленный steak</x:v>
      </x:c>
      <x:c r="D78" s="28" t="str">
        <x:v>Чай и безалкогольные напитки</x:v>
      </x:c>
      <x:c r="E78" s="28" t="str">
        <x:v>ароматическое сходство + вкусовой баланс</x:v>
      </x:c>
      <x:c r="F78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терпкий, травянистый, цветочный. Оба компонента формируют сладко-кислый, мягкий и горьковатый, терпкий контур; сахар, кислота и горечь должны быть выровнены дегустацией. Ягода: нежный аромат легко теряется на фоне сильной сладости. Партнёр: водная матрица; температура определяет экстракцию.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8" s="28" t="str">
        <x:v>кордиал, лимонад, чай, коктейль, настой или ферментированный напиток</x:v>
      </x:c>
      <x:c r="J78" s="28" t="str">
        <x:v>Средняя</x:v>
      </x:c>
      <x:c r="K78" s="28" t="str">
        <x:v>The Art &amp; Science of Foodpairing</x:v>
      </x:c>
      <x:c r="L78" s="28" t="str">
        <x:v>The Art &amp; Science of Foodpairing: 205</x:v>
      </x:c>
    </x:row>
    <x:row r="79" ht="62" customHeight="1">
      <x:c r="A79" s="28" t="str">
        <x:v>BER-0172</x:v>
      </x:c>
      <x:c r="B79" s="28" t="str">
        <x:v>голубика</x:v>
      </x:c>
      <x:c r="C79" s="28" t="str">
        <x:v>pickled sakura leaf drie</x:v>
      </x:c>
      <x:c r="D79" s="28" t="str">
        <x:v>Травы и цветы</x:v>
      </x:c>
      <x:c r="E79" s="28" t="str">
        <x:v>ароматическое сходство + вкусовой баланс</x:v>
      </x:c>
      <x:c r="F79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79" s="28" t="str">
        <x:v>Средняя</x:v>
      </x:c>
      <x:c r="K79" s="28" t="str">
        <x:v>The Art &amp; Science of Foodpairing</x:v>
      </x:c>
      <x:c r="L79" s="28" t="str">
        <x:v>The Art &amp; Science of Foodpairing: 204</x:v>
      </x:c>
    </x:row>
    <x:row r="80" ht="62" customHeight="1">
      <x:c r="A80" s="28" t="str">
        <x:v>BER-0175</x:v>
      </x:c>
      <x:c r="B80" s="28" t="str">
        <x:v>голубика</x:v>
      </x:c>
      <x:c r="C80" s="28" t="str">
        <x:v>red bell pepper</x:v>
      </x:c>
      <x:c r="D80" s="28" t="str">
        <x:v>Специи</x:v>
      </x:c>
      <x:c r="E80" s="28" t="str">
        <x:v>контраст/комплементарность + матричный эффект</x:v>
      </x:c>
      <x:c r="F8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0" s="28" t="str">
        <x:v>Пряность дозировать как акцент: она быстро перекрывает тонкие ягодные эфиры.</x:v>
      </x:c>
      <x:c r="I8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80" s="28" t="str">
        <x:v>Средняя</x:v>
      </x:c>
      <x:c r="K80" s="28" t="str">
        <x:v>The Art &amp; Science of Foodpairing</x:v>
      </x:c>
      <x:c r="L80" s="28" t="str">
        <x:v>The Art &amp; Science of Foodpairing: 205</x:v>
      </x:c>
    </x:row>
    <x:row r="81" ht="62" customHeight="1">
      <x:c r="A81" s="28" t="str">
        <x:v>BER-0181</x:v>
      </x:c>
      <x:c r="B81" s="28" t="str">
        <x:v>голубика</x:v>
      </x:c>
      <x:c r="C81" s="28" t="str">
        <x:v>tarocco blood orange</x:v>
      </x:c>
      <x:c r="D81" s="28" t="str">
        <x:v>Цитрусовые</x:v>
      </x:c>
      <x:c r="E81" s="28" t="str">
        <x:v>ароматическое сходство + вкусовой баланс</x:v>
      </x:c>
      <x:c r="F81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1" s="28" t="str">
        <x:v>кордиал, лимонад, чай, коктейль, настой или ферментированный напиток; маринад, гастрик, чатни, кетчуп или редукция</x:v>
      </x:c>
      <x:c r="J81" s="28" t="str">
        <x:v>Средняя</x:v>
      </x:c>
      <x:c r="K81" s="28" t="str">
        <x:v>The Art &amp; Science of Foodpairing</x:v>
      </x:c>
      <x:c r="L81" s="28" t="str">
        <x:v>The Art &amp; Science of Foodpairing: 205</x:v>
      </x:c>
    </x:row>
    <x:row r="82" ht="62" customHeight="1">
      <x:c r="A82" s="28" t="str">
        <x:v>BER-0185</x:v>
      </x:c>
      <x:c r="B82" s="28" t="str">
        <x:v>голубика</x:v>
      </x:c>
      <x:c r="C82" s="28" t="str">
        <x:v>uan pepper</x:v>
      </x:c>
      <x:c r="D82" s="28" t="str">
        <x:v>Специи</x:v>
      </x:c>
      <x:c r="E82" s="28" t="str">
        <x:v>контраст/комплементарность + матричный эффект</x:v>
      </x:c>
      <x:c r="F8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2" s="28" t="str">
        <x:v>Пряность дозировать как акцент: она быстро перекрывает тонкие ягодные эфиры.</x:v>
      </x:c>
      <x:c r="I8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82" s="28" t="str">
        <x:v>Средняя</x:v>
      </x:c>
      <x:c r="K82" s="28" t="str">
        <x:v>The Art &amp; Science of Foodpairing</x:v>
      </x:c>
      <x:c r="L82" s="28" t="str">
        <x:v>The Art &amp; Science of Foodpairing: 204</x:v>
      </x:c>
    </x:row>
    <x:row r="83" ht="62" customHeight="1">
      <x:c r="A83" s="28" t="str">
        <x:v>BER-0187</x:v>
      </x:c>
      <x:c r="B83" s="28" t="str">
        <x:v>голубика</x:v>
      </x:c>
      <x:c r="C83" s="28" t="str">
        <x:v>wberry</x:v>
      </x:c>
      <x:c r="D83" s="28" t="str">
        <x:v>Ягоды и производные</x:v>
      </x:c>
      <x:c r="E83" s="28" t="str">
        <x:v>контраст/комплементарность + матричный эффект</x:v>
      </x:c>
      <x:c r="F8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83" s="28" t="str">
        <x:v>Средняя</x:v>
      </x:c>
      <x:c r="K83" s="28" t="str">
        <x:v>The Art &amp; Science of Foodpairing</x:v>
      </x:c>
      <x:c r="L83" s="28" t="str">
        <x:v>The Art &amp; Science of Foodpairing: 204</x:v>
      </x:c>
    </x:row>
    <x:row r="84" ht="62" customHeight="1">
      <x:c r="A84" s="28" t="str">
        <x:v>BER-0188</x:v>
      </x:c>
      <x:c r="B84" s="28" t="str">
        <x:v>голубика</x:v>
      </x:c>
      <x:c r="C84" s="28" t="str">
        <x:v>абрикос</x:v>
      </x:c>
      <x:c r="D84" s="28" t="str">
        <x:v>Фрукты</x:v>
      </x:c>
      <x:c r="E84" s="28" t="str">
        <x:v>сходство ароматических семейств + комплементарность</x:v>
      </x:c>
      <x:c r="F84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84" s="28" t="str">
        <x:v>Высокая</x:v>
      </x:c>
      <x:c r="K84" s="28" t="str">
        <x:v>The Art &amp; Science of Foodpairing; Таблица сочетаний</x:v>
      </x:c>
      <x:c r="L84" s="28" t="str">
        <x:v>The Art &amp; Science of Foodpairing: 205; Таблица сочетаний: 3</x:v>
      </x:c>
    </x:row>
    <x:row r="85" ht="62" customHeight="1">
      <x:c r="A85" s="28" t="str">
        <x:v>BER-0189</x:v>
      </x:c>
      <x:c r="B85" s="28" t="str">
        <x:v>голубика</x:v>
      </x:c>
      <x:c r="C85" s="28" t="str">
        <x:v>ананас</x:v>
      </x:c>
      <x:c r="D85" s="28" t="str">
        <x:v>Фрукты</x:v>
      </x:c>
      <x:c r="E85" s="28" t="str">
        <x:v>сходство ароматических семейств + комплементарность</x:v>
      </x:c>
      <x:c r="F85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85" s="28" t="str">
        <x:v>Средняя</x:v>
      </x:c>
      <x:c r="K85" s="28" t="str">
        <x:v>The Art &amp; Science of Foodpairing</x:v>
      </x:c>
      <x:c r="L85" s="28" t="str">
        <x:v>The Art &amp; Science of Foodpairing: 242</x:v>
      </x:c>
    </x:row>
    <x:row r="86" ht="62" customHeight="1">
      <x:c r="A86" s="28" t="str">
        <x:v>BER-0190</x:v>
      </x:c>
      <x:c r="B86" s="28" t="str">
        <x:v>голубика</x:v>
      </x:c>
      <x:c r="C86" s="28" t="str">
        <x:v>апельсин</x:v>
      </x:c>
      <x:c r="D86" s="28" t="str">
        <x:v>Цитрусовые</x:v>
      </x:c>
      <x:c r="E86" s="28" t="str">
        <x:v>ароматическое сходство + вкусовой баланс</x:v>
      </x:c>
      <x:c r="F86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6" s="28" t="str">
        <x:v>кордиал, лимонад, чай, коктейль, настой или ферментированный напиток; маринад, гастрик, чатни, кетчуп или редукция</x:v>
      </x:c>
      <x:c r="J86" s="28" t="str">
        <x:v>Средняя</x:v>
      </x:c>
      <x:c r="K86" s="28" t="str">
        <x:v>The Art &amp; Science of Foodpairing</x:v>
      </x:c>
      <x:c r="L86" s="28" t="str">
        <x:v>The Art &amp; Science of Foodpairing: 205</x:v>
      </x:c>
    </x:row>
    <x:row r="87" ht="62" customHeight="1">
      <x:c r="A87" s="28" t="str">
        <x:v>BER-0191</x:v>
      </x:c>
      <x:c r="B87" s="28" t="str">
        <x:v>голубика</x:v>
      </x:c>
      <x:c r="C87" s="28" t="str">
        <x:v>апельсиновая</x:v>
      </x:c>
      <x:c r="D87" s="28" t="str">
        <x:v>Цитрусовые</x:v>
      </x:c>
      <x:c r="E87" s="28" t="str">
        <x:v>ароматическое сходство + вкусовой баланс</x:v>
      </x:c>
      <x:c r="F87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7" s="28" t="str">
        <x:v>кордиал, лимонад, чай, коктейль, настой или ферментированный напиток; маринад, гастрик, чатни, кетчуп или редукция</x:v>
      </x:c>
      <x:c r="J87" s="28" t="str">
        <x:v>Средняя</x:v>
      </x:c>
      <x:c r="K87" s="28" t="str">
        <x:v>Таблица сочетаний</x:v>
      </x:c>
      <x:c r="L87" s="28" t="str">
        <x:v>Таблица сочетаний: 3</x:v>
      </x:c>
    </x:row>
    <x:row r="88" ht="62" customHeight="1">
      <x:c r="A88" s="28" t="str">
        <x:v>BER-0194</x:v>
      </x:c>
      <x:c r="B88" s="28" t="str">
        <x:v>голубика</x:v>
      </x:c>
      <x:c r="C88" s="28" t="str">
        <x:v>бергамот</x:v>
      </x:c>
      <x:c r="D88" s="28" t="str">
        <x:v>Цитрусовые</x:v>
      </x:c>
      <x:c r="E88" s="28" t="str">
        <x:v>ароматическое сходство + вкусовой баланс</x:v>
      </x:c>
      <x:c r="F88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8" s="28" t="str">
        <x:v>кордиал, лимонад, чай, коктейль, настой или ферментированный напиток; маринад, гастрик, чатни, кетчуп или редукция</x:v>
      </x:c>
      <x:c r="J88" s="28" t="str">
        <x:v>Средняя</x:v>
      </x:c>
      <x:c r="K88" s="28" t="str">
        <x:v>The Art &amp; Science of Foodpairing</x:v>
      </x:c>
      <x:c r="L88" s="28" t="str">
        <x:v>The Art &amp; Science of Foodpairing: 218</x:v>
      </x:c>
    </x:row>
    <x:row r="89" ht="62" customHeight="1">
      <x:c r="A89" s="28" t="str">
        <x:v>BER-0196</x:v>
      </x:c>
      <x:c r="B89" s="28" t="str">
        <x:v>голубика</x:v>
      </x:c>
      <x:c r="C89" s="28" t="str">
        <x:v>гранат</x:v>
      </x:c>
      <x:c r="D89" s="28" t="str">
        <x:v>Фрукты</x:v>
      </x:c>
      <x:c r="E89" s="28" t="str">
        <x:v>сходство ароматических семейств + комплементарность</x:v>
      </x:c>
      <x:c r="F89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89" s="28" t="str">
        <x:v>Средняя</x:v>
      </x:c>
      <x:c r="K89" s="28" t="str">
        <x:v>Таблица сочетаний</x:v>
      </x:c>
      <x:c r="L89" s="28" t="str">
        <x:v>Таблица сочетаний: 17</x:v>
      </x:c>
    </x:row>
    <x:row r="90" ht="62" customHeight="1">
      <x:c r="A90" s="28" t="str">
        <x:v>BER-0197</x:v>
      </x:c>
      <x:c r="B90" s="28" t="str">
        <x:v>голубика</x:v>
      </x:c>
      <x:c r="C90" s="28" t="str">
        <x:v>грейпфрут</x:v>
      </x:c>
      <x:c r="D90" s="28" t="str">
        <x:v>Цитрусовые</x:v>
      </x:c>
      <x:c r="E90" s="28" t="str">
        <x:v>ароматическое сходство + вкусовой баланс</x:v>
      </x:c>
      <x:c r="F90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0" s="28" t="str">
        <x:v>кордиал, лимонад, чай, коктейль, настой или ферментированный напиток; маринад, гастрик, чатни, кетчуп или редукция</x:v>
      </x:c>
      <x:c r="J90" s="28" t="str">
        <x:v>Средняя</x:v>
      </x:c>
      <x:c r="K90" s="28" t="str">
        <x:v>The Art &amp; Science of Foodpairing</x:v>
      </x:c>
      <x:c r="L90" s="28" t="str">
        <x:v>The Art &amp; Science of Foodpairing: 205</x:v>
      </x:c>
    </x:row>
    <x:row r="91" ht="62" customHeight="1">
      <x:c r="A91" s="28" t="str">
        <x:v>BER-0198</x:v>
      </x:c>
      <x:c r="B91" s="28" t="str">
        <x:v>голубика</x:v>
      </x:c>
      <x:c r="C91" s="28" t="str">
        <x:v>груша</x:v>
      </x:c>
      <x:c r="D91" s="28" t="str">
        <x:v>Фрукты</x:v>
      </x:c>
      <x:c r="E91" s="28" t="str">
        <x:v>сходство ароматических семейств + комплементарность</x:v>
      </x:c>
      <x:c r="F91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91" s="28" t="str">
        <x:v>Средняя</x:v>
      </x:c>
      <x:c r="K91" s="28" t="str">
        <x:v>The Art &amp; Science of Foodpairing</x:v>
      </x:c>
      <x:c r="L91" s="28" t="str">
        <x:v>The Art &amp; Science of Foodpairing: 351</x:v>
      </x:c>
    </x:row>
    <x:row r="92" ht="62" customHeight="1">
      <x:c r="A92" s="28" t="str">
        <x:v>BER-0199</x:v>
      </x:c>
      <x:c r="B92" s="28" t="str">
        <x:v>голубика</x:v>
      </x:c>
      <x:c r="C92" s="28" t="str">
        <x:v>груша Conference</x:v>
      </x:c>
      <x:c r="D92" s="28" t="str">
        <x:v>Фрукты</x:v>
      </x:c>
      <x:c r="E92" s="28" t="str">
        <x:v>сходство ароматических семейств + комплементарность</x:v>
      </x:c>
      <x:c r="F92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92" s="28" t="str">
        <x:v>Средняя</x:v>
      </x:c>
      <x:c r="K92" s="28" t="str">
        <x:v>The Art &amp; Science of Foodpairing</x:v>
      </x:c>
      <x:c r="L92" s="28" t="str">
        <x:v>The Art &amp; Science of Foodpairing: 205</x:v>
      </x:c>
    </x:row>
    <x:row r="93" ht="62" customHeight="1">
      <x:c r="A93" s="28" t="str">
        <x:v>BER-0203</x:v>
      </x:c>
      <x:c r="B93" s="28" t="str">
        <x:v>голубика</x:v>
      </x:c>
      <x:c r="C93" s="28" t="str">
        <x:v>жасмин</x:v>
      </x:c>
      <x:c r="D93" s="28" t="str">
        <x:v>Травы и цветы</x:v>
      </x:c>
      <x:c r="E93" s="28" t="str">
        <x:v>ароматическое сходство + вкусовой баланс</x:v>
      </x:c>
      <x:c r="F93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3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93" s="28" t="str">
        <x:v>Средняя</x:v>
      </x:c>
      <x:c r="K93" s="28" t="str">
        <x:v>Таблица сочетаний</x:v>
      </x:c>
      <x:c r="L93" s="28" t="str">
        <x:v>Таблица сочетаний: 3</x:v>
      </x:c>
    </x:row>
    <x:row r="94" ht="62" customHeight="1">
      <x:c r="A94" s="28" t="str">
        <x:v>BER-0205</x:v>
      </x:c>
      <x:c r="B94" s="28" t="str">
        <x:v>голубика</x:v>
      </x:c>
      <x:c r="C94" s="28" t="str">
        <x:v>имбирь</x:v>
      </x:c>
      <x:c r="D94" s="28" t="str">
        <x:v>Специи</x:v>
      </x:c>
      <x:c r="E94" s="28" t="str">
        <x:v>контраст/комплементарность + матричный эффект</x:v>
      </x:c>
      <x:c r="F9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4" s="28" t="str">
        <x:v>Пряность дозировать как акцент: она быстро перекрывает тонкие ягодные эфиры.</x:v>
      </x:c>
      <x:c r="I9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94" s="28" t="str">
        <x:v>Средняя</x:v>
      </x:c>
      <x:c r="K94" s="28" t="str">
        <x:v>Таблица сочетаний</x:v>
      </x:c>
      <x:c r="L94" s="28" t="str">
        <x:v>Таблица сочетаний: 3</x:v>
      </x:c>
    </x:row>
    <x:row r="95" ht="62" customHeight="1">
      <x:c r="A95" s="28" t="str">
        <x:v>BER-0206</x:v>
      </x:c>
      <x:c r="B95" s="28" t="str">
        <x:v>голубика</x:v>
      </x:c>
      <x:c r="C95" s="28" t="str">
        <x:v>инжир</x:v>
      </x:c>
      <x:c r="D95" s="28" t="str">
        <x:v>Фрукты</x:v>
      </x:c>
      <x:c r="E95" s="28" t="str">
        <x:v>сходство ароматических семейств + комплементарность</x:v>
      </x:c>
      <x:c r="F95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95" s="28" t="str">
        <x:v>Средняя</x:v>
      </x:c>
      <x:c r="K95" s="28" t="str">
        <x:v>Таблица сочетаний</x:v>
      </x:c>
      <x:c r="L95" s="28" t="str">
        <x:v>Таблица сочетаний: 3</x:v>
      </x:c>
    </x:row>
    <x:row r="96" ht="62" customHeight="1">
      <x:c r="A96" s="28" t="str">
        <x:v>BER-0208</x:v>
      </x:c>
      <x:c r="B96" s="28" t="str">
        <x:v>голубика</x:v>
      </x:c>
      <x:c r="C96" s="28" t="str">
        <x:v>кардамон</x:v>
      </x:c>
      <x:c r="D96" s="28" t="str">
        <x:v>Специи</x:v>
      </x:c>
      <x:c r="E96" s="28" t="str">
        <x:v>контраст/комплементарность + матричный эффект</x:v>
      </x:c>
      <x:c r="F9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6" s="28" t="str">
        <x:v>Пряность дозировать как акцент: она быстро перекрывает тонкие ягодные эфиры.</x:v>
      </x:c>
      <x:c r="I9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96" s="28" t="str">
        <x:v>Средняя</x:v>
      </x:c>
      <x:c r="K96" s="28" t="str">
        <x:v>Таблица сочетаний</x:v>
      </x:c>
      <x:c r="L96" s="28" t="str">
        <x:v>Таблица сочетаний: 3</x:v>
      </x:c>
    </x:row>
    <x:row r="97" ht="62" customHeight="1">
      <x:c r="A97" s="28" t="str">
        <x:v>BER-0212</x:v>
      </x:c>
      <x:c r="B97" s="28" t="str">
        <x:v>голубика</x:v>
      </x:c>
      <x:c r="C97" s="28" t="str">
        <x:v>корица</x:v>
      </x:c>
      <x:c r="D97" s="28" t="str">
        <x:v>Специи</x:v>
      </x:c>
      <x:c r="E97" s="28" t="str">
        <x:v>контраст/комплементарность + матричный эффект</x:v>
      </x:c>
      <x:c r="F9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7" s="28" t="str">
        <x:v>Пряность дозировать как акцент: она быстро перекрывает тонкие ягодные эфиры.</x:v>
      </x:c>
      <x:c r="I9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97" s="28" t="str">
        <x:v>Средняя</x:v>
      </x:c>
      <x:c r="K97" s="28" t="str">
        <x:v>The Art &amp; Science of Foodpairing</x:v>
      </x:c>
      <x:c r="L97" s="28" t="str">
        <x:v>The Art &amp; Science of Foodpairing: 130</x:v>
      </x:c>
    </x:row>
    <x:row r="98" ht="62" customHeight="1">
      <x:c r="A98" s="28" t="str">
        <x:v>BER-0214</x:v>
      </x:c>
      <x:c r="B98" s="28" t="str">
        <x:v>голубика</x:v>
      </x:c>
      <x:c r="C98" s="28" t="str">
        <x:v>красный сладкий перец</x:v>
      </x:c>
      <x:c r="D98" s="28" t="str">
        <x:v>Специи</x:v>
      </x:c>
      <x:c r="E98" s="28" t="str">
        <x:v>контраст/комплементарность + матричный эффект</x:v>
      </x:c>
      <x:c r="F9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8" s="28" t="str">
        <x:v>Пряность дозировать как акцент: она быстро перекрывает тонкие ягодные эфиры.</x:v>
      </x:c>
      <x:c r="I9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98" s="28" t="str">
        <x:v>Средняя</x:v>
      </x:c>
      <x:c r="K98" s="28" t="str">
        <x:v>The Art &amp; Science of Foodpairing</x:v>
      </x:c>
      <x:c r="L98" s="28" t="str">
        <x:v>The Art &amp; Science of Foodpairing: 109</x:v>
      </x:c>
    </x:row>
    <x:row r="99" ht="62" customHeight="1">
      <x:c r="A99" s="28" t="str">
        <x:v>BER-0215</x:v>
      </x:c>
      <x:c r="B99" s="28" t="str">
        <x:v>голубика</x:v>
      </x:c>
      <x:c r="C99" s="28" t="str">
        <x:v>лаванда</x:v>
      </x:c>
      <x:c r="D99" s="28" t="str">
        <x:v>Травы и цветы</x:v>
      </x:c>
      <x:c r="E99" s="28" t="str">
        <x:v>ароматическое сходство + вкусовой баланс</x:v>
      </x:c>
      <x:c r="F99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99" s="28" t="str">
        <x:v>Средняя</x:v>
      </x:c>
      <x:c r="K99" s="28" t="str">
        <x:v>Таблица сочетаний</x:v>
      </x:c>
      <x:c r="L99" s="28" t="str">
        <x:v>Таблица сочетаний: 3</x:v>
      </x:c>
    </x:row>
    <x:row r="100" ht="62" customHeight="1">
      <x:c r="A100" s="28" t="str">
        <x:v>BER-0217</x:v>
      </x:c>
      <x:c r="B100" s="28" t="str">
        <x:v>голубика</x:v>
      </x:c>
      <x:c r="C100" s="28" t="str">
        <x:v>лимон</x:v>
      </x:c>
      <x:c r="D100" s="28" t="str">
        <x:v>Цитрусовые</x:v>
      </x:c>
      <x:c r="E100" s="28" t="str">
        <x:v>ароматическое сходство + вкусовой баланс</x:v>
      </x:c>
      <x:c r="F100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0" s="28" t="str">
        <x:v>кордиал, лимонад, чай, коктейль, настой или ферментированный напиток; маринад, гастрик, чатни, кетчуп или редукция</x:v>
      </x:c>
      <x:c r="J100" s="28" t="str">
        <x:v>Средняя</x:v>
      </x:c>
      <x:c r="K100" s="28" t="str">
        <x:v>Таблица сочетаний</x:v>
      </x:c>
      <x:c r="L100" s="28" t="str">
        <x:v>Таблица сочетаний: 3</x:v>
      </x:c>
    </x:row>
    <x:row r="101" ht="62" customHeight="1">
      <x:c r="A101" s="28" t="str">
        <x:v>BER-0218</x:v>
      </x:c>
      <x:c r="B101" s="28" t="str">
        <x:v>голубика</x:v>
      </x:c>
      <x:c r="C101" s="28" t="str">
        <x:v>манго</x:v>
      </x:c>
      <x:c r="D101" s="28" t="str">
        <x:v>Фрукты</x:v>
      </x:c>
      <x:c r="E101" s="28" t="str">
        <x:v>сходство ароматических семейств + комплементарность</x:v>
      </x:c>
      <x:c r="F101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01" s="28" t="str">
        <x:v>Средняя</x:v>
      </x:c>
      <x:c r="K101" s="28" t="str">
        <x:v>Таблица сочетаний</x:v>
      </x:c>
      <x:c r="L101" s="28" t="str">
        <x:v>Таблица сочетаний: 3</x:v>
      </x:c>
    </x:row>
    <x:row r="102" ht="62" customHeight="1">
      <x:c r="A102" s="28" t="str">
        <x:v>BER-0219</x:v>
      </x:c>
      <x:c r="B102" s="28" t="str">
        <x:v>голубика</x:v>
      </x:c>
      <x:c r="C102" s="28" t="str">
        <x:v>манго Alphonso</x:v>
      </x:c>
      <x:c r="D102" s="28" t="str">
        <x:v>Фрукты</x:v>
      </x:c>
      <x:c r="E102" s="28" t="str">
        <x:v>сходство ароматических семейств + комплементарность</x:v>
      </x:c>
      <x:c r="F102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02" s="28" t="str">
        <x:v>Средняя</x:v>
      </x:c>
      <x:c r="K102" s="28" t="str">
        <x:v>The Art &amp; Science of Foodpairing</x:v>
      </x:c>
      <x:c r="L102" s="28" t="str">
        <x:v>The Art &amp; Science of Foodpairing: 205</x:v>
      </x:c>
    </x:row>
    <x:row r="103" ht="62" customHeight="1">
      <x:c r="A103" s="28" t="str">
        <x:v>BER-0220</x:v>
      </x:c>
      <x:c r="B103" s="28" t="str">
        <x:v>голубика</x:v>
      </x:c>
      <x:c r="C103" s="28" t="str">
        <x:v>мелисса</x:v>
      </x:c>
      <x:c r="D103" s="28" t="str">
        <x:v>Травы и цветы</x:v>
      </x:c>
      <x:c r="E103" s="28" t="str">
        <x:v>ароматическое сходство + вкусовой баланс</x:v>
      </x:c>
      <x:c r="F103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3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03" s="28" t="str">
        <x:v>Средняя</x:v>
      </x:c>
      <x:c r="K103" s="28" t="str">
        <x:v>The Art &amp; Science of Foodpairing</x:v>
      </x:c>
      <x:c r="L103" s="28" t="str">
        <x:v>The Art &amp; Science of Foodpairing: 205</x:v>
      </x:c>
    </x:row>
    <x:row r="104" ht="62" customHeight="1">
      <x:c r="A104" s="28" t="str">
        <x:v>BER-0239</x:v>
      </x:c>
      <x:c r="B104" s="28" t="str">
        <x:v>голубика</x:v>
      </x:c>
      <x:c r="C104" s="28" t="str">
        <x:v>перец чили</x:v>
      </x:c>
      <x:c r="D104" s="28" t="str">
        <x:v>Специи</x:v>
      </x:c>
      <x:c r="E104" s="28" t="str">
        <x:v>контраст/комплементарность + матричный эффект</x:v>
      </x:c>
      <x:c r="F10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4" s="28" t="str">
        <x:v>Пряность дозировать как акцент: она быстро перекрывает тонкие ягодные эфиры.</x:v>
      </x:c>
      <x:c r="I10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04" s="28" t="str">
        <x:v>Средняя</x:v>
      </x:c>
      <x:c r="K104" s="28" t="str">
        <x:v>The Art &amp; Science of Foodpairing</x:v>
      </x:c>
      <x:c r="L104" s="28" t="str">
        <x:v>The Art &amp; Science of Foodpairing: 94</x:v>
      </x:c>
    </x:row>
    <x:row r="105" ht="62" customHeight="1">
      <x:c r="A105" s="28" t="str">
        <x:v>BER-0240</x:v>
      </x:c>
      <x:c r="B105" s="28" t="str">
        <x:v>голубика</x:v>
      </x:c>
      <x:c r="C105" s="28" t="str">
        <x:v>персик</x:v>
      </x:c>
      <x:c r="D105" s="28" t="str">
        <x:v>Фрукты</x:v>
      </x:c>
      <x:c r="E105" s="28" t="str">
        <x:v>сходство ароматических семейств + комплементарность</x:v>
      </x:c>
      <x:c r="F105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05" s="28" t="str">
        <x:v>Средняя</x:v>
      </x:c>
      <x:c r="K105" s="28" t="str">
        <x:v>Таблица сочетаний</x:v>
      </x:c>
      <x:c r="L105" s="28" t="str">
        <x:v>Таблица сочетаний: 15</x:v>
      </x:c>
    </x:row>
    <x:row r="106" ht="62" customHeight="1">
      <x:c r="A106" s="28" t="str">
        <x:v>BER-0246</x:v>
      </x:c>
      <x:c r="B106" s="28" t="str">
        <x:v>голубика</x:v>
      </x:c>
      <x:c r="C106" s="28" t="str">
        <x:v>розмарин</x:v>
      </x:c>
      <x:c r="D106" s="28" t="str">
        <x:v>Травы и цветы</x:v>
      </x:c>
      <x:c r="E106" s="28" t="str">
        <x:v>ароматическое сходство + вкусовой баланс</x:v>
      </x:c>
      <x:c r="F106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06" s="28" t="str">
        <x:v>Средняя</x:v>
      </x:c>
      <x:c r="K106" s="28" t="str">
        <x:v>Таблица сочетаний</x:v>
      </x:c>
      <x:c r="L106" s="28" t="str">
        <x:v>Таблица сочетаний: 3</x:v>
      </x:c>
    </x:row>
    <x:row r="107" ht="62" customHeight="1">
      <x:c r="A107" s="28" t="str">
        <x:v>BER-0247</x:v>
      </x:c>
      <x:c r="B107" s="28" t="str">
        <x:v>голубика</x:v>
      </x:c>
      <x:c r="C107" s="28" t="str">
        <x:v>свежие съедобные лепестки розы</x:v>
      </x:c>
      <x:c r="D107" s="28" t="str">
        <x:v>Травы и цветы</x:v>
      </x:c>
      <x:c r="E107" s="28" t="str">
        <x:v>ароматическое сходство + вкусовой баланс</x:v>
      </x:c>
      <x:c r="F107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07" s="28" t="str">
        <x:v>Средняя</x:v>
      </x:c>
      <x:c r="K107" s="28" t="str">
        <x:v>The Art &amp; Science of Foodpairing</x:v>
      </x:c>
      <x:c r="L107" s="28" t="str">
        <x:v>The Art &amp; Science of Foodpairing: 205</x:v>
      </x:c>
    </x:row>
    <x:row r="108" ht="62" customHeight="1">
      <x:c r="A108" s="28" t="str">
        <x:v>BER-0248</x:v>
      </x:c>
      <x:c r="B108" s="28" t="str">
        <x:v>голубика</x:v>
      </x:c>
      <x:c r="C108" s="28" t="str">
        <x:v>сушёный chipotle chilli</x:v>
      </x:c>
      <x:c r="D108" s="28" t="str">
        <x:v>Специи</x:v>
      </x:c>
      <x:c r="E108" s="28" t="str">
        <x:v>контраст/комплементарность + матричный эффект</x:v>
      </x:c>
      <x:c r="F10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8" s="28" t="str">
        <x:v>Пряность дозировать как акцент: она быстро перекрывает тонкие ягодные эфиры.</x:v>
      </x:c>
      <x:c r="I10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08" s="28" t="str">
        <x:v>Средняя</x:v>
      </x:c>
      <x:c r="K108" s="28" t="str">
        <x:v>The Art &amp; Science of Foodpairing</x:v>
      </x:c>
      <x:c r="L108" s="28" t="str">
        <x:v>The Art &amp; Science of Foodpairing: 205</x:v>
      </x:c>
    </x:row>
    <x:row r="109" ht="62" customHeight="1">
      <x:c r="A109" s="28" t="str">
        <x:v>BER-0252</x:v>
      </x:c>
      <x:c r="B109" s="28" t="str">
        <x:v>голубика</x:v>
      </x:c>
      <x:c r="C109" s="28" t="str">
        <x:v>укроп</x:v>
      </x:c>
      <x:c r="D109" s="28" t="str">
        <x:v>Травы и цветы</x:v>
      </x:c>
      <x:c r="E109" s="28" t="str">
        <x:v>ароматическое сходство + вкусовой баланс</x:v>
      </x:c>
      <x:c r="F109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09" s="28" t="str">
        <x:v>Средняя</x:v>
      </x:c>
      <x:c r="K109" s="28" t="str">
        <x:v>The Art &amp; Science of Foodpairing</x:v>
      </x:c>
      <x:c r="L109" s="28" t="str">
        <x:v>The Art &amp; Science of Foodpairing: 205</x:v>
      </x:c>
    </x:row>
    <x:row r="110" ht="62" customHeight="1">
      <x:c r="A110" s="28" t="str">
        <x:v>BER-0255</x:v>
      </x:c>
      <x:c r="B110" s="28" t="str">
        <x:v>голубика</x:v>
      </x:c>
      <x:c r="C110" s="28" t="str">
        <x:v>цветы жасмина</x:v>
      </x:c>
      <x:c r="D110" s="28" t="str">
        <x:v>Травы и цветы</x:v>
      </x:c>
      <x:c r="E110" s="28" t="str">
        <x:v>ароматическое сходство + вкусовой баланс</x:v>
      </x:c>
      <x:c r="F110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10" s="28" t="str">
        <x:v>Средняя</x:v>
      </x:c>
      <x:c r="K110" s="28" t="str">
        <x:v>The Art &amp; Science of Foodpairing</x:v>
      </x:c>
      <x:c r="L110" s="28" t="str">
        <x:v>The Art &amp; Science of Foodpairing: 211</x:v>
      </x:c>
    </x:row>
    <x:row r="111" ht="62" customHeight="1">
      <x:c r="A111" s="28" t="str">
        <x:v>BER-0256</x:v>
      </x:c>
      <x:c r="B111" s="28" t="str">
        <x:v>голубика</x:v>
      </x:c>
      <x:c r="C111" s="28" t="str">
        <x:v>чай</x:v>
      </x:c>
      <x:c r="D111" s="28" t="str">
        <x:v>Чай и безалкогольные напитки</x:v>
      </x:c>
      <x:c r="E111" s="28" t="str">
        <x:v>ароматическое сходство + вкусовой баланс</x:v>
      </x:c>
      <x:c r="F111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терпкий, травянистый, цветочный. Оба компонента формируют сладко-кислый, мягкий и горьковатый, терпкий контур; сахар, кислота и горечь должны быть выровнены дегустацией. Ягода: нежный аромат легко теряется на фоне сильной сладости. Партнёр: водная матрица; температура определяет экстракцию.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1" s="28" t="str">
        <x:v>кордиал, лимонад, чай, коктейль, настой или ферментированный напиток</x:v>
      </x:c>
      <x:c r="J111" s="28" t="str">
        <x:v>Средняя</x:v>
      </x:c>
      <x:c r="K111" s="28" t="str">
        <x:v>The Art &amp; Science of Foodpairing</x:v>
      </x:c>
      <x:c r="L111" s="28" t="str">
        <x:v>The Art &amp; Science of Foodpairing: 365</x:v>
      </x:c>
    </x:row>
    <x:row r="112" ht="62" customHeight="1">
      <x:c r="A112" s="28" t="str">
        <x:v>BER-0257</x:v>
      </x:c>
      <x:c r="B112" s="28" t="str">
        <x:v>голубика</x:v>
      </x:c>
      <x:c r="C112" s="28" t="str">
        <x:v>черешня</x:v>
      </x:c>
      <x:c r="D112" s="28" t="str">
        <x:v>Ягоды и производные</x:v>
      </x:c>
      <x:c r="E112" s="28" t="str">
        <x:v>сходство ароматических семейств + комплементарность</x:v>
      </x:c>
      <x:c r="F112" s="28" t="str">
        <x:v>Общие ароматические семейства: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миндальный, сладко-фруктовый, цветочный. Оба компонента формируют сладко-кислый, мягкий и сладкий, умеренно кислый контур; сахар, кислота и горечь должны быть выровнены дегустацией. Ягода: нежный аромат легко теряется на фоне сильной сладости. Партнёр: нежнее кислой вишни; легко становится приторной.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12" s="28" t="str">
        <x:v>Средняя</x:v>
      </x:c>
      <x:c r="K112" s="28" t="str">
        <x:v>The Art &amp; Science of Foodpairing</x:v>
      </x:c>
      <x:c r="L112" s="28" t="str">
        <x:v>The Art &amp; Science of Foodpairing: 204, 205</x:v>
      </x:c>
    </x:row>
    <x:row r="113" ht="62" customHeight="1">
      <x:c r="A113" s="28" t="str">
        <x:v>BER-0258</x:v>
      </x:c>
      <x:c r="B113" s="28" t="str">
        <x:v>голубика</x:v>
      </x:c>
      <x:c r="C113" s="28" t="str">
        <x:v>чёрный перец</x:v>
      </x:c>
      <x:c r="D113" s="28" t="str">
        <x:v>Специи</x:v>
      </x:c>
      <x:c r="E113" s="28" t="str">
        <x:v>контраст/комплементарность + матричный эффект</x:v>
      </x:c>
      <x:c r="F11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3" s="28" t="str">
        <x:v>Пряность дозировать как акцент: она быстро перекрывает тонкие ягодные эфиры.</x:v>
      </x:c>
      <x:c r="I11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13" s="28" t="str">
        <x:v>Средняя</x:v>
      </x:c>
      <x:c r="K113" s="28" t="str">
        <x:v>The Art &amp; Science of Foodpairing</x:v>
      </x:c>
      <x:c r="L113" s="28" t="str">
        <x:v>The Art &amp; Science of Foodpairing: 275</x:v>
      </x:c>
    </x:row>
    <x:row r="114" ht="62" customHeight="1">
      <x:c r="A114" s="28" t="str">
        <x:v>BER-0260</x:v>
      </x:c>
      <x:c r="B114" s="28" t="str">
        <x:v>голубика</x:v>
      </x:c>
      <x:c r="C114" s="28" t="str">
        <x:v>шалфей</x:v>
      </x:c>
      <x:c r="D114" s="28" t="str">
        <x:v>Травы и цветы</x:v>
      </x:c>
      <x:c r="E114" s="28" t="str">
        <x:v>ароматическое сходство + вкусовой баланс</x:v>
      </x:c>
      <x:c r="F114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14" s="28" t="str">
        <x:v>Средняя</x:v>
      </x:c>
      <x:c r="K114" s="28" t="str">
        <x:v>Таблица сочетаний</x:v>
      </x:c>
      <x:c r="L114" s="28" t="str">
        <x:v>Таблица сочетаний: 3</x:v>
      </x:c>
    </x:row>
    <x:row r="115" ht="62" customHeight="1">
      <x:c r="A115" s="28" t="str">
        <x:v>BER-0262</x:v>
      </x:c>
      <x:c r="B115" s="28" t="str">
        <x:v>голубика</x:v>
      </x:c>
      <x:c r="C115" s="28" t="str">
        <x:v>яблоко</x:v>
      </x:c>
      <x:c r="D115" s="28" t="str">
        <x:v>Фрукты</x:v>
      </x:c>
      <x:c r="E115" s="28" t="str">
        <x:v>сходство ароматических семейств + комплементарность</x:v>
      </x:c>
      <x:c r="F115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15" s="28" t="str">
        <x:v>Средняя</x:v>
      </x:c>
      <x:c r="K115" s="28" t="str">
        <x:v>Таблица сочетаний</x:v>
      </x:c>
      <x:c r="L115" s="28" t="str">
        <x:v>Таблица сочетаний: 3</x:v>
      </x:c>
    </x:row>
    <x:row r="116" ht="62" customHeight="1">
      <x:c r="A116" s="28" t="str">
        <x:v>BER-0264</x:v>
      </x:c>
      <x:c r="B116" s="28" t="str">
        <x:v>ежевика</x:v>
      </x:c>
      <x:c r="C116" s="28" t="str">
        <x:v>ананас</x:v>
      </x:c>
      <x:c r="D116" s="28" t="str">
        <x:v>Фрукты</x:v>
      </x:c>
      <x:c r="E116" s="28" t="str">
        <x:v>ароматическое сходство + вкусовой баланс</x:v>
      </x:c>
      <x:c r="F116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зелёный,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16" s="28" t="str">
        <x:v>Средняя</x:v>
      </x:c>
      <x:c r="K116" s="28" t="str">
        <x:v>The Art &amp; Science of Foodpairing</x:v>
      </x:c>
      <x:c r="L116" s="28" t="str">
        <x:v>The Art &amp; Science of Foodpairing: 242</x:v>
      </x:c>
    </x:row>
    <x:row r="117" ht="62" customHeight="1">
      <x:c r="A117" s="28" t="str">
        <x:v>BER-0265</x:v>
      </x:c>
      <x:c r="B117" s="28" t="str">
        <x:v>ежевика</x:v>
      </x:c>
      <x:c r="C117" s="28" t="str">
        <x:v>апельсин</x:v>
      </x:c>
      <x:c r="D117" s="28" t="str">
        <x:v>Цитрусовые</x:v>
      </x:c>
      <x:c r="E117" s="28" t="str">
        <x:v>ароматическое сходство + вкусовой баланс</x:v>
      </x:c>
      <x:c r="F117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цветочный, цитрусовый. Оба компонента формируют кисло-сладкий, умеренно терпкий и кислый, свежий контур; сахар, кислота и горечь должны быть выровнены дегустацией. Ягода: пигменты и полифенолы дают цвет и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7" s="28" t="str">
        <x:v>кордиал, лимонад, чай, коктейль, настой или ферментированный напиток; маринад, гастрик, чатни, кетчуп или редукция</x:v>
      </x:c>
      <x:c r="J117" s="28" t="str">
        <x:v>Средняя</x:v>
      </x:c>
      <x:c r="K117" s="28" t="str">
        <x:v>The Art &amp; Science of Foodpairing</x:v>
      </x:c>
      <x:c r="L117" s="28" t="str">
        <x:v>The Art &amp; Science of Foodpairing: 237</x:v>
      </x:c>
    </x:row>
    <x:row r="118" ht="62" customHeight="1">
      <x:c r="A118" s="28" t="str">
        <x:v>BER-0271</x:v>
      </x:c>
      <x:c r="B118" s="28" t="str">
        <x:v>ежевика</x:v>
      </x:c>
      <x:c r="C118" s="28" t="str">
        <x:v>грейпфрут</x:v>
      </x:c>
      <x:c r="D118" s="28" t="str">
        <x:v>Цитрусовые</x:v>
      </x:c>
      <x:c r="E118" s="28" t="str">
        <x:v>ароматическое сходство + вкусовой баланс</x:v>
      </x:c>
      <x:c r="F118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цветочный, цитрусовый. Оба компонента формируют кисло-сладкий, умеренно терпкий и кислый, свежий контур; сахар, кислота и горечь должны быть выровнены дегустацией. Ягода: пигменты и полифенолы дают цвет и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8" s="28" t="str">
        <x:v>кордиал, лимонад, чай, коктейль, настой или ферментированный напиток; маринад, гастрик, чатни, кетчуп или редукция</x:v>
      </x:c>
      <x:c r="J118" s="28" t="str">
        <x:v>Средняя</x:v>
      </x:c>
      <x:c r="K118" s="28" t="str">
        <x:v>The Art &amp; Science of Foodpairing</x:v>
      </x:c>
      <x:c r="L118" s="28" t="str">
        <x:v>The Art &amp; Science of Foodpairing: 359</x:v>
      </x:c>
    </x:row>
    <x:row r="119" ht="62" customHeight="1">
      <x:c r="A119" s="28" t="str">
        <x:v>BER-0272</x:v>
      </x:c>
      <x:c r="B119" s="28" t="str">
        <x:v>ежевика</x:v>
      </x:c>
      <x:c r="C119" s="28" t="str">
        <x:v>груша</x:v>
      </x:c>
      <x:c r="D119" s="28" t="str">
        <x:v>Фрукты</x:v>
      </x:c>
      <x:c r="E119" s="28" t="str">
        <x:v>ароматическое сходство + вкусовой баланс</x:v>
      </x:c>
      <x:c r="F119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зелёный,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19" s="28" t="str">
        <x:v>Высокая</x:v>
      </x:c>
      <x:c r="K119" s="28" t="str">
        <x:v>The Art &amp; Science of Foodpairing; Таблица сочетаний</x:v>
      </x:c>
      <x:c r="L119" s="28" t="str">
        <x:v>The Art &amp; Science of Foodpairing: 351; Таблица сочетаний: 3, 16</x:v>
      </x:c>
    </x:row>
    <x:row r="120" ht="62" customHeight="1">
      <x:c r="A120" s="28" t="str">
        <x:v>BER-0273</x:v>
      </x:c>
      <x:c r="B120" s="28" t="str">
        <x:v>ежевика</x:v>
      </x:c>
      <x:c r="C120" s="28" t="str">
        <x:v>джин</x:v>
      </x:c>
      <x:c r="D120" s="28" t="str">
        <x:v>Алкогольные напитки</x:v>
      </x:c>
      <x:c r="E120" s="28" t="str">
        <x:v>сходство ароматических семейств + комплементарность</x:v>
      </x:c>
      <x:c r="F120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G12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H120" s="28" t="str">
        <x:v>Высокая крепость и избыток сахара маскируют свежесть и усиливают терпкость.</x:v>
      </x:c>
      <x:c r="I120" s="28" t="str">
        <x:v>кордиал, лимонад, чай, коктейль, настой или ферментированный напиток</x:v>
      </x:c>
      <x:c r="J120" s="28" t="str">
        <x:v>Средняя</x:v>
      </x:c>
      <x:c r="K120" s="28" t="str">
        <x:v>The Art &amp; Science of Foodpairing</x:v>
      </x:c>
      <x:c r="L120" s="28" t="str">
        <x:v>The Art &amp; Science of Foodpairing: 215</x:v>
      </x:c>
    </x:row>
    <x:row r="121" ht="62" customHeight="1">
      <x:c r="A121" s="28" t="str">
        <x:v>BER-0276</x:v>
      </x:c>
      <x:c r="B121" s="28" t="str">
        <x:v>ежевика</x:v>
      </x:c>
      <x:c r="C121" s="28" t="str">
        <x:v>имбирь</x:v>
      </x:c>
      <x:c r="D121" s="28" t="str">
        <x:v>Специи</x:v>
      </x:c>
      <x:c r="E121" s="28" t="str">
        <x:v>сходство ароматических семейств + комплементарность</x:v>
      </x:c>
      <x:c r="F121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1" s="28" t="str">
        <x:v>Пряность дозировать как акцент: она быстро перекрывает тонкие ягодные эфиры.</x:v>
      </x:c>
      <x:c r="I12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21" s="28" t="str">
        <x:v>Средняя</x:v>
      </x:c>
      <x:c r="K121" s="28" t="str">
        <x:v>Таблица сочетаний</x:v>
      </x:c>
      <x:c r="L121" s="28" t="str">
        <x:v>Таблица сочетаний: 2</x:v>
      </x:c>
    </x:row>
    <x:row r="122" ht="62" customHeight="1">
      <x:c r="A122" s="28" t="str">
        <x:v>BER-0277</x:v>
      </x:c>
      <x:c r="B122" s="28" t="str">
        <x:v>ежевика</x:v>
      </x:c>
      <x:c r="C122" s="28" t="str">
        <x:v>киви</x:v>
      </x:c>
      <x:c r="D122" s="28" t="str">
        <x:v>Фрукты</x:v>
      </x:c>
      <x:c r="E122" s="28" t="str">
        <x:v>ароматическое сходство + вкусовой баланс</x:v>
      </x:c>
      <x:c r="F122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зелёный,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22" s="28" t="str">
        <x:v>Средняя</x:v>
      </x:c>
      <x:c r="K122" s="28" t="str">
        <x:v>The Art &amp; Science of Foodpairing</x:v>
      </x:c>
      <x:c r="L122" s="28" t="str">
        <x:v>The Art &amp; Science of Foodpairing: 42, 43</x:v>
      </x:c>
    </x:row>
    <x:row r="123" ht="62" customHeight="1">
      <x:c r="A123" s="28" t="str">
        <x:v>BER-0278</x:v>
      </x:c>
      <x:c r="B123" s="28" t="str">
        <x:v>ежевика</x:v>
      </x:c>
      <x:c r="C123" s="28" t="str">
        <x:v>кленовый сироп</x:v>
      </x:c>
      <x:c r="D123" s="28" t="str">
        <x:v>Подсластители</x:v>
      </x:c>
      <x:c r="E123" s="28" t="str">
        <x:v>контраст/комплементарность + матричный эффект</x:v>
      </x:c>
      <x:c r="F12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карамельный, медовый, сладкий. Оба компонента формируют кисло-сладкий, умеренно терпкий и сладкий контур; сахар, кислота и горечь должны быть выровнены дегустацией. Ягода: пигменты и полифенолы дают цвет и терпкость. Партнёр: вязкая водная матрица снижает летучесть.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23" s="28" t="str">
        <x:v>Средняя</x:v>
      </x:c>
      <x:c r="K123" s="28" t="str">
        <x:v>Таблица сочетаний</x:v>
      </x:c>
      <x:c r="L123" s="28" t="str">
        <x:v>Таблица сочетаний: 2</x:v>
      </x:c>
    </x:row>
    <x:row r="124" ht="62" customHeight="1">
      <x:c r="A124" s="28" t="str">
        <x:v>BER-0279</x:v>
      </x:c>
      <x:c r="B124" s="28" t="str">
        <x:v>ежевика</x:v>
      </x:c>
      <x:c r="C124" s="28" t="str">
        <x:v>клубника</x:v>
      </x:c>
      <x:c r="D124" s="28" t="str">
        <x:v>Ягоды и производные</x:v>
      </x:c>
      <x:c r="E124" s="28" t="str">
        <x:v>ароматическое сходство + вкусовой баланс</x:v>
      </x:c>
      <x:c r="F124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карамельный, сливочный,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высокая доля воды; аромат чувствителен к перегреву.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24" s="28" t="str">
        <x:v>Средняя</x:v>
      </x:c>
      <x:c r="K124" s="28" t="str">
        <x:v>Таблица сочетаний</x:v>
      </x:c>
      <x:c r="L124" s="28" t="str">
        <x:v>Таблица сочетаний: 3</x:v>
      </x:c>
    </x:row>
    <x:row r="125" ht="62" customHeight="1">
      <x:c r="A125" s="28" t="str">
        <x:v>BER-0281</x:v>
      </x:c>
      <x:c r="B125" s="28" t="str">
        <x:v>ежевика</x:v>
      </x:c>
      <x:c r="C125" s="28" t="str">
        <x:v>корица</x:v>
      </x:c>
      <x:c r="D125" s="28" t="str">
        <x:v>Специи</x:v>
      </x:c>
      <x:c r="E125" s="28" t="str">
        <x:v>сходство ароматических семейств + комплементарность</x:v>
      </x:c>
      <x:c r="F125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5" s="28" t="str">
        <x:v>Пряность дозировать как акцент: она быстро перекрывает тонкие ягодные эфиры.</x:v>
      </x:c>
      <x:c r="I12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25" s="28" t="str">
        <x:v>Высокая</x:v>
      </x:c>
      <x:c r="K125" s="28" t="str">
        <x:v>The Art &amp; Science of Foodpairing; Таблица сочетаний</x:v>
      </x:c>
      <x:c r="L125" s="28" t="str">
        <x:v>The Art &amp; Science of Foodpairing: 131; Таблица сочетаний: 2</x:v>
      </x:c>
    </x:row>
    <x:row r="126" ht="62" customHeight="1">
      <x:c r="A126" s="28" t="str">
        <x:v>BER-0282</x:v>
      </x:c>
      <x:c r="B126" s="28" t="str">
        <x:v>ежевика</x:v>
      </x:c>
      <x:c r="C126" s="28" t="str">
        <x:v>лимон и лайм</x:v>
      </x:c>
      <x:c r="D126" s="28" t="str">
        <x:v>Цитрусовые</x:v>
      </x:c>
      <x:c r="E126" s="28" t="str">
        <x:v>ароматическое сходство + вкусовой баланс</x:v>
      </x:c>
      <x:c r="F126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цветочный, цитрусовый. Оба компонента формируют кисло-сладкий, умеренно терпкий и кислый, свежий контур; сахар, кислота и горечь должны быть выровнены дегустацией. Ягода: пигменты и полифенолы дают цвет и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6" s="28" t="str">
        <x:v>кордиал, лимонад, чай, коктейль, настой или ферментированный напиток; маринад, гастрик, чатни, кетчуп или редукция</x:v>
      </x:c>
      <x:c r="J126" s="28" t="str">
        <x:v>Средняя</x:v>
      </x:c>
      <x:c r="K126" s="28" t="str">
        <x:v>The Art &amp; Science of Foodpairing</x:v>
      </x:c>
      <x:c r="L126" s="28" t="str">
        <x:v>The Art &amp; Science of Foodpairing: 87, 89</x:v>
      </x:c>
    </x:row>
    <x:row r="127" ht="62" customHeight="1">
      <x:c r="A127" s="28" t="str">
        <x:v>BER-0283</x:v>
      </x:c>
      <x:c r="B127" s="28" t="str">
        <x:v>ежевика</x:v>
      </x:c>
      <x:c r="C127" s="28" t="str">
        <x:v>лимонный тимьян</x:v>
      </x:c>
      <x:c r="D127" s="28" t="str">
        <x:v>Цитрусовые</x:v>
      </x:c>
      <x:c r="E127" s="28" t="str">
        <x:v>ароматическое сходство + вкусовой баланс</x:v>
      </x:c>
      <x:c r="F127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цветочный, цитрусовый. Оба компонента формируют кисло-сладкий, умеренно терпкий и кислый, свежий контур; сахар, кислота и горечь должны быть выровнены дегустацией. Ягода: пигменты и полифенолы дают цвет и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7" s="28" t="str">
        <x:v>кордиал, лимонад, чай, коктейль, настой или ферментированный напиток; маринад, гастрик, чатни, кетчуп или редукция</x:v>
      </x:c>
      <x:c r="J127" s="28" t="str">
        <x:v>Средняя</x:v>
      </x:c>
      <x:c r="K127" s="28" t="str">
        <x:v>Таблица сочетаний</x:v>
      </x:c>
      <x:c r="L127" s="28" t="str">
        <x:v>Таблица сочетаний: 11</x:v>
      </x:c>
    </x:row>
    <x:row r="128" ht="62" customHeight="1">
      <x:c r="A128" s="28" t="str">
        <x:v>BER-0284</x:v>
      </x:c>
      <x:c r="B128" s="28" t="str">
        <x:v>ежевика</x:v>
      </x:c>
      <x:c r="C128" s="28" t="str">
        <x:v>малина</x:v>
      </x:c>
      <x:c r="D128" s="28" t="str">
        <x:v>Ягоды и производные</x:v>
      </x:c>
      <x:c r="E128" s="28" t="str">
        <x:v>ароматическое сходство + вкусовой баланс</x:v>
      </x:c>
      <x:c r="F128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древесный, зелёный, фиалковый, фруктовый, цветочный. Оба компонента формируют кисло-сладкий, умеренно терпкий и кисло-сладкий контур; сахар, кислота и горечь должны быть выровнены дегустацией. Ягода: пигменты и полифенолы дают цвет и терпкость. Партнёр: семена добавляют древесность и лёгкую терпкость.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28" s="28" t="str">
        <x:v>Высокая</x:v>
      </x:c>
      <x:c r="K128" s="28" t="str">
        <x:v>Таблица сочетаний; Тезариус вкусов</x:v>
      </x:c>
      <x:c r="L128" s="28" t="str">
        <x:v>Тезариус вкусов: 881, 887; Таблица сочетаний: 3</x:v>
      </x:c>
    </x:row>
    <x:row r="129" ht="62" customHeight="1">
      <x:c r="A129" s="28" t="str">
        <x:v>BER-0285</x:v>
      </x:c>
      <x:c r="B129" s="28" t="str">
        <x:v>ежевика</x:v>
      </x:c>
      <x:c r="C129" s="28" t="str">
        <x:v>манго</x:v>
      </x:c>
      <x:c r="D129" s="28" t="str">
        <x:v>Фрукты</x:v>
      </x:c>
      <x:c r="E129" s="28" t="str">
        <x:v>ароматическое сходство + вкусовой баланс</x:v>
      </x:c>
      <x:c r="F129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зелёный,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29" s="28" t="str">
        <x:v>Средняя</x:v>
      </x:c>
      <x:c r="K129" s="28" t="str">
        <x:v>Таблица сочетаний</x:v>
      </x:c>
      <x:c r="L129" s="28" t="str">
        <x:v>Таблица сочетаний: 2</x:v>
      </x:c>
    </x:row>
    <x:row r="130" ht="62" customHeight="1">
      <x:c r="A130" s="28" t="str">
        <x:v>BER-0289</x:v>
      </x:c>
      <x:c r="B130" s="28" t="str">
        <x:v>ежевика</x:v>
      </x:c>
      <x:c r="C130" s="28" t="str">
        <x:v>мята</x:v>
      </x:c>
      <x:c r="D130" s="28" t="str">
        <x:v>Травы и цветы</x:v>
      </x:c>
      <x:c r="E130" s="28" t="str">
        <x:v>ароматическое сходство + вкусовой баланс</x:v>
      </x:c>
      <x:c r="F130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30" s="28" t="str">
        <x:v>Средняя</x:v>
      </x:c>
      <x:c r="K130" s="28" t="str">
        <x:v>Таблица сочетаний</x:v>
      </x:c>
      <x:c r="L130" s="28" t="str">
        <x:v>Таблица сочетаний: 2</x:v>
      </x:c>
    </x:row>
    <x:row r="131" ht="62" customHeight="1">
      <x:c r="A131" s="28" t="str">
        <x:v>BER-0293</x:v>
      </x:c>
      <x:c r="B131" s="28" t="str">
        <x:v>ежевика</x:v>
      </x:c>
      <x:c r="C131" s="28" t="str">
        <x:v>перец</x:v>
      </x:c>
      <x:c r="D131" s="28" t="str">
        <x:v>Специи</x:v>
      </x:c>
      <x:c r="E131" s="28" t="str">
        <x:v>сходство ароматических семейств + комплементарность</x:v>
      </x:c>
      <x:c r="F131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1" s="28" t="str">
        <x:v>Пряность дозировать как акцент: она быстро перекрывает тонкие ягодные эфиры.</x:v>
      </x:c>
      <x:c r="I13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31" s="28" t="str">
        <x:v>Средняя</x:v>
      </x:c>
      <x:c r="K131" s="28" t="str">
        <x:v>Таблица сочетаний</x:v>
      </x:c>
      <x:c r="L131" s="28" t="str">
        <x:v>Таблица сочетаний: 16</x:v>
      </x:c>
    </x:row>
    <x:row r="132" ht="62" customHeight="1">
      <x:c r="A132" s="28" t="str">
        <x:v>BER-0294</x:v>
      </x:c>
      <x:c r="B132" s="28" t="str">
        <x:v>ежевика</x:v>
      </x:c>
      <x:c r="C132" s="28" t="str">
        <x:v>персик</x:v>
      </x:c>
      <x:c r="D132" s="28" t="str">
        <x:v>Фрукты</x:v>
      </x:c>
      <x:c r="E132" s="28" t="str">
        <x:v>ароматическое сходство + вкусовой баланс</x:v>
      </x:c>
      <x:c r="F132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зелёный,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32" s="28" t="str">
        <x:v>Высокая</x:v>
      </x:c>
      <x:c r="K132" s="28" t="str">
        <x:v>The Art &amp; Science of Foodpairing; Таблица сочетаний; Тезариус вкусов</x:v>
      </x:c>
      <x:c r="L132" s="28" t="str">
        <x:v>Тезариус вкусов: 750, 882; The Art &amp; Science of Foodpairing: 260; Таблица сочетаний: 2, 15</x:v>
      </x:c>
    </x:row>
    <x:row r="133" ht="62" customHeight="1">
      <x:c r="A133" s="28" t="str">
        <x:v>BER-0298</x:v>
      </x:c>
      <x:c r="B133" s="28" t="str">
        <x:v>ежевика</x:v>
      </x:c>
      <x:c r="C133" s="28" t="str">
        <x:v>тимьян</x:v>
      </x:c>
      <x:c r="D133" s="28" t="str">
        <x:v>Травы и цветы</x:v>
      </x:c>
      <x:c r="E133" s="28" t="str">
        <x:v>ароматическое сходство + вкусовой баланс</x:v>
      </x:c>
      <x:c r="F133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3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33" s="28" t="str">
        <x:v>Средняя</x:v>
      </x:c>
      <x:c r="K133" s="28" t="str">
        <x:v>Таблица сочетаний</x:v>
      </x:c>
      <x:c r="L133" s="28" t="str">
        <x:v>Таблица сочетаний: 21</x:v>
      </x:c>
    </x:row>
    <x:row r="134" ht="62" customHeight="1">
      <x:c r="A134" s="28" t="str">
        <x:v>BER-0301</x:v>
      </x:c>
      <x:c r="B134" s="28" t="str">
        <x:v>ежевика</x:v>
      </x:c>
      <x:c r="C134" s="28" t="str">
        <x:v>цитрусовые</x:v>
      </x:c>
      <x:c r="D134" s="28" t="str">
        <x:v>Цитрусовые</x:v>
      </x:c>
      <x:c r="E134" s="28" t="str">
        <x:v>ароматическое сходство + вкусовой баланс</x:v>
      </x:c>
      <x:c r="F134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цветочный, цитрусовый. Оба компонента формируют кисло-сладкий, умеренно терпкий и кислый, свежий контур; сахар, кислота и горечь должны быть выровнены дегустацией. Ягода: пигменты и полифенолы дают цвет и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4" s="28" t="str">
        <x:v>кордиал, лимонад, чай, коктейль, настой или ферментированный напиток; маринад, гастрик, чатни, кетчуп или редукция</x:v>
      </x:c>
      <x:c r="J134" s="28" t="str">
        <x:v>Средняя</x:v>
      </x:c>
      <x:c r="K134" s="28" t="str">
        <x:v>Таблица сочетаний</x:v>
      </x:c>
      <x:c r="L134" s="28" t="str">
        <x:v>Таблица сочетаний: 2</x:v>
      </x:c>
    </x:row>
    <x:row r="135" ht="62" customHeight="1">
      <x:c r="A135" s="28" t="str">
        <x:v>BER-0302</x:v>
      </x:c>
      <x:c r="B135" s="28" t="str">
        <x:v>ежевика</x:v>
      </x:c>
      <x:c r="C135" s="28" t="str">
        <x:v>чай</x:v>
      </x:c>
      <x:c r="D135" s="28" t="str">
        <x:v>Чай и безалкогольные напитки</x:v>
      </x:c>
      <x:c r="E135" s="28" t="str">
        <x:v>ароматическое сходство + вкусовой баланс</x:v>
      </x:c>
      <x:c r="F135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терпкий, травянистый, цветочный. Оба компонента формируют кисло-сладкий, умеренно терпкий и горьковатый, терпкий контур; сахар, кислота и горечь должны быть выровнены дегустацией. Ягода: пигменты и полифенолы дают цвет и терпкость. Партнёр: водная матрица; температура определяет экстракцию.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5" s="28" t="str">
        <x:v>кордиал, лимонад, чай, коктейль, настой или ферментированный напиток</x:v>
      </x:c>
      <x:c r="J135" s="28" t="str">
        <x:v>Средняя</x:v>
      </x:c>
      <x:c r="K135" s="28" t="str">
        <x:v>The Art &amp; Science of Foodpairing</x:v>
      </x:c>
      <x:c r="L135" s="28" t="str">
        <x:v>The Art &amp; Science of Foodpairing: 364, 365</x:v>
      </x:c>
    </x:row>
    <x:row r="136" ht="62" customHeight="1">
      <x:c r="A136" s="28" t="str">
        <x:v>BER-0304</x:v>
      </x:c>
      <x:c r="B136" s="28" t="str">
        <x:v>ежевика</x:v>
      </x:c>
      <x:c r="C136" s="28" t="str">
        <x:v>чёрный перец</x:v>
      </x:c>
      <x:c r="D136" s="28" t="str">
        <x:v>Специи</x:v>
      </x:c>
      <x:c r="E136" s="28" t="str">
        <x:v>сходство ароматических семейств + комплементарность</x:v>
      </x:c>
      <x:c r="F136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6" s="28" t="str">
        <x:v>Пряность дозировать как акцент: она быстро перекрывает тонкие ягодные эфиры.</x:v>
      </x:c>
      <x:c r="I13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36" s="28" t="str">
        <x:v>Средняя</x:v>
      </x:c>
      <x:c r="K136" s="28" t="str">
        <x:v>Таблица сочетаний</x:v>
      </x:c>
      <x:c r="L136" s="28" t="str">
        <x:v>Таблица сочетаний: 2</x:v>
      </x:c>
    </x:row>
    <x:row r="137" ht="62" customHeight="1">
      <x:c r="A137" s="28" t="str">
        <x:v>BER-0306</x:v>
      </x:c>
      <x:c r="B137" s="28" t="str">
        <x:v>ежевика</x:v>
      </x:c>
      <x:c r="C137" s="28" t="str">
        <x:v>яблоко</x:v>
      </x:c>
      <x:c r="D137" s="28" t="str">
        <x:v>Фрукты</x:v>
      </x:c>
      <x:c r="E137" s="28" t="str">
        <x:v>ароматическое сходство + вкусовой баланс</x:v>
      </x:c>
      <x:c r="F137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зелёный,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37" s="28" t="str">
        <x:v>Высокая</x:v>
      </x:c>
      <x:c r="K137" s="28" t="str">
        <x:v>Таблица сочетаний; Тезариус вкусов</x:v>
      </x:c>
      <x:c r="L137" s="28" t="str">
        <x:v>Тезариус вкусов: 712, 882; Таблица сочетаний: 2</x:v>
      </x:c>
    </x:row>
    <x:row r="138" ht="62" customHeight="1">
      <x:c r="A138" s="28" t="str">
        <x:v>BER-0308</x:v>
      </x:c>
      <x:c r="B138" s="28" t="str">
        <x:v>земляника</x:v>
      </x:c>
      <x:c r="C138" s="28" t="str">
        <x:v>грейпфрут</x:v>
      </x:c>
      <x:c r="D138" s="28" t="str">
        <x:v>Цитрусовые</x:v>
      </x:c>
      <x:c r="E138" s="28" t="str">
        <x:v>ароматическое сходство + вкусовой баланс</x:v>
      </x:c>
      <x:c r="F138" s="28" t="str">
        <x:v>Прямой вероятный молекулярный мост: линалоол. Ягодный компонент несёт семейства зелёный, карамельный,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очень летучий аромат; лучше щадящая обработка.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8" s="28" t="str">
        <x:v>кордиал, лимонад, чай, коктейль, настой или ферментированный напиток; маринад, гастрик, чатни, кетчуп или редукция</x:v>
      </x:c>
      <x:c r="J138" s="28" t="str">
        <x:v>Средняя</x:v>
      </x:c>
      <x:c r="K138" s="28" t="str">
        <x:v>The Art &amp; Science of Foodpairing</x:v>
      </x:c>
      <x:c r="L138" s="28" t="str">
        <x:v>The Art &amp; Science of Foodpairing: 359</x:v>
      </x:c>
    </x:row>
    <x:row r="139" ht="62" customHeight="1">
      <x:c r="A139" s="28" t="str">
        <x:v>BER-0309</x:v>
      </x:c>
      <x:c r="B139" s="28" t="str">
        <x:v>земляника</x:v>
      </x:c>
      <x:c r="C139" s="28" t="str">
        <x:v>груша</x:v>
      </x:c>
      <x:c r="D139" s="28" t="str">
        <x:v>Фрукты</x:v>
      </x:c>
      <x:c r="E139" s="28" t="str">
        <x:v>ароматическое сходство + вкусовой баланс</x:v>
      </x:c>
      <x:c r="F139" s="28" t="str">
        <x:v>Прямой вероятный молекулярный мост: эфиры. Ягодный компонент несёт семейства зелёный, карамельный,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очень летучий аромат; лучше щадящая обработка.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39" s="28" t="str">
        <x:v>Средняя</x:v>
      </x:c>
      <x:c r="K139" s="28" t="str">
        <x:v>The Art &amp; Science of Foodpairing</x:v>
      </x:c>
      <x:c r="L139" s="28" t="str">
        <x:v>The Art &amp; Science of Foodpairing: 350</x:v>
      </x:c>
    </x:row>
    <x:row r="140" ht="62" customHeight="1">
      <x:c r="A140" s="28" t="str">
        <x:v>BER-0311</x:v>
      </x:c>
      <x:c r="B140" s="28" t="str">
        <x:v>земляника</x:v>
      </x:c>
      <x:c r="C140" s="28" t="str">
        <x:v>клубника</x:v>
      </x:c>
      <x:c r="D140" s="28" t="str">
        <x:v>Ягоды и производные</x:v>
      </x:c>
      <x:c r="E140" s="28" t="str">
        <x:v>ароматическое сходство + вкусовой баланс</x:v>
      </x:c>
      <x:c r="F140" s="28" t="str">
        <x:v>Прямой вероятный молекулярный мост: линалоол, мезифуран, фуранеол. Ягодный компонент несёт семейства зелёный, карамельный, фруктовый, цветочный; партнёр — зелёный, карамельный, сливочный,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очень летучий аромат; лучше щадящая обработка. Партнёр: высокая доля воды; аромат чувствителен к перегреву.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40" s="28" t="str">
        <x:v>Средняя</x:v>
      </x:c>
      <x:c r="K140" s="28" t="str">
        <x:v>The Art &amp; Science of Foodpairing</x:v>
      </x:c>
      <x:c r="L140" s="28" t="str">
        <x:v>The Art &amp; Science of Foodpairing: 70</x:v>
      </x:c>
    </x:row>
    <x:row r="141" ht="62" customHeight="1">
      <x:c r="A141" s="28" t="str">
        <x:v>BER-0312</x:v>
      </x:c>
      <x:c r="B141" s="28" t="str">
        <x:v>земляника</x:v>
      </x:c>
      <x:c r="C141" s="28" t="str">
        <x:v>текила</x:v>
      </x:c>
      <x:c r="D141" s="28" t="str">
        <x:v>Алкогольные напитки</x:v>
      </x:c>
      <x:c r="E141" s="28" t="str">
        <x:v>сходство ароматических семейств + комплементарность</x:v>
      </x:c>
      <x:c r="F141" s="28" t="str">
        <x:v>Общие ароматические семейства: фруктовый; конкретная доля одорантов зависит от сорта и обработки. Ягодный компонент несёт семейства зелёный, карамельный, фруктовый, цветочный;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G14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H141" s="28" t="str">
        <x:v>Высокая крепость и избыток сахара маскируют свежесть и усиливают терпкость.</x:v>
      </x:c>
      <x:c r="I141" s="28" t="str">
        <x:v>кордиал, лимонад, чай, коктейль, настой или ферментированный напиток</x:v>
      </x:c>
      <x:c r="J141" s="28" t="str">
        <x:v>Средняя</x:v>
      </x:c>
      <x:c r="K141" s="28" t="str">
        <x:v>The Art &amp; Science of Foodpairing</x:v>
      </x:c>
      <x:c r="L141" s="28" t="str">
        <x:v>The Art &amp; Science of Foodpairing: 83</x:v>
      </x:c>
    </x:row>
    <x:row r="142" ht="62" customHeight="1">
      <x:c r="A142" s="28" t="str">
        <x:v>BER-0313</x:v>
      </x:c>
      <x:c r="B142" s="28" t="str">
        <x:v>земляника</x:v>
      </x:c>
      <x:c r="C142" s="28" t="str">
        <x:v>цветы жасмина</x:v>
      </x:c>
      <x:c r="D142" s="28" t="str">
        <x:v>Травы и цветы</x:v>
      </x:c>
      <x:c r="E142" s="28" t="str">
        <x:v>ароматическое сходство + вкусовой баланс</x:v>
      </x:c>
      <x:c r="F142" s="28" t="str">
        <x:v>Прямой вероятный молекулярный мост: линалоол. Ягодный компонент несёт семейства зелёный, карамельный,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42" s="28" t="str">
        <x:v>Средняя</x:v>
      </x:c>
      <x:c r="K142" s="28" t="str">
        <x:v>The Art &amp; Science of Foodpairing</x:v>
      </x:c>
      <x:c r="L142" s="28" t="str">
        <x:v>The Art &amp; Science of Foodpairing: 210</x:v>
      </x:c>
    </x:row>
    <x:row r="143" ht="62" customHeight="1">
      <x:c r="A143" s="28" t="str">
        <x:v>BER-0314</x:v>
      </x:c>
      <x:c r="B143" s="28" t="str">
        <x:v>земляника</x:v>
      </x:c>
      <x:c r="C143" s="28" t="str">
        <x:v>чёрный перец</x:v>
      </x:c>
      <x:c r="D143" s="28" t="str">
        <x:v>Специи</x:v>
      </x:c>
      <x:c r="E143" s="28" t="str">
        <x:v>контраст/комплементарность + матричный эффект</x:v>
      </x:c>
      <x:c r="F14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3" s="28" t="str">
        <x:v>Пряность дозировать как акцент: она быстро перекрывает тонкие ягодные эфиры.</x:v>
      </x:c>
      <x:c r="I14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43" s="28" t="str">
        <x:v>Средняя</x:v>
      </x:c>
      <x:c r="K143" s="28" t="str">
        <x:v>The Art &amp; Science of Foodpairing</x:v>
      </x:c>
      <x:c r="L143" s="28" t="str">
        <x:v>The Art &amp; Science of Foodpairing: 275</x:v>
      </x:c>
    </x:row>
    <x:row r="144" ht="62" customHeight="1">
      <x:c r="A144" s="28" t="str">
        <x:v>BER-0330</x:v>
      </x:c>
      <x:c r="B144" s="28" t="str">
        <x:v>клубника</x:v>
      </x:c>
      <x:c r="C144" s="28" t="str">
        <x:v>lavender honey</x:v>
      </x:c>
      <x:c r="D144" s="28" t="str">
        <x:v>Травы и цветы</x:v>
      </x:c>
      <x:c r="E144" s="28" t="str">
        <x:v>ароматическое сходство + вкусовой баланс</x:v>
      </x:c>
      <x:c r="F144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44" s="28" t="str">
        <x:v>Средняя</x:v>
      </x:c>
      <x:c r="K144" s="28" t="str">
        <x:v>The Art &amp; Science of Foodpairing</x:v>
      </x:c>
      <x:c r="L144" s="28" t="str">
        <x:v>The Art &amp; Science of Foodpairing: 71</x:v>
      </x:c>
    </x:row>
    <x:row r="145" ht="62" customHeight="1">
      <x:c r="A145" s="28" t="str">
        <x:v>BER-0331</x:v>
      </x:c>
      <x:c r="B145" s="28" t="str">
        <x:v>клубника</x:v>
      </x:c>
      <x:c r="C145" s="28" t="str">
        <x:v>lemon-scented geranium leaves</x:v>
      </x:c>
      <x:c r="D145" s="28" t="str">
        <x:v>Цитрусовые</x:v>
      </x:c>
      <x:c r="E145" s="28" t="str">
        <x:v>ароматическое сходство + вкусовой баланс</x:v>
      </x:c>
      <x:c r="F145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5" s="28" t="str">
        <x:v>кордиал, лимонад, чай, коктейль, настой или ферментированный напиток; маринад, гастрик, чатни, кетчуп или редукция</x:v>
      </x:c>
      <x:c r="J145" s="28" t="str">
        <x:v>Средняя</x:v>
      </x:c>
      <x:c r="K145" s="28" t="str">
        <x:v>The Art &amp; Science of Foodpairing</x:v>
      </x:c>
      <x:c r="L145" s="28" t="str">
        <x:v>The Art &amp; Science of Foodpairing: 71</x:v>
      </x:c>
    </x:row>
    <x:row r="146" ht="62" customHeight="1">
      <x:c r="A146" s="28" t="str">
        <x:v>BER-0338</x:v>
      </x:c>
      <x:c r="B146" s="28" t="str">
        <x:v>клубника</x:v>
      </x:c>
      <x:c r="C146" s="28" t="str">
        <x:v>абрикос</x:v>
      </x:c>
      <x:c r="D146" s="28" t="str">
        <x:v>Фрукты</x:v>
      </x:c>
      <x:c r="E146" s="28" t="str">
        <x:v>сходство ароматических семейств + комплементарность</x:v>
      </x:c>
      <x:c r="F146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46" s="28" t="str">
        <x:v>Средняя</x:v>
      </x:c>
      <x:c r="K146" s="28" t="str">
        <x:v>Таблица сочетаний</x:v>
      </x:c>
      <x:c r="L146" s="28" t="str">
        <x:v>Таблица сочетаний: 2</x:v>
      </x:c>
    </x:row>
    <x:row r="147" ht="62" customHeight="1">
      <x:c r="A147" s="28" t="str">
        <x:v>BER-0341</x:v>
      </x:c>
      <x:c r="B147" s="28" t="str">
        <x:v>клубника</x:v>
      </x:c>
      <x:c r="C147" s="28" t="str">
        <x:v>ананас</x:v>
      </x:c>
      <x:c r="D147" s="28" t="str">
        <x:v>Фрукты</x:v>
      </x:c>
      <x:c r="E147" s="28" t="str">
        <x:v>сходство ароматических семейств + комплементарность</x:v>
      </x:c>
      <x:c r="F147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47" s="28" t="str">
        <x:v>Высокая</x:v>
      </x:c>
      <x:c r="K147" s="28" t="str">
        <x:v>The Art &amp; Science of Foodpairing; Тезариус вкусов</x:v>
      </x:c>
      <x:c r="L147" s="28" t="str">
        <x:v>Тезариус вкусов: 693, 704; The Art &amp; Science of Foodpairing: 70</x:v>
      </x:c>
    </x:row>
    <x:row r="148" ht="62" customHeight="1">
      <x:c r="A148" s="28" t="str">
        <x:v>BER-0342</x:v>
      </x:c>
      <x:c r="B148" s="28" t="str">
        <x:v>клубника</x:v>
      </x:c>
      <x:c r="C148" s="28" t="str">
        <x:v>анис</x:v>
      </x:c>
      <x:c r="D148" s="28" t="str">
        <x:v>Специи</x:v>
      </x:c>
      <x:c r="E148" s="28" t="str">
        <x:v>контраст/комплементарность + матричный эффект</x:v>
      </x:c>
      <x:c r="F14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8" s="28" t="str">
        <x:v>Пряность дозировать как акцент: она быстро перекрывает тонкие ягодные эфиры.</x:v>
      </x:c>
      <x:c r="I14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48" s="28" t="str">
        <x:v>Высокая</x:v>
      </x:c>
      <x:c r="K148" s="28" t="str">
        <x:v>Таблица сочетаний; Тезариус вкусов</x:v>
      </x:c>
      <x:c r="L148" s="28" t="str">
        <x:v>Тезариус вкусов: 483, 693; Таблица сочетаний: 20</x:v>
      </x:c>
    </x:row>
    <x:row r="149" ht="62" customHeight="1">
      <x:c r="A149" s="28" t="str">
        <x:v>BER-0343</x:v>
      </x:c>
      <x:c r="B149" s="28" t="str">
        <x:v>клубника</x:v>
      </x:c>
      <x:c r="C149" s="28" t="str">
        <x:v>апельсин</x:v>
      </x:c>
      <x:c r="D149" s="28" t="str">
        <x:v>Цитрусовые</x:v>
      </x:c>
      <x:c r="E149" s="28" t="str">
        <x:v>ароматическое сходство + вкусовой баланс</x:v>
      </x:c>
      <x:c r="F149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9" s="28" t="str">
        <x:v>кордиал, лимонад, чай, коктейль, настой или ферментированный напиток; маринад, гастрик, чатни, кетчуп или редукция</x:v>
      </x:c>
      <x:c r="J149" s="28" t="str">
        <x:v>Высокая</x:v>
      </x:c>
      <x:c r="K149" s="28" t="str">
        <x:v>The Art &amp; Science of Foodpairing; Таблица сочетаний; Тезариус вкусов</x:v>
      </x:c>
      <x:c r="L149" s="28" t="str">
        <x:v>Тезариус вкусов: 693, 775; The Art &amp; Science of Foodpairing: 70; Таблица сочетаний: 20</x:v>
      </x:c>
    </x:row>
    <x:row r="150" ht="62" customHeight="1">
      <x:c r="A150" s="28" t="str">
        <x:v>BER-0346</x:v>
      </x:c>
      <x:c r="B150" s="28" t="str">
        <x:v>клубника</x:v>
      </x:c>
      <x:c r="C150" s="28" t="str">
        <x:v>базилик</x:v>
      </x:c>
      <x:c r="D150" s="28" t="str">
        <x:v>Травы и цветы</x:v>
      </x:c>
      <x:c r="E150" s="28" t="str">
        <x:v>ароматическое сходство + вкусовой баланс</x:v>
      </x:c>
      <x:c r="F150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50" s="28" t="str">
        <x:v>Средняя</x:v>
      </x:c>
      <x:c r="K150" s="28" t="str">
        <x:v>Таблица сочетаний</x:v>
      </x:c>
      <x:c r="L150" s="28" t="str">
        <x:v>Таблица сочетаний: 20</x:v>
      </x:c>
    </x:row>
    <x:row r="151" ht="62" customHeight="1">
      <x:c r="A151" s="28" t="str">
        <x:v>BER-0348</x:v>
      </x:c>
      <x:c r="B151" s="28" t="str">
        <x:v>клубника</x:v>
      </x:c>
      <x:c r="C151" s="28" t="str">
        <x:v>банан</x:v>
      </x:c>
      <x:c r="D151" s="28" t="str">
        <x:v>Фрукты</x:v>
      </x:c>
      <x:c r="E151" s="28" t="str">
        <x:v>сходство ароматических семейств + комплементарность</x:v>
      </x:c>
      <x:c r="F151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51" s="28" t="str">
        <x:v>Средняя</x:v>
      </x:c>
      <x:c r="K151" s="28" t="str">
        <x:v>The Art &amp; Science of Foodpairing</x:v>
      </x:c>
      <x:c r="L151" s="28" t="str">
        <x:v>The Art &amp; Science of Foodpairing: 70</x:v>
      </x:c>
    </x:row>
    <x:row r="152" ht="62" customHeight="1">
      <x:c r="A152" s="28" t="str">
        <x:v>BER-0349</x:v>
      </x:c>
      <x:c r="B152" s="28" t="str">
        <x:v>клубника</x:v>
      </x:c>
      <x:c r="C152" s="28" t="str">
        <x:v>банановое пюре</x:v>
      </x:c>
      <x:c r="D152" s="28" t="str">
        <x:v>Фрукты</x:v>
      </x:c>
      <x:c r="E152" s="28" t="str">
        <x:v>сходство ароматических семейств + комплементарность</x:v>
      </x:c>
      <x:c r="F152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52" s="28" t="str">
        <x:v>Средняя</x:v>
      </x:c>
      <x:c r="K152" s="28" t="str">
        <x:v>The Art &amp; Science of Foodpairing</x:v>
      </x:c>
      <x:c r="L152" s="28" t="str">
        <x:v>The Art &amp; Science of Foodpairing: 70</x:v>
      </x:c>
    </x:row>
    <x:row r="153" ht="62" customHeight="1">
      <x:c r="A153" s="28" t="str">
        <x:v>BER-0353</x:v>
      </x:c>
      <x:c r="B153" s="28" t="str">
        <x:v>клубника</x:v>
      </x:c>
      <x:c r="C153" s="28" t="str">
        <x:v>бурбон Kentucky Straight</x:v>
      </x:c>
      <x:c r="D153" s="28" t="str">
        <x:v>Алкогольные напитки</x:v>
      </x:c>
      <x:c r="E153" s="28" t="str">
        <x:v>сходство ароматических семейств + комплементарность</x:v>
      </x:c>
      <x:c r="F153" s="28" t="str">
        <x:v>Общие ароматические семейства: фруктовый;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G15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H153" s="28" t="str">
        <x:v>Высокая крепость и избыток сахара маскируют свежесть и усиливают терпкость.</x:v>
      </x:c>
      <x:c r="I153" s="28" t="str">
        <x:v>кордиал, лимонад, чай, коктейль, настой или ферментированный напиток</x:v>
      </x:c>
      <x:c r="J153" s="28" t="str">
        <x:v>Средняя</x:v>
      </x:c>
      <x:c r="K153" s="28" t="str">
        <x:v>The Art &amp; Science of Foodpairing</x:v>
      </x:c>
      <x:c r="L153" s="28" t="str">
        <x:v>The Art &amp; Science of Foodpairing: 70</x:v>
      </x:c>
    </x:row>
    <x:row r="154" ht="62" customHeight="1">
      <x:c r="A154" s="28" t="str">
        <x:v>BER-0355</x:v>
      </x:c>
      <x:c r="B154" s="28" t="str">
        <x:v>клубника</x:v>
      </x:c>
      <x:c r="C154" s="28" t="str">
        <x:v>виноград</x:v>
      </x:c>
      <x:c r="D154" s="28" t="str">
        <x:v>Фрукты</x:v>
      </x:c>
      <x:c r="E154" s="28" t="str">
        <x:v>сходство ароматических семейств + комплементарность</x:v>
      </x:c>
      <x:c r="F154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54" s="28" t="str">
        <x:v>Высокая</x:v>
      </x:c>
      <x:c r="K154" s="28" t="str">
        <x:v>Тезариус вкусов</x:v>
      </x:c>
      <x:c r="L154" s="28" t="str">
        <x:v>Тезариус вкусов: 666, 694</x:v>
      </x:c>
    </x:row>
    <x:row r="155" ht="62" customHeight="1">
      <x:c r="A155" s="28" t="str">
        <x:v>BER-0356</x:v>
      </x:c>
      <x:c r="B155" s="28" t="str">
        <x:v>клубника</x:v>
      </x:c>
      <x:c r="C155" s="28" t="str">
        <x:v>гвоздика</x:v>
      </x:c>
      <x:c r="D155" s="28" t="str">
        <x:v>Специи</x:v>
      </x:c>
      <x:c r="E155" s="28" t="str">
        <x:v>контраст/комплементарность + матричный эффект</x:v>
      </x:c>
      <x:c r="F15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5" s="28" t="str">
        <x:v>Пряность дозировать как акцент: она быстро перекрывает тонкие ягодные эфиры.</x:v>
      </x:c>
      <x:c r="I15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55" s="28" t="str">
        <x:v>Средняя</x:v>
      </x:c>
      <x:c r="K155" s="28" t="str">
        <x:v>Таблица сочетаний</x:v>
      </x:c>
      <x:c r="L155" s="28" t="str">
        <x:v>Таблица сочетаний: 20</x:v>
      </x:c>
    </x:row>
    <x:row r="156" ht="62" customHeight="1">
      <x:c r="A156" s="28" t="str">
        <x:v>BER-0359</x:v>
      </x:c>
      <x:c r="B156" s="28" t="str">
        <x:v>клубника</x:v>
      </x:c>
      <x:c r="C156" s="28" t="str">
        <x:v>гранат</x:v>
      </x:c>
      <x:c r="D156" s="28" t="str">
        <x:v>Фрукты</x:v>
      </x:c>
      <x:c r="E156" s="28" t="str">
        <x:v>сходство ароматических семейств + комплементарность</x:v>
      </x:c>
      <x:c r="F156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56" s="28" t="str">
        <x:v>Высокая</x:v>
      </x:c>
      <x:c r="K156" s="28" t="str">
        <x:v>The Art &amp; Science of Foodpairing; Таблица сочетаний</x:v>
      </x:c>
      <x:c r="L156" s="28" t="str">
        <x:v>The Art &amp; Science of Foodpairing: 71; Таблица сочетаний: 18</x:v>
      </x:c>
    </x:row>
    <x:row r="157" ht="62" customHeight="1">
      <x:c r="A157" s="28" t="str">
        <x:v>BER-0360</x:v>
      </x:c>
      <x:c r="B157" s="28" t="str">
        <x:v>клубника</x:v>
      </x:c>
      <x:c r="C157" s="28" t="str">
        <x:v>гранатовый сок</x:v>
      </x:c>
      <x:c r="D157" s="28" t="str">
        <x:v>Фрукты</x:v>
      </x:c>
      <x:c r="E157" s="28" t="str">
        <x:v>сходство ароматических семейств + комплементарность</x:v>
      </x:c>
      <x:c r="F157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57" s="28" t="str">
        <x:v>Средняя</x:v>
      </x:c>
      <x:c r="K157" s="28" t="str">
        <x:v>The Art &amp; Science of Foodpairing</x:v>
      </x:c>
      <x:c r="L157" s="28" t="str">
        <x:v>The Art &amp; Science of Foodpairing: 70</x:v>
      </x:c>
    </x:row>
    <x:row r="158" ht="62" customHeight="1">
      <x:c r="A158" s="28" t="str">
        <x:v>BER-0361</x:v>
      </x:c>
      <x:c r="B158" s="28" t="str">
        <x:v>клубника</x:v>
      </x:c>
      <x:c r="C158" s="28" t="str">
        <x:v>грейпфрут</x:v>
      </x:c>
      <x:c r="D158" s="28" t="str">
        <x:v>Цитрусовые</x:v>
      </x:c>
      <x:c r="E158" s="28" t="str">
        <x:v>ароматическое сходство + вкусовой баланс</x:v>
      </x:c>
      <x:c r="F158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8" s="28" t="str">
        <x:v>кордиал, лимонад, чай, коктейль, настой или ферментированный напиток; маринад, гастрик, чатни, кетчуп или редукция</x:v>
      </x:c>
      <x:c r="J158" s="28" t="str">
        <x:v>Высокая</x:v>
      </x:c>
      <x:c r="K158" s="28" t="str">
        <x:v>The Art &amp; Science of Foodpairing; Таблица сочетаний</x:v>
      </x:c>
      <x:c r="L158" s="28" t="str">
        <x:v>The Art &amp; Science of Foodpairing: 358; Таблица сочетаний: 20</x:v>
      </x:c>
    </x:row>
    <x:row r="159" ht="62" customHeight="1">
      <x:c r="A159" s="28" t="str">
        <x:v>BER-0364</x:v>
      </x:c>
      <x:c r="B159" s="28" t="str">
        <x:v>клубника</x:v>
      </x:c>
      <x:c r="C159" s="28" t="str">
        <x:v>дыня</x:v>
      </x:c>
      <x:c r="D159" s="28" t="str">
        <x:v>Фрукты</x:v>
      </x:c>
      <x:c r="E159" s="28" t="str">
        <x:v>сходство ароматических семейств + комплементарность</x:v>
      </x:c>
      <x:c r="F159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59" s="28" t="str">
        <x:v>Высокая</x:v>
      </x:c>
      <x:c r="K159" s="28" t="str">
        <x:v>Тезариус вкусов</x:v>
      </x:c>
      <x:c r="L159" s="28" t="str">
        <x:v>Тезариус вкусов: 694, 739</x:v>
      </x:c>
    </x:row>
    <x:row r="160" ht="62" customHeight="1">
      <x:c r="A160" s="28" t="str">
        <x:v>BER-0371</x:v>
      </x:c>
      <x:c r="B160" s="28" t="str">
        <x:v>клубника</x:v>
      </x:c>
      <x:c r="C160" s="28" t="str">
        <x:v>изюм</x:v>
      </x:c>
      <x:c r="D160" s="28" t="str">
        <x:v>Фрукты</x:v>
      </x:c>
      <x:c r="E160" s="28" t="str">
        <x:v>сходство ароматических семейств + комплементарность</x:v>
      </x:c>
      <x:c r="F160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60" s="28" t="str">
        <x:v>Средняя</x:v>
      </x:c>
      <x:c r="K160" s="28" t="str">
        <x:v>The Art &amp; Science of Foodpairing</x:v>
      </x:c>
      <x:c r="L160" s="28" t="str">
        <x:v>The Art &amp; Science of Foodpairing: 70</x:v>
      </x:c>
    </x:row>
    <x:row r="161" ht="62" customHeight="1">
      <x:c r="A161" s="28" t="str">
        <x:v>BER-0372</x:v>
      </x:c>
      <x:c r="B161" s="28" t="str">
        <x:v>клубника</x:v>
      </x:c>
      <x:c r="C161" s="28" t="str">
        <x:v>имбирь</x:v>
      </x:c>
      <x:c r="D161" s="28" t="str">
        <x:v>Специи</x:v>
      </x:c>
      <x:c r="E161" s="28" t="str">
        <x:v>контраст/комплементарность + матричный эффект</x:v>
      </x:c>
      <x:c r="F16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1" s="28" t="str">
        <x:v>Пряность дозировать как акцент: она быстро перекрывает тонкие ягодные эфиры.</x:v>
      </x:c>
      <x:c r="I16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61" s="28" t="str">
        <x:v>Средняя</x:v>
      </x:c>
      <x:c r="K161" s="28" t="str">
        <x:v>Таблица сочетаний</x:v>
      </x:c>
      <x:c r="L161" s="28" t="str">
        <x:v>Таблица сочетаний: 20</x:v>
      </x:c>
    </x:row>
    <x:row r="162" ht="62" customHeight="1">
      <x:c r="A162" s="28" t="str">
        <x:v>BER-0375</x:v>
      </x:c>
      <x:c r="B162" s="28" t="str">
        <x:v>клубника</x:v>
      </x:c>
      <x:c r="C162" s="28" t="str">
        <x:v>кардамон</x:v>
      </x:c>
      <x:c r="D162" s="28" t="str">
        <x:v>Специи</x:v>
      </x:c>
      <x:c r="E162" s="28" t="str">
        <x:v>контраст/комплементарность + матричный эффект</x:v>
      </x:c>
      <x:c r="F16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2" s="28" t="str">
        <x:v>Пряность дозировать как акцент: она быстро перекрывает тонкие ягодные эфиры.</x:v>
      </x:c>
      <x:c r="I16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62" s="28" t="str">
        <x:v>Средняя</x:v>
      </x:c>
      <x:c r="K162" s="28" t="str">
        <x:v>The Art &amp; Science of Foodpairing</x:v>
      </x:c>
      <x:c r="L162" s="28" t="str">
        <x:v>The Art &amp; Science of Foodpairing: 257</x:v>
      </x:c>
    </x:row>
    <x:row r="163" ht="62" customHeight="1">
      <x:c r="A163" s="28" t="str">
        <x:v>BER-0377</x:v>
      </x:c>
      <x:c r="B163" s="28" t="str">
        <x:v>клубника</x:v>
      </x:c>
      <x:c r="C163" s="28" t="str">
        <x:v>киви</x:v>
      </x:c>
      <x:c r="D163" s="28" t="str">
        <x:v>Фрукты</x:v>
      </x:c>
      <x:c r="E163" s="28" t="str">
        <x:v>сходство ароматических семейств + комплементарность</x:v>
      </x:c>
      <x:c r="F163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63" s="28" t="str">
        <x:v>Высокая</x:v>
      </x:c>
      <x:c r="K163" s="28" t="str">
        <x:v>The Art &amp; Science of Foodpairing; Таблица сочетаний</x:v>
      </x:c>
      <x:c r="L163" s="28" t="str">
        <x:v>The Art &amp; Science of Foodpairing: 42; Таблица сочетаний: 10, 20</x:v>
      </x:c>
    </x:row>
    <x:row r="164" ht="62" customHeight="1">
      <x:c r="A164" s="28" t="str">
        <x:v>BER-0378</x:v>
      </x:c>
      <x:c r="B164" s="28" t="str">
        <x:v>клубника</x:v>
      </x:c>
      <x:c r="C164" s="28" t="str">
        <x:v>кленовый сироп</x:v>
      </x:c>
      <x:c r="D164" s="28" t="str">
        <x:v>Подсластители</x:v>
      </x:c>
      <x:c r="E164" s="28" t="str">
        <x:v>сходство ароматических семейств + комплементарность</x:v>
      </x:c>
      <x:c r="F164" s="28" t="str">
        <x:v>Общие ароматические семейства: карамельный;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карамельный, медовый, сладкий. Оба компонента формируют сладко-кислый и сладкий контур; сахар, кислота и горечь должны быть выровнены дегустацией. Ягода: высокая доля воды; аромат чувствителен к перегреву. Партнёр: вязкая водная матрица снижает летучесть.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64" s="28" t="str">
        <x:v>Средняя</x:v>
      </x:c>
      <x:c r="K164" s="28" t="str">
        <x:v>Таблица сочетаний</x:v>
      </x:c>
      <x:c r="L164" s="28" t="str">
        <x:v>Таблица сочетаний: 20</x:v>
      </x:c>
    </x:row>
    <x:row r="165" ht="62" customHeight="1">
      <x:c r="A165" s="28" t="str">
        <x:v>BER-0379</x:v>
      </x:c>
      <x:c r="B165" s="28" t="str">
        <x:v>клубника</x:v>
      </x:c>
      <x:c r="C165" s="28" t="str">
        <x:v>клубника сорта Elsanta</x:v>
      </x:c>
      <x:c r="D165" s="28" t="str">
        <x:v>Ягоды и производные</x:v>
      </x:c>
      <x:c r="E165" s="28" t="str">
        <x:v>ароматическое сходство + вкусовой баланс</x:v>
      </x:c>
      <x:c r="F165" s="28" t="str">
        <x:v>Прямой вероятный молекулярный мост: линалоол, мезифуран, фуранеол, цис-3-гексеналь, этилбутират. Ягодный компонент несёт семейства зелёный, карамельный, сливочный, фруктовый, цветочный; партнёр — зелёный, карамельный, сливочный,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аромат чувствителен к перегреву.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65" s="28" t="str">
        <x:v>Средняя</x:v>
      </x:c>
      <x:c r="K165" s="28" t="str">
        <x:v>The Art &amp; Science of Foodpairing</x:v>
      </x:c>
      <x:c r="L165" s="28" t="str">
        <x:v>The Art &amp; Science of Foodpairing: 70</x:v>
      </x:c>
    </x:row>
    <x:row r="166" ht="62" customHeight="1">
      <x:c r="A166" s="28" t="str">
        <x:v>BER-0382</x:v>
      </x:c>
      <x:c r="B166" s="28" t="str">
        <x:v>клубника</x:v>
      </x:c>
      <x:c r="C166" s="28" t="str">
        <x:v>корица</x:v>
      </x:c>
      <x:c r="D166" s="28" t="str">
        <x:v>Специи</x:v>
      </x:c>
      <x:c r="E166" s="28" t="str">
        <x:v>контраст/комплементарность + матричный эффект</x:v>
      </x:c>
      <x:c r="F16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6" s="28" t="str">
        <x:v>Пряность дозировать как акцент: она быстро перекрывает тонкие ягодные эфиры.</x:v>
      </x:c>
      <x:c r="I16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66" s="28" t="str">
        <x:v>Высокая</x:v>
      </x:c>
      <x:c r="K166" s="28" t="str">
        <x:v>The Art &amp; Science of Foodpairing; Тезариус вкусов</x:v>
      </x:c>
      <x:c r="L166" s="28" t="str">
        <x:v>Тезариус вкусов: 577, 695; The Art &amp; Science of Foodpairing: 131</x:v>
      </x:c>
    </x:row>
    <x:row r="167" ht="62" customHeight="1">
      <x:c r="A167" s="28" t="str">
        <x:v>BER-0386</x:v>
      </x:c>
      <x:c r="B167" s="28" t="str">
        <x:v>клубника</x:v>
      </x:c>
      <x:c r="C167" s="28" t="str">
        <x:v>лимон и лайм</x:v>
      </x:c>
      <x:c r="D167" s="28" t="str">
        <x:v>Цитрусовые</x:v>
      </x:c>
      <x:c r="E167" s="28" t="str">
        <x:v>ароматическое сходство + вкусовой баланс</x:v>
      </x:c>
      <x:c r="F167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7" s="28" t="str">
        <x:v>кордиал, лимонад, чай, коктейль, настой или ферментированный напиток; маринад, гастрик, чатни, кетчуп или редукция</x:v>
      </x:c>
      <x:c r="J167" s="28" t="str">
        <x:v>Средняя</x:v>
      </x:c>
      <x:c r="K167" s="28" t="str">
        <x:v>The Art &amp; Science of Foodpairing</x:v>
      </x:c>
      <x:c r="L167" s="28" t="str">
        <x:v>The Art &amp; Science of Foodpairing: 89</x:v>
      </x:c>
    </x:row>
    <x:row r="168" ht="62" customHeight="1">
      <x:c r="A168" s="28" t="str">
        <x:v>BER-0387</x:v>
      </x:c>
      <x:c r="B168" s="28" t="str">
        <x:v>клубника</x:v>
      </x:c>
      <x:c r="C168" s="28" t="str">
        <x:v>личи</x:v>
      </x:c>
      <x:c r="D168" s="28" t="str">
        <x:v>Фрукты</x:v>
      </x:c>
      <x:c r="E168" s="28" t="str">
        <x:v>сходство ароматических семейств + комплементарность</x:v>
      </x:c>
      <x:c r="F168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68" s="28" t="str">
        <x:v>Высокая</x:v>
      </x:c>
      <x:c r="K168" s="28" t="str">
        <x:v>The Art &amp; Science of Foodpairing; Таблица сочетаний</x:v>
      </x:c>
      <x:c r="L168" s="28" t="str">
        <x:v>The Art &amp; Science of Foodpairing: 70; Таблица сочетаний: 20</x:v>
      </x:c>
    </x:row>
    <x:row r="169" ht="62" customHeight="1">
      <x:c r="A169" s="28" t="str">
        <x:v>BER-0389</x:v>
      </x:c>
      <x:c r="B169" s="28" t="str">
        <x:v>клубника</x:v>
      </x:c>
      <x:c r="C169" s="28" t="str">
        <x:v>малина</x:v>
      </x:c>
      <x:c r="D169" s="28" t="str">
        <x:v>Ягоды и производные</x:v>
      </x:c>
      <x:c r="E169" s="28" t="str">
        <x:v>ароматическое сходство + вкусовой баланс</x:v>
      </x:c>
      <x:c r="F169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древесный, зелёный, фиалковый, фруктовый, цветочный. Оба компонента формируют сладко-кислый и кисло-сладкий контур; сахар, кислота и горечь должны быть выровнены дегустацией. Ягода: высокая доля воды; аромат чувствителен к перегреву. Партнёр: семена добавляют древесность и лёгкую терпкость.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69" s="28" t="str">
        <x:v>Высокая</x:v>
      </x:c>
      <x:c r="K169" s="28" t="str">
        <x:v>The Art &amp; Science of Foodpairing; Тезариус вкусов</x:v>
      </x:c>
      <x:c r="L169" s="28" t="str">
        <x:v>Тезариус вкусов: 696, 887; The Art &amp; Science of Foodpairing: 71</x:v>
      </x:c>
    </x:row>
    <x:row r="170" ht="62" customHeight="1">
      <x:c r="A170" s="28" t="str">
        <x:v>BER-0390</x:v>
      </x:c>
      <x:c r="B170" s="28" t="str">
        <x:v>клубника</x:v>
      </x:c>
      <x:c r="C170" s="28" t="str">
        <x:v>манго</x:v>
      </x:c>
      <x:c r="D170" s="28" t="str">
        <x:v>Фрукты</x:v>
      </x:c>
      <x:c r="E170" s="28" t="str">
        <x:v>сходство ароматических семейств + комплементарность</x:v>
      </x:c>
      <x:c r="F170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70" s="28" t="str">
        <x:v>Средняя</x:v>
      </x:c>
      <x:c r="K170" s="28" t="str">
        <x:v>Таблица сочетаний</x:v>
      </x:c>
      <x:c r="L170" s="28" t="str">
        <x:v>Таблица сочетаний: 20</x:v>
      </x:c>
    </x:row>
    <x:row r="171" ht="62" customHeight="1">
      <x:c r="A171" s="28" t="str">
        <x:v>BER-0391</x:v>
      </x:c>
      <x:c r="B171" s="28" t="str">
        <x:v>клубника</x:v>
      </x:c>
      <x:c r="C171" s="28" t="str">
        <x:v>манго Alphonso</x:v>
      </x:c>
      <x:c r="D171" s="28" t="str">
        <x:v>Фрукты</x:v>
      </x:c>
      <x:c r="E171" s="28" t="str">
        <x:v>сходство ароматических семейств + комплементарность</x:v>
      </x:c>
      <x:c r="F171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71" s="28" t="str">
        <x:v>Средняя</x:v>
      </x:c>
      <x:c r="K171" s="28" t="str">
        <x:v>The Art &amp; Science of Foodpairing</x:v>
      </x:c>
      <x:c r="L171" s="28" t="str">
        <x:v>The Art &amp; Science of Foodpairing: 70</x:v>
      </x:c>
    </x:row>
    <x:row r="172" ht="62" customHeight="1">
      <x:c r="A172" s="28" t="str">
        <x:v>BER-0394</x:v>
      </x:c>
      <x:c r="B172" s="28" t="str">
        <x:v>клубника</x:v>
      </x:c>
      <x:c r="C172" s="28" t="str">
        <x:v>мелисса</x:v>
      </x:c>
      <x:c r="D172" s="28" t="str">
        <x:v>Травы и цветы</x:v>
      </x:c>
      <x:c r="E172" s="28" t="str">
        <x:v>ароматическое сходство + вкусовой баланс</x:v>
      </x:c>
      <x:c r="F172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72" s="28" t="str">
        <x:v>Средняя</x:v>
      </x:c>
      <x:c r="K172" s="28" t="str">
        <x:v>The Art &amp; Science of Foodpairing</x:v>
      </x:c>
      <x:c r="L172" s="28" t="str">
        <x:v>The Art &amp; Science of Foodpairing: 70</x:v>
      </x:c>
    </x:row>
    <x:row r="173" ht="62" customHeight="1">
      <x:c r="A173" s="28" t="str">
        <x:v>BER-0398</x:v>
      </x:c>
      <x:c r="B173" s="28" t="str">
        <x:v>клубника</x:v>
      </x:c>
      <x:c r="C173" s="28" t="str">
        <x:v>мускусная дыня</x:v>
      </x:c>
      <x:c r="D173" s="28" t="str">
        <x:v>Фрукты</x:v>
      </x:c>
      <x:c r="E173" s="28" t="str">
        <x:v>сходство ароматических семейств + комплементарность</x:v>
      </x:c>
      <x:c r="F173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73" s="28" t="str">
        <x:v>Средняя</x:v>
      </x:c>
      <x:c r="K173" s="28" t="str">
        <x:v>The Art &amp; Science of Foodpairing</x:v>
      </x:c>
      <x:c r="L173" s="28" t="str">
        <x:v>The Art &amp; Science of Foodpairing: 70</x:v>
      </x:c>
    </x:row>
    <x:row r="174" ht="62" customHeight="1">
      <x:c r="A174" s="28" t="str">
        <x:v>BER-0401</x:v>
      </x:c>
      <x:c r="B174" s="28" t="str">
        <x:v>клубника</x:v>
      </x:c>
      <x:c r="C174" s="28" t="str">
        <x:v>мята</x:v>
      </x:c>
      <x:c r="D174" s="28" t="str">
        <x:v>Травы и цветы</x:v>
      </x:c>
      <x:c r="E174" s="28" t="str">
        <x:v>ароматическое сходство + вкусовой баланс</x:v>
      </x:c>
      <x:c r="F174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74" s="28" t="str">
        <x:v>Высокая</x:v>
      </x:c>
      <x:c r="K174" s="28" t="str">
        <x:v>Таблица сочетаний; Тезариус вкусов</x:v>
      </x:c>
      <x:c r="L174" s="28" t="str">
        <x:v>Тезариус вкусов: 697, 868; Таблица сочетаний: 13, 20</x:v>
      </x:c>
    </x:row>
    <x:row r="175" ht="62" customHeight="1">
      <x:c r="A175" s="28" t="str">
        <x:v>BER-0417</x:v>
      </x:c>
      <x:c r="B175" s="28" t="str">
        <x:v>клубника</x:v>
      </x:c>
      <x:c r="C175" s="28" t="str">
        <x:v>перец</x:v>
      </x:c>
      <x:c r="D175" s="28" t="str">
        <x:v>Специи</x:v>
      </x:c>
      <x:c r="E175" s="28" t="str">
        <x:v>контраст/комплементарность + матричный эффект</x:v>
      </x:c>
      <x:c r="F17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5" s="28" t="str">
        <x:v>Пряность дозировать как акцент: она быстро перекрывает тонкие ягодные эфиры.</x:v>
      </x:c>
      <x:c r="I17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75" s="28" t="str">
        <x:v>Средняя</x:v>
      </x:c>
      <x:c r="K175" s="28" t="str">
        <x:v>Таблица сочетаний</x:v>
      </x:c>
      <x:c r="L175" s="28" t="str">
        <x:v>Таблица сочетаний: 16</x:v>
      </x:c>
    </x:row>
    <x:row r="176" ht="62" customHeight="1">
      <x:c r="A176" s="28" t="str">
        <x:v>BER-0418</x:v>
      </x:c>
      <x:c r="B176" s="28" t="str">
        <x:v>клубника</x:v>
      </x:c>
      <x:c r="C176" s="28" t="str">
        <x:v>перец чили</x:v>
      </x:c>
      <x:c r="D176" s="28" t="str">
        <x:v>Специи</x:v>
      </x:c>
      <x:c r="E176" s="28" t="str">
        <x:v>контраст/комплементарность + матричный эффект</x:v>
      </x:c>
      <x:c r="F17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6" s="28" t="str">
        <x:v>Пряность дозировать как акцент: она быстро перекрывает тонкие ягодные эфиры.</x:v>
      </x:c>
      <x:c r="I17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76" s="28" t="str">
        <x:v>Средняя</x:v>
      </x:c>
      <x:c r="K176" s="28" t="str">
        <x:v>The Art &amp; Science of Foodpairing</x:v>
      </x:c>
      <x:c r="L176" s="28" t="str">
        <x:v>The Art &amp; Science of Foodpairing: 94</x:v>
      </x:c>
    </x:row>
    <x:row r="177" ht="62" customHeight="1">
      <x:c r="A177" s="28" t="str">
        <x:v>BER-0419</x:v>
      </x:c>
      <x:c r="B177" s="28" t="str">
        <x:v>клубника</x:v>
      </x:c>
      <x:c r="C177" s="28" t="str">
        <x:v>персик</x:v>
      </x:c>
      <x:c r="D177" s="28" t="str">
        <x:v>Фрукты</x:v>
      </x:c>
      <x:c r="E177" s="28" t="str">
        <x:v>сходство ароматических семейств + комплементарность</x:v>
      </x:c>
      <x:c r="F177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77" s="28" t="str">
        <x:v>Высокая</x:v>
      </x:c>
      <x:c r="K177" s="28" t="str">
        <x:v>The Art &amp; Science of Foodpairing; Тезариус вкусов</x:v>
      </x:c>
      <x:c r="L177" s="28" t="str">
        <x:v>Тезариус вкусов: 698, 751; The Art &amp; Science of Foodpairing: 71</x:v>
      </x:c>
    </x:row>
    <x:row r="178" ht="62" customHeight="1">
      <x:c r="A178" s="28" t="str">
        <x:v>BER-0420</x:v>
      </x:c>
      <x:c r="B178" s="28" t="str">
        <x:v>клубника</x:v>
      </x:c>
      <x:c r="C178" s="28" t="str">
        <x:v>петрушка</x:v>
      </x:c>
      <x:c r="D178" s="28" t="str">
        <x:v>Травы и цветы</x:v>
      </x:c>
      <x:c r="E178" s="28" t="str">
        <x:v>ароматическое сходство + вкусовой баланс</x:v>
      </x:c>
      <x:c r="F178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78" s="28" t="str">
        <x:v>Средняя</x:v>
      </x:c>
      <x:c r="K178" s="28" t="str">
        <x:v>Таблица сочетаний</x:v>
      </x:c>
      <x:c r="L178" s="28" t="str">
        <x:v>Таблица сочетаний: 15</x:v>
      </x:c>
    </x:row>
    <x:row r="179" ht="62" customHeight="1">
      <x:c r="A179" s="28" t="str">
        <x:v>BER-0432</x:v>
      </x:c>
      <x:c r="B179" s="28" t="str">
        <x:v>клубника</x:v>
      </x:c>
      <x:c r="C179" s="28" t="str">
        <x:v>роза</x:v>
      </x:c>
      <x:c r="D179" s="28" t="str">
        <x:v>Травы и цветы</x:v>
      </x:c>
      <x:c r="E179" s="28" t="str">
        <x:v>ароматическое сходство + вкусовой баланс</x:v>
      </x:c>
      <x:c r="F179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79" s="28" t="str">
        <x:v>Средняя</x:v>
      </x:c>
      <x:c r="K179" s="28" t="str">
        <x:v>Таблица сочетаний</x:v>
      </x:c>
      <x:c r="L179" s="28" t="str">
        <x:v>Таблица сочетаний: 19</x:v>
      </x:c>
    </x:row>
    <x:row r="180" ht="62" customHeight="1">
      <x:c r="A180" s="28" t="str">
        <x:v>BER-0433</x:v>
      </x:c>
      <x:c r="B180" s="28" t="str">
        <x:v>клубника</x:v>
      </x:c>
      <x:c r="C180" s="28" t="str">
        <x:v>розмарин</x:v>
      </x:c>
      <x:c r="D180" s="28" t="str">
        <x:v>Травы и цветы</x:v>
      </x:c>
      <x:c r="E180" s="28" t="str">
        <x:v>ароматическое сходство + вкусовой баланс</x:v>
      </x:c>
      <x:c r="F180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80" s="28" t="str">
        <x:v>Средняя</x:v>
      </x:c>
      <x:c r="K180" s="28" t="str">
        <x:v>Таблица сочетаний</x:v>
      </x:c>
      <x:c r="L180" s="28" t="str">
        <x:v>Таблица сочетаний: 20</x:v>
      </x:c>
    </x:row>
    <x:row r="181" ht="62" customHeight="1">
      <x:c r="A181" s="28" t="str">
        <x:v>BER-0434</x:v>
      </x:c>
      <x:c r="B181" s="28" t="str">
        <x:v>клубника</x:v>
      </x:c>
      <x:c r="C181" s="28" t="str">
        <x:v>свежие съедобные лепестки розы</x:v>
      </x:c>
      <x:c r="D181" s="28" t="str">
        <x:v>Травы и цветы</x:v>
      </x:c>
      <x:c r="E181" s="28" t="str">
        <x:v>ароматическое сходство + вкусовой баланс</x:v>
      </x:c>
      <x:c r="F181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81" s="28" t="str">
        <x:v>Средняя</x:v>
      </x:c>
      <x:c r="K181" s="28" t="str">
        <x:v>The Art &amp; Science of Foodpairing</x:v>
      </x:c>
      <x:c r="L181" s="28" t="str">
        <x:v>The Art &amp; Science of Foodpairing: 70</x:v>
      </x:c>
    </x:row>
    <x:row r="182" ht="62" customHeight="1">
      <x:c r="A182" s="28" t="str">
        <x:v>BER-0435</x:v>
      </x:c>
      <x:c r="B182" s="28" t="str">
        <x:v>клубника</x:v>
      </x:c>
      <x:c r="C182" s="28" t="str">
        <x:v>свежий корень имбиря</x:v>
      </x:c>
      <x:c r="D182" s="28" t="str">
        <x:v>Специи</x:v>
      </x:c>
      <x:c r="E182" s="28" t="str">
        <x:v>контраст/комплементарность + матричный эффект</x:v>
      </x:c>
      <x:c r="F18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2" s="28" t="str">
        <x:v>Пряность дозировать как акцент: она быстро перекрывает тонкие ягодные эфиры.</x:v>
      </x:c>
      <x:c r="I18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82" s="28" t="str">
        <x:v>Средняя</x:v>
      </x:c>
      <x:c r="K182" s="28" t="str">
        <x:v>The Art &amp; Science of Foodpairing</x:v>
      </x:c>
      <x:c r="L182" s="28" t="str">
        <x:v>The Art &amp; Science of Foodpairing: 70</x:v>
      </x:c>
    </x:row>
    <x:row r="183" ht="62" customHeight="1">
      <x:c r="A183" s="28" t="str">
        <x:v>BER-0437</x:v>
      </x:c>
      <x:c r="B183" s="28" t="str">
        <x:v>клубника</x:v>
      </x:c>
      <x:c r="C183" s="28" t="str">
        <x:v>семена кардамона</x:v>
      </x:c>
      <x:c r="D183" s="28" t="str">
        <x:v>Специи</x:v>
      </x:c>
      <x:c r="E183" s="28" t="str">
        <x:v>контраст/комплементарность + матричный эффект</x:v>
      </x:c>
      <x:c r="F18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3" s="28" t="str">
        <x:v>Пряность дозировать как акцент: она быстро перекрывает тонкие ягодные эфиры.</x:v>
      </x:c>
      <x:c r="I18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83" s="28" t="str">
        <x:v>Средняя</x:v>
      </x:c>
      <x:c r="K183" s="28" t="str">
        <x:v>The Art &amp; Science of Foodpairing</x:v>
      </x:c>
      <x:c r="L183" s="28" t="str">
        <x:v>The Art &amp; Science of Foodpairing: 71</x:v>
      </x:c>
    </x:row>
    <x:row r="184" ht="62" customHeight="1">
      <x:c r="A184" s="28" t="str">
        <x:v>BER-0439</x:v>
      </x:c>
      <x:c r="B184" s="28" t="str">
        <x:v>клубника</x:v>
      </x:c>
      <x:c r="C184" s="28" t="str">
        <x:v>смородина</x:v>
      </x:c>
      <x:c r="D184" s="28" t="str">
        <x:v>Ягоды и производные</x:v>
      </x:c>
      <x:c r="E184" s="28" t="str">
        <x:v>сходство ароматических семейств + комплементарность</x:v>
      </x:c>
      <x:c r="F184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тёмно-фруктовый, цветочный. Оба компонента формируют сладко-кислый и кисло-сладкий, терпкий контур; сахар, кислота и горечь должны быть выровнены дегустацией. Ягода: высокая доля воды; аромат чувствителен к перегреву. Партнёр: профиль зависит от вида смородины.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84" s="28" t="str">
        <x:v>Средняя</x:v>
      </x:c>
      <x:c r="K184" s="28" t="str">
        <x:v>Таблица сочетаний</x:v>
      </x:c>
      <x:c r="L184" s="28" t="str">
        <x:v>Таблица сочетаний: 20</x:v>
      </x:c>
    </x:row>
    <x:row r="185" ht="62" customHeight="1">
      <x:c r="A185" s="28" t="str">
        <x:v>BER-0445</x:v>
      </x:c>
      <x:c r="B185" s="28" t="str">
        <x:v>клубника</x:v>
      </x:c>
      <x:c r="C185" s="28" t="str">
        <x:v>тимьян</x:v>
      </x:c>
      <x:c r="D185" s="28" t="str">
        <x:v>Травы и цветы</x:v>
      </x:c>
      <x:c r="E185" s="28" t="str">
        <x:v>ароматическое сходство + вкусовой баланс</x:v>
      </x:c>
      <x:c r="F185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85" s="28" t="str">
        <x:v>Средняя</x:v>
      </x:c>
      <x:c r="K185" s="28" t="str">
        <x:v>Таблица сочетаний</x:v>
      </x:c>
      <x:c r="L185" s="28" t="str">
        <x:v>Таблица сочетаний: 20</x:v>
      </x:c>
    </x:row>
    <x:row r="186" ht="62" customHeight="1">
      <x:c r="A186" s="28" t="str">
        <x:v>BER-0451</x:v>
      </x:c>
      <x:c r="B186" s="28" t="str">
        <x:v>клубника</x:v>
      </x:c>
      <x:c r="C186" s="28" t="str">
        <x:v>цветы жасмина</x:v>
      </x:c>
      <x:c r="D186" s="28" t="str">
        <x:v>Травы и цветы</x:v>
      </x:c>
      <x:c r="E186" s="28" t="str">
        <x:v>ароматическое сходство + вкусовой баланс</x:v>
      </x:c>
      <x:c r="F186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86" s="28" t="str">
        <x:v>Средняя</x:v>
      </x:c>
      <x:c r="K186" s="28" t="str">
        <x:v>The Art &amp; Science of Foodpairing</x:v>
      </x:c>
      <x:c r="L186" s="28" t="str">
        <x:v>The Art &amp; Science of Foodpairing: 210</x:v>
      </x:c>
    </x:row>
    <x:row r="187" ht="62" customHeight="1">
      <x:c r="A187" s="28" t="str">
        <x:v>BER-0452</x:v>
      </x:c>
      <x:c r="B187" s="28" t="str">
        <x:v>клубника</x:v>
      </x:c>
      <x:c r="C187" s="28" t="str">
        <x:v>цветы фиалки</x:v>
      </x:c>
      <x:c r="D187" s="28" t="str">
        <x:v>Травы и цветы</x:v>
      </x:c>
      <x:c r="E187" s="28" t="str">
        <x:v>ароматическое сходство + вкусовой баланс</x:v>
      </x:c>
      <x:c r="F187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87" s="28" t="str">
        <x:v>Средняя</x:v>
      </x:c>
      <x:c r="K187" s="28" t="str">
        <x:v>The Art &amp; Science of Foodpairing</x:v>
      </x:c>
      <x:c r="L187" s="28" t="str">
        <x:v>The Art &amp; Science of Foodpairing: 70</x:v>
      </x:c>
    </x:row>
    <x:row r="188" ht="62" customHeight="1">
      <x:c r="A188" s="28" t="str">
        <x:v>BER-0453</x:v>
      </x:c>
      <x:c r="B188" s="28" t="str">
        <x:v>клубника</x:v>
      </x:c>
      <x:c r="C188" s="28" t="str">
        <x:v>цедра горького апельсина</x:v>
      </x:c>
      <x:c r="D188" s="28" t="str">
        <x:v>Цитрусовые</x:v>
      </x:c>
      <x:c r="E188" s="28" t="str">
        <x:v>ароматическое сходство + вкусовой баланс</x:v>
      </x:c>
      <x:c r="F188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8" s="28" t="str">
        <x:v>кордиал, лимонад, чай, коктейль, настой или ферментированный напиток; маринад, гастрик, чатни, кетчуп или редукция</x:v>
      </x:c>
      <x:c r="J188" s="28" t="str">
        <x:v>Средняя</x:v>
      </x:c>
      <x:c r="K188" s="28" t="str">
        <x:v>The Art &amp; Science of Foodpairing</x:v>
      </x:c>
      <x:c r="L188" s="28" t="str">
        <x:v>The Art &amp; Science of Foodpairing: 70</x:v>
      </x:c>
    </x:row>
    <x:row r="189" ht="62" customHeight="1">
      <x:c r="A189" s="28" t="str">
        <x:v>BER-0454</x:v>
      </x:c>
      <x:c r="B189" s="28" t="str">
        <x:v>клубника</x:v>
      </x:c>
      <x:c r="C189" s="28" t="str">
        <x:v>цитрусовые</x:v>
      </x:c>
      <x:c r="D189" s="28" t="str">
        <x:v>Цитрусовые</x:v>
      </x:c>
      <x:c r="E189" s="28" t="str">
        <x:v>ароматическое сходство + вкусовой баланс</x:v>
      </x:c>
      <x:c r="F189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9" s="28" t="str">
        <x:v>кордиал, лимонад, чай, коктейль, настой или ферментированный напиток; маринад, гастрик, чатни, кетчуп или редукция</x:v>
      </x:c>
      <x:c r="J189" s="28" t="str">
        <x:v>Средняя</x:v>
      </x:c>
      <x:c r="K189" s="28" t="str">
        <x:v>Таблица сочетаний</x:v>
      </x:c>
      <x:c r="L189" s="28" t="str">
        <x:v>Таблица сочетаний: 20</x:v>
      </x:c>
    </x:row>
    <x:row r="190" ht="62" customHeight="1">
      <x:c r="A190" s="28" t="str">
        <x:v>BER-0455</x:v>
      </x:c>
      <x:c r="B190" s="28" t="str">
        <x:v>клубника</x:v>
      </x:c>
      <x:c r="C190" s="28" t="str">
        <x:v>черешня</x:v>
      </x:c>
      <x:c r="D190" s="28" t="str">
        <x:v>Ягоды и производные</x:v>
      </x:c>
      <x:c r="E190" s="28" t="str">
        <x:v>сходство ароматических семейств + комплементарность</x:v>
      </x:c>
      <x:c r="F190" s="28" t="str">
        <x:v>Общие ароматические семейства: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миндальный, сладко-фруктовый, цветочный. Оба компонента формируют сладко-кислый и сладкий, умеренно кислый контур; сахар, кислота и горечь должны быть выровнены дегустацией. Ягода: высокая доля воды; аромат чувствителен к перегреву. Партнёр: нежнее кислой вишни; легко становится приторной.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90" s="28" t="str">
        <x:v>Средняя</x:v>
      </x:c>
      <x:c r="K190" s="28" t="str">
        <x:v>The Art &amp; Science of Foodpairing</x:v>
      </x:c>
      <x:c r="L190" s="28" t="str">
        <x:v>The Art &amp; Science of Foodpairing: 71</x:v>
      </x:c>
    </x:row>
    <x:row r="191" ht="62" customHeight="1">
      <x:c r="A191" s="28" t="str">
        <x:v>BER-0456</x:v>
      </x:c>
      <x:c r="B191" s="28" t="str">
        <x:v>клубника</x:v>
      </x:c>
      <x:c r="C191" s="28" t="str">
        <x:v>чёрная смородина</x:v>
      </x:c>
      <x:c r="D191" s="28" t="str">
        <x:v>Ягоды и производные</x:v>
      </x:c>
      <x:c r="E191" s="28" t="str">
        <x:v>сходство ароматических семейств + комплементарность</x:v>
      </x:c>
      <x:c r="F191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листовой, сернистый, тёмно-фруктовый, цветочный. Оба компонента формируют сладко-кислый и ярко-кислый, терпкий контур; сахар, кислота и горечь должны быть выровнены дегустацией. Ягода: высокая доля воды; аромат чувствителен к перегреву. Партнёр: следовые тиолы чрезвычайно мощные; передозировка даёт «кошачий» тон.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91" s="28" t="str">
        <x:v>Средняя</x:v>
      </x:c>
      <x:c r="K191" s="28" t="str">
        <x:v>Таблица сочетаний</x:v>
      </x:c>
      <x:c r="L191" s="28" t="str">
        <x:v>Таблица сочетаний: 2</x:v>
      </x:c>
    </x:row>
    <x:row r="192" ht="62" customHeight="1">
      <x:c r="A192" s="28" t="str">
        <x:v>BER-0457</x:v>
      </x:c>
      <x:c r="B192" s="28" t="str">
        <x:v>клубника</x:v>
      </x:c>
      <x:c r="C192" s="28" t="str">
        <x:v>чёрный перец</x:v>
      </x:c>
      <x:c r="D192" s="28" t="str">
        <x:v>Специи</x:v>
      </x:c>
      <x:c r="E192" s="28" t="str">
        <x:v>контраст/комплементарность + матричный эффект</x:v>
      </x:c>
      <x:c r="F19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2" s="28" t="str">
        <x:v>Пряность дозировать как акцент: она быстро перекрывает тонкие ягодные эфиры.</x:v>
      </x:c>
      <x:c r="I19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92" s="28" t="str">
        <x:v>Высокая</x:v>
      </x:c>
      <x:c r="K192" s="28" t="str">
        <x:v>The Art &amp; Science of Foodpairing; Таблица сочетаний</x:v>
      </x:c>
      <x:c r="L192" s="28" t="str">
        <x:v>The Art &amp; Science of Foodpairing: 273; Таблица сочетаний: 20</x:v>
      </x:c>
    </x:row>
    <x:row r="193" ht="62" customHeight="1">
      <x:c r="A193" s="28" t="str">
        <x:v>BER-0459</x:v>
      </x:c>
      <x:c r="B193" s="28" t="str">
        <x:v>клубника</x:v>
      </x:c>
      <x:c r="C193" s="28" t="str">
        <x:v>чили ахи мирасоль</x:v>
      </x:c>
      <x:c r="D193" s="28" t="str">
        <x:v>Специи</x:v>
      </x:c>
      <x:c r="E193" s="28" t="str">
        <x:v>контраст/комплементарность + матричный эффект</x:v>
      </x:c>
      <x:c r="F19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3" s="28" t="str">
        <x:v>Пряность дозировать как акцент: она быстро перекрывает тонкие ягодные эфиры.</x:v>
      </x:c>
      <x:c r="I19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93" s="28" t="str">
        <x:v>Средняя</x:v>
      </x:c>
      <x:c r="K193" s="28" t="str">
        <x:v>The Art &amp; Science of Foodpairing</x:v>
      </x:c>
      <x:c r="L193" s="28" t="str">
        <x:v>The Art &amp; Science of Foodpairing: 70</x:v>
      </x:c>
    </x:row>
    <x:row r="194" ht="62" customHeight="1">
      <x:c r="A194" s="28" t="str">
        <x:v>BER-0460</x:v>
      </x:c>
      <x:c r="B194" s="28" t="str">
        <x:v>клубника</x:v>
      </x:c>
      <x:c r="C194" s="28" t="str">
        <x:v>шалфей</x:v>
      </x:c>
      <x:c r="D194" s="28" t="str">
        <x:v>Травы и цветы</x:v>
      </x:c>
      <x:c r="E194" s="28" t="str">
        <x:v>ароматическое сходство + вкусовой баланс</x:v>
      </x:c>
      <x:c r="F194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94" s="28" t="str">
        <x:v>Средняя</x:v>
      </x:c>
      <x:c r="K194" s="28" t="str">
        <x:v>Таблица сочетаний</x:v>
      </x:c>
      <x:c r="L194" s="28" t="str">
        <x:v>Таблица сочетаний: 20</x:v>
      </x:c>
    </x:row>
    <x:row r="195" ht="62" customHeight="1">
      <x:c r="A195" s="28" t="str">
        <x:v>BER-0462</x:v>
      </x:c>
      <x:c r="B195" s="28" t="str">
        <x:v>клубника</x:v>
      </x:c>
      <x:c r="C195" s="28" t="str">
        <x:v>шафран</x:v>
      </x:c>
      <x:c r="D195" s="28" t="str">
        <x:v>Специи</x:v>
      </x:c>
      <x:c r="E195" s="28" t="str">
        <x:v>контраст/комплементарность + матричный эффект</x:v>
      </x:c>
      <x:c r="F19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5" s="28" t="str">
        <x:v>Пряность дозировать как акцент: она быстро перекрывает тонкие ягодные эфиры.</x:v>
      </x:c>
      <x:c r="I19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95" s="28" t="str">
        <x:v>Средняя</x:v>
      </x:c>
      <x:c r="K195" s="28" t="str">
        <x:v>The Art &amp; Science of Foodpairing</x:v>
      </x:c>
      <x:c r="L195" s="28" t="str">
        <x:v>The Art &amp; Science of Foodpairing: 70</x:v>
      </x:c>
    </x:row>
    <x:row r="196" ht="62" customHeight="1">
      <x:c r="A196" s="28" t="str">
        <x:v>BER-0465</x:v>
      </x:c>
      <x:c r="B196" s="28" t="str">
        <x:v>клубника</x:v>
      </x:c>
      <x:c r="C196" s="28" t="str">
        <x:v>эстрагон</x:v>
      </x:c>
      <x:c r="D196" s="28" t="str">
        <x:v>Травы и цветы</x:v>
      </x:c>
      <x:c r="E196" s="28" t="str">
        <x:v>ароматическое сходство + вкусовой баланс</x:v>
      </x:c>
      <x:c r="F196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96" s="28" t="str">
        <x:v>Средняя</x:v>
      </x:c>
      <x:c r="K196" s="28" t="str">
        <x:v>The Art &amp; Science of Foodpairing</x:v>
      </x:c>
      <x:c r="L196" s="28" t="str">
        <x:v>The Art &amp; Science of Foodpairing: 70</x:v>
      </x:c>
    </x:row>
    <x:row r="197" ht="62" customHeight="1">
      <x:c r="A197" s="28" t="str">
        <x:v>BER-0466</x:v>
      </x:c>
      <x:c r="B197" s="28" t="str">
        <x:v>клубника</x:v>
      </x:c>
      <x:c r="C197" s="28" t="str">
        <x:v>яблоко</x:v>
      </x:c>
      <x:c r="D197" s="28" t="str">
        <x:v>Фрукты</x:v>
      </x:c>
      <x:c r="E197" s="28" t="str">
        <x:v>сходство ароматических семейств + комплементарность</x:v>
      </x:c>
      <x:c r="F197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97" s="28" t="str">
        <x:v>Средняя</x:v>
      </x:c>
      <x:c r="K197" s="28" t="str">
        <x:v>The Art &amp; Science of Foodpairing</x:v>
      </x:c>
      <x:c r="L197" s="28" t="str">
        <x:v>The Art &amp; Science of Foodpairing: 48, 49</x:v>
      </x:c>
    </x:row>
    <x:row r="198" ht="62" customHeight="1">
      <x:c r="A198" s="28" t="str">
        <x:v>BER-0467</x:v>
      </x:c>
      <x:c r="B198" s="28" t="str">
        <x:v>клубника</x:v>
      </x:c>
      <x:c r="C198" s="28" t="str">
        <x:v>яблоко Pink Lady</x:v>
      </x:c>
      <x:c r="D198" s="28" t="str">
        <x:v>Фрукты</x:v>
      </x:c>
      <x:c r="E198" s="28" t="str">
        <x:v>сходство ароматических семейств + комплементарность</x:v>
      </x:c>
      <x:c r="F198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98" s="28" t="str">
        <x:v>Средняя</x:v>
      </x:c>
      <x:c r="K198" s="28" t="str">
        <x:v>The Art &amp; Science of Foodpairing</x:v>
      </x:c>
      <x:c r="L198" s="28" t="str">
        <x:v>The Art &amp; Science of Foodpairing: 70</x:v>
      </x:c>
    </x:row>
    <x:row r="199" ht="62" customHeight="1">
      <x:c r="A199" s="28" t="str">
        <x:v>BER-0472</x:v>
      </x:c>
      <x:c r="B199" s="28" t="str">
        <x:v>клубника сорта Mara des Bois</x:v>
      </x:c>
      <x:c r="C199" s="28" t="str">
        <x:v>груша</x:v>
      </x:c>
      <x:c r="D199" s="28" t="str">
        <x:v>Фрукты</x:v>
      </x:c>
      <x:c r="E199" s="28" t="str">
        <x:v>сходство ароматических семейств + комплементарность</x:v>
      </x:c>
      <x:c r="F199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99" s="28" t="str">
        <x:v>Средняя</x:v>
      </x:c>
      <x:c r="K199" s="28" t="str">
        <x:v>The Art &amp; Science of Foodpairing</x:v>
      </x:c>
      <x:c r="L199" s="28" t="str">
        <x:v>The Art &amp; Science of Foodpairing: 350</x:v>
      </x:c>
    </x:row>
    <x:row r="200" ht="62" customHeight="1">
      <x:c r="A200" s="28" t="str">
        <x:v>BER-0477</x:v>
      </x:c>
      <x:c r="B200" s="28" t="str">
        <x:v>клюква</x:v>
      </x:c>
      <x:c r="C200" s="28" t="str">
        <x:v>ананас</x:v>
      </x:c>
      <x:c r="D200" s="28" t="str">
        <x:v>Фрукты</x:v>
      </x:c>
      <x:c r="E200" s="28" t="str">
        <x:v>ароматическое сходство + вкусовой баланс</x:v>
      </x:c>
      <x:c r="F200" s="28" t="str">
        <x:v>Прямой вероятный молекулярный мост: терпены,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очень кислый, терпкий и сладко-кислый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00" s="28" t="str">
        <x:v>Средняя</x:v>
      </x:c>
      <x:c r="K200" s="28" t="str">
        <x:v>The Art &amp; Science of Foodpairing</x:v>
      </x:c>
      <x:c r="L200" s="28" t="str">
        <x:v>The Art &amp; Science of Foodpairing: 243</x:v>
      </x:c>
    </x:row>
    <x:row r="201" ht="62" customHeight="1">
      <x:c r="A201" s="28" t="str">
        <x:v>BER-0478</x:v>
      </x:c>
      <x:c r="B201" s="28" t="str">
        <x:v>клюква</x:v>
      </x:c>
      <x:c r="C201" s="28" t="str">
        <x:v>апельсин</x:v>
      </x:c>
      <x:c r="D201" s="28" t="str">
        <x:v>Цитрусовые</x:v>
      </x:c>
      <x:c r="E201" s="28" t="str">
        <x:v>сходство ароматических семейств + комплементарность</x:v>
      </x:c>
      <x:c r="F201" s="28" t="str">
        <x:v>Общие ароматические семейства: зелёный; конкретная доля одорантов зависит от сорта и обработки. Ягодный компонент несёт семейства древесный, зелёный, кислый, красно-фруктовый; партнёр — зелёный, цветочный, цитрусовый. Оба компонента формируют очень кислый, терпкий и кислый, свежий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1" s="28" t="str">
        <x:v>кордиал, лимонад, чай, коктейль, настой или ферментированный напиток; маринад, гастрик, чатни, кетчуп или редукция</x:v>
      </x:c>
      <x:c r="J201" s="28" t="str">
        <x:v>Средняя</x:v>
      </x:c>
      <x:c r="K201" s="28" t="str">
        <x:v>Таблица сочетаний</x:v>
      </x:c>
      <x:c r="L201" s="28" t="str">
        <x:v>Таблица сочетаний: 6</x:v>
      </x:c>
    </x:row>
    <x:row r="202" ht="62" customHeight="1">
      <x:c r="A202" s="28" t="str">
        <x:v>BER-0479</x:v>
      </x:c>
      <x:c r="B202" s="28" t="str">
        <x:v>клюква</x:v>
      </x:c>
      <x:c r="C202" s="28" t="str">
        <x:v>арбуз</x:v>
      </x:c>
      <x:c r="D202" s="28" t="str">
        <x:v>Фрукты</x:v>
      </x:c>
      <x:c r="E202" s="28" t="str">
        <x:v>ароматическое сходство + вкусовой баланс</x:v>
      </x:c>
      <x:c r="F202" s="28" t="str">
        <x:v>Прямой вероятный молекулярный мост: терпены,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очень кислый, терпкий и сладко-кислый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02" s="28" t="str">
        <x:v>Средняя</x:v>
      </x:c>
      <x:c r="K202" s="28" t="str">
        <x:v>Таблица сочетаний</x:v>
      </x:c>
      <x:c r="L202" s="28" t="str">
        <x:v>Таблица сочетаний: 22</x:v>
      </x:c>
    </x:row>
    <x:row r="203" ht="62" customHeight="1">
      <x:c r="A203" s="28" t="str">
        <x:v>BER-0481</x:v>
      </x:c>
      <x:c r="B203" s="28" t="str">
        <x:v>клюква</x:v>
      </x:c>
      <x:c r="C203" s="28" t="str">
        <x:v>гвоздика</x:v>
      </x:c>
      <x:c r="D203" s="28" t="str">
        <x:v>Специи</x:v>
      </x:c>
      <x:c r="E203" s="28" t="str">
        <x:v>ароматическое сходство + вкусовой баланс</x:v>
      </x:c>
      <x:c r="F203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3" s="28" t="str">
        <x:v>Пряность дозировать как акцент: она быстро перекрывает тонкие ягодные эфиры.</x:v>
      </x:c>
      <x:c r="I20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03" s="28" t="str">
        <x:v>Средняя</x:v>
      </x:c>
      <x:c r="K203" s="28" t="str">
        <x:v>Таблица сочетаний</x:v>
      </x:c>
      <x:c r="L203" s="28" t="str">
        <x:v>Таблица сочетаний: 6</x:v>
      </x:c>
    </x:row>
    <x:row r="204" ht="62" customHeight="1">
      <x:c r="A204" s="28" t="str">
        <x:v>BER-0483</x:v>
      </x:c>
      <x:c r="B204" s="28" t="str">
        <x:v>клюква</x:v>
      </x:c>
      <x:c r="C204" s="28" t="str">
        <x:v>гранат</x:v>
      </x:c>
      <x:c r="D204" s="28" t="str">
        <x:v>Фрукты</x:v>
      </x:c>
      <x:c r="E204" s="28" t="str">
        <x:v>ароматическое сходство + вкусовой баланс</x:v>
      </x:c>
      <x:c r="F204" s="28" t="str">
        <x:v>Прямой вероятный молекулярный мост: терпены,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очень кислый, терпкий и сладко-кислый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04" s="28" t="str">
        <x:v>Средняя</x:v>
      </x:c>
      <x:c r="K204" s="28" t="str">
        <x:v>Таблица сочетаний</x:v>
      </x:c>
      <x:c r="L204" s="28" t="str">
        <x:v>Таблица сочетаний: 17</x:v>
      </x:c>
    </x:row>
    <x:row r="205" ht="62" customHeight="1">
      <x:c r="A205" s="28" t="str">
        <x:v>BER-0485</x:v>
      </x:c>
      <x:c r="B205" s="28" t="str">
        <x:v>клюква</x:v>
      </x:c>
      <x:c r="C205" s="28" t="str">
        <x:v>груша</x:v>
      </x:c>
      <x:c r="D205" s="28" t="str">
        <x:v>Фрукты</x:v>
      </x:c>
      <x:c r="E205" s="28" t="str">
        <x:v>ароматическое сходство + вкусовой баланс</x:v>
      </x:c>
      <x:c r="F205" s="28" t="str">
        <x:v>Прямой вероятный молекулярный мост: терпены,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очень кислый, терпкий и сладко-кислый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05" s="28" t="str">
        <x:v>Высокая</x:v>
      </x:c>
      <x:c r="K205" s="28" t="str">
        <x:v>The Art &amp; Science of Foodpairing; Таблица сочетаний</x:v>
      </x:c>
      <x:c r="L205" s="28" t="str">
        <x:v>The Art &amp; Science of Foodpairing: 351; Таблица сочетаний: 6, 16</x:v>
      </x:c>
    </x:row>
    <x:row r="206" ht="62" customHeight="1">
      <x:c r="A206" s="28" t="str">
        <x:v>BER-0486</x:v>
      </x:c>
      <x:c r="B206" s="28" t="str">
        <x:v>клюква</x:v>
      </x:c>
      <x:c r="C206" s="28" t="str">
        <x:v>имбирь</x:v>
      </x:c>
      <x:c r="D206" s="28" t="str">
        <x:v>Специи</x:v>
      </x:c>
      <x:c r="E206" s="28" t="str">
        <x:v>ароматическое сходство + вкусовой баланс</x:v>
      </x:c>
      <x:c r="F206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6" s="28" t="str">
        <x:v>Пряность дозировать как акцент: она быстро перекрывает тонкие ягодные эфиры.</x:v>
      </x:c>
      <x:c r="I20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06" s="28" t="str">
        <x:v>Средняя</x:v>
      </x:c>
      <x:c r="K206" s="28" t="str">
        <x:v>Таблица сочетаний</x:v>
      </x:c>
      <x:c r="L206" s="28" t="str">
        <x:v>Таблица сочетаний: 6</x:v>
      </x:c>
    </x:row>
    <x:row r="207" ht="62" customHeight="1">
      <x:c r="A207" s="28" t="str">
        <x:v>BER-0488</x:v>
      </x:c>
      <x:c r="B207" s="28" t="str">
        <x:v>клюква</x:v>
      </x:c>
      <x:c r="C207" s="28" t="str">
        <x:v>кардамон</x:v>
      </x:c>
      <x:c r="D207" s="28" t="str">
        <x:v>Специи</x:v>
      </x:c>
      <x:c r="E207" s="28" t="str">
        <x:v>ароматическое сходство + вкусовой баланс</x:v>
      </x:c>
      <x:c r="F207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7" s="28" t="str">
        <x:v>Пряность дозировать как акцент: она быстро перекрывает тонкие ягодные эфиры.</x:v>
      </x:c>
      <x:c r="I20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07" s="28" t="str">
        <x:v>Средняя</x:v>
      </x:c>
      <x:c r="K207" s="28" t="str">
        <x:v>Таблица сочетаний</x:v>
      </x:c>
      <x:c r="L207" s="28" t="str">
        <x:v>Таблица сочетаний: 6</x:v>
      </x:c>
    </x:row>
    <x:row r="208" ht="62" customHeight="1">
      <x:c r="A208" s="28" t="str">
        <x:v>BER-0491</x:v>
      </x:c>
      <x:c r="B208" s="28" t="str">
        <x:v>клюква</x:v>
      </x:c>
      <x:c r="C208" s="28" t="str">
        <x:v>корица</x:v>
      </x:c>
      <x:c r="D208" s="28" t="str">
        <x:v>Специи</x:v>
      </x:c>
      <x:c r="E208" s="28" t="str">
        <x:v>ароматическое сходство + вкусовой баланс</x:v>
      </x:c>
      <x:c r="F208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8" s="28" t="str">
        <x:v>Пряность дозировать как акцент: она быстро перекрывает тонкие ягодные эфиры.</x:v>
      </x:c>
      <x:c r="I20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08" s="28" t="str">
        <x:v>Высокая</x:v>
      </x:c>
      <x:c r="K208" s="28" t="str">
        <x:v>The Art &amp; Science of Foodpairing; Таблица сочетаний</x:v>
      </x:c>
      <x:c r="L208" s="28" t="str">
        <x:v>The Art &amp; Science of Foodpairing: 130, 131; Таблица сочетаний: 6</x:v>
      </x:c>
    </x:row>
    <x:row r="209" ht="62" customHeight="1">
      <x:c r="A209" s="28" t="str">
        <x:v>BER-0492</x:v>
      </x:c>
      <x:c r="B209" s="28" t="str">
        <x:v>клюква</x:v>
      </x:c>
      <x:c r="C209" s="28" t="str">
        <x:v>лайм</x:v>
      </x:c>
      <x:c r="D209" s="28" t="str">
        <x:v>Цитрусовые</x:v>
      </x:c>
      <x:c r="E209" s="28" t="str">
        <x:v>сходство ароматических семейств + комплементарность</x:v>
      </x:c>
      <x:c r="F209" s="28" t="str">
        <x:v>Общие ароматические семейства: зелёный; конкретная доля одорантов зависит от сорта и обработки. Ягодный компонент несёт семейства древесный, зелёный, кислый, красно-фруктовый; партнёр — зелёный, цветочный, цитрусовый. Оба компонента формируют очень кислый, терпкий и кислый, свежий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9" s="28" t="str">
        <x:v>кордиал, лимонад, чай, коктейль, настой или ферментированный напиток; маринад, гастрик, чатни, кетчуп или редукция</x:v>
      </x:c>
      <x:c r="J209" s="28" t="str">
        <x:v>Средняя</x:v>
      </x:c>
      <x:c r="K209" s="28" t="str">
        <x:v>Таблица сочетаний</x:v>
      </x:c>
      <x:c r="L209" s="28" t="str">
        <x:v>Таблица сочетаний: 6</x:v>
      </x:c>
    </x:row>
    <x:row r="210" ht="62" customHeight="1">
      <x:c r="A210" s="28" t="str">
        <x:v>BER-0493</x:v>
      </x:c>
      <x:c r="B210" s="28" t="str">
        <x:v>клюква</x:v>
      </x:c>
      <x:c r="C210" s="28" t="str">
        <x:v>лимон</x:v>
      </x:c>
      <x:c r="D210" s="28" t="str">
        <x:v>Цитрусовые</x:v>
      </x:c>
      <x:c r="E210" s="28" t="str">
        <x:v>сходство ароматических семейств + комплементарность</x:v>
      </x:c>
      <x:c r="F210" s="28" t="str">
        <x:v>Общие ароматические семейства: зелёный; конкретная доля одорантов зависит от сорта и обработки. Ягодный компонент несёт семейства древесный, зелёный, кислый, красно-фруктовый; партнёр — зелёный, цветочный, цитрусовый. Оба компонента формируют очень кислый, терпкий и кислый, свежий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0" s="28" t="str">
        <x:v>кордиал, лимонад, чай, коктейль, настой или ферментированный напиток; маринад, гастрик, чатни, кетчуп или редукция</x:v>
      </x:c>
      <x:c r="J210" s="28" t="str">
        <x:v>Средняя</x:v>
      </x:c>
      <x:c r="K210" s="28" t="str">
        <x:v>Таблица сочетаний</x:v>
      </x:c>
      <x:c r="L210" s="28" t="str">
        <x:v>Таблица сочетаний: 6</x:v>
      </x:c>
    </x:row>
    <x:row r="211" ht="62" customHeight="1">
      <x:c r="A211" s="28" t="str">
        <x:v>BER-0499</x:v>
      </x:c>
      <x:c r="B211" s="28" t="str">
        <x:v>клюква</x:v>
      </x:c>
      <x:c r="C211" s="28" t="str">
        <x:v>мята</x:v>
      </x:c>
      <x:c r="D211" s="28" t="str">
        <x:v>Травы и цветы</x:v>
      </x:c>
      <x:c r="E211" s="28" t="str">
        <x:v>ароматическое сходство + вкусовой баланс</x:v>
      </x:c>
      <x:c r="F211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11" s="28" t="str">
        <x:v>Средняя</x:v>
      </x:c>
      <x:c r="K211" s="28" t="str">
        <x:v>Таблица сочетаний</x:v>
      </x:c>
      <x:c r="L211" s="28" t="str">
        <x:v>Таблица сочетаний: 6</x:v>
      </x:c>
    </x:row>
    <x:row r="212" ht="62" customHeight="1">
      <x:c r="A212" s="28" t="str">
        <x:v>BER-0501</x:v>
      </x:c>
      <x:c r="B212" s="28" t="str">
        <x:v>клюква</x:v>
      </x:c>
      <x:c r="C212" s="28" t="str">
        <x:v>перец чили</x:v>
      </x:c>
      <x:c r="D212" s="28" t="str">
        <x:v>Специи</x:v>
      </x:c>
      <x:c r="E212" s="28" t="str">
        <x:v>ароматическое сходство + вкусовой баланс</x:v>
      </x:c>
      <x:c r="F212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2" s="28" t="str">
        <x:v>Пряность дозировать как акцент: она быстро перекрывает тонкие ягодные эфиры.</x:v>
      </x:c>
      <x:c r="I21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12" s="28" t="str">
        <x:v>Средняя</x:v>
      </x:c>
      <x:c r="K212" s="28" t="str">
        <x:v>The Art &amp; Science of Foodpairing</x:v>
      </x:c>
      <x:c r="L212" s="28" t="str">
        <x:v>The Art &amp; Science of Foodpairing: 95</x:v>
      </x:c>
    </x:row>
    <x:row r="213" ht="62" customHeight="1">
      <x:c r="A213" s="28" t="str">
        <x:v>BER-0502</x:v>
      </x:c>
      <x:c r="B213" s="28" t="str">
        <x:v>клюква</x:v>
      </x:c>
      <x:c r="C213" s="28" t="str">
        <x:v>персик</x:v>
      </x:c>
      <x:c r="D213" s="28" t="str">
        <x:v>Фрукты</x:v>
      </x:c>
      <x:c r="E213" s="28" t="str">
        <x:v>ароматическое сходство + вкусовой баланс</x:v>
      </x:c>
      <x:c r="F213" s="28" t="str">
        <x:v>Прямой вероятный молекулярный мост: терпены,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очень кислый, терпкий и сладко-кислый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13" s="28" t="str">
        <x:v>Средняя</x:v>
      </x:c>
      <x:c r="K213" s="28" t="str">
        <x:v>Таблица сочетаний</x:v>
      </x:c>
      <x:c r="L213" s="28" t="str">
        <x:v>Таблица сочетаний: 6</x:v>
      </x:c>
    </x:row>
    <x:row r="214" ht="62" customHeight="1">
      <x:c r="A214" s="28" t="str">
        <x:v>BER-0503</x:v>
      </x:c>
      <x:c r="B214" s="28" t="str">
        <x:v>клюква</x:v>
      </x:c>
      <x:c r="C214" s="28" t="str">
        <x:v>розмарин</x:v>
      </x:c>
      <x:c r="D214" s="28" t="str">
        <x:v>Травы и цветы</x:v>
      </x:c>
      <x:c r="E214" s="28" t="str">
        <x:v>ароматическое сходство + вкусовой баланс</x:v>
      </x:c>
      <x:c r="F214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14" s="28" t="str">
        <x:v>Средняя</x:v>
      </x:c>
      <x:c r="K214" s="28" t="str">
        <x:v>Таблица сочетаний</x:v>
      </x:c>
      <x:c r="L214" s="28" t="str">
        <x:v>Таблица сочетаний: 19</x:v>
      </x:c>
    </x:row>
    <x:row r="215" ht="62" customHeight="1">
      <x:c r="A215" s="28" t="str">
        <x:v>BER-0508</x:v>
      </x:c>
      <x:c r="B215" s="28" t="str">
        <x:v>клюква</x:v>
      </x:c>
      <x:c r="C215" s="28" t="str">
        <x:v>фиалка</x:v>
      </x:c>
      <x:c r="D215" s="28" t="str">
        <x:v>Травы и цветы</x:v>
      </x:c>
      <x:c r="E215" s="28" t="str">
        <x:v>ароматическое сходство + вкусовой баланс</x:v>
      </x:c>
      <x:c r="F215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15" s="28" t="str">
        <x:v>Средняя</x:v>
      </x:c>
      <x:c r="K215" s="28" t="str">
        <x:v>Таблица сочетаний</x:v>
      </x:c>
      <x:c r="L215" s="28" t="str">
        <x:v>Таблица сочетаний: 21</x:v>
      </x:c>
    </x:row>
    <x:row r="216" ht="62" customHeight="1">
      <x:c r="A216" s="28" t="str">
        <x:v>BER-0514</x:v>
      </x:c>
      <x:c r="B216" s="28" t="str">
        <x:v>клюква</x:v>
      </x:c>
      <x:c r="C216" s="28" t="str">
        <x:v>шалфей</x:v>
      </x:c>
      <x:c r="D216" s="28" t="str">
        <x:v>Травы и цветы</x:v>
      </x:c>
      <x:c r="E216" s="28" t="str">
        <x:v>ароматическое сходство + вкусовой баланс</x:v>
      </x:c>
      <x:c r="F216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16" s="28" t="str">
        <x:v>Средняя</x:v>
      </x:c>
      <x:c r="K216" s="28" t="str">
        <x:v>Таблица сочетаний</x:v>
      </x:c>
      <x:c r="L216" s="28" t="str">
        <x:v>Таблица сочетаний: 6</x:v>
      </x:c>
    </x:row>
    <x:row r="217" ht="62" customHeight="1">
      <x:c r="A217" s="28" t="str">
        <x:v>BER-0516</x:v>
      </x:c>
      <x:c r="B217" s="28" t="str">
        <x:v>клюква</x:v>
      </x:c>
      <x:c r="C217" s="28" t="str">
        <x:v>яблоко</x:v>
      </x:c>
      <x:c r="D217" s="28" t="str">
        <x:v>Фрукты</x:v>
      </x:c>
      <x:c r="E217" s="28" t="str">
        <x:v>ароматическое сходство + вкусовой баланс</x:v>
      </x:c>
      <x:c r="F217" s="28" t="str">
        <x:v>Прямой вероятный молекулярный мост: терпены,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очень кислый, терпкий и сладко-кислый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17" s="28" t="str">
        <x:v>Средняя</x:v>
      </x:c>
      <x:c r="K217" s="28" t="str">
        <x:v>Таблица сочетаний</x:v>
      </x:c>
      <x:c r="L217" s="28" t="str">
        <x:v>Таблица сочетаний: 1, 6</x:v>
      </x:c>
    </x:row>
    <x:row r="218" ht="62" customHeight="1">
      <x:c r="A218" s="28" t="str">
        <x:v>BER-0517</x:v>
      </x:c>
      <x:c r="B218" s="28" t="str">
        <x:v>клюквенный сок</x:v>
      </x:c>
      <x:c r="C218" s="28" t="str">
        <x:v>базилик</x:v>
      </x:c>
      <x:c r="D218" s="28" t="str">
        <x:v>Травы и цветы</x:v>
      </x:c>
      <x:c r="E218" s="28" t="str">
        <x:v>контраст/комплементарность + матричный эффект</x:v>
      </x:c>
      <x:c r="F21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18" s="28" t="str">
        <x:v>Средняя</x:v>
      </x:c>
      <x:c r="K218" s="28" t="str">
        <x:v>The Art &amp; Science of Foodpairing</x:v>
      </x:c>
      <x:c r="L218" s="28" t="str">
        <x:v>The Art &amp; Science of Foodpairing: 74</x:v>
      </x:c>
    </x:row>
    <x:row r="219" ht="62" customHeight="1">
      <x:c r="A219" s="28" t="str">
        <x:v>BER-0520</x:v>
      </x:c>
      <x:c r="B219" s="28" t="str">
        <x:v>клюквенный сок</x:v>
      </x:c>
      <x:c r="C219" s="28" t="str">
        <x:v>кардамон</x:v>
      </x:c>
      <x:c r="D219" s="28" t="str">
        <x:v>Специи</x:v>
      </x:c>
      <x:c r="E219" s="28" t="str">
        <x:v>контраст/комплементарность + матричный эффект</x:v>
      </x:c>
      <x:c r="F21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9" s="28" t="str">
        <x:v>Пряность дозировать как акцент: она быстро перекрывает тонкие ягодные эфиры.</x:v>
      </x:c>
      <x:c r="I21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19" s="28" t="str">
        <x:v>Средняя</x:v>
      </x:c>
      <x:c r="K219" s="28" t="str">
        <x:v>The Art &amp; Science of Foodpairing</x:v>
      </x:c>
      <x:c r="L219" s="28" t="str">
        <x:v>The Art &amp; Science of Foodpairing: 256</x:v>
      </x:c>
    </x:row>
    <x:row r="220" ht="62" customHeight="1">
      <x:c r="A220" s="28" t="str">
        <x:v>BER-0521</x:v>
      </x:c>
      <x:c r="B220" s="28" t="str">
        <x:v>красная смородина</x:v>
      </x:c>
      <x:c r="C220" s="28" t="str">
        <x:v>чёрный перец</x:v>
      </x:c>
      <x:c r="D220" s="28" t="str">
        <x:v>Специи</x:v>
      </x:c>
      <x:c r="E220" s="28" t="str">
        <x:v>ароматическое сходство + вкусовой баланс</x:v>
      </x:c>
      <x:c r="F220" s="28" t="str">
        <x:v>Прямой вероятный молекулярный мост: терпены. Ягодный компонент несёт семейства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0" s="28" t="str">
        <x:v>Пряность дозировать как акцент: она быстро перекрывает тонкие ягодные эфиры.</x:v>
      </x:c>
      <x:c r="I22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20" s="28" t="str">
        <x:v>Средняя</x:v>
      </x:c>
      <x:c r="K220" s="28" t="str">
        <x:v>The Art &amp; Science of Foodpairing</x:v>
      </x:c>
      <x:c r="L220" s="28" t="str">
        <x:v>The Art &amp; Science of Foodpairing: 275</x:v>
      </x:c>
    </x:row>
    <x:row r="221" ht="62" customHeight="1">
      <x:c r="A221" s="28" t="str">
        <x:v>BER-0523</x:v>
      </x:c>
      <x:c r="B221" s="28" t="str">
        <x:v>крыжовник</x:v>
      </x:c>
      <x:c r="C221" s="28" t="str">
        <x:v>имбирь</x:v>
      </x:c>
      <x:c r="D221" s="28" t="str">
        <x:v>Специи</x:v>
      </x:c>
      <x:c r="E221" s="28" t="str">
        <x:v>контраст/комплементарность + матричный эффект</x:v>
      </x:c>
      <x:c r="F22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кислый, травянистый, тропический;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1" s="28" t="str">
        <x:v>Пряность дозировать как акцент: она быстро перекрывает тонкие ягодные эфиры.</x:v>
      </x:c>
      <x:c r="I22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21" s="28" t="str">
        <x:v>Средняя</x:v>
      </x:c>
      <x:c r="K221" s="28" t="str">
        <x:v>Таблица сочетаний</x:v>
      </x:c>
      <x:c r="L221" s="28" t="str">
        <x:v>Таблица сочетаний: 8</x:v>
      </x:c>
    </x:row>
    <x:row r="222" ht="62" customHeight="1">
      <x:c r="A222" s="28" t="str">
        <x:v>BER-0524</x:v>
      </x:c>
      <x:c r="B222" s="28" t="str">
        <x:v>крыжовник</x:v>
      </x:c>
      <x:c r="C222" s="28" t="str">
        <x:v>лайм</x:v>
      </x:c>
      <x:c r="D222" s="28" t="str">
        <x:v>Цитрусовые</x:v>
      </x:c>
      <x:c r="E222" s="28" t="str">
        <x:v>сходство ароматических семейств + комплементарность</x:v>
      </x:c>
      <x:c r="F222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цветочный, цитрусовый. Оба компонента формируют ярко-кислый и кислый, свежий контур; сахар, кислота и горечь должны быть выровнены дегустацией. Ягода: незрелый плод даёт более травянистый профиль.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2" s="28" t="str">
        <x:v>кордиал, лимонад, чай, коктейль, настой или ферментированный напиток; маринад, гастрик, чатни, кетчуп или редукция</x:v>
      </x:c>
      <x:c r="J222" s="28" t="str">
        <x:v>Средняя</x:v>
      </x:c>
      <x:c r="K222" s="28" t="str">
        <x:v>Таблица сочетаний</x:v>
      </x:c>
      <x:c r="L222" s="28" t="str">
        <x:v>Таблица сочетаний: 8</x:v>
      </x:c>
    </x:row>
    <x:row r="223" ht="62" customHeight="1">
      <x:c r="A223" s="28" t="str">
        <x:v>BER-0525</x:v>
      </x:c>
      <x:c r="B223" s="28" t="str">
        <x:v>крыжовник</x:v>
      </x:c>
      <x:c r="C223" s="28" t="str">
        <x:v>лимон</x:v>
      </x:c>
      <x:c r="D223" s="28" t="str">
        <x:v>Цитрусовые</x:v>
      </x:c>
      <x:c r="E223" s="28" t="str">
        <x:v>сходство ароматических семейств + комплементарность</x:v>
      </x:c>
      <x:c r="F223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цветочный, цитрусовый. Оба компонента формируют ярко-кислый и кислый, свежий контур; сахар, кислота и горечь должны быть выровнены дегустацией. Ягода: незрелый плод даёт более травянистый профиль.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3" s="28" t="str">
        <x:v>кордиал, лимонад, чай, коктейль, настой или ферментированный напиток; маринад, гастрик, чатни, кетчуп или редукция</x:v>
      </x:c>
      <x:c r="J223" s="28" t="str">
        <x:v>Средняя</x:v>
      </x:c>
      <x:c r="K223" s="28" t="str">
        <x:v>Таблица сочетаний</x:v>
      </x:c>
      <x:c r="L223" s="28" t="str">
        <x:v>Таблица сочетаний: 8</x:v>
      </x:c>
    </x:row>
    <x:row r="224" ht="62" customHeight="1">
      <x:c r="A224" s="28" t="str">
        <x:v>BER-0526</x:v>
      </x:c>
      <x:c r="B224" s="28" t="str">
        <x:v>крыжовник</x:v>
      </x:c>
      <x:c r="C224" s="28" t="str">
        <x:v>лимон и лайм</x:v>
      </x:c>
      <x:c r="D224" s="28" t="str">
        <x:v>Цитрусовые</x:v>
      </x:c>
      <x:c r="E224" s="28" t="str">
        <x:v>сходство ароматических семейств + комплементарность</x:v>
      </x:c>
      <x:c r="F224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цветочный, цитрусовый. Оба компонента формируют ярко-кислый и кислый, свежий контур; сахар, кислота и горечь должны быть выровнены дегустацией. Ягода: незрелый плод даёт более травянистый профиль.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4" s="28" t="str">
        <x:v>кордиал, лимонад, чай, коктейль, настой или ферментированный напиток; маринад, гастрик, чатни, кетчуп или редукция</x:v>
      </x:c>
      <x:c r="J224" s="28" t="str">
        <x:v>Средняя</x:v>
      </x:c>
      <x:c r="K224" s="28" t="str">
        <x:v>The Art &amp; Science of Foodpairing</x:v>
      </x:c>
      <x:c r="L224" s="28" t="str">
        <x:v>The Art &amp; Science of Foodpairing: 88</x:v>
      </x:c>
    </x:row>
    <x:row r="225" ht="62" customHeight="1">
      <x:c r="A225" s="28" t="str">
        <x:v>BER-0528</x:v>
      </x:c>
      <x:c r="B225" s="28" t="str">
        <x:v>крыжовник</x:v>
      </x:c>
      <x:c r="C225" s="28" t="str">
        <x:v>мята</x:v>
      </x:c>
      <x:c r="D225" s="28" t="str">
        <x:v>Травы и цветы</x:v>
      </x:c>
      <x:c r="E225" s="28" t="str">
        <x:v>сходство ароматических семейств + комплементарность</x:v>
      </x:c>
      <x:c r="F225" s="28" t="str">
        <x:v>Общие ароматические семейства: зелёный, травянистый;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25" s="28" t="str">
        <x:v>Средняя</x:v>
      </x:c>
      <x:c r="K225" s="28" t="str">
        <x:v>Таблица сочетаний</x:v>
      </x:c>
      <x:c r="L225" s="28" t="str">
        <x:v>Таблица сочетаний: 8</x:v>
      </x:c>
    </x:row>
    <x:row r="226" ht="62" customHeight="1">
      <x:c r="A226" s="28" t="str">
        <x:v>BER-0530</x:v>
      </x:c>
      <x:c r="B226" s="28" t="str">
        <x:v>крыжовник</x:v>
      </x:c>
      <x:c r="C226" s="28" t="str">
        <x:v>розмарин</x:v>
      </x:c>
      <x:c r="D226" s="28" t="str">
        <x:v>Травы и цветы</x:v>
      </x:c>
      <x:c r="E226" s="28" t="str">
        <x:v>сходство ароматических семейств + комплементарность</x:v>
      </x:c>
      <x:c r="F226" s="28" t="str">
        <x:v>Общие ароматические семейства: зелёный, травянистый;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26" s="28" t="str">
        <x:v>Средняя</x:v>
      </x:c>
      <x:c r="K226" s="28" t="str">
        <x:v>Таблица сочетаний</x:v>
      </x:c>
      <x:c r="L226" s="28" t="str">
        <x:v>Таблица сочетаний: 9</x:v>
      </x:c>
    </x:row>
    <x:row r="227" ht="62" customHeight="1">
      <x:c r="A227" s="28" t="str">
        <x:v>BER-0531</x:v>
      </x:c>
      <x:c r="B227" s="28" t="str">
        <x:v>крыжовник</x:v>
      </x:c>
      <x:c r="C227" s="28" t="str">
        <x:v>тимьян</x:v>
      </x:c>
      <x:c r="D227" s="28" t="str">
        <x:v>Травы и цветы</x:v>
      </x:c>
      <x:c r="E227" s="28" t="str">
        <x:v>сходство ароматических семейств + комплементарность</x:v>
      </x:c>
      <x:c r="F227" s="28" t="str">
        <x:v>Общие ароматические семейства: зелёный, травянистый;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27" s="28" t="str">
        <x:v>Средняя</x:v>
      </x:c>
      <x:c r="K227" s="28" t="str">
        <x:v>Таблица сочетаний</x:v>
      </x:c>
      <x:c r="L227" s="28" t="str">
        <x:v>Таблица сочетаний: 9</x:v>
      </x:c>
    </x:row>
    <x:row r="228" ht="62" customHeight="1">
      <x:c r="A228" s="28" t="str">
        <x:v>BER-0532</x:v>
      </x:c>
      <x:c r="B228" s="28" t="str">
        <x:v>крыжовник</x:v>
      </x:c>
      <x:c r="C228" s="28" t="str">
        <x:v>чёрный перец</x:v>
      </x:c>
      <x:c r="D228" s="28" t="str">
        <x:v>Специи</x:v>
      </x:c>
      <x:c r="E228" s="28" t="str">
        <x:v>контраст/комплементарность + матричный эффект</x:v>
      </x:c>
      <x:c r="F22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кислый, травянистый, тропический;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8" s="28" t="str">
        <x:v>Пряность дозировать как акцент: она быстро перекрывает тонкие ягодные эфиры.</x:v>
      </x:c>
      <x:c r="I22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28" s="28" t="str">
        <x:v>Средняя</x:v>
      </x:c>
      <x:c r="K228" s="28" t="str">
        <x:v>Таблица сочетаний</x:v>
      </x:c>
      <x:c r="L228" s="28" t="str">
        <x:v>Таблица сочетаний: 8</x:v>
      </x:c>
    </x:row>
    <x:row r="229" ht="62" customHeight="1">
      <x:c r="A229" s="28" t="str">
        <x:v>BER-0534</x:v>
      </x:c>
      <x:c r="B229" s="28" t="str">
        <x:v>крыжовник</x:v>
      </x:c>
      <x:c r="C229" s="28" t="str">
        <x:v>яблоко</x:v>
      </x:c>
      <x:c r="D229" s="28" t="str">
        <x:v>Фрукты</x:v>
      </x:c>
      <x:c r="E229" s="28" t="str">
        <x:v>ароматическое сходство + вкусовой баланс</x:v>
      </x:c>
      <x:c r="F229" s="28" t="str">
        <x:v>Прямой вероятный молекулярный мост: эфиры. Ягодный компонент несёт семейства зелёный, кислый, травянистый, тропический; партнёр — зелёный, фруктовый, цветочный. Оба компонента формируют ярко-кислый и сладко-кислый контур; сахар, кислота и горечь должны быть выровнены дегустацией. Ягода: незрелый плод даёт более травянистый профиль.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29" s="28" t="str">
        <x:v>Средняя</x:v>
      </x:c>
      <x:c r="K229" s="28" t="str">
        <x:v>The Art &amp; Science of Foodpairing</x:v>
      </x:c>
      <x:c r="L229" s="28" t="str">
        <x:v>The Art &amp; Science of Foodpairing: 47</x:v>
      </x:c>
    </x:row>
    <x:row r="230" ht="62" customHeight="1">
      <x:c r="A230" s="28" t="str">
        <x:v>BER-0536</x:v>
      </x:c>
      <x:c r="B230" s="28" t="str">
        <x:v>лист чёрной смородины</x:v>
      </x:c>
      <x:c r="C230" s="28" t="str">
        <x:v>кардамон</x:v>
      </x:c>
      <x:c r="D230" s="28" t="str">
        <x:v>Специи</x:v>
      </x:c>
      <x:c r="E230" s="28" t="str">
        <x:v>контраст/комплементарность + матричный эффект</x:v>
      </x:c>
      <x:c r="F23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0" s="28" t="str">
        <x:v>Пряность дозировать как акцент: она быстро перекрывает тонкие ягодные эфиры.</x:v>
      </x:c>
      <x:c r="I23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30" s="28" t="str">
        <x:v>Средняя</x:v>
      </x:c>
      <x:c r="K230" s="28" t="str">
        <x:v>The Art &amp; Science of Foodpairing</x:v>
      </x:c>
      <x:c r="L230" s="28" t="str">
        <x:v>The Art &amp; Science of Foodpairing: 256</x:v>
      </x:c>
    </x:row>
    <x:row r="231" ht="62" customHeight="1">
      <x:c r="A231" s="28" t="str">
        <x:v>BER-0537</x:v>
      </x:c>
      <x:c r="B231" s="28" t="str">
        <x:v>логанова ягода</x:v>
      </x:c>
      <x:c r="C231" s="28" t="str">
        <x:v>арбуз</x:v>
      </x:c>
      <x:c r="D231" s="28" t="str">
        <x:v>Фрукты</x:v>
      </x:c>
      <x:c r="E231" s="28" t="str">
        <x:v>контраст/комплементарность + матричный эффект</x:v>
      </x:c>
      <x:c r="F23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фруктовый, цветочный. Оба компонента формируют зависит от ингредиента и сладко-кислый контур; сахар, кислота и горечь должны быть выровнены дегустацией. Ягода: механизм зависит от конкретного продукта.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31" s="28" t="str">
        <x:v>Средняя</x:v>
      </x:c>
      <x:c r="K231" s="28" t="str">
        <x:v>The Art &amp; Science of Foodpairing</x:v>
      </x:c>
      <x:c r="L231" s="28" t="str">
        <x:v>The Art &amp; Science of Foodpairing: 79</x:v>
      </x:c>
    </x:row>
    <x:row r="232" ht="62" customHeight="1">
      <x:c r="A232" s="28" t="str">
        <x:v>BER-0540</x:v>
      </x:c>
      <x:c r="B232" s="28" t="str">
        <x:v>малина</x:v>
      </x:c>
      <x:c r="C232" s="28" t="str">
        <x:v>абрикос</x:v>
      </x:c>
      <x:c r="D232" s="28" t="str">
        <x:v>Фрукты</x:v>
      </x:c>
      <x:c r="E232" s="28" t="str">
        <x:v>сходство ароматических семейств + комплементарность</x:v>
      </x:c>
      <x:c r="F232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32" s="28" t="str">
        <x:v>Высокая</x:v>
      </x:c>
      <x:c r="K232" s="28" t="str">
        <x:v>Таблица сочетаний; Тезариус вкусов</x:v>
      </x:c>
      <x:c r="L232" s="28" t="str">
        <x:v>Тезариус вкусов: 743, 884; Таблица сочетаний: 2, 19</x:v>
      </x:c>
    </x:row>
    <x:row r="233" ht="62" customHeight="1">
      <x:c r="A233" s="28" t="str">
        <x:v>BER-0542</x:v>
      </x:c>
      <x:c r="B233" s="28" t="str">
        <x:v>малина</x:v>
      </x:c>
      <x:c r="C233" s="28" t="str">
        <x:v>ананас</x:v>
      </x:c>
      <x:c r="D233" s="28" t="str">
        <x:v>Фрукты</x:v>
      </x:c>
      <x:c r="E233" s="28" t="str">
        <x:v>сходство ароматических семейств + комплементарность</x:v>
      </x:c>
      <x:c r="F233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33" s="28" t="str">
        <x:v>Высокая</x:v>
      </x:c>
      <x:c r="K233" s="28" t="str">
        <x:v>The Art &amp; Science of Foodpairing; Таблица сочетаний; Тезариус вкусов</x:v>
      </x:c>
      <x:c r="L233" s="28" t="str">
        <x:v>Тезариус вкусов: 705, 885; The Art &amp; Science of Foodpairing: 243; Таблица сочетаний: 19</x:v>
      </x:c>
    </x:row>
    <x:row r="234" ht="62" customHeight="1">
      <x:c r="A234" s="28" t="str">
        <x:v>BER-0543</x:v>
      </x:c>
      <x:c r="B234" s="28" t="str">
        <x:v>малина</x:v>
      </x:c>
      <x:c r="C234" s="28" t="str">
        <x:v>базилик</x:v>
      </x:c>
      <x:c r="D234" s="28" t="str">
        <x:v>Травы и цветы</x:v>
      </x:c>
      <x:c r="E234" s="28" t="str">
        <x:v>ароматическое сходство + вкусовой баланс</x:v>
      </x:c>
      <x:c r="F234" s="28" t="str">
        <x:v>Прямой вероятный молекулярный мост: гераниол, линалоол. Ягодный компонент несёт семейства древесный, зелёный, фиалковый,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34" s="28" t="str">
        <x:v>Высокая</x:v>
      </x:c>
      <x:c r="K234" s="28" t="str">
        <x:v>Таблица сочетаний; Тезариус вкусов</x:v>
      </x:c>
      <x:c r="L234" s="28" t="str">
        <x:v>Тезариус вкусов: 568, 886; Таблица сочетаний: 19</x:v>
      </x:c>
    </x:row>
    <x:row r="235" ht="62" customHeight="1">
      <x:c r="A235" s="28" t="str">
        <x:v>BER-0544</x:v>
      </x:c>
      <x:c r="B235" s="28" t="str">
        <x:v>малина</x:v>
      </x:c>
      <x:c r="C235" s="28" t="str">
        <x:v>банан</x:v>
      </x:c>
      <x:c r="D235" s="28" t="str">
        <x:v>Фрукты</x:v>
      </x:c>
      <x:c r="E235" s="28" t="str">
        <x:v>сходство ароматических семейств + комплементарность</x:v>
      </x:c>
      <x:c r="F235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35" s="28" t="str">
        <x:v>Средняя</x:v>
      </x:c>
      <x:c r="K235" s="28" t="str">
        <x:v>The Art &amp; Science of Foodpairing</x:v>
      </x:c>
      <x:c r="L235" s="28" t="str">
        <x:v>The Art &amp; Science of Foodpairing: 343</x:v>
      </x:c>
    </x:row>
    <x:row r="236" ht="62" customHeight="1">
      <x:c r="A236" s="28" t="str">
        <x:v>BER-0550</x:v>
      </x:c>
      <x:c r="B236" s="28" t="str">
        <x:v>малина</x:v>
      </x:c>
      <x:c r="C236" s="28" t="str">
        <x:v>гранат</x:v>
      </x:c>
      <x:c r="D236" s="28" t="str">
        <x:v>Фрукты</x:v>
      </x:c>
      <x:c r="E236" s="28" t="str">
        <x:v>сходство ароматических семейств + комплементарность</x:v>
      </x:c>
      <x:c r="F236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36" s="28" t="str">
        <x:v>Средняя</x:v>
      </x:c>
      <x:c r="K236" s="28" t="str">
        <x:v>Таблица сочетаний</x:v>
      </x:c>
      <x:c r="L236" s="28" t="str">
        <x:v>Таблица сочетаний: 17</x:v>
      </x:c>
    </x:row>
    <x:row r="237" ht="62" customHeight="1">
      <x:c r="A237" s="28" t="str">
        <x:v>BER-0551</x:v>
      </x:c>
      <x:c r="B237" s="28" t="str">
        <x:v>малина</x:v>
      </x:c>
      <x:c r="C237" s="28" t="str">
        <x:v>грейпфрут</x:v>
      </x:c>
      <x:c r="D237" s="28" t="str">
        <x:v>Цитрусовые</x:v>
      </x:c>
      <x:c r="E237" s="28" t="str">
        <x:v>ароматическое сходство + вкусовой баланс</x:v>
      </x:c>
      <x:c r="F237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7" s="28" t="str">
        <x:v>кордиал, лимонад, чай, коктейль, настой или ферментированный напиток; маринад, гастрик, чатни, кетчуп или редукция</x:v>
      </x:c>
      <x:c r="J237" s="28" t="str">
        <x:v>Средняя</x:v>
      </x:c>
      <x:c r="K237" s="28" t="str">
        <x:v>Таблица сочетаний</x:v>
      </x:c>
      <x:c r="L237" s="28" t="str">
        <x:v>Таблица сочетаний: 9</x:v>
      </x:c>
    </x:row>
    <x:row r="238" ht="62" customHeight="1">
      <x:c r="A238" s="28" t="str">
        <x:v>BER-0554</x:v>
      </x:c>
      <x:c r="B238" s="28" t="str">
        <x:v>малина</x:v>
      </x:c>
      <x:c r="C238" s="28" t="str">
        <x:v>имбирь</x:v>
      </x:c>
      <x:c r="D238" s="28" t="str">
        <x:v>Специи</x:v>
      </x:c>
      <x:c r="E238" s="28" t="str">
        <x:v>сходство ароматических семейств + комплементарность</x:v>
      </x:c>
      <x:c r="F238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8" s="28" t="str">
        <x:v>Пряность дозировать как акцент: она быстро перекрывает тонкие ягодные эфиры.</x:v>
      </x:c>
      <x:c r="I23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38" s="28" t="str">
        <x:v>Высокая</x:v>
      </x:c>
      <x:c r="K238" s="28" t="str">
        <x:v>The Art &amp; Science of Foodpairing; Таблица сочетаний</x:v>
      </x:c>
      <x:c r="L238" s="28" t="str">
        <x:v>The Art &amp; Science of Foodpairing: 142; Таблица сочетаний: 8, 19</x:v>
      </x:c>
    </x:row>
    <x:row r="239" ht="62" customHeight="1">
      <x:c r="A239" s="28" t="str">
        <x:v>BER-0555</x:v>
      </x:c>
      <x:c r="B239" s="28" t="str">
        <x:v>малина</x:v>
      </x:c>
      <x:c r="C239" s="28" t="str">
        <x:v>инжир</x:v>
      </x:c>
      <x:c r="D239" s="28" t="str">
        <x:v>Фрукты</x:v>
      </x:c>
      <x:c r="E239" s="28" t="str">
        <x:v>сходство ароматических семейств + комплементарность</x:v>
      </x:c>
      <x:c r="F239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39" s="28" t="str">
        <x:v>Высокая</x:v>
      </x:c>
      <x:c r="K239" s="28" t="str">
        <x:v>Тезариус вкусов</x:v>
      </x:c>
      <x:c r="L239" s="28" t="str">
        <x:v>Тезариус вкусов: 887, 894</x:v>
      </x:c>
    </x:row>
    <x:row r="240" ht="62" customHeight="1">
      <x:c r="A240" s="28" t="str">
        <x:v>BER-0559</x:v>
      </x:c>
      <x:c r="B240" s="28" t="str">
        <x:v>малина</x:v>
      </x:c>
      <x:c r="C240" s="28" t="str">
        <x:v>корица</x:v>
      </x:c>
      <x:c r="D240" s="28" t="str">
        <x:v>Специи</x:v>
      </x:c>
      <x:c r="E240" s="28" t="str">
        <x:v>сходство ароматических семейств + комплементарность</x:v>
      </x:c>
      <x:c r="F240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0" s="28" t="str">
        <x:v>Пряность дозировать как акцент: она быстро перекрывает тонкие ягодные эфиры.</x:v>
      </x:c>
      <x:c r="I24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40" s="28" t="str">
        <x:v>Высокая</x:v>
      </x:c>
      <x:c r="K240" s="28" t="str">
        <x:v>The Art &amp; Science of Foodpairing; Таблица сочетаний</x:v>
      </x:c>
      <x:c r="L240" s="28" t="str">
        <x:v>The Art &amp; Science of Foodpairing: 130; Таблица сочетаний: 19</x:v>
      </x:c>
    </x:row>
    <x:row r="241" ht="62" customHeight="1">
      <x:c r="A241" s="28" t="str">
        <x:v>BER-0561</x:v>
      </x:c>
      <x:c r="B241" s="28" t="str">
        <x:v>малина</x:v>
      </x:c>
      <x:c r="C241" s="28" t="str">
        <x:v>лимон</x:v>
      </x:c>
      <x:c r="D241" s="28" t="str">
        <x:v>Цитрусовые</x:v>
      </x:c>
      <x:c r="E241" s="28" t="str">
        <x:v>ароматическое сходство + вкусовой баланс</x:v>
      </x:c>
      <x:c r="F241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41" s="28" t="str">
        <x:v>кордиал, лимонад, чай, коктейль, настой или ферментированный напиток; маринад, гастрик, чатни, кетчуп или редукция</x:v>
      </x:c>
      <x:c r="J241" s="28" t="str">
        <x:v>Средняя</x:v>
      </x:c>
      <x:c r="K241" s="28" t="str">
        <x:v>Таблица сочетаний</x:v>
      </x:c>
      <x:c r="L241" s="28" t="str">
        <x:v>Таблица сочетаний: 19</x:v>
      </x:c>
    </x:row>
    <x:row r="242" ht="62" customHeight="1">
      <x:c r="A242" s="28" t="str">
        <x:v>BER-0562</x:v>
      </x:c>
      <x:c r="B242" s="28" t="str">
        <x:v>малина</x:v>
      </x:c>
      <x:c r="C242" s="28" t="str">
        <x:v>лимон и лайм</x:v>
      </x:c>
      <x:c r="D242" s="28" t="str">
        <x:v>Цитрусовые</x:v>
      </x:c>
      <x:c r="E242" s="28" t="str">
        <x:v>ароматическое сходство + вкусовой баланс</x:v>
      </x:c>
      <x:c r="F242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42" s="28" t="str">
        <x:v>кордиал, лимонад, чай, коктейль, настой или ферментированный напиток; маринад, гастрик, чатни, кетчуп или редукция</x:v>
      </x:c>
      <x:c r="J242" s="28" t="str">
        <x:v>Средняя</x:v>
      </x:c>
      <x:c r="K242" s="28" t="str">
        <x:v>The Art &amp; Science of Foodpairing</x:v>
      </x:c>
      <x:c r="L242" s="28" t="str">
        <x:v>The Art &amp; Science of Foodpairing: 88</x:v>
      </x:c>
    </x:row>
    <x:row r="243" ht="62" customHeight="1">
      <x:c r="A243" s="28" t="str">
        <x:v>BER-0563</x:v>
      </x:c>
      <x:c r="B243" s="28" t="str">
        <x:v>малина</x:v>
      </x:c>
      <x:c r="C243" s="28" t="str">
        <x:v>лимонный тимьян</x:v>
      </x:c>
      <x:c r="D243" s="28" t="str">
        <x:v>Цитрусовые</x:v>
      </x:c>
      <x:c r="E243" s="28" t="str">
        <x:v>ароматическое сходство + вкусовой баланс</x:v>
      </x:c>
      <x:c r="F243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43" s="28" t="str">
        <x:v>кордиал, лимонад, чай, коктейль, настой или ферментированный напиток; маринад, гастрик, чатни, кетчуп или редукция</x:v>
      </x:c>
      <x:c r="J243" s="28" t="str">
        <x:v>Средняя</x:v>
      </x:c>
      <x:c r="K243" s="28" t="str">
        <x:v>Таблица сочетаний</x:v>
      </x:c>
      <x:c r="L243" s="28" t="str">
        <x:v>Таблица сочетаний: 11</x:v>
      </x:c>
    </x:row>
    <x:row r="244" ht="62" customHeight="1">
      <x:c r="A244" s="28" t="str">
        <x:v>BER-0564</x:v>
      </x:c>
      <x:c r="B244" s="28" t="str">
        <x:v>малина</x:v>
      </x:c>
      <x:c r="C244" s="28" t="str">
        <x:v>манго</x:v>
      </x:c>
      <x:c r="D244" s="28" t="str">
        <x:v>Фрукты</x:v>
      </x:c>
      <x:c r="E244" s="28" t="str">
        <x:v>сходство ароматических семейств + комплементарность</x:v>
      </x:c>
      <x:c r="F244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4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44" s="28" t="str">
        <x:v>Средняя</x:v>
      </x:c>
      <x:c r="K244" s="28" t="str">
        <x:v>The Art &amp; Science of Foodpairing</x:v>
      </x:c>
      <x:c r="L244" s="28" t="str">
        <x:v>The Art &amp; Science of Foodpairing: 312</x:v>
      </x:c>
    </x:row>
    <x:row r="245" ht="62" customHeight="1">
      <x:c r="A245" s="28" t="str">
        <x:v>BER-0569</x:v>
      </x:c>
      <x:c r="B245" s="28" t="str">
        <x:v>малина</x:v>
      </x:c>
      <x:c r="C245" s="28" t="str">
        <x:v>мята</x:v>
      </x:c>
      <x:c r="D245" s="28" t="str">
        <x:v>Травы и цветы</x:v>
      </x:c>
      <x:c r="E245" s="28" t="str">
        <x:v>ароматическое сходство + вкусовой баланс</x:v>
      </x:c>
      <x:c r="F245" s="28" t="str">
        <x:v>Прямой вероятный молекулярный мост: гераниол, линалоол. Ягодный компонент несёт семейства древесный, зелёный, фиалковый,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4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45" s="28" t="str">
        <x:v>Высокая</x:v>
      </x:c>
      <x:c r="K245" s="28" t="str">
        <x:v>Таблица сочетаний; Тезариус вкусов</x:v>
      </x:c>
      <x:c r="L245" s="28" t="str">
        <x:v>Тезариус вкусов: 869, 889; Таблица сочетаний: 19</x:v>
      </x:c>
    </x:row>
    <x:row r="246" ht="62" customHeight="1">
      <x:c r="A246" s="28" t="str">
        <x:v>BER-0572</x:v>
      </x:c>
      <x:c r="B246" s="28" t="str">
        <x:v>малина</x:v>
      </x:c>
      <x:c r="C246" s="28" t="str">
        <x:v>персик</x:v>
      </x:c>
      <x:c r="D246" s="28" t="str">
        <x:v>Фрукты</x:v>
      </x:c>
      <x:c r="E246" s="28" t="str">
        <x:v>сходство ароматических семейств + комплементарность</x:v>
      </x:c>
      <x:c r="F246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4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46" s="28" t="str">
        <x:v>Высокая</x:v>
      </x:c>
      <x:c r="K246" s="28" t="str">
        <x:v>The Art &amp; Science of Foodpairing; Таблица сочетаний; Тезариус вкусов</x:v>
      </x:c>
      <x:c r="L246" s="28" t="str">
        <x:v>Тезариус вкусов: 751, 889; The Art &amp; Science of Foodpairing: 261; Таблица сочетаний: 19</x:v>
      </x:c>
    </x:row>
    <x:row r="247" ht="62" customHeight="1">
      <x:c r="A247" s="28" t="str">
        <x:v>BER-0574</x:v>
      </x:c>
      <x:c r="B247" s="28" t="str">
        <x:v>малина</x:v>
      </x:c>
      <x:c r="C247" s="28" t="str">
        <x:v>роза</x:v>
      </x:c>
      <x:c r="D247" s="28" t="str">
        <x:v>Травы и цветы</x:v>
      </x:c>
      <x:c r="E247" s="28" t="str">
        <x:v>ароматическое сходство + вкусовой баланс</x:v>
      </x:c>
      <x:c r="F247" s="28" t="str">
        <x:v>Прямой вероятный молекулярный мост: гераниол, линалоол. Ягодный компонент несёт семейства древесный, зелёный, фиалковый,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4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47" s="28" t="str">
        <x:v>Средняя</x:v>
      </x:c>
      <x:c r="K247" s="28" t="str">
        <x:v>Таблица сочетаний</x:v>
      </x:c>
      <x:c r="L247" s="28" t="str">
        <x:v>Таблица сочетаний: 19</x:v>
      </x:c>
    </x:row>
    <x:row r="248" ht="62" customHeight="1">
      <x:c r="A248" s="28" t="str">
        <x:v>BER-0579</x:v>
      </x:c>
      <x:c r="B248" s="28" t="str">
        <x:v>малина</x:v>
      </x:c>
      <x:c r="C248" s="28" t="str">
        <x:v>тимьян</x:v>
      </x:c>
      <x:c r="D248" s="28" t="str">
        <x:v>Травы и цветы</x:v>
      </x:c>
      <x:c r="E248" s="28" t="str">
        <x:v>ароматическое сходство + вкусовой баланс</x:v>
      </x:c>
      <x:c r="F248" s="28" t="str">
        <x:v>Прямой вероятный молекулярный мост: гераниол, линалоол. Ягодный компонент несёт семейства древесный, зелёный, фиалковый,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4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48" s="28" t="str">
        <x:v>Средняя</x:v>
      </x:c>
      <x:c r="K248" s="28" t="str">
        <x:v>Таблица сочетаний</x:v>
      </x:c>
      <x:c r="L248" s="28" t="str">
        <x:v>Таблица сочетаний: 19, 21</x:v>
      </x:c>
    </x:row>
    <x:row r="249" ht="62" customHeight="1">
      <x:c r="A249" s="28" t="str">
        <x:v>BER-0582</x:v>
      </x:c>
      <x:c r="B249" s="28" t="str">
        <x:v>малина</x:v>
      </x:c>
      <x:c r="C249" s="28" t="str">
        <x:v>цитрусовые</x:v>
      </x:c>
      <x:c r="D249" s="28" t="str">
        <x:v>Цитрусовые</x:v>
      </x:c>
      <x:c r="E249" s="28" t="str">
        <x:v>ароматическое сходство + вкусовой баланс</x:v>
      </x:c>
      <x:c r="F249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49" s="28" t="str">
        <x:v>кордиал, лимонад, чай, коктейль, настой или ферментированный напиток; маринад, гастрик, чатни, кетчуп или редукция</x:v>
      </x:c>
      <x:c r="J249" s="28" t="str">
        <x:v>Средняя</x:v>
      </x:c>
      <x:c r="K249" s="28" t="str">
        <x:v>Таблица сочетаний</x:v>
      </x:c>
      <x:c r="L249" s="28" t="str">
        <x:v>Таблица сочетаний: 19</x:v>
      </x:c>
    </x:row>
    <x:row r="250" ht="62" customHeight="1">
      <x:c r="A250" s="28" t="str">
        <x:v>BER-0583</x:v>
      </x:c>
      <x:c r="B250" s="28" t="str">
        <x:v>малина</x:v>
      </x:c>
      <x:c r="C250" s="28" t="str">
        <x:v>чёрная смородина</x:v>
      </x:c>
      <x:c r="D250" s="28" t="str">
        <x:v>Ягоды и производные</x:v>
      </x:c>
      <x:c r="E250" s="28" t="str">
        <x:v>сходство ароматических семейств + комплементарность</x:v>
      </x:c>
      <x:c r="F250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листовой, сернистый, тёмно-фруктовый, цветочный. Оба компонента формируют кисло-сладкий и ярко-кислый, терпкий контур; сахар, кислота и горечь должны быть выровнены дегустацией. Ягода: семена добавляют древесность и лёгкую терпкость. Партнёр: следовые тиолы чрезвычайно мощные; передозировка даёт «кошачий» тон.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5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50" s="28" t="str">
        <x:v>Средняя</x:v>
      </x:c>
      <x:c r="K250" s="28" t="str">
        <x:v>Таблица сочетаний</x:v>
      </x:c>
      <x:c r="L250" s="28" t="str">
        <x:v>Таблица сочетаний: 2</x:v>
      </x:c>
    </x:row>
    <x:row r="251" ht="62" customHeight="1">
      <x:c r="A251" s="28" t="str">
        <x:v>BER-0586</x:v>
      </x:c>
      <x:c r="B251" s="28" t="str">
        <x:v>малина</x:v>
      </x:c>
      <x:c r="C251" s="28" t="str">
        <x:v>яблоко</x:v>
      </x:c>
      <x:c r="D251" s="28" t="str">
        <x:v>Фрукты</x:v>
      </x:c>
      <x:c r="E251" s="28" t="str">
        <x:v>сходство ароматических семейств + комплементарность</x:v>
      </x:c>
      <x:c r="F251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5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51" s="28" t="str">
        <x:v>Средняя</x:v>
      </x:c>
      <x:c r="K251" s="28" t="str">
        <x:v>Таблица сочетаний</x:v>
      </x:c>
      <x:c r="L251" s="28" t="str">
        <x:v>Таблица сочетаний: 1, 19</x:v>
      </x:c>
    </x:row>
    <x:row r="252" ht="62" customHeight="1">
      <x:c r="A252" s="28" t="str">
        <x:v>BER-0588</x:v>
      </x:c>
      <x:c r="B252" s="28" t="str">
        <x:v>малина сорта Meeker</x:v>
      </x:c>
      <x:c r="C252" s="28" t="str">
        <x:v>апельсин</x:v>
      </x:c>
      <x:c r="D252" s="28" t="str">
        <x:v>Цитрусовые</x:v>
      </x:c>
      <x:c r="E252" s="28" t="str">
        <x:v>ароматическое сходство + вкусовой баланс</x:v>
      </x:c>
      <x:c r="F252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52" s="28" t="str">
        <x:v>кордиал, лимонад, чай, коктейль, настой или ферментированный напиток; маринад, гастрик, чатни, кетчуп или редукция</x:v>
      </x:c>
      <x:c r="J252" s="28" t="str">
        <x:v>Средняя</x:v>
      </x:c>
      <x:c r="K252" s="28" t="str">
        <x:v>The Art &amp; Science of Foodpairing</x:v>
      </x:c>
      <x:c r="L252" s="28" t="str">
        <x:v>The Art &amp; Science of Foodpairing: 236</x:v>
      </x:c>
    </x:row>
    <x:row r="253" ht="62" customHeight="1">
      <x:c r="A253" s="28" t="str">
        <x:v>BER-0589</x:v>
      </x:c>
      <x:c r="B253" s="28" t="str">
        <x:v>малина сорта Meeker</x:v>
      </x:c>
      <x:c r="C253" s="28" t="str">
        <x:v>кардамон</x:v>
      </x:c>
      <x:c r="D253" s="28" t="str">
        <x:v>Специи</x:v>
      </x:c>
      <x:c r="E253" s="28" t="str">
        <x:v>сходство ароматических семейств + комплементарность</x:v>
      </x:c>
      <x:c r="F253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3" s="28" t="str">
        <x:v>Пряность дозировать как акцент: она быстро перекрывает тонкие ягодные эфиры.</x:v>
      </x:c>
      <x:c r="I25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53" s="28" t="str">
        <x:v>Средняя</x:v>
      </x:c>
      <x:c r="K253" s="28" t="str">
        <x:v>The Art &amp; Science of Foodpairing</x:v>
      </x:c>
      <x:c r="L253" s="28" t="str">
        <x:v>The Art &amp; Science of Foodpairing: 256</x:v>
      </x:c>
    </x:row>
    <x:row r="254" ht="62" customHeight="1">
      <x:c r="A254" s="28" t="str">
        <x:v>BER-0590</x:v>
      </x:c>
      <x:c r="B254" s="28" t="str">
        <x:v>малина сорта Meeker</x:v>
      </x:c>
      <x:c r="C254" s="28" t="str">
        <x:v>лимон и лайм</x:v>
      </x:c>
      <x:c r="D254" s="28" t="str">
        <x:v>Цитрусовые</x:v>
      </x:c>
      <x:c r="E254" s="28" t="str">
        <x:v>ароматическое сходство + вкусовой баланс</x:v>
      </x:c>
      <x:c r="F254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54" s="28" t="str">
        <x:v>кордиал, лимонад, чай, коктейль, настой или ферментированный напиток; маринад, гастрик, чатни, кетчуп или редукция</x:v>
      </x:c>
      <x:c r="J254" s="28" t="str">
        <x:v>Средняя</x:v>
      </x:c>
      <x:c r="K254" s="28" t="str">
        <x:v>The Art &amp; Science of Foodpairing</x:v>
      </x:c>
      <x:c r="L254" s="28" t="str">
        <x:v>The Art &amp; Science of Foodpairing: 89</x:v>
      </x:c>
    </x:row>
    <x:row r="255" ht="62" customHeight="1">
      <x:c r="A255" s="28" t="str">
        <x:v>BER-0593</x:v>
      </x:c>
      <x:c r="B255" s="28" t="str">
        <x:v>морошка</x:v>
      </x:c>
      <x:c r="C255" s="28" t="str">
        <x:v>ананас</x:v>
      </x:c>
      <x:c r="D255" s="28" t="str">
        <x:v>Фрукты</x:v>
      </x:c>
      <x:c r="E255" s="28" t="str">
        <x:v>ароматическое сходство + вкусовой баланс</x:v>
      </x:c>
      <x:c r="F255" s="28" t="str">
        <x:v>Прямой вероятный молекулярный мост: лактоны, эфиры. Ягодный компонент несёт семейства абрикосовый, лактонный, медовый,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аромат хорошо поддерживается сливочными и древесными матрицами.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5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55" s="28" t="str">
        <x:v>Средняя</x:v>
      </x:c>
      <x:c r="K255" s="28" t="str">
        <x:v>Таблица сочетаний</x:v>
      </x:c>
      <x:c r="L255" s="28" t="str">
        <x:v>Таблица сочетаний: 5</x:v>
      </x:c>
    </x:row>
    <x:row r="256" ht="62" customHeight="1">
      <x:c r="A256" s="28" t="str">
        <x:v>BER-0594</x:v>
      </x:c>
      <x:c r="B256" s="28" t="str">
        <x:v>морошка</x:v>
      </x:c>
      <x:c r="C256" s="28" t="str">
        <x:v>апельсин</x:v>
      </x:c>
      <x:c r="D256" s="28" t="str">
        <x:v>Цитрусовые</x:v>
      </x:c>
      <x:c r="E256" s="28" t="str">
        <x:v>сходство ароматических семейств + комплементарность</x:v>
      </x:c>
      <x:c r="F256" s="28" t="str">
        <x:v>Общие ароматические семейства: цветочный; конкретная доля одорантов зависит от сорта и обработки. Ягодный компонент несёт семейства абрикосовый, лактонный, медовый,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аромат хорошо поддерживается сливочными и древесными матрицами.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56" s="28" t="str">
        <x:v>кордиал, лимонад, чай, коктейль, настой или ферментированный напиток; маринад, гастрик, чатни, кетчуп или редукция</x:v>
      </x:c>
      <x:c r="J256" s="28" t="str">
        <x:v>Средняя</x:v>
      </x:c>
      <x:c r="K256" s="28" t="str">
        <x:v>Таблица сочетаний</x:v>
      </x:c>
      <x:c r="L256" s="28" t="str">
        <x:v>Таблица сочетаний: 5</x:v>
      </x:c>
    </x:row>
    <x:row r="257" ht="62" customHeight="1">
      <x:c r="A257" s="28" t="str">
        <x:v>BER-0596</x:v>
      </x:c>
      <x:c r="B257" s="28" t="str">
        <x:v>морошка</x:v>
      </x:c>
      <x:c r="C257" s="28" t="str">
        <x:v>корица</x:v>
      </x:c>
      <x:c r="D257" s="28" t="str">
        <x:v>Специи</x:v>
      </x:c>
      <x:c r="E257" s="28" t="str">
        <x:v>контраст/комплементарность + матричный эффект</x:v>
      </x:c>
      <x:c r="F25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абрикосовый, лактонный, медовый,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7" s="28" t="str">
        <x:v>Пряность дозировать как акцент: она быстро перекрывает тонкие ягодные эфиры.</x:v>
      </x:c>
      <x:c r="I25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57" s="28" t="str">
        <x:v>Средняя</x:v>
      </x:c>
      <x:c r="K257" s="28" t="str">
        <x:v>Таблица сочетаний</x:v>
      </x:c>
      <x:c r="L257" s="28" t="str">
        <x:v>Таблица сочетаний: 5</x:v>
      </x:c>
    </x:row>
    <x:row r="258" ht="62" customHeight="1">
      <x:c r="A258" s="28" t="str">
        <x:v>BER-0598</x:v>
      </x:c>
      <x:c r="B258" s="28" t="str">
        <x:v>морошка</x:v>
      </x:c>
      <x:c r="C258" s="28" t="str">
        <x:v>манго</x:v>
      </x:c>
      <x:c r="D258" s="28" t="str">
        <x:v>Фрукты</x:v>
      </x:c>
      <x:c r="E258" s="28" t="str">
        <x:v>ароматическое сходство + вкусовой баланс</x:v>
      </x:c>
      <x:c r="F258" s="28" t="str">
        <x:v>Прямой вероятный молекулярный мост: лактоны, эфиры. Ягодный компонент несёт семейства абрикосовый, лактонный, медовый,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аромат хорошо поддерживается сливочными и древесными матрицами.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5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58" s="28" t="str">
        <x:v>Средняя</x:v>
      </x:c>
      <x:c r="K258" s="28" t="str">
        <x:v>The Art &amp; Science of Foodpairing</x:v>
      </x:c>
      <x:c r="L258" s="28" t="str">
        <x:v>The Art &amp; Science of Foodpairing: 312</x:v>
      </x:c>
    </x:row>
    <x:row r="259" ht="62" customHeight="1">
      <x:c r="A259" s="28" t="str">
        <x:v>BER-0599</x:v>
      </x:c>
      <x:c r="B259" s="28" t="str">
        <x:v>морошка</x:v>
      </x:c>
      <x:c r="C259" s="28" t="str">
        <x:v>мята</x:v>
      </x:c>
      <x:c r="D259" s="28" t="str">
        <x:v>Травы и цветы</x:v>
      </x:c>
      <x:c r="E259" s="28" t="str">
        <x:v>сходство ароматических семейств + комплементарность</x:v>
      </x:c>
      <x:c r="F259" s="28" t="str">
        <x:v>Общие ароматические семейства: цветочный; конкретная доля одорантов зависит от сорта и обработки. Ягодный компонент несёт семейства абрикосовый, лактонный, медовый,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5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59" s="28" t="str">
        <x:v>Средняя</x:v>
      </x:c>
      <x:c r="K259" s="28" t="str">
        <x:v>Таблица сочетаний</x:v>
      </x:c>
      <x:c r="L259" s="28" t="str">
        <x:v>Таблица сочетаний: 5</x:v>
      </x:c>
    </x:row>
    <x:row r="260" ht="62" customHeight="1">
      <x:c r="A260" s="28" t="str">
        <x:v>BER-0603</x:v>
      </x:c>
      <x:c r="B260" s="28" t="str">
        <x:v>морошка</x:v>
      </x:c>
      <x:c r="C260" s="28" t="str">
        <x:v>цитрусовые</x:v>
      </x:c>
      <x:c r="D260" s="28" t="str">
        <x:v>Цитрусовые</x:v>
      </x:c>
      <x:c r="E260" s="28" t="str">
        <x:v>сходство ароматических семейств + комплементарность</x:v>
      </x:c>
      <x:c r="F260" s="28" t="str">
        <x:v>Общие ароматические семейства: цветочный; конкретная доля одорантов зависит от сорта и обработки. Ягодный компонент несёт семейства абрикосовый, лактонный, медовый,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аромат хорошо поддерживается сливочными и древесными матрицами.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60" s="28" t="str">
        <x:v>кордиал, лимонад, чай, коктейль, настой или ферментированный напиток; маринад, гастрик, чатни, кетчуп или редукция</x:v>
      </x:c>
      <x:c r="J260" s="28" t="str">
        <x:v>Средняя</x:v>
      </x:c>
      <x:c r="K260" s="28" t="str">
        <x:v>Таблица сочетаний</x:v>
      </x:c>
      <x:c r="L260" s="28" t="str">
        <x:v>Таблица сочетаний: 5</x:v>
      </x:c>
    </x:row>
    <x:row r="261" ht="62" customHeight="1">
      <x:c r="A261" s="28" t="str">
        <x:v>BER-0604</x:v>
      </x:c>
      <x:c r="B261" s="28" t="str">
        <x:v>морошка</x:v>
      </x:c>
      <x:c r="C261" s="28" t="str">
        <x:v>шалфей</x:v>
      </x:c>
      <x:c r="D261" s="28" t="str">
        <x:v>Травы и цветы</x:v>
      </x:c>
      <x:c r="E261" s="28" t="str">
        <x:v>сходство ароматических семейств + комплементарность</x:v>
      </x:c>
      <x:c r="F261" s="28" t="str">
        <x:v>Общие ароматические семейства: цветочный; конкретная доля одорантов зависит от сорта и обработки. Ягодный компонент несёт семейства абрикосовый, лактонный, медовый,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6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61" s="28" t="str">
        <x:v>Средняя</x:v>
      </x:c>
      <x:c r="K261" s="28" t="str">
        <x:v>Таблица сочетаний</x:v>
      </x:c>
      <x:c r="L261" s="28" t="str">
        <x:v>Таблица сочетаний: 5</x:v>
      </x:c>
    </x:row>
    <x:row r="262" ht="62" customHeight="1">
      <x:c r="A262" s="28" t="str">
        <x:v>BER-0608</x:v>
      </x:c>
      <x:c r="B262" s="28" t="str">
        <x:v>облепиха</x:v>
      </x:c>
      <x:c r="C262" s="28" t="str">
        <x:v>яблоко</x:v>
      </x:c>
      <x:c r="D262" s="28" t="str">
        <x:v>Фрукты</x:v>
      </x:c>
      <x:c r="E262" s="28" t="str">
        <x:v>ароматическое сходство + вкусовой баланс</x:v>
      </x:c>
      <x:c r="F262" s="28" t="str">
        <x:v>Прямой вероятный молекулярный мост: терпены, эфиры. Ягодный компонент несёт семейства жирный, тропический, фруктовый, цитрусовый; партнёр — зелёный, фруктовый, цветочный. Оба компонента формируют очень кислый, маслянистый и сладко-кислый контур; сахар, кислота и горечь должны быть выровнены дегустацией. Ягода: собственное масло меняет высвобождение ароматов.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6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62" s="28" t="str">
        <x:v>Средняя</x:v>
      </x:c>
      <x:c r="K262" s="28" t="str">
        <x:v>The Art &amp; Science of Foodpairing</x:v>
      </x:c>
      <x:c r="L262" s="28" t="str">
        <x:v>The Art &amp; Science of Foodpairing: 47</x:v>
      </x:c>
    </x:row>
    <x:row r="263" ht="62" customHeight="1">
      <x:c r="A263" s="28" t="str">
        <x:v>BER-0609</x:v>
      </x:c>
      <x:c r="B263" s="28" t="str">
        <x:v>смородина</x:v>
      </x:c>
      <x:c r="C263" s="28" t="str">
        <x:v>груша</x:v>
      </x:c>
      <x:c r="D263" s="28" t="str">
        <x:v>Фрукты</x:v>
      </x:c>
      <x:c r="E263" s="28" t="str">
        <x:v>ароматическое сходство + вкусовой баланс</x:v>
      </x:c>
      <x:c r="F263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профиль зависит от вида смородины.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6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63" s="28" t="str">
        <x:v>Средняя</x:v>
      </x:c>
      <x:c r="K263" s="28" t="str">
        <x:v>Таблица сочетаний</x:v>
      </x:c>
      <x:c r="L263" s="28" t="str">
        <x:v>Таблица сочетаний: 16</x:v>
      </x:c>
    </x:row>
    <x:row r="264" ht="62" customHeight="1">
      <x:c r="A264" s="28" t="str">
        <x:v>BER-0610</x:v>
      </x:c>
      <x:c r="B264" s="28" t="str">
        <x:v>смородина</x:v>
      </x:c>
      <x:c r="C264" s="28" t="str">
        <x:v>лимон</x:v>
      </x:c>
      <x:c r="D264" s="28" t="str">
        <x:v>Цитрусовые</x:v>
      </x:c>
      <x:c r="E264" s="28" t="str">
        <x:v>сходство ароматических семейств + комплементарность</x:v>
      </x:c>
      <x:c r="F264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профиль зависит от вида смородины.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64" s="28" t="str">
        <x:v>кордиал, лимонад, чай, коктейль, настой или ферментированный напиток; маринад, гастрик, чатни, кетчуп или редукция</x:v>
      </x:c>
      <x:c r="J264" s="28" t="str">
        <x:v>Средняя</x:v>
      </x:c>
      <x:c r="K264" s="28" t="str">
        <x:v>Таблица сочетаний</x:v>
      </x:c>
      <x:c r="L264" s="28" t="str">
        <x:v>Таблица сочетаний: 11</x:v>
      </x:c>
    </x:row>
    <x:row r="265" ht="62" customHeight="1">
      <x:c r="A265" s="28" t="str">
        <x:v>BER-0611</x:v>
      </x:c>
      <x:c r="B265" s="28" t="str">
        <x:v>смородина</x:v>
      </x:c>
      <x:c r="C265" s="28" t="str">
        <x:v>персик</x:v>
      </x:c>
      <x:c r="D265" s="28" t="str">
        <x:v>Фрукты</x:v>
      </x:c>
      <x:c r="E265" s="28" t="str">
        <x:v>ароматическое сходство + вкусовой баланс</x:v>
      </x:c>
      <x:c r="F265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профиль зависит от вида смородины.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6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65" s="28" t="str">
        <x:v>Средняя</x:v>
      </x:c>
      <x:c r="K265" s="28" t="str">
        <x:v>Таблица сочетаний</x:v>
      </x:c>
      <x:c r="L265" s="28" t="str">
        <x:v>Таблица сочетаний: 15</x:v>
      </x:c>
    </x:row>
    <x:row r="266" ht="62" customHeight="1">
      <x:c r="A266" s="28" t="str">
        <x:v>BER-0614</x:v>
      </x:c>
      <x:c r="B266" s="28" t="str">
        <x:v>смородина</x:v>
      </x:c>
      <x:c r="C266" s="28" t="str">
        <x:v>яблоко</x:v>
      </x:c>
      <x:c r="D266" s="28" t="str">
        <x:v>Фрукты</x:v>
      </x:c>
      <x:c r="E266" s="28" t="str">
        <x:v>ароматическое сходство + вкусовой баланс</x:v>
      </x:c>
      <x:c r="F266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профиль зависит от вида смородины.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6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66" s="28" t="str">
        <x:v>Средняя</x:v>
      </x:c>
      <x:c r="K266" s="28" t="str">
        <x:v>Таблица сочетаний</x:v>
      </x:c>
      <x:c r="L266" s="28" t="str">
        <x:v>Таблица сочетаний: 1</x:v>
      </x:c>
    </x:row>
    <x:row r="267" ht="62" customHeight="1">
      <x:c r="A267" s="28" t="str">
        <x:v>BER-0618</x:v>
      </x:c>
      <x:c r="B267" s="28" t="str">
        <x:v>черешня</x:v>
      </x:c>
      <x:c r="C267" s="28" t="str">
        <x:v>ананас</x:v>
      </x:c>
      <x:c r="D267" s="28" t="str">
        <x:v>Фрукты</x:v>
      </x:c>
      <x:c r="E267" s="28" t="str">
        <x:v>ароматическое сходство + вкусовой баланс</x:v>
      </x:c>
      <x:c r="F267" s="28" t="str">
        <x:v>Прямой вероятный молекулярный мост: эфиры. Ягодный компонент несёт семейства миндальный, сладко-фруктовый, цветочный; партнёр — зелёный, фруктовый, цветочный. Оба компонента формируют сладкий, умеренно кислый и сладко-кислый контур; сахар, кислота и горечь должны быть выровнены дегустацией. Ягода: нежнее кислой вишни; легко становится приторной.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7" s="28" t="str">
        <x:v>Не использовать повреждённые косточки без валидированной технологии: они содержат цианогенные гликозиды.</x:v>
      </x:c>
      <x:c r="I26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67" s="28" t="str">
        <x:v>Средняя</x:v>
      </x:c>
      <x:c r="K267" s="28" t="str">
        <x:v>The Art &amp; Science of Foodpairing</x:v>
      </x:c>
      <x:c r="L267" s="28" t="str">
        <x:v>The Art &amp; Science of Foodpairing: 243</x:v>
      </x:c>
    </x:row>
    <x:row r="268" ht="62" customHeight="1">
      <x:c r="A268" s="28" t="str">
        <x:v>BER-0619</x:v>
      </x:c>
      <x:c r="B268" s="28" t="str">
        <x:v>черешня</x:v>
      </x:c>
      <x:c r="C268" s="28" t="str">
        <x:v>апельсин</x:v>
      </x:c>
      <x:c r="D268" s="28" t="str">
        <x:v>Цитрусовые</x:v>
      </x:c>
      <x:c r="E268" s="28" t="str">
        <x:v>сходство ароматических семейств + комплементарность</x:v>
      </x:c>
      <x:c r="F268" s="28" t="str">
        <x:v>Общие ароматические семейства: цветочный; конкретная доля одорантов зависит от сорта и обработки. Ягодный компонент несёт семейства миндальный, сладко-фруктовый, цветочный; партнёр — зелёный, цветочный, цитрусовый. Оба компонента формируют сладкий, умеренно кислый и кислый, свежий контур; сахар, кислота и горечь должны быть выровнены дегустацией. Ягода: нежнее кислой вишни; легко становится приторной.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8" s="28" t="str">
        <x:v>Не использовать повреждённые косточки без валидированной технологии: они содержат цианогенные гликозиды.</x:v>
      </x:c>
      <x:c r="I268" s="28" t="str">
        <x:v>кордиал, лимонад, чай, коктейль, настой или ферментированный напиток; маринад, гастрик, чатни, кетчуп или редукция</x:v>
      </x:c>
      <x:c r="J268" s="28" t="str">
        <x:v>Средняя</x:v>
      </x:c>
      <x:c r="K268" s="28" t="str">
        <x:v>The Art &amp; Science of Foodpairing</x:v>
      </x:c>
      <x:c r="L268" s="28" t="str">
        <x:v>The Art &amp; Science of Foodpairing: 236</x:v>
      </x:c>
    </x:row>
    <x:row r="269" ht="62" customHeight="1">
      <x:c r="A269" s="28" t="str">
        <x:v>BER-0623</x:v>
      </x:c>
      <x:c r="B269" s="28" t="str">
        <x:v>черешня</x:v>
      </x:c>
      <x:c r="C269" s="28" t="str">
        <x:v>имбирь</x:v>
      </x:c>
      <x:c r="D269" s="28" t="str">
        <x:v>Специи</x:v>
      </x:c>
      <x:c r="E269" s="28" t="str">
        <x:v>контраст/комплементарность + матричный эффект</x:v>
      </x:c>
      <x:c r="F26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9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26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69" s="28" t="str">
        <x:v>Средняя</x:v>
      </x:c>
      <x:c r="K269" s="28" t="str">
        <x:v>The Art &amp; Science of Foodpairing</x:v>
      </x:c>
      <x:c r="L269" s="28" t="str">
        <x:v>The Art &amp; Science of Foodpairing: 142</x:v>
      </x:c>
    </x:row>
    <x:row r="270" ht="62" customHeight="1">
      <x:c r="A270" s="28" t="str">
        <x:v>BER-0626</x:v>
      </x:c>
      <x:c r="B270" s="28" t="str">
        <x:v>черешня</x:v>
      </x:c>
      <x:c r="C270" s="28" t="str">
        <x:v>лимон и лайм</x:v>
      </x:c>
      <x:c r="D270" s="28" t="str">
        <x:v>Цитрусовые</x:v>
      </x:c>
      <x:c r="E270" s="28" t="str">
        <x:v>сходство ароматических семейств + комплементарность</x:v>
      </x:c>
      <x:c r="F270" s="28" t="str">
        <x:v>Общие ароматические семейства: цветочный; конкретная доля одорантов зависит от сорта и обработки. Ягодный компонент несёт семейства миндальный, сладко-фруктовый, цветочный; партнёр — зелёный, цветочный, цитрусовый. Оба компонента формируют сладкий, умеренно кислый и кислый, свежий контур; сахар, кислота и горечь должны быть выровнены дегустацией. Ягода: нежнее кислой вишни; легко становится приторной.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0" s="28" t="str">
        <x:v>Не использовать повреждённые косточки без валидированной технологии: они содержат цианогенные гликозиды.</x:v>
      </x:c>
      <x:c r="I270" s="28" t="str">
        <x:v>кордиал, лимонад, чай, коктейль, настой или ферментированный напиток; маринад, гастрик, чатни, кетчуп или редукция</x:v>
      </x:c>
      <x:c r="J270" s="28" t="str">
        <x:v>Средняя</x:v>
      </x:c>
      <x:c r="K270" s="28" t="str">
        <x:v>The Art &amp; Science of Foodpairing</x:v>
      </x:c>
      <x:c r="L270" s="28" t="str">
        <x:v>The Art &amp; Science of Foodpairing: 88</x:v>
      </x:c>
    </x:row>
    <x:row r="271" ht="62" customHeight="1">
      <x:c r="A271" s="28" t="str">
        <x:v>BER-0631</x:v>
      </x:c>
      <x:c r="B271" s="28" t="str">
        <x:v>черешня</x:v>
      </x:c>
      <x:c r="C271" s="28" t="str">
        <x:v>перец чили</x:v>
      </x:c>
      <x:c r="D271" s="28" t="str">
        <x:v>Специи</x:v>
      </x:c>
      <x:c r="E271" s="28" t="str">
        <x:v>контраст/комплементарность + матричный эффект</x:v>
      </x:c>
      <x:c r="F27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1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27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71" s="28" t="str">
        <x:v>Средняя</x:v>
      </x:c>
      <x:c r="K271" s="28" t="str">
        <x:v>The Art &amp; Science of Foodpairing</x:v>
      </x:c>
      <x:c r="L271" s="28" t="str">
        <x:v>The Art &amp; Science of Foodpairing: 95</x:v>
      </x:c>
    </x:row>
    <x:row r="272" ht="62" customHeight="1">
      <x:c r="A272" s="28" t="str">
        <x:v>BER-0632</x:v>
      </x:c>
      <x:c r="B272" s="28" t="str">
        <x:v>черешня</x:v>
      </x:c>
      <x:c r="C272" s="28" t="str">
        <x:v>персик</x:v>
      </x:c>
      <x:c r="D272" s="28" t="str">
        <x:v>Фрукты</x:v>
      </x:c>
      <x:c r="E272" s="28" t="str">
        <x:v>ароматическое сходство + вкусовой баланс</x:v>
      </x:c>
      <x:c r="F272" s="28" t="str">
        <x:v>Прямой вероятный молекулярный мост: эфиры. Ягодный компонент несёт семейства миндальный, сладко-фруктовый, цветочный; партнёр — зелёный, фруктовый, цветочный. Оба компонента формируют сладкий, умеренно кислый и сладко-кислый контур; сахар, кислота и горечь должны быть выровнены дегустацией. Ягода: нежнее кислой вишни; легко становится приторной.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2" s="28" t="str">
        <x:v>Не использовать повреждённые косточки без валидированной технологии: они содержат цианогенные гликозиды.</x:v>
      </x:c>
      <x:c r="I27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72" s="28" t="str">
        <x:v>Средняя</x:v>
      </x:c>
      <x:c r="K272" s="28" t="str">
        <x:v>The Art &amp; Science of Foodpairing</x:v>
      </x:c>
      <x:c r="L272" s="28" t="str">
        <x:v>The Art &amp; Science of Foodpairing: 260, 261</x:v>
      </x:c>
    </x:row>
    <x:row r="273" ht="62" customHeight="1">
      <x:c r="A273" s="28" t="str">
        <x:v>BER-0633</x:v>
      </x:c>
      <x:c r="B273" s="28" t="str">
        <x:v>черешня</x:v>
      </x:c>
      <x:c r="C273" s="28" t="str">
        <x:v>текила</x:v>
      </x:c>
      <x:c r="D273" s="28" t="str">
        <x:v>Алкогольные напитки</x:v>
      </x:c>
      <x:c r="E273" s="28" t="str">
        <x:v>контраст/комплементарность + матричный эффект</x:v>
      </x:c>
      <x:c r="F27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G27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H273" s="28" t="str">
        <x:v>Не использовать повреждённые косточки без валидированной технологии: они содержат цианогенные гликозиды. Высокая крепость и избыток сахара маскируют свежесть и усиливают терпкость.</x:v>
      </x:c>
      <x:c r="I273" s="28" t="str">
        <x:v>кордиал, лимонад, чай, коктейль, настой или ферментированный напиток</x:v>
      </x:c>
      <x:c r="J273" s="28" t="str">
        <x:v>Средняя</x:v>
      </x:c>
      <x:c r="K273" s="28" t="str">
        <x:v>The Art &amp; Science of Foodpairing</x:v>
      </x:c>
      <x:c r="L273" s="28" t="str">
        <x:v>The Art &amp; Science of Foodpairing: 82, 83</x:v>
      </x:c>
    </x:row>
    <x:row r="274" ht="62" customHeight="1">
      <x:c r="A274" s="28" t="str">
        <x:v>BER-0638</x:v>
      </x:c>
      <x:c r="B274" s="28" t="str">
        <x:v>чёрная смородина</x:v>
      </x:c>
      <x:c r="C274" s="28" t="str">
        <x:v>ананас</x:v>
      </x:c>
      <x:c r="D274" s="28" t="str">
        <x:v>Фрукты</x:v>
      </x:c>
      <x:c r="E274" s="28" t="str">
        <x:v>ароматическое сходство + вкусовой баланс</x:v>
      </x:c>
      <x:c r="F274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фруктовый, цветочный. Оба компонента формируют ярко-кислый, терпкий и сладко-кислый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4" s="28" t="str">
        <x:v>Тиольный профиль чёрной смородины легко доминирует и при избытке становится сернисто-«кошачьим».</x:v>
      </x:c>
      <x:c r="I27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74" s="28" t="str">
        <x:v>Средняя</x:v>
      </x:c>
      <x:c r="K274" s="28" t="str">
        <x:v>The Art &amp; Science of Foodpairing</x:v>
      </x:c>
      <x:c r="L274" s="28" t="str">
        <x:v>The Art &amp; Science of Foodpairing: 243</x:v>
      </x:c>
    </x:row>
    <x:row r="275" ht="62" customHeight="1">
      <x:c r="A275" s="28" t="str">
        <x:v>BER-0639</x:v>
      </x:c>
      <x:c r="B275" s="28" t="str">
        <x:v>чёрная смородина</x:v>
      </x:c>
      <x:c r="C275" s="28" t="str">
        <x:v>анис</x:v>
      </x:c>
      <x:c r="D275" s="28" t="str">
        <x:v>Специи</x:v>
      </x:c>
      <x:c r="E275" s="28" t="str">
        <x:v>ароматическое сходство + вкусовой баланс</x:v>
      </x:c>
      <x:c r="F275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5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I27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75" s="28" t="str">
        <x:v>Высокая</x:v>
      </x:c>
      <x:c r="K275" s="28" t="str">
        <x:v>Тезариус вкусов</x:v>
      </x:c>
      <x:c r="L275" s="28" t="str">
        <x:v>Тезариус вкусов: 488, 873</x:v>
      </x:c>
    </x:row>
    <x:row r="276" ht="62" customHeight="1">
      <x:c r="A276" s="28" t="str">
        <x:v>BER-0641</x:v>
      </x:c>
      <x:c r="B276" s="28" t="str">
        <x:v>чёрная смородина</x:v>
      </x:c>
      <x:c r="C276" s="28" t="str">
        <x:v>базилик</x:v>
      </x:c>
      <x:c r="D276" s="28" t="str">
        <x:v>Травы и цветы</x:v>
      </x:c>
      <x:c r="E276" s="28" t="str">
        <x:v>ароматическое сходство + вкусовой баланс</x:v>
      </x:c>
      <x:c r="F276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6" s="28" t="str">
        <x:v>Тиольный профиль чёрной смородины легко доминирует и при избытке становится сернисто-«кошачьим».</x:v>
      </x:c>
      <x:c r="I27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76" s="28" t="str">
        <x:v>Высокая</x:v>
      </x:c>
      <x:c r="K276" s="28" t="str">
        <x:v>The Art &amp; Science of Foodpairing; Таблица сочетаний</x:v>
      </x:c>
      <x:c r="L276" s="28" t="str">
        <x:v>The Art &amp; Science of Foodpairing: 74; Таблица сочетаний: 2</x:v>
      </x:c>
    </x:row>
    <x:row r="277" ht="62" customHeight="1">
      <x:c r="A277" s="28" t="str">
        <x:v>BER-0643</x:v>
      </x:c>
      <x:c r="B277" s="28" t="str">
        <x:v>чёрная смородина</x:v>
      </x:c>
      <x:c r="C277" s="28" t="str">
        <x:v>грейпфрут</x:v>
      </x:c>
      <x:c r="D277" s="28" t="str">
        <x:v>Цитрусовые</x:v>
      </x:c>
      <x:c r="E277" s="28" t="str">
        <x:v>сходство ароматических семейств + комплементарность</x:v>
      </x:c>
      <x:c r="F277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листовой, сернистый, тёмно-фруктовый, цветочный; партнёр — зелёный, цветочный, цитрусовый. Оба компонента формируют ярко-кислый, терпкий и кислый, свежий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7" s="28" t="str">
        <x:v>Тиольный профиль чёрной смородины легко доминирует и при избытке становится сернисто-«кошачьим».</x:v>
      </x:c>
      <x:c r="I277" s="28" t="str">
        <x:v>кордиал, лимонад, чай, коктейль, настой или ферментированный напиток; маринад, гастрик, чатни, кетчуп или редукция</x:v>
      </x:c>
      <x:c r="J277" s="28" t="str">
        <x:v>Средняя</x:v>
      </x:c>
      <x:c r="K277" s="28" t="str">
        <x:v>The Art &amp; Science of Foodpairing</x:v>
      </x:c>
      <x:c r="L277" s="28" t="str">
        <x:v>The Art &amp; Science of Foodpairing: 359</x:v>
      </x:c>
    </x:row>
    <x:row r="278" ht="62" customHeight="1">
      <x:c r="A278" s="28" t="str">
        <x:v>BER-0644</x:v>
      </x:c>
      <x:c r="B278" s="28" t="str">
        <x:v>чёрная смородина</x:v>
      </x:c>
      <x:c r="C278" s="28" t="str">
        <x:v>груша</x:v>
      </x:c>
      <x:c r="D278" s="28" t="str">
        <x:v>Фрукты</x:v>
      </x:c>
      <x:c r="E278" s="28" t="str">
        <x:v>ароматическое сходство + вкусовой баланс</x:v>
      </x:c>
      <x:c r="F278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фруктовый, цветочный. Оба компонента формируют ярко-кислый, терпкий и сладко-кислый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8" s="28" t="str">
        <x:v>Тиольный профиль чёрной смородины легко доминирует и при избытке становится сернисто-«кошачьим».</x:v>
      </x:c>
      <x:c r="I27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78" s="28" t="str">
        <x:v>Средняя</x:v>
      </x:c>
      <x:c r="K278" s="28" t="str">
        <x:v>Таблица сочетаний</x:v>
      </x:c>
      <x:c r="L278" s="28" t="str">
        <x:v>Таблица сочетаний: 2</x:v>
      </x:c>
    </x:row>
    <x:row r="279" ht="62" customHeight="1">
      <x:c r="A279" s="28" t="str">
        <x:v>BER-0645</x:v>
      </x:c>
      <x:c r="B279" s="28" t="str">
        <x:v>чёрная смородина</x:v>
      </x:c>
      <x:c r="C279" s="28" t="str">
        <x:v>джин</x:v>
      </x:c>
      <x:c r="D279" s="28" t="str">
        <x:v>Алкогольные напитки</x:v>
      </x:c>
      <x:c r="E279" s="28" t="str">
        <x:v>контраст/комплементарность + матричный эффект</x:v>
      </x:c>
      <x:c r="F27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древесный, фруктовый, эфирный. Кисло-сладкий ягодный профиль балансирует крепость и возможную дубовую горечь напитка. Этанол усиливает извлечение гидрофобных терпенов, иононов и эфиров, но при высокой крепости может подчеркнуть резкость.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G27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Холодная мацерация сохраняет свежие эфиры; длительное настаивание повышает экстракцию полифенолов и терпкость.</x:v>
      </x:c>
      <x:c r="H279" s="28" t="str">
        <x:v>Тиольный профиль чёрной смородины легко доминирует и при избытке становится сернисто-«кошачьим». Высокая крепость и избыток сахара маскируют свежесть и усиливают терпкость.</x:v>
      </x:c>
      <x:c r="I279" s="28" t="str">
        <x:v>кордиал, лимонад, чай, коктейль, настой или ферментированный напиток</x:v>
      </x:c>
      <x:c r="J279" s="28" t="str">
        <x:v>Средняя</x:v>
      </x:c>
      <x:c r="K279" s="28" t="str">
        <x:v>The Art &amp; Science of Foodpairing</x:v>
      </x:c>
      <x:c r="L279" s="28" t="str">
        <x:v>The Art &amp; Science of Foodpairing: 215</x:v>
      </x:c>
    </x:row>
    <x:row r="280" ht="62" customHeight="1">
      <x:c r="A280" s="28" t="str">
        <x:v>BER-0647</x:v>
      </x:c>
      <x:c r="B280" s="28" t="str">
        <x:v>чёрная смородина</x:v>
      </x:c>
      <x:c r="C280" s="28" t="str">
        <x:v>имбирь</x:v>
      </x:c>
      <x:c r="D280" s="28" t="str">
        <x:v>Специи</x:v>
      </x:c>
      <x:c r="E280" s="28" t="str">
        <x:v>ароматическое сходство + вкусовой баланс</x:v>
      </x:c>
      <x:c r="F280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8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80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I28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80" s="28" t="str">
        <x:v>Средняя</x:v>
      </x:c>
      <x:c r="K280" s="28" t="str">
        <x:v>Таблица сочетаний</x:v>
      </x:c>
      <x:c r="L280" s="28" t="str">
        <x:v>Таблица сочетаний: 2</x:v>
      </x:c>
    </x:row>
    <x:row r="281" ht="62" customHeight="1">
      <x:c r="A281" s="28" t="str">
        <x:v>BER-0648</x:v>
      </x:c>
      <x:c r="B281" s="28" t="str">
        <x:v>чёрная смородина</x:v>
      </x:c>
      <x:c r="C281" s="28" t="str">
        <x:v>инжир</x:v>
      </x:c>
      <x:c r="D281" s="28" t="str">
        <x:v>Фрукты</x:v>
      </x:c>
      <x:c r="E281" s="28" t="str">
        <x:v>ароматическое сходство + вкусовой баланс</x:v>
      </x:c>
      <x:c r="F281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фруктовый, цветочный. Оба компонента формируют ярко-кислый, терпкий и сладко-кислый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8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81" s="28" t="str">
        <x:v>Тиольный профиль чёрной смородины легко доминирует и при избытке становится сернисто-«кошачьим».</x:v>
      </x:c>
      <x:c r="I28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81" s="28" t="str">
        <x:v>Средняя</x:v>
      </x:c>
      <x:c r="K281" s="28" t="str">
        <x:v>Таблица сочетаний</x:v>
      </x:c>
      <x:c r="L281" s="28" t="str">
        <x:v>Таблица сочетаний: 2</x:v>
      </x:c>
    </x:row>
    <x:row r="282" ht="62" customHeight="1">
      <x:c r="A282" s="28" t="str">
        <x:v>BER-0650</x:v>
      </x:c>
      <x:c r="B282" s="28" t="str">
        <x:v>чёрная смородина</x:v>
      </x:c>
      <x:c r="C282" s="28" t="str">
        <x:v>красный сладкий перец</x:v>
      </x:c>
      <x:c r="D282" s="28" t="str">
        <x:v>Специи</x:v>
      </x:c>
      <x:c r="E282" s="28" t="str">
        <x:v>ароматическое сходство + вкусовой баланс</x:v>
      </x:c>
      <x:c r="F282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8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82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I28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82" s="28" t="str">
        <x:v>Средняя</x:v>
      </x:c>
      <x:c r="K282" s="28" t="str">
        <x:v>The Art &amp; Science of Foodpairing</x:v>
      </x:c>
      <x:c r="L282" s="28" t="str">
        <x:v>The Art &amp; Science of Foodpairing: 109</x:v>
      </x:c>
    </x:row>
    <x:row r="283" ht="62" customHeight="1">
      <x:c r="A283" s="28" t="str">
        <x:v>BER-0651</x:v>
      </x:c>
      <x:c r="B283" s="28" t="str">
        <x:v>чёрная смородина</x:v>
      </x:c>
      <x:c r="C283" s="28" t="str">
        <x:v>лимон и лайм</x:v>
      </x:c>
      <x:c r="D283" s="28" t="str">
        <x:v>Цитрусовые</x:v>
      </x:c>
      <x:c r="E283" s="28" t="str">
        <x:v>сходство ароматических семейств + комплементарность</x:v>
      </x:c>
      <x:c r="F283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листовой, сернистый, тёмно-фруктовый, цветочный; партнёр — зелёный, цветочный, цитрусовый. Оба компонента формируют ярко-кислый, терпкий и кислый, свежий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8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83" s="28" t="str">
        <x:v>Тиольный профиль чёрной смородины легко доминирует и при избытке становится сернисто-«кошачьим».</x:v>
      </x:c>
      <x:c r="I283" s="28" t="str">
        <x:v>кордиал, лимонад, чай, коктейль, настой или ферментированный напиток; маринад, гастрик, чатни, кетчуп или редукция</x:v>
      </x:c>
      <x:c r="J283" s="28" t="str">
        <x:v>Средняя</x:v>
      </x:c>
      <x:c r="K283" s="28" t="str">
        <x:v>The Art &amp; Science of Foodpairing</x:v>
      </x:c>
      <x:c r="L283" s="28" t="str">
        <x:v>The Art &amp; Science of Foodpairing: 87</x:v>
      </x:c>
    </x:row>
    <x:row r="284" ht="62" customHeight="1">
      <x:c r="A284" s="28" t="str">
        <x:v>BER-0657</x:v>
      </x:c>
      <x:c r="B284" s="28" t="str">
        <x:v>чёрная смородина</x:v>
      </x:c>
      <x:c r="C284" s="28" t="str">
        <x:v>мята</x:v>
      </x:c>
      <x:c r="D284" s="28" t="str">
        <x:v>Травы и цветы</x:v>
      </x:c>
      <x:c r="E284" s="28" t="str">
        <x:v>ароматическое сходство + вкусовой баланс</x:v>
      </x:c>
      <x:c r="F284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8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84" s="28" t="str">
        <x:v>Тиольный профиль чёрной смородины легко доминирует и при избытке становится сернисто-«кошачьим».</x:v>
      </x:c>
      <x:c r="I28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84" s="28" t="str">
        <x:v>Высокая</x:v>
      </x:c>
      <x:c r="K284" s="28" t="str">
        <x:v>Таблица сочетаний; Тезариус вкусов</x:v>
      </x:c>
      <x:c r="L284" s="28" t="str">
        <x:v>Тезариус вкусов: 870, 878; Таблица сочетаний: 2</x:v>
      </x:c>
    </x:row>
    <x:row r="285" ht="62" customHeight="1">
      <x:c r="A285" s="28" t="str">
        <x:v>BER-0659</x:v>
      </x:c>
      <x:c r="B285" s="28" t="str">
        <x:v>чёрная смородина</x:v>
      </x:c>
      <x:c r="C285" s="28" t="str">
        <x:v>перец</x:v>
      </x:c>
      <x:c r="D285" s="28" t="str">
        <x:v>Специи</x:v>
      </x:c>
      <x:c r="E285" s="28" t="str">
        <x:v>ароматическое сходство + вкусовой баланс</x:v>
      </x:c>
      <x:c r="F285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8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85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I28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85" s="28" t="str">
        <x:v>Средняя</x:v>
      </x:c>
      <x:c r="K285" s="28" t="str">
        <x:v>Таблица сочетаний</x:v>
      </x:c>
      <x:c r="L285" s="28" t="str">
        <x:v>Таблица сочетаний: 2</x:v>
      </x:c>
    </x:row>
    <x:row r="286" ht="62" customHeight="1">
      <x:c r="A286" s="28" t="str">
        <x:v>BER-0660</x:v>
      </x:c>
      <x:c r="B286" s="28" t="str">
        <x:v>чёрная смородина</x:v>
      </x:c>
      <x:c r="C286" s="28" t="str">
        <x:v>персик</x:v>
      </x:c>
      <x:c r="D286" s="28" t="str">
        <x:v>Фрукты</x:v>
      </x:c>
      <x:c r="E286" s="28" t="str">
        <x:v>ароматическое сходство + вкусовой баланс</x:v>
      </x:c>
      <x:c r="F286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фруктовый, цветочный. Оба компонента формируют ярко-кислый, терпкий и сладко-кислый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8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86" s="28" t="str">
        <x:v>Тиольный профиль чёрной смородины легко доминирует и при избытке становится сернисто-«кошачьим».</x:v>
      </x:c>
      <x:c r="I28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86" s="28" t="str">
        <x:v>Средняя</x:v>
      </x:c>
      <x:c r="K286" s="28" t="str">
        <x:v>Таблица сочетаний</x:v>
      </x:c>
      <x:c r="L286" s="28" t="str">
        <x:v>Таблица сочетаний: 2</x:v>
      </x:c>
    </x:row>
    <x:row r="287" ht="62" customHeight="1">
      <x:c r="A287" s="28" t="str">
        <x:v>BER-0661</x:v>
      </x:c>
      <x:c r="B287" s="28" t="str">
        <x:v>чёрная смородина</x:v>
      </x:c>
      <x:c r="C287" s="28" t="str">
        <x:v>розмарин</x:v>
      </x:c>
      <x:c r="D287" s="28" t="str">
        <x:v>Травы и цветы</x:v>
      </x:c>
      <x:c r="E287" s="28" t="str">
        <x:v>ароматическое сходство + вкусовой баланс</x:v>
      </x:c>
      <x:c r="F287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8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87" s="28" t="str">
        <x:v>Тиольный профиль чёрной смородины легко доминирует и при избытке становится сернисто-«кошачьим».</x:v>
      </x:c>
      <x:c r="I28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87" s="28" t="str">
        <x:v>Средняя</x:v>
      </x:c>
      <x:c r="K287" s="28" t="str">
        <x:v>Таблица сочетаний</x:v>
      </x:c>
      <x:c r="L287" s="28" t="str">
        <x:v>Таблица сочетаний: 2</x:v>
      </x:c>
    </x:row>
    <x:row r="288" ht="62" customHeight="1">
      <x:c r="A288" s="28" t="str">
        <x:v>BER-0667</x:v>
      </x:c>
      <x:c r="B288" s="28" t="str">
        <x:v>чёрная смородина</x:v>
      </x:c>
      <x:c r="C288" s="28" t="str">
        <x:v>цветная капуста</x:v>
      </x:c>
      <x:c r="D288" s="28" t="str">
        <x:v>Травы и цветы</x:v>
      </x:c>
      <x:c r="E288" s="28" t="str">
        <x:v>ароматическое сходство + вкусовой баланс</x:v>
      </x:c>
      <x:c r="F288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8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88" s="28" t="str">
        <x:v>Тиольный профиль чёрной смородины легко доминирует и при избытке становится сернисто-«кошачьим».</x:v>
      </x:c>
      <x:c r="I28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88" s="28" t="str">
        <x:v>Средняя</x:v>
      </x:c>
      <x:c r="K288" s="28" t="str">
        <x:v>The Art &amp; Science of Foodpairing</x:v>
      </x:c>
      <x:c r="L288" s="28" t="str">
        <x:v>The Art &amp; Science of Foodpairing: 67</x:v>
      </x:c>
    </x:row>
    <x:row r="289" ht="62" customHeight="1">
      <x:c r="A289" s="28" t="str">
        <x:v>BER-0668</x:v>
      </x:c>
      <x:c r="B289" s="28" t="str">
        <x:v>чёрная смородина</x:v>
      </x:c>
      <x:c r="C289" s="28" t="str">
        <x:v>чай</x:v>
      </x:c>
      <x:c r="D289" s="28" t="str">
        <x:v>Чай и безалкогольные напитки</x:v>
      </x:c>
      <x:c r="E289" s="28" t="str">
        <x:v>сходство ароматических семейств + комплементарность</x:v>
      </x:c>
      <x:c r="F289" s="28" t="str">
        <x:v>Общие ароматические семейства: цветочный; конкретная доля одорантов зависит от сорта и обработки. Ягодный компонент несёт семейства зелёный, листовой, сернистый, тёмно-фруктовый, цветочный; партнёр — терпкий, травянистый, цветочный. Оба компонента формируют ярко-кислый, терпкий и горьковатый, терпкий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водная матрица; температура определяет экстракцию.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8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89" s="28" t="str">
        <x:v>Тиольный профиль чёрной смородины легко доминирует и при избытке становится сернисто-«кошачьим».</x:v>
      </x:c>
      <x:c r="I289" s="28" t="str">
        <x:v>кордиал, лимонад, чай, коктейль, настой или ферментированный напиток</x:v>
      </x:c>
      <x:c r="J289" s="28" t="str">
        <x:v>Средняя</x:v>
      </x:c>
      <x:c r="K289" s="28" t="str">
        <x:v>The Art &amp; Science of Foodpairing</x:v>
      </x:c>
      <x:c r="L289" s="28" t="str">
        <x:v>The Art &amp; Science of Foodpairing: 365</x:v>
      </x:c>
    </x:row>
    <x:row r="290" ht="62" customHeight="1">
      <x:c r="A290" s="28" t="str">
        <x:v>BER-0670</x:v>
      </x:c>
      <x:c r="B290" s="28" t="str">
        <x:v>чёрная смородина</x:v>
      </x:c>
      <x:c r="C290" s="28" t="str">
        <x:v>чёрный перец</x:v>
      </x:c>
      <x:c r="D290" s="28" t="str">
        <x:v>Специи</x:v>
      </x:c>
      <x:c r="E290" s="28" t="str">
        <x:v>ароматическое сходство + вкусовой баланс</x:v>
      </x:c>
      <x:c r="F290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0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I29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90" s="28" t="str">
        <x:v>Средняя</x:v>
      </x:c>
      <x:c r="K290" s="28" t="str">
        <x:v>The Art &amp; Science of Foodpairing</x:v>
      </x:c>
      <x:c r="L290" s="28" t="str">
        <x:v>The Art &amp; Science of Foodpairing: 273</x:v>
      </x:c>
    </x:row>
    <x:row r="291" ht="62" customHeight="1">
      <x:c r="A291" s="28" t="str">
        <x:v>BER-0673</x:v>
      </x:c>
      <x:c r="B291" s="28" t="str">
        <x:v>чёрная смородина</x:v>
      </x:c>
      <x:c r="C291" s="28" t="str">
        <x:v>яблоко</x:v>
      </x:c>
      <x:c r="D291" s="28" t="str">
        <x:v>Фрукты</x:v>
      </x:c>
      <x:c r="E291" s="28" t="str">
        <x:v>ароматическое сходство + вкусовой баланс</x:v>
      </x:c>
      <x:c r="F291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фруктовый, цветочный. Оба компонента формируют ярко-кислый, терпкий и сладко-кислый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1" s="28" t="str">
        <x:v>Тиольный профиль чёрной смородины легко доминирует и при избытке становится сернисто-«кошачьим».</x:v>
      </x:c>
      <x:c r="I29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91" s="28" t="str">
        <x:v>Высокая</x:v>
      </x:c>
      <x:c r="K291" s="28" t="str">
        <x:v>The Art &amp; Science of Foodpairing; Таблица сочетаний</x:v>
      </x:c>
      <x:c r="L291" s="28" t="str">
        <x:v>The Art &amp; Science of Foodpairing: 49; Таблица сочетаний: 2</x:v>
      </x:c>
    </x:row>
    <x:row r="292" ht="62" customHeight="1">
      <x:c r="A292" s="28" t="str">
        <x:v>BER-0674</x:v>
      </x:c>
      <x:c r="B292" s="28" t="str">
        <x:v>черника</x:v>
      </x:c>
      <x:c r="C292" s="28" t="str">
        <x:v>арбуз</x:v>
      </x:c>
      <x:c r="D292" s="28" t="str">
        <x:v>Фрукты</x:v>
      </x:c>
      <x:c r="E292" s="28" t="str">
        <x:v>ароматическое сходство + вкусовой баланс</x:v>
      </x:c>
      <x:c r="F292" s="28" t="str">
        <x:v>Прямой вероятный молекулярный мост: терпены, эфиры. Ягодный компонент несёт семейства древесный,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антоцианы отвечают за цвет, но не за основной запах.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9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92" s="28" t="str">
        <x:v>Средняя</x:v>
      </x:c>
      <x:c r="K292" s="28" t="str">
        <x:v>The Art &amp; Science of Foodpairing</x:v>
      </x:c>
      <x:c r="L292" s="28" t="str">
        <x:v>The Art &amp; Science of Foodpairing: 79</x:v>
      </x:c>
    </x:row>
    <x:row r="293" ht="62" customHeight="1">
      <x:c r="A293" s="28" t="str">
        <x:v>BER-0678</x:v>
      </x:c>
      <x:c r="B293" s="28" t="str">
        <x:v>черника</x:v>
      </x:c>
      <x:c r="C293" s="28" t="str">
        <x:v>корица</x:v>
      </x:c>
      <x:c r="D293" s="28" t="str">
        <x:v>Специи</x:v>
      </x:c>
      <x:c r="E293" s="28" t="str">
        <x:v>ароматическое сходство + вкусовой баланс</x:v>
      </x:c>
      <x:c r="F293" s="28" t="str">
        <x:v>Прямой вероятный молекулярный мост: терпены. Ягодный компонент несёт семейства древесный,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3" s="28" t="str">
        <x:v>Пряность дозировать как акцент: она быстро перекрывает тонкие ягодные эфиры.</x:v>
      </x:c>
      <x:c r="I29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93" s="28" t="str">
        <x:v>Высокая</x:v>
      </x:c>
      <x:c r="K293" s="28" t="str">
        <x:v>Тезариус вкусов</x:v>
      </x:c>
      <x:c r="L293" s="28" t="str">
        <x:v>Тезариус вкусов: 580, 905</x:v>
      </x:c>
    </x:row>
    <x:row r="294" ht="62" customHeight="1">
      <x:c r="A294" s="28" t="str">
        <x:v>BER-0679</x:v>
      </x:c>
      <x:c r="B294" s="28" t="str">
        <x:v>черника</x:v>
      </x:c>
      <x:c r="C294" s="28" t="str">
        <x:v>лимон</x:v>
      </x:c>
      <x:c r="D294" s="28" t="str">
        <x:v>Цитрусовые</x:v>
      </x:c>
      <x:c r="E294" s="28" t="str">
        <x:v>сходство ароматических семейств + комплементарность</x:v>
      </x:c>
      <x:c r="F294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древесный,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антоцианы отвечают за цвет, но не за основной запах.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94" s="28" t="str">
        <x:v>кордиал, лимонад, чай, коктейль, настой или ферментированный напиток; маринад, гастрик, чатни, кетчуп или редукция</x:v>
      </x:c>
      <x:c r="J294" s="28" t="str">
        <x:v>Высокая</x:v>
      </x:c>
      <x:c r="K294" s="28" t="str">
        <x:v>Тезариус вкусов</x:v>
      </x:c>
      <x:c r="L294" s="28" t="str">
        <x:v>Тезариус вкусов: 810, 905</x:v>
      </x:c>
    </x:row>
    <x:row r="295" ht="62" customHeight="1">
      <x:c r="A295" s="28" t="str">
        <x:v>BER-0680</x:v>
      </x:c>
      <x:c r="B295" s="28" t="str">
        <x:v>черника</x:v>
      </x:c>
      <x:c r="C295" s="28" t="str">
        <x:v>манго</x:v>
      </x:c>
      <x:c r="D295" s="28" t="str">
        <x:v>Фрукты</x:v>
      </x:c>
      <x:c r="E295" s="28" t="str">
        <x:v>ароматическое сходство + вкусовой баланс</x:v>
      </x:c>
      <x:c r="F295" s="28" t="str">
        <x:v>Прямой вероятный молекулярный мост: терпены, эфиры. Ягодный компонент несёт семейства древесный,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антоцианы отвечают за цвет, но не за основной запах.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9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95" s="28" t="str">
        <x:v>Средняя</x:v>
      </x:c>
      <x:c r="K295" s="28" t="str">
        <x:v>The Art &amp; Science of Foodpairing</x:v>
      </x:c>
      <x:c r="L295" s="28" t="str">
        <x:v>The Art &amp; Science of Foodpairing: 313</x:v>
      </x:c>
    </x:row>
    <x:row r="296" ht="62" customHeight="1">
      <x:c r="A296" s="28" t="str">
        <x:v>BER-0683</x:v>
      </x:c>
      <x:c r="B296" s="28" t="str">
        <x:v>черника</x:v>
      </x:c>
      <x:c r="C296" s="28" t="str">
        <x:v>персик</x:v>
      </x:c>
      <x:c r="D296" s="28" t="str">
        <x:v>Фрукты</x:v>
      </x:c>
      <x:c r="E296" s="28" t="str">
        <x:v>ароматическое сходство + вкусовой баланс</x:v>
      </x:c>
      <x:c r="F296" s="28" t="str">
        <x:v>Прямой вероятный молекулярный мост: терпены, эфиры. Ягодный компонент несёт семейства древесный,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антоцианы отвечают за цвет, но не за основной запах.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9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96" s="28" t="str">
        <x:v>Высокая</x:v>
      </x:c>
      <x:c r="K296" s="28" t="str">
        <x:v>Тезариус вкусов</x:v>
      </x:c>
      <x:c r="L296" s="28" t="str">
        <x:v>Тезариус вкусов: 751, 905</x:v>
      </x:c>
    </x:row>
    <x:row r="297" ht="62" customHeight="1">
      <x:c r="A297" s="28" t="str">
        <x:v>BER-0686</x:v>
      </x:c>
      <x:c r="B297" s="28" t="str">
        <x:v>черника</x:v>
      </x:c>
      <x:c r="C297" s="28" t="str">
        <x:v>яблоко</x:v>
      </x:c>
      <x:c r="D297" s="28" t="str">
        <x:v>Фрукты</x:v>
      </x:c>
      <x:c r="E297" s="28" t="str">
        <x:v>ароматическое сходство + вкусовой баланс</x:v>
      </x:c>
      <x:c r="F297" s="28" t="str">
        <x:v>Прямой вероятный молекулярный мост: терпены, эфиры. Ягодный компонент несёт семейства древесный,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антоцианы отвечают за цвет, но не за основной запах.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9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97" s="28" t="str">
        <x:v>Высокая</x:v>
      </x:c>
      <x:c r="K297" s="28" t="str">
        <x:v>Тезариус вкусов</x:v>
      </x:c>
      <x:c r="L297" s="28" t="str">
        <x:v>Тезариус вкусов: 719, 905</x:v>
      </x:c>
    </x:row>
    <x:row r="298" ht="62" customHeight="1">
      <x:c r="A298" s="28" t="str">
        <x:v>BER-0687</x:v>
      </x:c>
      <x:c r="B298" s="28" t="str">
        <x:v>шелковица</x:v>
      </x:c>
      <x:c r="C298" s="28" t="str">
        <x:v>банан</x:v>
      </x:c>
      <x:c r="D298" s="28" t="str">
        <x:v>Фрукты</x:v>
      </x:c>
      <x:c r="E298" s="28" t="str">
        <x:v>ароматическое сходство + вкусовой баланс</x:v>
      </x:c>
      <x:c r="F298" s="28" t="str">
        <x:v>Прямой вероятный молекулярный мост: терпены, эфиры. Ягодный компонент несёт семейства джемовый,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мягкий аромат нуждается в кислотной опоре.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9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98" s="28" t="str">
        <x:v>Средняя</x:v>
      </x:c>
      <x:c r="K298" s="28" t="str">
        <x:v>The Art &amp; Science of Foodpairing</x:v>
      </x:c>
      <x:c r="L298" s="28" t="str">
        <x:v>The Art &amp; Science of Foodpairing: 342</x:v>
      </x:c>
    </x:row>
    <x:row r="299" ht="62" customHeight="1">
      <x:c r="A299" s="28" t="str">
        <x:v>BER-0689</x:v>
      </x:c>
      <x:c r="B299" s="28" t="str">
        <x:v>шелковица</x:v>
      </x:c>
      <x:c r="C299" s="28" t="str">
        <x:v>лимон</x:v>
      </x:c>
      <x:c r="D299" s="28" t="str">
        <x:v>Цитрусовые</x:v>
      </x:c>
      <x:c r="E299" s="28" t="str">
        <x:v>сходство ароматических семейств + комплементарность</x:v>
      </x:c>
      <x:c r="F299" s="28" t="str">
        <x:v>Общие ароматические семейства: цветочный; конкретная доля одорантов зависит от сорта и обработки. Ягодный компонент несёт семейства джемовый,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мягкий аромат нуждается в кислотной опоре.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99" s="28" t="str">
        <x:v>кордиал, лимонад, чай, коктейль, настой или ферментированный напиток; маринад, гастрик, чатни, кетчуп или редукция</x:v>
      </x:c>
      <x:c r="J299" s="28" t="str">
        <x:v>Средняя</x:v>
      </x:c>
      <x:c r="K299" s="28" t="str">
        <x:v>Таблица сочетаний</x:v>
      </x:c>
      <x:c r="L299" s="28" t="str">
        <x:v>Таблица сочетаний: 13</x:v>
      </x:c>
    </x:row>
    <x:row r="300" ht="62" customHeight="1">
      <x:c r="A300" s="28" t="str">
        <x:v>BER-0691</x:v>
      </x:c>
      <x:c r="B300" s="28" t="str">
        <x:v>шелковица</x:v>
      </x:c>
      <x:c r="C300" s="28" t="str">
        <x:v>мята</x:v>
      </x:c>
      <x:c r="D300" s="28" t="str">
        <x:v>Травы и цветы</x:v>
      </x:c>
      <x:c r="E300" s="28" t="str">
        <x:v>ароматическое сходство + вкусовой баланс</x:v>
      </x:c>
      <x:c r="F300" s="28" t="str">
        <x:v>Прямой вероятный молекулярный мост: терпены. Ягодный компонент несёт семейства джемовый,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0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0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30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300" s="28" t="str">
        <x:v>Средняя</x:v>
      </x:c>
      <x:c r="K300" s="28" t="str">
        <x:v>Таблица сочетаний</x:v>
      </x:c>
      <x:c r="L300" s="28" t="str">
        <x:v>Таблица сочетаний: 13</x:v>
      </x:c>
    </x:row>
    <x:row r="301" ht="62" customHeight="1">
      <x:c r="A301" s="28" t="str">
        <x:v>BER-0692</x:v>
      </x:c>
      <x:c r="B301" s="28" t="str">
        <x:v>шелковица</x:v>
      </x:c>
      <x:c r="C301" s="28" t="str">
        <x:v>розмарин</x:v>
      </x:c>
      <x:c r="D301" s="28" t="str">
        <x:v>Травы и цветы</x:v>
      </x:c>
      <x:c r="E301" s="28" t="str">
        <x:v>ароматическое сходство + вкусовой баланс</x:v>
      </x:c>
      <x:c r="F301" s="28" t="str">
        <x:v>Прямой вероятный молекулярный мост: терпены. Ягодный компонент несёт семейства джемовый,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0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0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30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301" s="28" t="str">
        <x:v>Средняя</x:v>
      </x:c>
      <x:c r="K301" s="28" t="str">
        <x:v>Таблица сочетаний</x:v>
      </x:c>
      <x:c r="L301" s="28" t="str">
        <x:v>Таблица сочетаний: 13</x:v>
      </x:c>
    </x:row>
    <x:row r="302" ht="62" customHeight="1">
      <x:c r="A302" s="28" t="str">
        <x:v>BER-0694</x:v>
      </x:c>
      <x:c r="B302" s="28" t="str">
        <x:v>шелковица</x:v>
      </x:c>
      <x:c r="C302" s="28" t="str">
        <x:v>тимьян</x:v>
      </x:c>
      <x:c r="D302" s="28" t="str">
        <x:v>Травы и цветы</x:v>
      </x:c>
      <x:c r="E302" s="28" t="str">
        <x:v>ароматическое сходство + вкусовой баланс</x:v>
      </x:c>
      <x:c r="F302" s="28" t="str">
        <x:v>Прямой вероятный молекулярный мост: терпены. Ягодный компонент несёт семейства джемовый,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0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0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30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302" s="28" t="str">
        <x:v>Средняя</x:v>
      </x:c>
      <x:c r="K302" s="28" t="str">
        <x:v>Таблица сочетаний</x:v>
      </x:c>
      <x:c r="L302" s="28" t="str">
        <x:v>Таблица сочетаний: 13</x:v>
      </x:c>
    </x:row>
    <x:row r="303" ht="62" customHeight="1">
      <x:c r="A303" s="28" t="str">
        <x:v>BER-0695</x:v>
      </x:c>
      <x:c r="B303" s="28" t="str">
        <x:v>шелковица</x:v>
      </x:c>
      <x:c r="C303" s="28" t="str">
        <x:v>чёрный перец</x:v>
      </x:c>
      <x:c r="D303" s="28" t="str">
        <x:v>Специи</x:v>
      </x:c>
      <x:c r="E303" s="28" t="str">
        <x:v>ароматическое сходство + вкусовой баланс</x:v>
      </x:c>
      <x:c r="F303" s="28" t="str">
        <x:v>Прямой вероятный молекулярный мост: терпены. Ягодный компонент несёт семейства джемовый,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0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03" s="28" t="str">
        <x:v>Пряность дозировать как акцент: она быстро перекрывает тонкие ягодные эфиры.</x:v>
      </x:c>
      <x:c r="I30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303" s="28" t="str">
        <x:v>Средняя</x:v>
      </x:c>
      <x:c r="K303" s="28" t="str">
        <x:v>Таблица сочетаний</x:v>
      </x:c>
      <x:c r="L303" s="28" t="str">
        <x:v>Таблица сочетаний: 13</x:v>
      </x:c>
    </x:row>
    <x:row r="304" ht="62" customHeight="1">
      <x:c r="A304" s="28" t="str">
        <x:v>BER-0696</x:v>
      </x:c>
      <x:c r="B304" s="28" t="str">
        <x:v>шелковица</x:v>
      </x:c>
      <x:c r="C304" s="28" t="str">
        <x:v>яблоко</x:v>
      </x:c>
      <x:c r="D304" s="28" t="str">
        <x:v>Фрукты</x:v>
      </x:c>
      <x:c r="E304" s="28" t="str">
        <x:v>ароматическое сходство + вкусовой баланс</x:v>
      </x:c>
      <x:c r="F304" s="28" t="str">
        <x:v>Прямой вероятный молекулярный мост: терпены, эфиры. Ягодный компонент несёт семейства джемовый,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мягкий аромат нуждается в кислотной опоре.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0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0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30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304" s="28" t="str">
        <x:v>Средняя</x:v>
      </x:c>
      <x:c r="K304" s="28" t="str">
        <x:v>Таблица сочетаний</x:v>
      </x:c>
      <x:c r="L304" s="28" t="str">
        <x:v>Таблица сочетаний: 13</x:v>
      </x:c>
    </x:row>
    <x:row r="305" ht="62" customHeight="1">
      <x:c r="A305" s="28" t="str">
        <x:v>BER-0698</x:v>
      </x:c>
      <x:c r="B305" s="28" t="str">
        <x:v>ягоды асаи</x:v>
      </x:c>
      <x:c r="C305" s="28" t="str">
        <x:v>имбирь</x:v>
      </x:c>
      <x:c r="D305" s="28" t="str">
        <x:v>Специи</x:v>
      </x:c>
      <x:c r="E305" s="28" t="str">
        <x:v>контраст/комплементарность + матричный эффект</x:v>
      </x:c>
      <x:c r="F30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0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05" s="28" t="str">
        <x:v>Пряность дозировать как акцент: она быстро перекрывает тонкие ягодные эфиры.</x:v>
      </x:c>
      <x:c r="I30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305" s="28" t="str">
        <x:v>Средняя</x:v>
      </x:c>
      <x:c r="K305" s="28" t="str">
        <x:v>The Art &amp; Science of Foodpairing</x:v>
      </x:c>
      <x:c r="L305" s="28" t="str">
        <x:v>The Art &amp; Science of Foodpairing: 142</x:v>
      </x:c>
    </x:row>
    <x:row r="306" ht="62" customHeight="1">
      <x:c r="A306" s="28" t="str">
        <x:v>BER-0705</x:v>
      </x:c>
      <x:c r="B306" s="28" t="str">
        <x:v>ягоды асаи</x:v>
      </x:c>
      <x:c r="C306" s="28" t="str">
        <x:v>чай</x:v>
      </x:c>
      <x:c r="D306" s="28" t="str">
        <x:v>Чай и безалкогольные напитки</x:v>
      </x:c>
      <x:c r="E306" s="28" t="str">
        <x:v>контраст/комплементарность + матричный эффект</x:v>
      </x:c>
      <x:c r="F30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терпкий, травянистый, цветочный. Оба компонента формируют зависит от ингредиента и горьковатый, терпкий контур; сахар, кислота и горечь должны быть выровнены дегустацией. Ягода: механизм зависит от конкретного продукта. Партнёр: водная матрица; температура определяет экстракцию.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0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0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306" s="28" t="str">
        <x:v>кордиал, лимонад, чай, коктейль, настой или ферментированный напиток</x:v>
      </x:c>
      <x:c r="J306" s="28" t="str">
        <x:v>Средняя</x:v>
      </x:c>
      <x:c r="K306" s="28" t="str">
        <x:v>The Art &amp; Science of Foodpairing</x:v>
      </x:c>
      <x:c r="L306" s="28" t="str">
        <x:v>The Art &amp; Science of Foodpairing: 365</x:v>
      </x:c>
    </x:row>
    <x:row r="307" ht="62" customHeight="1">
      <x:c r="A307" s="28" t="str">
        <x:v>BER-0708</x:v>
      </x:c>
      <x:c r="B307" s="28" t="str">
        <x:v>ягоды годжи</x:v>
      </x:c>
      <x:c r="C307" s="28" t="str">
        <x:v>базилик</x:v>
      </x:c>
      <x:c r="D307" s="28" t="str">
        <x:v>Травы и цветы</x:v>
      </x:c>
      <x:c r="E307" s="28" t="str">
        <x:v>контраст/комплементарность + матричный эффект</x:v>
      </x:c>
      <x:c r="F30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0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0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30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307" s="28" t="str">
        <x:v>Средняя</x:v>
      </x:c>
      <x:c r="K307" s="28" t="str">
        <x:v>The Art &amp; Science of Foodpairing</x:v>
      </x:c>
      <x:c r="L307" s="28" t="str">
        <x:v>The Art &amp; Science of Foodpairing: 74</x:v>
      </x:c>
    </x:row>
    <x:row r="308" ht="62" customHeight="1">
      <x:c r="A308" s="28" t="str">
        <x:v>BER-0711</x:v>
      </x:c>
      <x:c r="B308" s="28" t="str">
        <x:v>ягоды годжи</x:v>
      </x:c>
      <x:c r="C308" s="28" t="str">
        <x:v>корица</x:v>
      </x:c>
      <x:c r="D308" s="28" t="str">
        <x:v>Специи</x:v>
      </x:c>
      <x:c r="E308" s="28" t="str">
        <x:v>контраст/комплементарность + матричный эффект</x:v>
      </x:c>
      <x:c r="F30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0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08" s="28" t="str">
        <x:v>Пряность дозировать как акцент: она быстро перекрывает тонкие ягодные эфиры.</x:v>
      </x:c>
      <x:c r="I30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308" s="28" t="str">
        <x:v>Средняя</x:v>
      </x:c>
      <x:c r="K308" s="28" t="str">
        <x:v>Таблица сочетаний</x:v>
      </x:c>
      <x:c r="L308" s="28" t="str">
        <x:v>Таблица сочетаний: 8</x:v>
      </x:c>
    </x:row>
    <x:row r="309" ht="62" customHeight="1">
      <x:c r="A309" s="28" t="str">
        <x:v>BER-0713</x:v>
      </x:c>
      <x:c r="B309" s="28" t="str">
        <x:v>ягоды годжи</x:v>
      </x:c>
      <x:c r="C309" s="28" t="str">
        <x:v>личи</x:v>
      </x:c>
      <x:c r="D309" s="28" t="str">
        <x:v>Фрукты</x:v>
      </x:c>
      <x:c r="E309" s="28" t="str">
        <x:v>контраст/комплементарность + матричный эффект</x:v>
      </x:c>
      <x:c r="F30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фруктовый, цветочный. Оба компонента формируют зависит от ингредиента и сладко-кислый контур; сахар, кислота и горечь должны быть выровнены дегустацией. Ягода: механизм зависит от конкретного продукта.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0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0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30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309" s="28" t="str">
        <x:v>Средняя</x:v>
      </x:c>
      <x:c r="K309" s="28" t="str">
        <x:v>Таблица сочетаний</x:v>
      </x:c>
      <x:c r="L309" s="28" t="str">
        <x:v>Таблица сочетаний: 12</x:v>
      </x:c>
    </x:row>
    <x:row r="310" ht="62" customHeight="1">
      <x:c r="A310" s="28" t="str">
        <x:v>BER-0715</x:v>
      </x:c>
      <x:c r="B310" s="28" t="str">
        <x:v>ягоды годжи</x:v>
      </x:c>
      <x:c r="C310" s="28" t="str">
        <x:v>мята</x:v>
      </x:c>
      <x:c r="D310" s="28" t="str">
        <x:v>Травы и цветы</x:v>
      </x:c>
      <x:c r="E310" s="28" t="str">
        <x:v>контраст/комплементарность + матричный эффект</x:v>
      </x:c>
      <x:c r="F31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1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31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310" s="28" t="str">
        <x:v>Средняя</x:v>
      </x:c>
      <x:c r="K310" s="28" t="str">
        <x:v>Таблица сочетаний</x:v>
      </x:c>
      <x:c r="L310" s="28" t="str">
        <x:v>Таблица сочетаний: 8</x:v>
      </x:c>
    </x:row>
    <x:row r="311" ht="62" customHeight="1">
      <x:c r="A311" s="28" t="str">
        <x:v>BER-0716</x:v>
      </x:c>
      <x:c r="B311" s="28" t="str">
        <x:v>ягоды годжи</x:v>
      </x:c>
      <x:c r="C311" s="28" t="str">
        <x:v>тимьян</x:v>
      </x:c>
      <x:c r="D311" s="28" t="str">
        <x:v>Травы и цветы</x:v>
      </x:c>
      <x:c r="E311" s="28" t="str">
        <x:v>контраст/комплементарность + матричный эффект</x:v>
      </x:c>
      <x:c r="F31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1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31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311" s="28" t="str">
        <x:v>Средняя</x:v>
      </x:c>
      <x:c r="K311" s="28" t="str">
        <x:v>Таблица сочетаний</x:v>
      </x:c>
      <x:c r="L311" s="28" t="str">
        <x:v>Таблица сочетаний: 8</x:v>
      </x:c>
    </x:row>
  </x:sheetData>
  <x:conditionalFormatting sqref="J2:J311">
    <x:cfRule type="expression" dxfId="2" priority="1">
      <x:formula>J2="Высокая"</x:formula>
    </x:cfRule>
    <x:cfRule type="expression" dxfId="3" priority="2">
      <x:formula>J2="Средняя"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83d0b9b19f48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29" hidden="0" customWidth="1"/>
    <x:col min="4" max="4" width="24" hidden="0" customWidth="1"/>
    <x:col min="5" max="5" width="34" hidden="0" customWidth="1"/>
    <x:col min="6" max="6" width="60" hidden="0" customWidth="1"/>
    <x:col min="7" max="7" width="48" hidden="0" customWidth="1"/>
    <x:col min="8" max="8" width="48" hidden="0" customWidth="1"/>
    <x:col min="9" max="9" width="44" hidden="0" customWidth="1"/>
    <x:col min="10" max="10" width="22" hidden="0" customWidth="1"/>
    <x:col min="11" max="11" width="36" hidden="0" customWidth="1"/>
    <x:col min="12" max="12" width="42" hidden="0" customWidth="1"/>
  </x:cols>
  <x:sheetData>
    <x:row r="1" ht="42" customHeight="1">
      <x:c r="A1" s="20" t="str">
        <x:v>ID</x:v>
      </x:c>
      <x:c r="B1" s="20" t="str">
        <x:v>Ягода / производное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Подробное 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Практическое 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2" customHeight="1">
      <x:c r="A2" s="28" t="str">
        <x:v>BER-0003</x:v>
      </x:c>
      <x:c r="B2" s="28" t="str">
        <x:v>барбарис</x:v>
      </x:c>
      <x:c r="C2" s="28" t="str">
        <x:v>соевый соус</x:v>
      </x:c>
      <x:c r="D2" s="28" t="str">
        <x:v>Ферментированные продукты, соусы и уксусы</x:v>
      </x:c>
      <x:c r="E2" s="28" t="str">
        <x:v>ароматическое сходство + вкусовой баланс</x:v>
      </x:c>
      <x:c r="F2" s="28" t="str">
        <x:v>Прямой вероятный молекулярный мост: эфиры. Ягодный компонент несёт семейства кислый, красно-фруктовый, цветочный; партнёр — кислый, умами, ферментированный. Оба компонента формируют очень кислый и кислый/солёный/умами контур; сахар, кислота и горечь должны быть выровнены дегустацией. Ягода: лучше работает как кислотный акцент.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" s="28" t="str">
        <x:v>соус, глазировка, салат, сырная подача или горячее блюдо; маринад, гастрик, чатни, кетчуп или редукция</x:v>
      </x:c>
      <x:c r="J2" s="28" t="str">
        <x:v>Средняя</x:v>
      </x:c>
      <x:c r="K2" s="28" t="str">
        <x:v>The Art &amp; Science of Foodpairing</x:v>
      </x:c>
      <x:c r="L2" s="28" t="str">
        <x:v>The Art &amp; Science of Foodpairing: 300</x:v>
      </x:c>
    </x:row>
    <x:row r="3" ht="62" customHeight="1">
      <x:c r="A3" s="28" t="str">
        <x:v>BER-0006</x:v>
      </x:c>
      <x:c r="B3" s="28" t="str">
        <x:v>бойзенова ягода</x:v>
      </x:c>
      <x:c r="C3" s="28" t="str">
        <x:v>базилик</x:v>
      </x:c>
      <x:c r="D3" s="28" t="str">
        <x:v>Травы и цветы</x:v>
      </x:c>
      <x:c r="E3" s="28" t="str">
        <x:v>контраст/комплементарность + матричный эффект</x:v>
      </x:c>
      <x:c r="F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3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3" s="28" t="str">
        <x:v>Средняя</x:v>
      </x:c>
      <x:c r="K3" s="28" t="str">
        <x:v>The Art &amp; Science of Foodpairing</x:v>
      </x:c>
      <x:c r="L3" s="28" t="str">
        <x:v>The Art &amp; Science of Foodpairing: 74</x:v>
      </x:c>
    </x:row>
    <x:row r="4" ht="62" customHeight="1">
      <x:c r="A4" s="28" t="str">
        <x:v>BER-0011</x:v>
      </x:c>
      <x:c r="B4" s="28" t="str">
        <x:v>бузина</x:v>
      </x:c>
      <x:c r="C4" s="28" t="str">
        <x:v>базилик</x:v>
      </x:c>
      <x:c r="D4" s="28" t="str">
        <x:v>Травы и цветы</x:v>
      </x:c>
      <x:c r="E4" s="28" t="str">
        <x:v>ароматическое сходство + вкусовой баланс</x:v>
      </x:c>
      <x:c r="F4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4" s="28" t="str">
        <x:v>Высокая</x:v>
      </x:c>
      <x:c r="K4" s="28" t="str">
        <x:v>The Art &amp; Science of Foodpairing; Таблица сочетаний</x:v>
      </x:c>
      <x:c r="L4" s="28" t="str">
        <x:v>The Art &amp; Science of Foodpairing: 74; Таблица сочетаний: 7</x:v>
      </x:c>
    </x:row>
    <x:row r="5" ht="62" customHeight="1">
      <x:c r="A5" s="28" t="str">
        <x:v>BER-0013</x:v>
      </x:c>
      <x:c r="B5" s="28" t="str">
        <x:v>бузина</x:v>
      </x:c>
      <x:c r="C5" s="28" t="str">
        <x:v>гвоздика</x:v>
      </x:c>
      <x:c r="D5" s="28" t="str">
        <x:v>Специи</x:v>
      </x:c>
      <x:c r="E5" s="28" t="str">
        <x:v>ароматическое сходство + вкусовой баланс</x:v>
      </x:c>
      <x:c r="F5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" s="28" t="str">
        <x:v>Пряность дозировать как акцент: она быстро перекрывает тонкие ягодные эфиры.</x:v>
      </x:c>
      <x:c r="I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5" s="28" t="str">
        <x:v>Средняя</x:v>
      </x:c>
      <x:c r="K5" s="28" t="str">
        <x:v>Таблица сочетаний</x:v>
      </x:c>
      <x:c r="L5" s="28" t="str">
        <x:v>Таблица сочетаний: 7</x:v>
      </x:c>
    </x:row>
    <x:row r="6" ht="62" customHeight="1">
      <x:c r="A6" s="28" t="str">
        <x:v>BER-0018</x:v>
      </x:c>
      <x:c r="B6" s="28" t="str">
        <x:v>бузина</x:v>
      </x:c>
      <x:c r="C6" s="28" t="str">
        <x:v>жасмин</x:v>
      </x:c>
      <x:c r="D6" s="28" t="str">
        <x:v>Травы и цветы</x:v>
      </x:c>
      <x:c r="E6" s="28" t="str">
        <x:v>ароматическое сходство + вкусовой баланс</x:v>
      </x:c>
      <x:c r="F6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6" s="28" t="str">
        <x:v>Средняя</x:v>
      </x:c>
      <x:c r="K6" s="28" t="str">
        <x:v>Таблица сочетаний</x:v>
      </x:c>
      <x:c r="L6" s="28" t="str">
        <x:v>Таблица сочетаний: 10</x:v>
      </x:c>
    </x:row>
    <x:row r="7" ht="62" customHeight="1">
      <x:c r="A7" s="28" t="str">
        <x:v>BER-0019</x:v>
      </x:c>
      <x:c r="B7" s="28" t="str">
        <x:v>бузина</x:v>
      </x:c>
      <x:c r="C7" s="28" t="str">
        <x:v>имбирь</x:v>
      </x:c>
      <x:c r="D7" s="28" t="str">
        <x:v>Специи</x:v>
      </x:c>
      <x:c r="E7" s="28" t="str">
        <x:v>ароматическое сходство + вкусовой баланс</x:v>
      </x:c>
      <x:c r="F7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" s="28" t="str">
        <x:v>Пряность дозировать как акцент: она быстро перекрывает тонкие ягодные эфиры.</x:v>
      </x:c>
      <x:c r="I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7" s="28" t="str">
        <x:v>Средняя</x:v>
      </x:c>
      <x:c r="K7" s="28" t="str">
        <x:v>Таблица сочетаний</x:v>
      </x:c>
      <x:c r="L7" s="28" t="str">
        <x:v>Таблица сочетаний: 7</x:v>
      </x:c>
    </x:row>
    <x:row r="8" ht="62" customHeight="1">
      <x:c r="A8" s="28" t="str">
        <x:v>BER-0023</x:v>
      </x:c>
      <x:c r="B8" s="28" t="str">
        <x:v>бузина</x:v>
      </x:c>
      <x:c r="C8" s="28" t="str">
        <x:v>корица</x:v>
      </x:c>
      <x:c r="D8" s="28" t="str">
        <x:v>Специи</x:v>
      </x:c>
      <x:c r="E8" s="28" t="str">
        <x:v>ароматическое сходство + вкусовой баланс</x:v>
      </x:c>
      <x:c r="F8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" s="28" t="str">
        <x:v>Пряность дозировать как акцент: она быстро перекрывает тонкие ягодные эфиры.</x:v>
      </x:c>
      <x:c r="I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8" s="28" t="str">
        <x:v>Средняя</x:v>
      </x:c>
      <x:c r="K8" s="28" t="str">
        <x:v>Таблица сочетаний</x:v>
      </x:c>
      <x:c r="L8" s="28" t="str">
        <x:v>Таблица сочетаний: 7</x:v>
      </x:c>
    </x:row>
    <x:row r="9" ht="62" customHeight="1">
      <x:c r="A9" s="28" t="str">
        <x:v>BER-0033</x:v>
      </x:c>
      <x:c r="B9" s="28" t="str">
        <x:v>бузина</x:v>
      </x:c>
      <x:c r="C9" s="28" t="str">
        <x:v>мята</x:v>
      </x:c>
      <x:c r="D9" s="28" t="str">
        <x:v>Травы и цветы</x:v>
      </x:c>
      <x:c r="E9" s="28" t="str">
        <x:v>ароматическое сходство + вкусовой баланс</x:v>
      </x:c>
      <x:c r="F9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9" s="28" t="str">
        <x:v>Средняя</x:v>
      </x:c>
      <x:c r="K9" s="28" t="str">
        <x:v>Таблица сочетаний</x:v>
      </x:c>
      <x:c r="L9" s="28" t="str">
        <x:v>Таблица сочетаний: 7</x:v>
      </x:c>
    </x:row>
    <x:row r="10" ht="62" customHeight="1">
      <x:c r="A10" s="28" t="str">
        <x:v>BER-0034</x:v>
      </x:c>
      <x:c r="B10" s="28" t="str">
        <x:v>бузина</x:v>
      </x:c>
      <x:c r="C10" s="28" t="str">
        <x:v>огурец</x:v>
      </x:c>
      <x:c r="D10" s="28" t="str">
        <x:v>Овощи и грибы</x:v>
      </x:c>
      <x:c r="E10" s="28" t="str">
        <x:v>сходство ароматических семейств + комплементарность</x:v>
      </x:c>
      <x:c r="F10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тёмно-фруктовый, цветочный; партнёр — зелёный, землистый, сернистый. Оба компонента формируют кисло-сладкий, терпкий и растительный, иногда умами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" s="28" t="str">
        <x:v>соус, глазировка, салат, сырная подача или горячее блюдо; маринад, гастрик, чатни, кетчуп или редукция</x:v>
      </x:c>
      <x:c r="J10" s="28" t="str">
        <x:v>Средняя</x:v>
      </x:c>
      <x:c r="K10" s="28" t="str">
        <x:v>Таблица сочетаний</x:v>
      </x:c>
      <x:c r="L10" s="28" t="str">
        <x:v>Таблица сочетаний: 7</x:v>
      </x:c>
    </x:row>
    <x:row r="11" ht="62" customHeight="1">
      <x:c r="A11" s="28" t="str">
        <x:v>BER-0035</x:v>
      </x:c>
      <x:c r="B11" s="28" t="str">
        <x:v>бузина</x:v>
      </x:c>
      <x:c r="C11" s="28" t="str">
        <x:v>пармиджано-реджано</x:v>
      </x:c>
      <x:c r="D11" s="28" t="str">
        <x:v>Рыба и морепродукты</x:v>
      </x:c>
      <x:c r="E11" s="28" t="str">
        <x:v>ароматическое сходство + вкусовой баланс</x:v>
      </x:c>
      <x:c r="F11" s="28" t="str">
        <x:v>Прямой вероятный молекулярный мост: альдегиды. Ягодный компонент несёт семейства зелёный, тёмно-фруктовый,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" s="28" t="str">
        <x:v>соус, глазировка, салат, сырная подача или горячее блюдо; маринад, гастрик, чатни, кетчуп или редукция</x:v>
      </x:c>
      <x:c r="J11" s="28" t="str">
        <x:v>Средняя</x:v>
      </x:c>
      <x:c r="K11" s="28" t="str">
        <x:v>The Art &amp; Science of Foodpairing</x:v>
      </x:c>
      <x:c r="L11" s="28" t="str">
        <x:v>The Art &amp; Science of Foodpairing: 283</x:v>
      </x:c>
    </x:row>
    <x:row r="12" ht="62" customHeight="1">
      <x:c r="A12" s="28" t="str">
        <x:v>BER-0036</x:v>
      </x:c>
      <x:c r="B12" s="28" t="str">
        <x:v>бузина</x:v>
      </x:c>
      <x:c r="C12" s="28" t="str">
        <x:v>перец чили</x:v>
      </x:c>
      <x:c r="D12" s="28" t="str">
        <x:v>Специи</x:v>
      </x:c>
      <x:c r="E12" s="28" t="str">
        <x:v>ароматическое сходство + вкусовой баланс</x:v>
      </x:c>
      <x:c r="F12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" s="28" t="str">
        <x:v>Пряность дозировать как акцент: она быстро перекрывает тонкие ягодные эфиры.</x:v>
      </x:c>
      <x:c r="I1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2" s="28" t="str">
        <x:v>Средняя</x:v>
      </x:c>
      <x:c r="K12" s="28" t="str">
        <x:v>The Art &amp; Science of Foodpairing</x:v>
      </x:c>
      <x:c r="L12" s="28" t="str">
        <x:v>The Art &amp; Science of Foodpairing: 95</x:v>
      </x:c>
    </x:row>
    <x:row r="13" ht="62" customHeight="1">
      <x:c r="A13" s="28" t="str">
        <x:v>BER-0039</x:v>
      </x:c>
      <x:c r="B13" s="28" t="str">
        <x:v>бузина</x:v>
      </x:c>
      <x:c r="C13" s="28" t="str">
        <x:v>розмарин</x:v>
      </x:c>
      <x:c r="D13" s="28" t="str">
        <x:v>Травы и цветы</x:v>
      </x:c>
      <x:c r="E13" s="28" t="str">
        <x:v>ароматическое сходство + вкусовой баланс</x:v>
      </x:c>
      <x:c r="F13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3" s="28" t="str">
        <x:v>Средняя</x:v>
      </x:c>
      <x:c r="K13" s="28" t="str">
        <x:v>Таблица сочетаний</x:v>
      </x:c>
      <x:c r="L13" s="28" t="str">
        <x:v>Таблица сочетаний: 7, 8</x:v>
      </x:c>
    </x:row>
    <x:row r="14" ht="62" customHeight="1">
      <x:c r="A14" s="28" t="str">
        <x:v>BER-0041</x:v>
      </x:c>
      <x:c r="B14" s="28" t="str">
        <x:v>бузина</x:v>
      </x:c>
      <x:c r="C14" s="28" t="str">
        <x:v>тимьян</x:v>
      </x:c>
      <x:c r="D14" s="28" t="str">
        <x:v>Травы и цветы</x:v>
      </x:c>
      <x:c r="E14" s="28" t="str">
        <x:v>ароматическое сходство + вкусовой баланс</x:v>
      </x:c>
      <x:c r="F14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4" s="28" t="str">
        <x:v>Средняя</x:v>
      </x:c>
      <x:c r="K14" s="28" t="str">
        <x:v>Таблица сочетаний</x:v>
      </x:c>
      <x:c r="L14" s="28" t="str">
        <x:v>Таблица сочетаний: 8</x:v>
      </x:c>
    </x:row>
    <x:row r="15" ht="62" customHeight="1">
      <x:c r="A15" s="28" t="str">
        <x:v>BER-0042</x:v>
      </x:c>
      <x:c r="B15" s="28" t="str">
        <x:v>бузина</x:v>
      </x:c>
      <x:c r="C15" s="28" t="str">
        <x:v>фиалка</x:v>
      </x:c>
      <x:c r="D15" s="28" t="str">
        <x:v>Травы и цветы</x:v>
      </x:c>
      <x:c r="E15" s="28" t="str">
        <x:v>ароматическое сходство + вкусовой баланс</x:v>
      </x:c>
      <x:c r="F15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5" s="28" t="str">
        <x:v>Средняя</x:v>
      </x:c>
      <x:c r="K15" s="28" t="str">
        <x:v>Таблица сочетаний</x:v>
      </x:c>
      <x:c r="L15" s="28" t="str">
        <x:v>Таблица сочетаний: 21</x:v>
      </x:c>
    </x:row>
    <x:row r="16" ht="62" customHeight="1">
      <x:c r="A16" s="28" t="str">
        <x:v>BER-0044</x:v>
      </x:c>
      <x:c r="B16" s="28" t="str">
        <x:v>бузина</x:v>
      </x:c>
      <x:c r="C16" s="28" t="str">
        <x:v>чёрный перец</x:v>
      </x:c>
      <x:c r="D16" s="28" t="str">
        <x:v>Специи</x:v>
      </x:c>
      <x:c r="E16" s="28" t="str">
        <x:v>ароматическое сходство + вкусовой баланс</x:v>
      </x:c>
      <x:c r="F16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" s="28" t="str">
        <x:v>Пряность дозировать как акцент: она быстро перекрывает тонкие ягодные эфиры.</x:v>
      </x:c>
      <x:c r="I1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6" s="28" t="str">
        <x:v>Средняя</x:v>
      </x:c>
      <x:c r="K16" s="28" t="str">
        <x:v>Таблица сочетаний</x:v>
      </x:c>
      <x:c r="L16" s="28" t="str">
        <x:v>Таблица сочетаний: 7</x:v>
      </x:c>
    </x:row>
    <x:row r="17" ht="62" customHeight="1">
      <x:c r="A17" s="28" t="str">
        <x:v>BER-0045</x:v>
      </x:c>
      <x:c r="B17" s="28" t="str">
        <x:v>бузина</x:v>
      </x:c>
      <x:c r="C17" s="28" t="str">
        <x:v>шалфей</x:v>
      </x:c>
      <x:c r="D17" s="28" t="str">
        <x:v>Травы и цветы</x:v>
      </x:c>
      <x:c r="E17" s="28" t="str">
        <x:v>ароматическое сходство + вкусовой баланс</x:v>
      </x:c>
      <x:c r="F17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7" s="28" t="str">
        <x:v>Средняя</x:v>
      </x:c>
      <x:c r="K17" s="28" t="str">
        <x:v>Таблица сочетаний</x:v>
      </x:c>
      <x:c r="L17" s="28" t="str">
        <x:v>Таблица сочетаний: 7</x:v>
      </x:c>
    </x:row>
    <x:row r="18" ht="62" customHeight="1">
      <x:c r="A18" s="28" t="str">
        <x:v>BER-0050</x:v>
      </x:c>
      <x:c r="B18" s="28" t="str">
        <x:v>бузиновый сок</x:v>
      </x:c>
      <x:c r="C18" s="28" t="str">
        <x:v>морковь</x:v>
      </x:c>
      <x:c r="D18" s="28" t="str">
        <x:v>Овощи и грибы</x:v>
      </x:c>
      <x:c r="E18" s="28" t="str">
        <x:v>контраст/комплементарность + матричный эффект</x:v>
      </x:c>
      <x:c r="F1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землистый, сернистый. Оба компонента формируют зависит от ингредиента и растительный, иногда умами контур; сахар, кислота и горечь должны быть выровнены дегустацией. Ягода: механизм зависит от конкретного продукта.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" s="28" t="str">
        <x:v>соус, глазировка, салат, сырная подача или горячее блюдо; маринад, гастрик, чатни, кетчуп или редукция</x:v>
      </x:c>
      <x:c r="J18" s="28" t="str">
        <x:v>Средняя</x:v>
      </x:c>
      <x:c r="K18" s="28" t="str">
        <x:v>The Art &amp; Science of Foodpairing</x:v>
      </x:c>
      <x:c r="L18" s="28" t="str">
        <x:v>The Art &amp; Science of Foodpairing: 232</x:v>
      </x:c>
    </x:row>
    <x:row r="19" ht="62" customHeight="1">
      <x:c r="A19" s="28" t="str">
        <x:v>BER-0051</x:v>
      </x:c>
      <x:c r="B19" s="28" t="str">
        <x:v>бузиновый сок</x:v>
      </x:c>
      <x:c r="C19" s="28" t="str">
        <x:v>трюфель</x:v>
      </x:c>
      <x:c r="D19" s="28" t="str">
        <x:v>Овощи и грибы</x:v>
      </x:c>
      <x:c r="E19" s="28" t="str">
        <x:v>контраст/комплементарность + матричный эффект</x:v>
      </x:c>
      <x:c r="F1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землистый, сернистый. Оба компонента формируют зависит от ингредиента и растительный, иногда умами контур; сахар, кислота и горечь должны быть выровнены дегустацией. Ягода: механизм зависит от конкретного продукта.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" s="28" t="str">
        <x:v>соус, глазировка, салат, сырная подача или горячее блюдо; маринад, гастрик, чатни, кетчуп или редукция</x:v>
      </x:c>
      <x:c r="J19" s="28" t="str">
        <x:v>Средняя</x:v>
      </x:c>
      <x:c r="K19" s="28" t="str">
        <x:v>The Art &amp; Science of Foodpairing</x:v>
      </x:c>
      <x:c r="L19" s="28" t="str">
        <x:v>The Art &amp; Science of Foodpairing: 192</x:v>
      </x:c>
    </x:row>
    <x:row r="20" ht="62" customHeight="1">
      <x:c r="A20" s="28" t="str">
        <x:v>BER-0060</x:v>
      </x:c>
      <x:c r="B20" s="28" t="str">
        <x:v>вишня</x:v>
      </x:c>
      <x:c r="C20" s="28" t="str">
        <x:v>артишок</x:v>
      </x:c>
      <x:c r="D20" s="28" t="str">
        <x:v>Овощи и грибы</x:v>
      </x:c>
      <x:c r="E20" s="28" t="str">
        <x:v>контраст/комплементарность + матричный эффект</x:v>
      </x:c>
      <x:c r="F2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зелёный, землистый, сернистый. Оба компонента формируют сладко-кислый, иногда терпкий и растительный, иногда умами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0" s="28" t="str">
        <x:v>Не использовать повреждённые косточки без валидированной технологии: они содержат цианогенные гликозиды.</x:v>
      </x:c>
      <x:c r="I20" s="28" t="str">
        <x:v>соус, глазировка, салат, сырная подача или горячее блюдо; маринад, гастрик, чатни, кетчуп или редукция</x:v>
      </x:c>
      <x:c r="J20" s="28" t="str">
        <x:v>Средняя</x:v>
      </x:c>
      <x:c r="K20" s="28" t="str">
        <x:v>The Art &amp; Science of Foodpairing</x:v>
      </x:c>
      <x:c r="L20" s="28" t="str">
        <x:v>The Art &amp; Science of Foodpairing: 329</x:v>
      </x:c>
    </x:row>
    <x:row r="21" ht="62" customHeight="1">
      <x:c r="A21" s="28" t="str">
        <x:v>BER-0061</x:v>
      </x:c>
      <x:c r="B21" s="28" t="str">
        <x:v>вишня</x:v>
      </x:c>
      <x:c r="C21" s="28" t="str">
        <x:v>базилик</x:v>
      </x:c>
      <x:c r="D21" s="28" t="str">
        <x:v>Травы и цветы</x:v>
      </x:c>
      <x:c r="E21" s="28" t="str">
        <x:v>ароматическое сходство + вкусовой баланс</x:v>
      </x:c>
      <x:c r="F21" s="28" t="str">
        <x:v>Прямой вероятный молекулярный мост: линалоол, эвгенол. Ягодный компонент несёт семейства миндальный, пряный,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" s="28" t="str">
        <x:v>Не использовать повреждённые косточки без валидированной технологии: они содержат цианогенные гликозиды.</x:v>
      </x:c>
      <x:c r="I2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1" s="28" t="str">
        <x:v>Средняя</x:v>
      </x:c>
      <x:c r="K21" s="28" t="str">
        <x:v>The Art &amp; Science of Foodpairing</x:v>
      </x:c>
      <x:c r="L21" s="28" t="str">
        <x:v>The Art &amp; Science of Foodpairing: 74</x:v>
      </x:c>
    </x:row>
    <x:row r="22" ht="62" customHeight="1">
      <x:c r="A22" s="28" t="str">
        <x:v>BER-0062</x:v>
      </x:c>
      <x:c r="B22" s="28" t="str">
        <x:v>вишня</x:v>
      </x:c>
      <x:c r="C22" s="28" t="str">
        <x:v>бальзамический уксус</x:v>
      </x:c>
      <x:c r="D22" s="28" t="str">
        <x:v>Ферментированные продукты, соусы и уксусы</x:v>
      </x:c>
      <x:c r="E22" s="28" t="str">
        <x:v>контраст/комплементарность + матричный эффект</x:v>
      </x:c>
      <x:c r="F2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кислый, умами, ферментированный. Оба компонента формируют сладко-кислый, иногда терпкий и кислый/солёный/умами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" s="28" t="str">
        <x:v>Не использовать повреждённые косточки без валидированной технологии: они содержат цианогенные гликозиды.</x:v>
      </x:c>
      <x:c r="I22" s="28" t="str">
        <x:v>соус, глазировка, салат, сырная подача или горячее блюдо; маринад, гастрик, чатни, кетчуп или редукция</x:v>
      </x:c>
      <x:c r="J22" s="28" t="str">
        <x:v>Средняя</x:v>
      </x:c>
      <x:c r="K22" s="28" t="str">
        <x:v>The Art &amp; Science of Foodpairing</x:v>
      </x:c>
      <x:c r="L22" s="28" t="str">
        <x:v>The Art &amp; Science of Foodpairing: 317</x:v>
      </x:c>
    </x:row>
    <x:row r="23" ht="62" customHeight="1">
      <x:c r="A23" s="28" t="str">
        <x:v>BER-0064</x:v>
      </x:c>
      <x:c r="B23" s="28" t="str">
        <x:v>вишня</x:v>
      </x:c>
      <x:c r="C23" s="28" t="str">
        <x:v>баранина</x:v>
      </x:c>
      <x:c r="D23" s="28" t="str">
        <x:v>Мясо и птица</x:v>
      </x:c>
      <x:c r="E23" s="28" t="str">
        <x:v>контраст/комплементарность + матричный эффект</x:v>
      </x:c>
      <x:c r="F2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3" s="28" t="str">
        <x:v>Не использовать повреждённые косточки без валидированной технологии: они содержат цианогенные гликозиды.</x:v>
      </x:c>
      <x:c r="I23" s="28" t="str">
        <x:v>соус, глазировка, салат, сырная подача или горячее блюдо; маринад, гастрик, чатни, кетчуп или редукция</x:v>
      </x:c>
      <x:c r="J23" s="28" t="str">
        <x:v>Высокая</x:v>
      </x:c>
      <x:c r="K23" s="28" t="str">
        <x:v>Тезариус вкусов</x:v>
      </x:c>
      <x:c r="L23" s="28" t="str">
        <x:v>Тезариус вкусов: 127, 653</x:v>
      </x:c>
    </x:row>
    <x:row r="24" ht="62" customHeight="1">
      <x:c r="A24" s="28" t="str">
        <x:v>BER-0065</x:v>
      </x:c>
      <x:c r="B24" s="28" t="str">
        <x:v>вишня</x:v>
      </x:c>
      <x:c r="C24" s="28" t="str">
        <x:v>бри</x:v>
      </x:c>
      <x:c r="D24" s="28" t="str">
        <x:v>Молочные продукты и сыры</x:v>
      </x:c>
      <x:c r="E24" s="28" t="str">
        <x:v>контраст/комплементарность + матричный эффект</x:v>
      </x:c>
      <x:c r="F2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4" s="28" t="str">
        <x:v>Не использовать повреждённые косточки без валидированной технологии: они содержат цианогенные гликозиды. Высокая кислотность может свернуть молочный белок; смешивать при контролируемой температуре.</x:v>
      </x:c>
      <x:c r="I24" s="28" t="str">
        <x:v>сорбет, крем, ганаш, выпечка, джем или соус для десерта; соус, глазировка, салат, сырная подача или горячее блюдо</x:v>
      </x:c>
      <x:c r="J24" s="28" t="str">
        <x:v>Средняя</x:v>
      </x:c>
      <x:c r="K24" s="28" t="str">
        <x:v>The Art &amp; Science of Foodpairing</x:v>
      </x:c>
      <x:c r="L24" s="28" t="str">
        <x:v>The Art &amp; Science of Foodpairing: 337</x:v>
      </x:c>
    </x:row>
    <x:row r="25" ht="62" customHeight="1">
      <x:c r="A25" s="28" t="str">
        <x:v>BER-0068</x:v>
      </x:c>
      <x:c r="B25" s="28" t="str">
        <x:v>вишня</x:v>
      </x:c>
      <x:c r="C25" s="28" t="str">
        <x:v>голубой сыр</x:v>
      </x:c>
      <x:c r="D25" s="28" t="str">
        <x:v>Молочные продукты и сыры</x:v>
      </x:c>
      <x:c r="E25" s="28" t="str">
        <x:v>контраст/комплементарность + матричный эффект</x:v>
      </x:c>
      <x:c r="F2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5" s="28" t="str">
        <x:v>Не использовать повреждённые косточки без валидированной технологии: они содержат цианогенные гликозиды. Высокая кислотность может свернуть молочный белок; смешивать при контролируемой температуре.</x:v>
      </x:c>
      <x:c r="I25" s="28" t="str">
        <x:v>сорбет, крем, ганаш, выпечка, джем или соус для десерта; соус, глазировка, салат, сырная подача или горячее блюдо</x:v>
      </x:c>
      <x:c r="J25" s="28" t="str">
        <x:v>Средняя</x:v>
      </x:c>
      <x:c r="K25" s="28" t="str">
        <x:v>The Art &amp; Science of Foodpairing</x:v>
      </x:c>
      <x:c r="L25" s="28" t="str">
        <x:v>The Art &amp; Science of Foodpairing: 165</x:v>
      </x:c>
    </x:row>
    <x:row r="26" ht="62" customHeight="1">
      <x:c r="A26" s="28" t="str">
        <x:v>BER-0073</x:v>
      </x:c>
      <x:c r="B26" s="28" t="str">
        <x:v>вишня</x:v>
      </x:c>
      <x:c r="C26" s="28" t="str">
        <x:v>зелёная фасоль</x:v>
      </x:c>
      <x:c r="D26" s="28" t="str">
        <x:v>Овощи и грибы</x:v>
      </x:c>
      <x:c r="E26" s="28" t="str">
        <x:v>контраст/комплементарность + матричный эффект</x:v>
      </x:c>
      <x:c r="F2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зелёный, землистый, сернистый. Оба компонента формируют сладко-кислый, иногда терпкий и растительный, иногда умами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6" s="28" t="str">
        <x:v>Не использовать повреждённые косточки без валидированной технологии: они содержат цианогенные гликозиды.</x:v>
      </x:c>
      <x:c r="I26" s="28" t="str">
        <x:v>соус, глазировка, салат, сырная подача или горячее блюдо; маринад, гастрик, чатни, кетчуп или редукция</x:v>
      </x:c>
      <x:c r="J26" s="28" t="str">
        <x:v>Средняя</x:v>
      </x:c>
      <x:c r="K26" s="28" t="str">
        <x:v>The Art &amp; Science of Foodpairing</x:v>
      </x:c>
      <x:c r="L26" s="28" t="str">
        <x:v>The Art &amp; Science of Foodpairing: 320</x:v>
      </x:c>
    </x:row>
    <x:row r="27" ht="62" customHeight="1">
      <x:c r="A27" s="28" t="str">
        <x:v>BER-0077</x:v>
      </x:c>
      <x:c r="B27" s="28" t="str">
        <x:v>вишня</x:v>
      </x:c>
      <x:c r="C27" s="28" t="str">
        <x:v>козий сыр</x:v>
      </x:c>
      <x:c r="D27" s="28" t="str">
        <x:v>Молочные продукты и сыры</x:v>
      </x:c>
      <x:c r="E27" s="28" t="str">
        <x:v>контраст/комплементарность + матричный эффект</x:v>
      </x:c>
      <x:c r="F2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7" s="28" t="str">
        <x:v>Не использовать повреждённые косточки без валидированной технологии: они содержат цианогенные гликозиды. Высокая кислотность может свернуть молочный белок; смешивать при контролируемой температуре.</x:v>
      </x:c>
      <x:c r="I27" s="28" t="str">
        <x:v>сорбет, крем, ганаш, выпечка, джем или соус для десерта; соус, глазировка, салат, сырная подача или горячее блюдо</x:v>
      </x:c>
      <x:c r="J27" s="28" t="str">
        <x:v>Высокая</x:v>
      </x:c>
      <x:c r="K27" s="28" t="str">
        <x:v>The Art &amp; Science of Foodpairing; Тезариус вкусов</x:v>
      </x:c>
      <x:c r="L27" s="28" t="str">
        <x:v>Тезариус вкусов: 137, 654; The Art &amp; Science of Foodpairing: 200</x:v>
      </x:c>
    </x:row>
    <x:row r="28" ht="62" customHeight="1">
      <x:c r="A28" s="28" t="str">
        <x:v>BER-0079</x:v>
      </x:c>
      <x:c r="B28" s="28" t="str">
        <x:v>вишня</x:v>
      </x:c>
      <x:c r="C28" s="28" t="str">
        <x:v>копченая рыба</x:v>
      </x:c>
      <x:c r="D28" s="28" t="str">
        <x:v>Рыба и морепродукты</x:v>
      </x:c>
      <x:c r="E28" s="28" t="str">
        <x:v>контраст/комплементарность + матричный эффект</x:v>
      </x:c>
      <x:c r="F2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8" s="28" t="str">
        <x:v>Не использовать повреждённые косточки без валидированной технологии: они содержат цианогенные гликозиды.</x:v>
      </x:c>
      <x:c r="I28" s="28" t="str">
        <x:v>соус, глазировка, салат, сырная подача или горячее блюдо; маринад, гастрик, чатни, кетчуп или редукция</x:v>
      </x:c>
      <x:c r="J28" s="28" t="str">
        <x:v>Высокая</x:v>
      </x:c>
      <x:c r="K28" s="28" t="str">
        <x:v>Тезариус вкусов</x:v>
      </x:c>
      <x:c r="L28" s="28" t="str">
        <x:v>Тезариус вкусов: 435, 655</x:v>
      </x:c>
    </x:row>
    <x:row r="29" ht="62" customHeight="1">
      <x:c r="A29" s="28" t="str">
        <x:v>BER-0081</x:v>
      </x:c>
      <x:c r="B29" s="28" t="str">
        <x:v>вишня</x:v>
      </x:c>
      <x:c r="C29" s="28" t="str">
        <x:v>корица</x:v>
      </x:c>
      <x:c r="D29" s="28" t="str">
        <x:v>Специи</x:v>
      </x:c>
      <x:c r="E29" s="28" t="str">
        <x:v>ароматическое сходство + вкусовой баланс</x:v>
      </x:c>
      <x:c r="F29" s="28" t="str">
        <x:v>Прямой вероятный молекулярный мост: эвгенол. Ягодный компонент несёт семейства миндальный, пряный,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2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9" s="28" t="str">
        <x:v>Высокая</x:v>
      </x:c>
      <x:c r="K29" s="28" t="str">
        <x:v>The Art &amp; Science of Foodpairing; Таблица сочетаний; Тезариус вкусов</x:v>
      </x:c>
      <x:c r="L29" s="28" t="str">
        <x:v>Тезариус вкусов: 574, 655; The Art &amp; Science of Foodpairing: 130; Таблица сочетаний: 4</x:v>
      </x:c>
    </x:row>
    <x:row r="30" ht="62" customHeight="1">
      <x:c r="A30" s="28" t="str">
        <x:v>BER-0083</x:v>
      </x:c>
      <x:c r="B30" s="28" t="str">
        <x:v>вишня</x:v>
      </x:c>
      <x:c r="C30" s="28" t="str">
        <x:v>красный сладкий перец</x:v>
      </x:c>
      <x:c r="D30" s="28" t="str">
        <x:v>Специи</x:v>
      </x:c>
      <x:c r="E30" s="28" t="str">
        <x:v>ароматическое сходство + вкусовой баланс</x:v>
      </x:c>
      <x:c r="F30" s="28" t="str">
        <x:v>Прямой вероятный молекулярный мост: эвгенол. Ягодный компонент несёт семейства миндальный, пряный,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0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3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30" s="28" t="str">
        <x:v>Средняя</x:v>
      </x:c>
      <x:c r="K30" s="28" t="str">
        <x:v>The Art &amp; Science of Foodpairing</x:v>
      </x:c>
      <x:c r="L30" s="28" t="str">
        <x:v>The Art &amp; Science of Foodpairing: 108</x:v>
      </x:c>
    </x:row>
    <x:row r="31" ht="62" customHeight="1">
      <x:c r="A31" s="28" t="str">
        <x:v>BER-0092</x:v>
      </x:c>
      <x:c r="B31" s="28" t="str">
        <x:v>вишня</x:v>
      </x:c>
      <x:c r="C31" s="28" t="str">
        <x:v>морковь</x:v>
      </x:c>
      <x:c r="D31" s="28" t="str">
        <x:v>Овощи и грибы</x:v>
      </x:c>
      <x:c r="E31" s="28" t="str">
        <x:v>контраст/комплементарность + матричный эффект</x:v>
      </x:c>
      <x:c r="F3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зелёный, землистый, сернистый. Оба компонента формируют сладко-кислый, иногда терпкий и растительный, иногда умами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3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31" s="28" t="str">
        <x:v>Не использовать повреждённые косточки без валидированной технологии: они содержат цианогенные гликозиды.</x:v>
      </x:c>
      <x:c r="I31" s="28" t="str">
        <x:v>соус, глазировка, салат, сырная подача или горячее блюдо; маринад, гастрик, чатни, кетчуп или редукция</x:v>
      </x:c>
      <x:c r="J31" s="28" t="str">
        <x:v>Средняя</x:v>
      </x:c>
      <x:c r="K31" s="28" t="str">
        <x:v>The Art &amp; Science of Foodpairing</x:v>
      </x:c>
      <x:c r="L31" s="28" t="str">
        <x:v>The Art &amp; Science of Foodpairing: 232</x:v>
      </x:c>
    </x:row>
    <x:row r="32" ht="62" customHeight="1">
      <x:c r="A32" s="28" t="str">
        <x:v>BER-0094</x:v>
      </x:c>
      <x:c r="B32" s="28" t="str">
        <x:v>вишня</x:v>
      </x:c>
      <x:c r="C32" s="28" t="str">
        <x:v>мясо</x:v>
      </x:c>
      <x:c r="D32" s="28" t="str">
        <x:v>Мясо и птица</x:v>
      </x:c>
      <x:c r="E32" s="28" t="str">
        <x:v>контраст/комплементарность + матричный эффект</x:v>
      </x:c>
      <x:c r="F3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3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32" s="28" t="str">
        <x:v>Не использовать повреждённые косточки без валидированной технологии: они содержат цианогенные гликозиды.</x:v>
      </x:c>
      <x:c r="I32" s="28" t="str">
        <x:v>соус, глазировка, салат, сырная подача или горячее блюдо; маринад, гастрик, чатни, кетчуп или редукция</x:v>
      </x:c>
      <x:c r="J32" s="28" t="str">
        <x:v>Средняя</x:v>
      </x:c>
      <x:c r="K32" s="28" t="str">
        <x:v>The Art &amp; Science of Foodpairing</x:v>
      </x:c>
      <x:c r="L32" s="28" t="str">
        <x:v>The Art &amp; Science of Foodpairing: 188, 189</x:v>
      </x:c>
    </x:row>
    <x:row r="33" ht="62" customHeight="1">
      <x:c r="A33" s="28" t="str">
        <x:v>BER-0096</x:v>
      </x:c>
      <x:c r="B33" s="28" t="str">
        <x:v>вишня</x:v>
      </x:c>
      <x:c r="C33" s="28" t="str">
        <x:v>оливковое масло</x:v>
      </x:c>
      <x:c r="D33" s="28" t="str">
        <x:v>Молочные продукты и сыры</x:v>
      </x:c>
      <x:c r="E33" s="28" t="str">
        <x:v>контраст/комплементарность + матричный эффект</x:v>
      </x:c>
      <x:c r="F3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3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33" s="28" t="str">
        <x:v>Не использовать повреждённые косточки без валидированной технологии: они содержат цианогенные гликозиды. Высокая кислотность может свернуть молочный белок; смешивать при контролируемой температуре.</x:v>
      </x:c>
      <x:c r="I33" s="28" t="str">
        <x:v>сорбет, крем, ганаш, выпечка, джем или соус для десерта; соус, глазировка, салат, сырная подача или горячее блюдо</x:v>
      </x:c>
      <x:c r="J33" s="28" t="str">
        <x:v>Средняя</x:v>
      </x:c>
      <x:c r="K33" s="28" t="str">
        <x:v>The Art &amp; Science of Foodpairing</x:v>
      </x:c>
      <x:c r="L33" s="28" t="str">
        <x:v>The Art &amp; Science of Foodpairing: 172</x:v>
      </x:c>
    </x:row>
    <x:row r="34" ht="62" customHeight="1">
      <x:c r="A34" s="28" t="str">
        <x:v>BER-0097</x:v>
      </x:c>
      <x:c r="B34" s="28" t="str">
        <x:v>вишня</x:v>
      </x:c>
      <x:c r="C34" s="28" t="str">
        <x:v>паста из твёрдой пшеницы</x:v>
      </x:c>
      <x:c r="D34" s="28" t="str">
        <x:v>Ферментированные продукты, соусы и уксусы</x:v>
      </x:c>
      <x:c r="E34" s="28" t="str">
        <x:v>контраст/комплементарность + матричный эффект</x:v>
      </x:c>
      <x:c r="F3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кислый, умами, ферментированный. Оба компонента формируют сладко-кислый, иногда терпкий и кислый/солёный/умами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4" s="28" t="str">
        <x:v>Не использовать повреждённые косточки без валидированной технологии: они содержат цианогенные гликозиды.</x:v>
      </x:c>
      <x:c r="I34" s="28" t="str">
        <x:v>соус, глазировка, салат, сырная подача или горячее блюдо; маринад, гастрик, чатни, кетчуп или редукция</x:v>
      </x:c>
      <x:c r="J34" s="28" t="str">
        <x:v>Средняя</x:v>
      </x:c>
      <x:c r="K34" s="28" t="str">
        <x:v>The Art &amp; Science of Foodpairing</x:v>
      </x:c>
      <x:c r="L34" s="28" t="str">
        <x:v>The Art &amp; Science of Foodpairing: 325</x:v>
      </x:c>
    </x:row>
    <x:row r="35" ht="62" customHeight="1">
      <x:c r="A35" s="28" t="str">
        <x:v>BER-0099</x:v>
      </x:c>
      <x:c r="B35" s="28" t="str">
        <x:v>вишня</x:v>
      </x:c>
      <x:c r="C35" s="28" t="str">
        <x:v>перец</x:v>
      </x:c>
      <x:c r="D35" s="28" t="str">
        <x:v>Специи</x:v>
      </x:c>
      <x:c r="E35" s="28" t="str">
        <x:v>ароматическое сходство + вкусовой баланс</x:v>
      </x:c>
      <x:c r="F35" s="28" t="str">
        <x:v>Прямой вероятный молекулярный мост: эвгенол. Ягодный компонент несёт семейства миндальный, пряный,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5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3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35" s="28" t="str">
        <x:v>Средняя</x:v>
      </x:c>
      <x:c r="K35" s="28" t="str">
        <x:v>Таблица сочетаний</x:v>
      </x:c>
      <x:c r="L35" s="28" t="str">
        <x:v>Таблица сочетаний: 16</x:v>
      </x:c>
    </x:row>
    <x:row r="36" ht="62" customHeight="1">
      <x:c r="A36" s="28" t="str">
        <x:v>BER-0102</x:v>
      </x:c>
      <x:c r="B36" s="28" t="str">
        <x:v>вишня</x:v>
      </x:c>
      <x:c r="C36" s="28" t="str">
        <x:v>рыба</x:v>
      </x:c>
      <x:c r="D36" s="28" t="str">
        <x:v>Рыба и морепродукты</x:v>
      </x:c>
      <x:c r="E36" s="28" t="str">
        <x:v>контраст/комплементарность + матричный эффект</x:v>
      </x:c>
      <x:c r="F3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3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36" s="28" t="str">
        <x:v>Не использовать повреждённые косточки без валидированной технологии: они содержат цианогенные гликозиды.</x:v>
      </x:c>
      <x:c r="I36" s="28" t="str">
        <x:v>соус, глазировка, салат, сырная подача или горячее блюдо; маринад, гастрик, чатни, кетчуп или редукция</x:v>
      </x:c>
      <x:c r="J36" s="28" t="str">
        <x:v>Средняя</x:v>
      </x:c>
      <x:c r="K36" s="28" t="str">
        <x:v>The Art &amp; Science of Foodpairing</x:v>
      </x:c>
      <x:c r="L36" s="28" t="str">
        <x:v>The Art &amp; Science of Foodpairing: 104, 105</x:v>
      </x:c>
    </x:row>
    <x:row r="37" ht="62" customHeight="1">
      <x:c r="A37" s="28" t="str">
        <x:v>BER-0106</x:v>
      </x:c>
      <x:c r="B37" s="28" t="str">
        <x:v>вишня</x:v>
      </x:c>
      <x:c r="C37" s="28" t="str">
        <x:v>томат</x:v>
      </x:c>
      <x:c r="D37" s="28" t="str">
        <x:v>Овощи и грибы</x:v>
      </x:c>
      <x:c r="E37" s="28" t="str">
        <x:v>контраст/комплементарность + матричный эффект</x:v>
      </x:c>
      <x:c r="F3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зелёный, землистый, сернистый. Оба компонента формируют сладко-кислый, иногда терпкий и растительный, иногда умами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3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37" s="28" t="str">
        <x:v>Не использовать повреждённые косточки без валидированной технологии: они содержат цианогенные гликозиды.</x:v>
      </x:c>
      <x:c r="I37" s="28" t="str">
        <x:v>соус, глазировка, салат, сырная подача или горячее блюдо; маринад, гастрик, чатни, кетчуп или редукция</x:v>
      </x:c>
      <x:c r="J37" s="28" t="str">
        <x:v>Средняя</x:v>
      </x:c>
      <x:c r="K37" s="28" t="str">
        <x:v>The Art &amp; Science of Foodpairing</x:v>
      </x:c>
      <x:c r="L37" s="28" t="str">
        <x:v>The Art &amp; Science of Foodpairing: 161</x:v>
      </x:c>
    </x:row>
    <x:row r="38" ht="62" customHeight="1">
      <x:c r="A38" s="28" t="str">
        <x:v>BER-0107</x:v>
      </x:c>
      <x:c r="B38" s="28" t="str">
        <x:v>вишня</x:v>
      </x:c>
      <x:c r="C38" s="28" t="str">
        <x:v>фиалка</x:v>
      </x:c>
      <x:c r="D38" s="28" t="str">
        <x:v>Травы и цветы</x:v>
      </x:c>
      <x:c r="E38" s="28" t="str">
        <x:v>ароматическое сходство + вкусовой баланс</x:v>
      </x:c>
      <x:c r="F38" s="28" t="str">
        <x:v>Прямой вероятный молекулярный мост: линалоол, эвгенол. Ягодный компонент несёт семейства миндальный, пряный,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8" s="28" t="str">
        <x:v>Не использовать повреждённые косточки без валидированной технологии: они содержат цианогенные гликозиды.</x:v>
      </x:c>
      <x:c r="I3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38" s="28" t="str">
        <x:v>Средняя</x:v>
      </x:c>
      <x:c r="K38" s="28" t="str">
        <x:v>Таблица сочетаний</x:v>
      </x:c>
      <x:c r="L38" s="28" t="str">
        <x:v>Таблица сочетаний: 4, 21</x:v>
      </x:c>
    </x:row>
    <x:row r="39" ht="62" customHeight="1">
      <x:c r="A39" s="28" t="str">
        <x:v>BER-0110</x:v>
      </x:c>
      <x:c r="B39" s="28" t="str">
        <x:v>вишня</x:v>
      </x:c>
      <x:c r="C39" s="28" t="str">
        <x:v>цветная капуста</x:v>
      </x:c>
      <x:c r="D39" s="28" t="str">
        <x:v>Травы и цветы</x:v>
      </x:c>
      <x:c r="E39" s="28" t="str">
        <x:v>ароматическое сходство + вкусовой баланс</x:v>
      </x:c>
      <x:c r="F39" s="28" t="str">
        <x:v>Прямой вероятный молекулярный мост: линалоол, эвгенол. Ягодный компонент несёт семейства миндальный, пряный,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9" s="28" t="str">
        <x:v>Не использовать повреждённые косточки без валидированной технологии: они содержат цианогенные гликозиды.</x:v>
      </x:c>
      <x:c r="I3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39" s="28" t="str">
        <x:v>Средняя</x:v>
      </x:c>
      <x:c r="K39" s="28" t="str">
        <x:v>The Art &amp; Science of Foodpairing</x:v>
      </x:c>
      <x:c r="L39" s="28" t="str">
        <x:v>The Art &amp; Science of Foodpairing: 67</x:v>
      </x:c>
    </x:row>
    <x:row r="40" ht="62" customHeight="1">
      <x:c r="A40" s="28" t="str">
        <x:v>BER-0114</x:v>
      </x:c>
      <x:c r="B40" s="28" t="str">
        <x:v>вишня</x:v>
      </x:c>
      <x:c r="C40" s="28" t="str">
        <x:v>чёрный перец</x:v>
      </x:c>
      <x:c r="D40" s="28" t="str">
        <x:v>Специи</x:v>
      </x:c>
      <x:c r="E40" s="28" t="str">
        <x:v>ароматическое сходство + вкусовой баланс</x:v>
      </x:c>
      <x:c r="F40" s="28" t="str">
        <x:v>Прямой вероятный молекулярный мост: эвгенол. Ягодный компонент несёт семейства миндальный, пряный,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0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4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40" s="28" t="str">
        <x:v>Средняя</x:v>
      </x:c>
      <x:c r="K40" s="28" t="str">
        <x:v>Таблица сочетаний</x:v>
      </x:c>
      <x:c r="L40" s="28" t="str">
        <x:v>Таблица сочетаний: 4</x:v>
      </x:c>
    </x:row>
    <x:row r="41" ht="62" customHeight="1">
      <x:c r="A41" s="28" t="str">
        <x:v>BER-0116</x:v>
      </x:c>
      <x:c r="B41" s="28" t="str">
        <x:v>вишня</x:v>
      </x:c>
      <x:c r="C41" s="28" t="str">
        <x:v>шалфей</x:v>
      </x:c>
      <x:c r="D41" s="28" t="str">
        <x:v>Травы и цветы</x:v>
      </x:c>
      <x:c r="E41" s="28" t="str">
        <x:v>ароматическое сходство + вкусовой баланс</x:v>
      </x:c>
      <x:c r="F41" s="28" t="str">
        <x:v>Прямой вероятный молекулярный мост: линалоол, эвгенол. Ягодный компонент несёт семейства миндальный, пряный,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1" s="28" t="str">
        <x:v>Не использовать повреждённые косточки без валидированной технологии: они содержат цианогенные гликозиды.</x:v>
      </x:c>
      <x:c r="I4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41" s="28" t="str">
        <x:v>Средняя</x:v>
      </x:c>
      <x:c r="K41" s="28" t="str">
        <x:v>Таблица сочетаний</x:v>
      </x:c>
      <x:c r="L41" s="28" t="str">
        <x:v>Таблица сочетаний: 4, 20</x:v>
      </x:c>
    </x:row>
    <x:row r="42" ht="62" customHeight="1">
      <x:c r="A42" s="28" t="str">
        <x:v>BER-0120</x:v>
      </x:c>
      <x:c r="B42" s="28" t="str">
        <x:v>голубика</x:v>
      </x:c>
      <x:c r="C42" s="28" t="str">
        <x:v>amarillo chilli</x:v>
      </x:c>
      <x:c r="D42" s="28" t="str">
        <x:v>Специи</x:v>
      </x:c>
      <x:c r="E42" s="28" t="str">
        <x:v>контраст/комплементарность + матричный эффект</x:v>
      </x:c>
      <x:c r="F4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2" s="28" t="str">
        <x:v>Пряность дозировать как акцент: она быстро перекрывает тонкие ягодные эфиры.</x:v>
      </x:c>
      <x:c r="I4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42" s="28" t="str">
        <x:v>Средняя</x:v>
      </x:c>
      <x:c r="K42" s="28" t="str">
        <x:v>The Art &amp; Science of Foodpairing</x:v>
      </x:c>
      <x:c r="L42" s="28" t="str">
        <x:v>The Art &amp; Science of Foodpairing: 204</x:v>
      </x:c>
    </x:row>
    <x:row r="43" ht="62" customHeight="1">
      <x:c r="A43" s="28" t="str">
        <x:v>BER-0126</x:v>
      </x:c>
      <x:c r="B43" s="28" t="str">
        <x:v>голубика</x:v>
      </x:c>
      <x:c r="C43" s="28" t="str">
        <x:v>bayonne ham</x:v>
      </x:c>
      <x:c r="D43" s="28" t="str">
        <x:v>Мясо и птица</x:v>
      </x:c>
      <x:c r="E43" s="28" t="str">
        <x:v>контраст/комплементарность + матричный эффект</x:v>
      </x:c>
      <x:c r="F4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4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4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43" s="28" t="str">
        <x:v>соус, глазировка, салат, сырная подача или горячее блюдо; маринад, гастрик, чатни, кетчуп или редукция</x:v>
      </x:c>
      <x:c r="J43" s="28" t="str">
        <x:v>Средняя</x:v>
      </x:c>
      <x:c r="K43" s="28" t="str">
        <x:v>The Art &amp; Science of Foodpairing</x:v>
      </x:c>
      <x:c r="L43" s="28" t="str">
        <x:v>The Art &amp; Science of Foodpairing: 204</x:v>
      </x:c>
    </x:row>
    <x:row r="44" ht="62" customHeight="1">
      <x:c r="A44" s="28" t="str">
        <x:v>BER-0135</x:v>
      </x:c>
      <x:c r="B44" s="28" t="str">
        <x:v>голубика</x:v>
      </x:c>
      <x:c r="C44" s="28" t="str">
        <x:v>calendula flower</x:v>
      </x:c>
      <x:c r="D44" s="28" t="str">
        <x:v>Травы и цветы</x:v>
      </x:c>
      <x:c r="E44" s="28" t="str">
        <x:v>ароматическое сходство + вкусовой баланс</x:v>
      </x:c>
      <x:c r="F44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4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44" s="28" t="str">
        <x:v>Средняя</x:v>
      </x:c>
      <x:c r="K44" s="28" t="str">
        <x:v>The Art &amp; Science of Foodpairing</x:v>
      </x:c>
      <x:c r="L44" s="28" t="str">
        <x:v>The Art &amp; Science of Foodpairing: 205</x:v>
      </x:c>
    </x:row>
    <x:row r="45" ht="62" customHeight="1">
      <x:c r="A45" s="28" t="str">
        <x:v>BER-0143</x:v>
      </x:c>
      <x:c r="B45" s="28" t="str">
        <x:v>голубика</x:v>
      </x:c>
      <x:c r="C45" s="28" t="str">
        <x:v>ed tomato</x:v>
      </x:c>
      <x:c r="D45" s="28" t="str">
        <x:v>Овощи и грибы</x:v>
      </x:c>
      <x:c r="E45" s="28" t="str">
        <x:v>ароматическое сходство + вкусовой баланс</x:v>
      </x:c>
      <x:c r="F45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4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4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45" s="28" t="str">
        <x:v>соус, глазировка, салат, сырная подача или горячее блюдо; маринад, гастрик, чатни, кетчуп или редукция</x:v>
      </x:c>
      <x:c r="J45" s="28" t="str">
        <x:v>Средняя</x:v>
      </x:c>
      <x:c r="K45" s="28" t="str">
        <x:v>The Art &amp; Science of Foodpairing</x:v>
      </x:c>
      <x:c r="L45" s="28" t="str">
        <x:v>The Art &amp; Science of Foodpairing: 204</x:v>
      </x:c>
    </x:row>
    <x:row r="46" ht="62" customHeight="1">
      <x:c r="A46" s="28" t="str">
        <x:v>BER-0158</x:v>
      </x:c>
      <x:c r="B46" s="28" t="str">
        <x:v>голубика</x:v>
      </x:c>
      <x:c r="C46" s="28" t="str">
        <x:v>led mitten crab</x:v>
      </x:c>
      <x:c r="D46" s="28" t="str">
        <x:v>Рыба и морепродукты</x:v>
      </x:c>
      <x:c r="E46" s="28" t="str">
        <x:v>контраст/комплементарность + матричный эффект</x:v>
      </x:c>
      <x:c r="F4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4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4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46" s="28" t="str">
        <x:v>соус, глазировка, салат, сырная подача или горячее блюдо; маринад, гастрик, чатни, кетчуп или редукция</x:v>
      </x:c>
      <x:c r="J46" s="28" t="str">
        <x:v>Средняя</x:v>
      </x:c>
      <x:c r="K46" s="28" t="str">
        <x:v>The Art &amp; Science of Foodpairing</x:v>
      </x:c>
      <x:c r="L46" s="28" t="str">
        <x:v>The Art &amp; Science of Foodpairing: 204</x:v>
      </x:c>
    </x:row>
    <x:row r="47" ht="62" customHeight="1">
      <x:c r="A47" s="28" t="str">
        <x:v>BER-0161</x:v>
      </x:c>
      <x:c r="B47" s="28" t="str">
        <x:v>голубика</x:v>
      </x:c>
      <x:c r="C47" s="28" t="str">
        <x:v>lled turbot</x:v>
      </x:c>
      <x:c r="D47" s="28" t="str">
        <x:v>Рыба и морепродукты</x:v>
      </x:c>
      <x:c r="E47" s="28" t="str">
        <x:v>контраст/комплементарность + матричный эффект</x:v>
      </x:c>
      <x:c r="F4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4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4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47" s="28" t="str">
        <x:v>соус, глазировка, салат, сырная подача или горячее блюдо; маринад, гастрик, чатни, кетчуп или редукция</x:v>
      </x:c>
      <x:c r="J47" s="28" t="str">
        <x:v>Средняя</x:v>
      </x:c>
      <x:c r="K47" s="28" t="str">
        <x:v>The Art &amp; Science of Foodpairing</x:v>
      </x:c>
      <x:c r="L47" s="28" t="str">
        <x:v>The Art &amp; Science of Foodpairing: 204</x:v>
      </x:c>
    </x:row>
    <x:row r="48" ht="62" customHeight="1">
      <x:c r="A48" s="28" t="str">
        <x:v>BER-0166</x:v>
      </x:c>
      <x:c r="B48" s="28" t="str">
        <x:v>голубика</x:v>
      </x:c>
      <x:c r="C48" s="28" t="str">
        <x:v>melted butter</x:v>
      </x:c>
      <x:c r="D48" s="28" t="str">
        <x:v>Молочные продукты и сыры</x:v>
      </x:c>
      <x:c r="E48" s="28" t="str">
        <x:v>контраст/комплементарность + матричный эффект</x:v>
      </x:c>
      <x:c r="F4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4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48" s="28" t="str">
        <x:v>Высокая кислотность может свернуть молочный белок; смешивать при контролируемой температуре.</x:v>
      </x:c>
      <x:c r="I48" s="28" t="str">
        <x:v>сорбет, крем, ганаш, выпечка, джем или соус для десерта; соус, глазировка, салат, сырная подача или горячее блюдо</x:v>
      </x:c>
      <x:c r="J48" s="28" t="str">
        <x:v>Средняя</x:v>
      </x:c>
      <x:c r="K48" s="28" t="str">
        <x:v>The Art &amp; Science of Foodpairing</x:v>
      </x:c>
      <x:c r="L48" s="28" t="str">
        <x:v>The Art &amp; Science of Foodpairing: 205</x:v>
      </x:c>
    </x:row>
    <x:row r="49" ht="62" customHeight="1">
      <x:c r="A49" s="28" t="str">
        <x:v>BER-0167</x:v>
      </x:c>
      <x:c r="B49" s="28" t="str">
        <x:v>голубика</x:v>
      </x:c>
      <x:c r="C49" s="28" t="str">
        <x:v>mint Sich</x:v>
      </x:c>
      <x:c r="D49" s="28" t="str">
        <x:v>Травы и цветы</x:v>
      </x:c>
      <x:c r="E49" s="28" t="str">
        <x:v>ароматическое сходство + вкусовой баланс</x:v>
      </x:c>
      <x:c r="F49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4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49" s="28" t="str">
        <x:v>Средняя</x:v>
      </x:c>
      <x:c r="K49" s="28" t="str">
        <x:v>The Art &amp; Science of Foodpairing</x:v>
      </x:c>
      <x:c r="L49" s="28" t="str">
        <x:v>The Art &amp; Science of Foodpairing: 204</x:v>
      </x:c>
    </x:row>
    <x:row r="50" ht="62" customHeight="1">
      <x:c r="A50" s="28" t="str">
        <x:v>BER-0171</x:v>
      </x:c>
      <x:c r="B50" s="28" t="str">
        <x:v>голубика</x:v>
      </x:c>
      <x:c r="C50" s="28" t="str">
        <x:v>parma ham</x:v>
      </x:c>
      <x:c r="D50" s="28" t="str">
        <x:v>Мясо и птица</x:v>
      </x:c>
      <x:c r="E50" s="28" t="str">
        <x:v>контраст/комплементарность + матричный эффект</x:v>
      </x:c>
      <x:c r="F5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5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5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0" s="28" t="str">
        <x:v>соус, глазировка, салат, сырная подача или горячее блюдо; маринад, гастрик, чатни, кетчуп или редукция</x:v>
      </x:c>
      <x:c r="J50" s="28" t="str">
        <x:v>Средняя</x:v>
      </x:c>
      <x:c r="K50" s="28" t="str">
        <x:v>The Art &amp; Science of Foodpairing</x:v>
      </x:c>
      <x:c r="L50" s="28" t="str">
        <x:v>The Art &amp; Science of Foodpairing: 205</x:v>
      </x:c>
    </x:row>
    <x:row r="51" ht="62" customHeight="1">
      <x:c r="A51" s="28" t="str">
        <x:v>BER-0172</x:v>
      </x:c>
      <x:c r="B51" s="28" t="str">
        <x:v>голубика</x:v>
      </x:c>
      <x:c r="C51" s="28" t="str">
        <x:v>pickled sakura leaf drie</x:v>
      </x:c>
      <x:c r="D51" s="28" t="str">
        <x:v>Травы и цветы</x:v>
      </x:c>
      <x:c r="E51" s="28" t="str">
        <x:v>ароматическое сходство + вкусовой баланс</x:v>
      </x:c>
      <x:c r="F51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51" s="28" t="str">
        <x:v>Средняя</x:v>
      </x:c>
      <x:c r="K51" s="28" t="str">
        <x:v>The Art &amp; Science of Foodpairing</x:v>
      </x:c>
      <x:c r="L51" s="28" t="str">
        <x:v>The Art &amp; Science of Foodpairing: 204</x:v>
      </x:c>
    </x:row>
    <x:row r="52" ht="62" customHeight="1">
      <x:c r="A52" s="28" t="str">
        <x:v>BER-0174</x:v>
      </x:c>
      <x:c r="B52" s="28" t="str">
        <x:v>голубика</x:v>
      </x:c>
      <x:c r="C52" s="28" t="str">
        <x:v>polish blue cheese</x:v>
      </x:c>
      <x:c r="D52" s="28" t="str">
        <x:v>Молочные продукты и сыры</x:v>
      </x:c>
      <x:c r="E52" s="28" t="str">
        <x:v>контраст/комплементарность + матричный эффект</x:v>
      </x:c>
      <x:c r="F5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5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52" s="28" t="str">
        <x:v>Высокая кислотность может свернуть молочный белок; смешивать при контролируемой температуре.</x:v>
      </x:c>
      <x:c r="I52" s="28" t="str">
        <x:v>сорбет, крем, ганаш, выпечка, джем или соус для десерта; соус, глазировка, салат, сырная подача или горячее блюдо</x:v>
      </x:c>
      <x:c r="J52" s="28" t="str">
        <x:v>Средняя</x:v>
      </x:c>
      <x:c r="K52" s="28" t="str">
        <x:v>The Art &amp; Science of Foodpairing</x:v>
      </x:c>
      <x:c r="L52" s="28" t="str">
        <x:v>The Art &amp; Science of Foodpairing: 204</x:v>
      </x:c>
    </x:row>
    <x:row r="53" ht="62" customHeight="1">
      <x:c r="A53" s="28" t="str">
        <x:v>BER-0175</x:v>
      </x:c>
      <x:c r="B53" s="28" t="str">
        <x:v>голубика</x:v>
      </x:c>
      <x:c r="C53" s="28" t="str">
        <x:v>red bell pepper</x:v>
      </x:c>
      <x:c r="D53" s="28" t="str">
        <x:v>Специи</x:v>
      </x:c>
      <x:c r="E53" s="28" t="str">
        <x:v>контраст/комплементарность + матричный эффект</x:v>
      </x:c>
      <x:c r="F5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3" s="28" t="str">
        <x:v>Пряность дозировать как акцент: она быстро перекрывает тонкие ягодные эфиры.</x:v>
      </x:c>
      <x:c r="I5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53" s="28" t="str">
        <x:v>Средняя</x:v>
      </x:c>
      <x:c r="K53" s="28" t="str">
        <x:v>The Art &amp; Science of Foodpairing</x:v>
      </x:c>
      <x:c r="L53" s="28" t="str">
        <x:v>The Art &amp; Science of Foodpairing: 205</x:v>
      </x:c>
    </x:row>
    <x:row r="54" ht="62" customHeight="1">
      <x:c r="A54" s="28" t="str">
        <x:v>BER-0176</x:v>
      </x:c>
      <x:c r="B54" s="28" t="str">
        <x:v>голубика</x:v>
      </x:c>
      <x:c r="C54" s="28" t="str">
        <x:v>San Daniele ham</x:v>
      </x:c>
      <x:c r="D54" s="28" t="str">
        <x:v>Мясо и птица</x:v>
      </x:c>
      <x:c r="E54" s="28" t="str">
        <x:v>контраст/комплементарность + матричный эффект</x:v>
      </x:c>
      <x:c r="F5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5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5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4" s="28" t="str">
        <x:v>соус, глазировка, салат, сырная подача или горячее блюдо; маринад, гастрик, чатни, кетчуп или редукция</x:v>
      </x:c>
      <x:c r="J54" s="28" t="str">
        <x:v>Средняя</x:v>
      </x:c>
      <x:c r="K54" s="28" t="str">
        <x:v>The Art &amp; Science of Foodpairing</x:v>
      </x:c>
      <x:c r="L54" s="28" t="str">
        <x:v>The Art &amp; Science of Foodpairing: 204</x:v>
      </x:c>
    </x:row>
    <x:row r="55" ht="62" customHeight="1">
      <x:c r="A55" s="28" t="str">
        <x:v>BER-0178</x:v>
      </x:c>
      <x:c r="B55" s="28" t="str">
        <x:v>голубика</x:v>
      </x:c>
      <x:c r="C55" s="28" t="str">
        <x:v>st chicken</x:v>
      </x:c>
      <x:c r="D55" s="28" t="str">
        <x:v>Мясо и птица</x:v>
      </x:c>
      <x:c r="E55" s="28" t="str">
        <x:v>контраст/комплементарность + матричный эффект</x:v>
      </x:c>
      <x:c r="F5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5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5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5" s="28" t="str">
        <x:v>соус, глазировка, салат, сырная подача или горячее блюдо; маринад, гастрик, чатни, кетчуп или редукция</x:v>
      </x:c>
      <x:c r="J55" s="28" t="str">
        <x:v>Средняя</x:v>
      </x:c>
      <x:c r="K55" s="28" t="str">
        <x:v>The Art &amp; Science of Foodpairing</x:v>
      </x:c>
      <x:c r="L55" s="28" t="str">
        <x:v>The Art &amp; Science of Foodpairing: 204</x:v>
      </x:c>
    </x:row>
    <x:row r="56" ht="62" customHeight="1">
      <x:c r="A56" s="28" t="str">
        <x:v>BER-0180</x:v>
      </x:c>
      <x:c r="B56" s="28" t="str">
        <x:v>голубика</x:v>
      </x:c>
      <x:c r="C56" s="28" t="str">
        <x:v>table broth</x:v>
      </x:c>
      <x:c r="D56" s="28" t="str">
        <x:v>Ферментированные продукты, соусы и уксусы</x:v>
      </x:c>
      <x:c r="E56" s="28" t="str">
        <x:v>контраст/комплементарность + матричный эффект</x:v>
      </x:c>
      <x:c r="F5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кислый, умами, ферментированный. Оба компонента формируют сладко-кислый, мягкий и кислый/солёный/умами контур; сахар, кислота и горечь должны быть выровнены дегустацией. Ягода: нежный аромат легко теряется на фоне сильной сладости.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6" s="28" t="str">
        <x:v>соус, глазировка, салат, сырная подача или горячее блюдо; маринад, гастрик, чатни, кетчуп или редукция</x:v>
      </x:c>
      <x:c r="J56" s="28" t="str">
        <x:v>Средняя</x:v>
      </x:c>
      <x:c r="K56" s="28" t="str">
        <x:v>The Art &amp; Science of Foodpairing</x:v>
      </x:c>
      <x:c r="L56" s="28" t="str">
        <x:v>The Art &amp; Science of Foodpairing: 204</x:v>
      </x:c>
    </x:row>
    <x:row r="57" ht="62" customHeight="1">
      <x:c r="A57" s="28" t="str">
        <x:v>BER-0182</x:v>
      </x:c>
      <x:c r="B57" s="28" t="str">
        <x:v>голубика</x:v>
      </x:c>
      <x:c r="C57" s="28" t="str">
        <x:v>te button mushroom</x:v>
      </x:c>
      <x:c r="D57" s="28" t="str">
        <x:v>Овощи и грибы</x:v>
      </x:c>
      <x:c r="E57" s="28" t="str">
        <x:v>ароматическое сходство + вкусовой баланс</x:v>
      </x:c>
      <x:c r="F57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5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5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7" s="28" t="str">
        <x:v>соус, глазировка, салат, сырная подача или горячее блюдо; маринад, гастрик, чатни, кетчуп или редукция</x:v>
      </x:c>
      <x:c r="J57" s="28" t="str">
        <x:v>Средняя</x:v>
      </x:c>
      <x:c r="K57" s="28" t="str">
        <x:v>The Art &amp; Science of Foodpairing</x:v>
      </x:c>
      <x:c r="L57" s="28" t="str">
        <x:v>The Art &amp; Science of Foodpairing: 204</x:v>
      </x:c>
    </x:row>
    <x:row r="58" ht="62" customHeight="1">
      <x:c r="A58" s="28" t="str">
        <x:v>BER-0183</x:v>
      </x:c>
      <x:c r="B58" s="28" t="str">
        <x:v>голубика</x:v>
      </x:c>
      <x:c r="C58" s="28" t="str">
        <x:v>tikka masala paste dri</x:v>
      </x:c>
      <x:c r="D58" s="28" t="str">
        <x:v>Ферментированные продукты, соусы и уксусы</x:v>
      </x:c>
      <x:c r="E58" s="28" t="str">
        <x:v>контраст/комплементарность + матричный эффект</x:v>
      </x:c>
      <x:c r="F5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кислый, умами, ферментированный. Оба компонента формируют сладко-кислый, мягкий и кислый/солёный/умами контур; сахар, кислота и горечь должны быть выровнены дегустацией. Ягода: нежный аромат легко теряется на фоне сильной сладости.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8" s="28" t="str">
        <x:v>соус, глазировка, салат, сырная подача или горячее блюдо; маринад, гастрик, чатни, кетчуп или редукция</x:v>
      </x:c>
      <x:c r="J58" s="28" t="str">
        <x:v>Средняя</x:v>
      </x:c>
      <x:c r="K58" s="28" t="str">
        <x:v>The Art &amp; Science of Foodpairing</x:v>
      </x:c>
      <x:c r="L58" s="28" t="str">
        <x:v>The Art &amp; Science of Foodpairing: 204</x:v>
      </x:c>
    </x:row>
    <x:row r="59" ht="62" customHeight="1">
      <x:c r="A59" s="28" t="str">
        <x:v>BER-0184</x:v>
      </x:c>
      <x:c r="B59" s="28" t="str">
        <x:v>голубика</x:v>
      </x:c>
      <x:c r="C59" s="28" t="str">
        <x:v>turnip-rooted chervil</x:v>
      </x:c>
      <x:c r="D59" s="28" t="str">
        <x:v>Овощи и грибы</x:v>
      </x:c>
      <x:c r="E59" s="28" t="str">
        <x:v>ароматическое сходство + вкусовой баланс</x:v>
      </x:c>
      <x:c r="F59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5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5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9" s="28" t="str">
        <x:v>соус, глазировка, салат, сырная подача или горячее блюдо; маринад, гастрик, чатни, кетчуп или редукция</x:v>
      </x:c>
      <x:c r="J59" s="28" t="str">
        <x:v>Средняя</x:v>
      </x:c>
      <x:c r="K59" s="28" t="str">
        <x:v>The Art &amp; Science of Foodpairing</x:v>
      </x:c>
      <x:c r="L59" s="28" t="str">
        <x:v>The Art &amp; Science of Foodpairing: 204</x:v>
      </x:c>
    </x:row>
    <x:row r="60" ht="62" customHeight="1">
      <x:c r="A60" s="28" t="str">
        <x:v>BER-0185</x:v>
      </x:c>
      <x:c r="B60" s="28" t="str">
        <x:v>голубика</x:v>
      </x:c>
      <x:c r="C60" s="28" t="str">
        <x:v>uan pepper</x:v>
      </x:c>
      <x:c r="D60" s="28" t="str">
        <x:v>Специи</x:v>
      </x:c>
      <x:c r="E60" s="28" t="str">
        <x:v>контраст/комплементарность + матричный эффект</x:v>
      </x:c>
      <x:c r="F6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0" s="28" t="str">
        <x:v>Пряность дозировать как акцент: она быстро перекрывает тонкие ягодные эфиры.</x:v>
      </x:c>
      <x:c r="I6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60" s="28" t="str">
        <x:v>Средняя</x:v>
      </x:c>
      <x:c r="K60" s="28" t="str">
        <x:v>The Art &amp; Science of Foodpairing</x:v>
      </x:c>
      <x:c r="L60" s="28" t="str">
        <x:v>The Art &amp; Science of Foodpairing: 204</x:v>
      </x:c>
    </x:row>
    <x:row r="61" ht="62" customHeight="1">
      <x:c r="A61" s="28" t="str">
        <x:v>BER-0186</x:v>
      </x:c>
      <x:c r="B61" s="28" t="str">
        <x:v>голубика</x:v>
      </x:c>
      <x:c r="C61" s="28" t="str">
        <x:v>wagyu beef hua</x:v>
      </x:c>
      <x:c r="D61" s="28" t="str">
        <x:v>Мясо и птица</x:v>
      </x:c>
      <x:c r="E61" s="28" t="str">
        <x:v>контраст/комплементарность + матричный эффект</x:v>
      </x:c>
      <x:c r="F6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6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6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1" s="28" t="str">
        <x:v>соус, глазировка, салат, сырная подача или горячее блюдо; маринад, гастрик, чатни, кетчуп или редукция</x:v>
      </x:c>
      <x:c r="J61" s="28" t="str">
        <x:v>Средняя</x:v>
      </x:c>
      <x:c r="K61" s="28" t="str">
        <x:v>The Art &amp; Science of Foodpairing</x:v>
      </x:c>
      <x:c r="L61" s="28" t="str">
        <x:v>The Art &amp; Science of Foodpairing: 204</x:v>
      </x:c>
    </x:row>
    <x:row r="62" ht="62" customHeight="1">
      <x:c r="A62" s="28" t="str">
        <x:v>BER-0192</x:v>
      </x:c>
      <x:c r="B62" s="28" t="str">
        <x:v>голубика</x:v>
      </x:c>
      <x:c r="C62" s="28" t="str">
        <x:v>баранина на гриле</x:v>
      </x:c>
      <x:c r="D62" s="28" t="str">
        <x:v>Мясо и птица</x:v>
      </x:c>
      <x:c r="E62" s="28" t="str">
        <x:v>контраст/комплементарность + матричный эффект</x:v>
      </x:c>
      <x:c r="F6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6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6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2" s="28" t="str">
        <x:v>соус, глазировка, салат, сырная подача или горячее блюдо; маринад, гастрик, чатни, кетчуп или редукция</x:v>
      </x:c>
      <x:c r="J62" s="28" t="str">
        <x:v>Средняя</x:v>
      </x:c>
      <x:c r="K62" s="28" t="str">
        <x:v>The Art &amp; Science of Foodpairing</x:v>
      </x:c>
      <x:c r="L62" s="28" t="str">
        <x:v>The Art &amp; Science of Foodpairing: 205</x:v>
      </x:c>
    </x:row>
    <x:row r="63" ht="62" customHeight="1">
      <x:c r="A63" s="28" t="str">
        <x:v>BER-0200</x:v>
      </x:c>
      <x:c r="B63" s="28" t="str">
        <x:v>голубика</x:v>
      </x:c>
      <x:c r="C63" s="28" t="str">
        <x:v>доджанг</x:v>
      </x:c>
      <x:c r="D63" s="28" t="str">
        <x:v>Ферментированные продукты, соусы и уксусы</x:v>
      </x:c>
      <x:c r="E63" s="28" t="str">
        <x:v>контраст/комплементарность + матричный эффект</x:v>
      </x:c>
      <x:c r="F6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кислый, умами, ферментированный. Оба компонента формируют сладко-кислый, мягкий и кислый/солёный/умами контур; сахар, кислота и горечь должны быть выровнены дегустацией. Ягода: нежный аромат легко теряется на фоне сильной сладости.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3" s="28" t="str">
        <x:v>соус, глазировка, салат, сырная подача или горячее блюдо; маринад, гастрик, чатни, кетчуп или редукция</x:v>
      </x:c>
      <x:c r="J63" s="28" t="str">
        <x:v>Средняя</x:v>
      </x:c>
      <x:c r="K63" s="28" t="str">
        <x:v>The Art &amp; Science of Foodpairing</x:v>
      </x:c>
      <x:c r="L63" s="28" t="str">
        <x:v>The Art &amp; Science of Foodpairing: 246</x:v>
      </x:c>
    </x:row>
    <x:row r="64" ht="62" customHeight="1">
      <x:c r="A64" s="28" t="str">
        <x:v>BER-0201</x:v>
      </x:c>
      <x:c r="B64" s="28" t="str">
        <x:v>голубика</x:v>
      </x:c>
      <x:c r="C64" s="28" t="str">
        <x:v>жареные телячьи зобные железы</x:v>
      </x:c>
      <x:c r="D64" s="28" t="str">
        <x:v>Мясо и птица</x:v>
      </x:c>
      <x:c r="E64" s="28" t="str">
        <x:v>контраст/комплементарность + матричный эффект</x:v>
      </x:c>
      <x:c r="F6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6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6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4" s="28" t="str">
        <x:v>соус, глазировка, салат, сырная подача или горячее блюдо; маринад, гастрик, чатни, кетчуп или редукция</x:v>
      </x:c>
      <x:c r="J64" s="28" t="str">
        <x:v>Средняя</x:v>
      </x:c>
      <x:c r="K64" s="28" t="str">
        <x:v>The Art &amp; Science of Foodpairing</x:v>
      </x:c>
      <x:c r="L64" s="28" t="str">
        <x:v>The Art &amp; Science of Foodpairing: 205</x:v>
      </x:c>
    </x:row>
    <x:row r="65" ht="62" customHeight="1">
      <x:c r="A65" s="28" t="str">
        <x:v>BER-0203</x:v>
      </x:c>
      <x:c r="B65" s="28" t="str">
        <x:v>голубика</x:v>
      </x:c>
      <x:c r="C65" s="28" t="str">
        <x:v>жасмин</x:v>
      </x:c>
      <x:c r="D65" s="28" t="str">
        <x:v>Травы и цветы</x:v>
      </x:c>
      <x:c r="E65" s="28" t="str">
        <x:v>ароматическое сходство + вкусовой баланс</x:v>
      </x:c>
      <x:c r="F65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65" s="28" t="str">
        <x:v>Средняя</x:v>
      </x:c>
      <x:c r="K65" s="28" t="str">
        <x:v>Таблица сочетаний</x:v>
      </x:c>
      <x:c r="L65" s="28" t="str">
        <x:v>Таблица сочетаний: 3</x:v>
      </x:c>
    </x:row>
    <x:row r="66" ht="62" customHeight="1">
      <x:c r="A66" s="28" t="str">
        <x:v>BER-0205</x:v>
      </x:c>
      <x:c r="B66" s="28" t="str">
        <x:v>голубика</x:v>
      </x:c>
      <x:c r="C66" s="28" t="str">
        <x:v>имбирь</x:v>
      </x:c>
      <x:c r="D66" s="28" t="str">
        <x:v>Специи</x:v>
      </x:c>
      <x:c r="E66" s="28" t="str">
        <x:v>контраст/комплементарность + матричный эффект</x:v>
      </x:c>
      <x:c r="F6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6" s="28" t="str">
        <x:v>Пряность дозировать как акцент: она быстро перекрывает тонкие ягодные эфиры.</x:v>
      </x:c>
      <x:c r="I6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66" s="28" t="str">
        <x:v>Средняя</x:v>
      </x:c>
      <x:c r="K66" s="28" t="str">
        <x:v>Таблица сочетаний</x:v>
      </x:c>
      <x:c r="L66" s="28" t="str">
        <x:v>Таблица сочетаний: 3</x:v>
      </x:c>
    </x:row>
    <x:row r="67" ht="62" customHeight="1">
      <x:c r="A67" s="28" t="str">
        <x:v>BER-0207</x:v>
      </x:c>
      <x:c r="B67" s="28" t="str">
        <x:v>голубика</x:v>
      </x:c>
      <x:c r="C67" s="28" t="str">
        <x:v>камамбер</x:v>
      </x:c>
      <x:c r="D67" s="28" t="str">
        <x:v>Молочные продукты и сыры</x:v>
      </x:c>
      <x:c r="E67" s="28" t="str">
        <x:v>контраст/комплементарность + матричный эффект</x:v>
      </x:c>
      <x:c r="F6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6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67" s="28" t="str">
        <x:v>Высокая кислотность может свернуть молочный белок; смешивать при контролируемой температуре.</x:v>
      </x:c>
      <x:c r="I67" s="28" t="str">
        <x:v>сорбет, крем, ганаш, выпечка, джем или соус для десерта; соус, глазировка, салат, сырная подача или горячее блюдо</x:v>
      </x:c>
      <x:c r="J67" s="28" t="str">
        <x:v>Средняя</x:v>
      </x:c>
      <x:c r="K67" s="28" t="str">
        <x:v>The Art &amp; Science of Foodpairing</x:v>
      </x:c>
      <x:c r="L67" s="28" t="str">
        <x:v>The Art &amp; Science of Foodpairing: 205</x:v>
      </x:c>
    </x:row>
    <x:row r="68" ht="62" customHeight="1">
      <x:c r="A68" s="28" t="str">
        <x:v>BER-0208</x:v>
      </x:c>
      <x:c r="B68" s="28" t="str">
        <x:v>голубика</x:v>
      </x:c>
      <x:c r="C68" s="28" t="str">
        <x:v>кардамон</x:v>
      </x:c>
      <x:c r="D68" s="28" t="str">
        <x:v>Специи</x:v>
      </x:c>
      <x:c r="E68" s="28" t="str">
        <x:v>контраст/комплементарность + матричный эффект</x:v>
      </x:c>
      <x:c r="F6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8" s="28" t="str">
        <x:v>Пряность дозировать как акцент: она быстро перекрывает тонкие ягодные эфиры.</x:v>
      </x:c>
      <x:c r="I6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68" s="28" t="str">
        <x:v>Средняя</x:v>
      </x:c>
      <x:c r="K68" s="28" t="str">
        <x:v>Таблица сочетаний</x:v>
      </x:c>
      <x:c r="L68" s="28" t="str">
        <x:v>Таблица сочетаний: 3</x:v>
      </x:c>
    </x:row>
    <x:row r="69" ht="62" customHeight="1">
      <x:c r="A69" s="28" t="str">
        <x:v>BER-0209</x:v>
      </x:c>
      <x:c r="B69" s="28" t="str">
        <x:v>голубика</x:v>
      </x:c>
      <x:c r="C69" s="28" t="str">
        <x:v>кимчи</x:v>
      </x:c>
      <x:c r="D69" s="28" t="str">
        <x:v>Ферментированные продукты, соусы и уксусы</x:v>
      </x:c>
      <x:c r="E69" s="28" t="str">
        <x:v>контраст/комплементарность + матричный эффект</x:v>
      </x:c>
      <x:c r="F6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кислый, умами, ферментированный. Оба компонента формируют сладко-кислый, мягкий и кислый/солёный/умами контур; сахар, кислота и горечь должны быть выровнены дегустацией. Ягода: нежный аромат легко теряется на фоне сильной сладости.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9" s="28" t="str">
        <x:v>соус, глазировка, салат, сырная подача или горячее блюдо; маринад, гастрик, чатни, кетчуп или редукция</x:v>
      </x:c>
      <x:c r="J69" s="28" t="str">
        <x:v>Средняя</x:v>
      </x:c>
      <x:c r="K69" s="28" t="str">
        <x:v>The Art &amp; Science of Foodpairing</x:v>
      </x:c>
      <x:c r="L69" s="28" t="str">
        <x:v>The Art &amp; Science of Foodpairing: 304, 305</x:v>
      </x:c>
    </x:row>
    <x:row r="70" ht="62" customHeight="1">
      <x:c r="A70" s="28" t="str">
        <x:v>BER-0210</x:v>
      </x:c>
      <x:c r="B70" s="28" t="str">
        <x:v>голубика</x:v>
      </x:c>
      <x:c r="C70" s="28" t="str">
        <x:v>копчёный Atlantic salmon</x:v>
      </x:c>
      <x:c r="D70" s="28" t="str">
        <x:v>Рыба и морепродукты</x:v>
      </x:c>
      <x:c r="E70" s="28" t="str">
        <x:v>контраст/комплементарность + матричный эффект</x:v>
      </x:c>
      <x:c r="F7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7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7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0" s="28" t="str">
        <x:v>соус, глазировка, салат, сырная подача или горячее блюдо; маринад, гастрик, чатни, кетчуп или редукция</x:v>
      </x:c>
      <x:c r="J70" s="28" t="str">
        <x:v>Средняя</x:v>
      </x:c>
      <x:c r="K70" s="28" t="str">
        <x:v>The Art &amp; Science of Foodpairing</x:v>
      </x:c>
      <x:c r="L70" s="28" t="str">
        <x:v>The Art &amp; Science of Foodpairing: 204</x:v>
      </x:c>
    </x:row>
    <x:row r="71" ht="62" customHeight="1">
      <x:c r="A71" s="28" t="str">
        <x:v>BER-0212</x:v>
      </x:c>
      <x:c r="B71" s="28" t="str">
        <x:v>голубика</x:v>
      </x:c>
      <x:c r="C71" s="28" t="str">
        <x:v>корица</x:v>
      </x:c>
      <x:c r="D71" s="28" t="str">
        <x:v>Специи</x:v>
      </x:c>
      <x:c r="E71" s="28" t="str">
        <x:v>контраст/комплементарность + матричный эффект</x:v>
      </x:c>
      <x:c r="F7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1" s="28" t="str">
        <x:v>Пряность дозировать как акцент: она быстро перекрывает тонкие ягодные эфиры.</x:v>
      </x:c>
      <x:c r="I7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71" s="28" t="str">
        <x:v>Средняя</x:v>
      </x:c>
      <x:c r="K71" s="28" t="str">
        <x:v>The Art &amp; Science of Foodpairing</x:v>
      </x:c>
      <x:c r="L71" s="28" t="str">
        <x:v>The Art &amp; Science of Foodpairing: 130</x:v>
      </x:c>
    </x:row>
    <x:row r="72" ht="62" customHeight="1">
      <x:c r="A72" s="28" t="str">
        <x:v>BER-0213</x:v>
      </x:c>
      <x:c r="B72" s="28" t="str">
        <x:v>голубика</x:v>
      </x:c>
      <x:c r="C72" s="28" t="str">
        <x:v>корневой сельдерей</x:v>
      </x:c>
      <x:c r="D72" s="28" t="str">
        <x:v>Овощи и грибы</x:v>
      </x:c>
      <x:c r="E72" s="28" t="str">
        <x:v>ароматическое сходство + вкусовой баланс</x:v>
      </x:c>
      <x:c r="F72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7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7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2" s="28" t="str">
        <x:v>соус, глазировка, салат, сырная подача или горячее блюдо; маринад, гастрик, чатни, кетчуп или редукция</x:v>
      </x:c>
      <x:c r="J72" s="28" t="str">
        <x:v>Средняя</x:v>
      </x:c>
      <x:c r="K72" s="28" t="str">
        <x:v>The Art &amp; Science of Foodpairing</x:v>
      </x:c>
      <x:c r="L72" s="28" t="str">
        <x:v>The Art &amp; Science of Foodpairing: 52, 53</x:v>
      </x:c>
    </x:row>
    <x:row r="73" ht="62" customHeight="1">
      <x:c r="A73" s="28" t="str">
        <x:v>BER-0214</x:v>
      </x:c>
      <x:c r="B73" s="28" t="str">
        <x:v>голубика</x:v>
      </x:c>
      <x:c r="C73" s="28" t="str">
        <x:v>красный сладкий перец</x:v>
      </x:c>
      <x:c r="D73" s="28" t="str">
        <x:v>Специи</x:v>
      </x:c>
      <x:c r="E73" s="28" t="str">
        <x:v>контраст/комплементарность + матричный эффект</x:v>
      </x:c>
      <x:c r="F7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3" s="28" t="str">
        <x:v>Пряность дозировать как акцент: она быстро перекрывает тонкие ягодные эфиры.</x:v>
      </x:c>
      <x:c r="I7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73" s="28" t="str">
        <x:v>Средняя</x:v>
      </x:c>
      <x:c r="K73" s="28" t="str">
        <x:v>The Art &amp; Science of Foodpairing</x:v>
      </x:c>
      <x:c r="L73" s="28" t="str">
        <x:v>The Art &amp; Science of Foodpairing: 109</x:v>
      </x:c>
    </x:row>
    <x:row r="74" ht="62" customHeight="1">
      <x:c r="A74" s="28" t="str">
        <x:v>BER-0215</x:v>
      </x:c>
      <x:c r="B74" s="28" t="str">
        <x:v>голубика</x:v>
      </x:c>
      <x:c r="C74" s="28" t="str">
        <x:v>лаванда</x:v>
      </x:c>
      <x:c r="D74" s="28" t="str">
        <x:v>Травы и цветы</x:v>
      </x:c>
      <x:c r="E74" s="28" t="str">
        <x:v>ароматическое сходство + вкусовой баланс</x:v>
      </x:c>
      <x:c r="F74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74" s="28" t="str">
        <x:v>Средняя</x:v>
      </x:c>
      <x:c r="K74" s="28" t="str">
        <x:v>Таблица сочетаний</x:v>
      </x:c>
      <x:c r="L74" s="28" t="str">
        <x:v>Таблица сочетаний: 3</x:v>
      </x:c>
    </x:row>
    <x:row r="75" ht="62" customHeight="1">
      <x:c r="A75" s="28" t="str">
        <x:v>BER-0220</x:v>
      </x:c>
      <x:c r="B75" s="28" t="str">
        <x:v>голубика</x:v>
      </x:c>
      <x:c r="C75" s="28" t="str">
        <x:v>мелисса</x:v>
      </x:c>
      <x:c r="D75" s="28" t="str">
        <x:v>Травы и цветы</x:v>
      </x:c>
      <x:c r="E75" s="28" t="str">
        <x:v>ароматическое сходство + вкусовой баланс</x:v>
      </x:c>
      <x:c r="F75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75" s="28" t="str">
        <x:v>Средняя</x:v>
      </x:c>
      <x:c r="K75" s="28" t="str">
        <x:v>The Art &amp; Science of Foodpairing</x:v>
      </x:c>
      <x:c r="L75" s="28" t="str">
        <x:v>The Art &amp; Science of Foodpairing: 205</x:v>
      </x:c>
    </x:row>
    <x:row r="76" ht="62" customHeight="1">
      <x:c r="A76" s="28" t="str">
        <x:v>BER-0222</x:v>
      </x:c>
      <x:c r="B76" s="28" t="str">
        <x:v>голубика</x:v>
      </x:c>
      <x:c r="C76" s="28" t="str">
        <x:v>мясо</x:v>
      </x:c>
      <x:c r="D76" s="28" t="str">
        <x:v>Мясо и птица</x:v>
      </x:c>
      <x:c r="E76" s="28" t="str">
        <x:v>контраст/комплементарность + матричный эффект</x:v>
      </x:c>
      <x:c r="F7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7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7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6" s="28" t="str">
        <x:v>соус, глазировка, салат, сырная подача или горячее блюдо; маринад, гастрик, чатни, кетчуп или редукция</x:v>
      </x:c>
      <x:c r="J76" s="28" t="str">
        <x:v>Средняя</x:v>
      </x:c>
      <x:c r="K76" s="28" t="str">
        <x:v>The Art &amp; Science of Foodpairing</x:v>
      </x:c>
      <x:c r="L76" s="28" t="str">
        <x:v>The Art &amp; Science of Foodpairing: 188</x:v>
      </x:c>
    </x:row>
    <x:row r="77" ht="62" customHeight="1">
      <x:c r="A77" s="28" t="str">
        <x:v>BER-0223</x:v>
      </x:c>
      <x:c r="B77" s="28" t="str">
        <x:v>голубика</x:v>
      </x:c>
      <x:c r="C77" s="28" t="str">
        <x:v>на гриле beef</x:v>
      </x:c>
      <x:c r="D77" s="28" t="str">
        <x:v>Мясо и птица</x:v>
      </x:c>
      <x:c r="E77" s="28" t="str">
        <x:v>контраст/комплементарность + матричный эффект</x:v>
      </x:c>
      <x:c r="F7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7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7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7" s="28" t="str">
        <x:v>соус, глазировка, салат, сырная подача или горячее блюдо; маринад, гастрик, чатни, кетчуп или редукция</x:v>
      </x:c>
      <x:c r="J77" s="28" t="str">
        <x:v>Средняя</x:v>
      </x:c>
      <x:c r="K77" s="28" t="str">
        <x:v>The Art &amp; Science of Foodpairing</x:v>
      </x:c>
      <x:c r="L77" s="28" t="str">
        <x:v>The Art &amp; Science of Foodpairing: 205</x:v>
      </x:c>
    </x:row>
    <x:row r="78" ht="62" customHeight="1">
      <x:c r="A78" s="28" t="str">
        <x:v>BER-0224</x:v>
      </x:c>
      <x:c r="B78" s="28" t="str">
        <x:v>голубика</x:v>
      </x:c>
      <x:c r="C78" s="28" t="str">
        <x:v>на гриле courgette boi</x:v>
      </x:c>
      <x:c r="D78" s="28" t="str">
        <x:v>Овощи и грибы</x:v>
      </x:c>
      <x:c r="E78" s="28" t="str">
        <x:v>ароматическое сходство + вкусовой баланс</x:v>
      </x:c>
      <x:c r="F78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7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7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8" s="28" t="str">
        <x:v>соус, глазировка, салат, сырная подача или горячее блюдо; маринад, гастрик, чатни, кетчуп или редукция</x:v>
      </x:c>
      <x:c r="J78" s="28" t="str">
        <x:v>Средняя</x:v>
      </x:c>
      <x:c r="K78" s="28" t="str">
        <x:v>The Art &amp; Science of Foodpairing</x:v>
      </x:c>
      <x:c r="L78" s="28" t="str">
        <x:v>The Art &amp; Science of Foodpairing: 204</x:v>
      </x:c>
    </x:row>
    <x:row r="79" ht="62" customHeight="1">
      <x:c r="A79" s="28" t="str">
        <x:v>BER-0225</x:v>
      </x:c>
      <x:c r="B79" s="28" t="str">
        <x:v>голубика</x:v>
      </x:c>
      <x:c r="C79" s="28" t="str">
        <x:v>на гриле turbot dri</x:v>
      </x:c>
      <x:c r="D79" s="28" t="str">
        <x:v>Рыба и морепродукты</x:v>
      </x:c>
      <x:c r="E79" s="28" t="str">
        <x:v>контраст/комплементарность + матричный эффект</x:v>
      </x:c>
      <x:c r="F7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7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7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9" s="28" t="str">
        <x:v>соус, глазировка, салат, сырная подача или горячее блюдо; маринад, гастрик, чатни, кетчуп или редукция</x:v>
      </x:c>
      <x:c r="J79" s="28" t="str">
        <x:v>Средняя</x:v>
      </x:c>
      <x:c r="K79" s="28" t="str">
        <x:v>The Art &amp; Science of Foodpairing</x:v>
      </x:c>
      <x:c r="L79" s="28" t="str">
        <x:v>The Art &amp; Science of Foodpairing: 204</x:v>
      </x:c>
    </x:row>
    <x:row r="80" ht="62" customHeight="1">
      <x:c r="A80" s="28" t="str">
        <x:v>BER-0230</x:v>
      </x:c>
      <x:c r="B80" s="28" t="str">
        <x:v>голубика</x:v>
      </x:c>
      <x:c r="C80" s="28" t="str">
        <x:v>огурец</x:v>
      </x:c>
      <x:c r="D80" s="28" t="str">
        <x:v>Овощи и грибы</x:v>
      </x:c>
      <x:c r="E80" s="28" t="str">
        <x:v>ароматическое сходство + вкусовой баланс</x:v>
      </x:c>
      <x:c r="F80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8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8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0" s="28" t="str">
        <x:v>соус, глазировка, салат, сырная подача или горячее блюдо; маринад, гастрик, чатни, кетчуп или редукция</x:v>
      </x:c>
      <x:c r="J80" s="28" t="str">
        <x:v>Средняя</x:v>
      </x:c>
      <x:c r="K80" s="28" t="str">
        <x:v>The Art &amp; Science of Foodpairing</x:v>
      </x:c>
      <x:c r="L80" s="28" t="str">
        <x:v>The Art &amp; Science of Foodpairing: 205</x:v>
      </x:c>
    </x:row>
    <x:row r="81" ht="62" customHeight="1">
      <x:c r="A81" s="28" t="str">
        <x:v>BER-0231</x:v>
      </x:c>
      <x:c r="B81" s="28" t="str">
        <x:v>голубика</x:v>
      </x:c>
      <x:c r="C81" s="28" t="str">
        <x:v>отварной artichoke</x:v>
      </x:c>
      <x:c r="D81" s="28" t="str">
        <x:v>Овощи и грибы</x:v>
      </x:c>
      <x:c r="E81" s="28" t="str">
        <x:v>ароматическое сходство + вкусовой баланс</x:v>
      </x:c>
      <x:c r="F81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8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8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1" s="28" t="str">
        <x:v>соус, глазировка, салат, сырная подача или горячее блюдо; маринад, гастрик, чатни, кетчуп или редукция</x:v>
      </x:c>
      <x:c r="J81" s="28" t="str">
        <x:v>Средняя</x:v>
      </x:c>
      <x:c r="K81" s="28" t="str">
        <x:v>The Art &amp; Science of Foodpairing</x:v>
      </x:c>
      <x:c r="L81" s="28" t="str">
        <x:v>The Art &amp; Science of Foodpairing: 205</x:v>
      </x:c>
    </x:row>
    <x:row r="82" ht="62" customHeight="1">
      <x:c r="A82" s="28" t="str">
        <x:v>BER-0233</x:v>
      </x:c>
      <x:c r="B82" s="28" t="str">
        <x:v>голубика</x:v>
      </x:c>
      <x:c r="C82" s="28" t="str">
        <x:v>отварной brown crab meat blue</x:v>
      </x:c>
      <x:c r="D82" s="28" t="str">
        <x:v>Мясо и птица</x:v>
      </x:c>
      <x:c r="E82" s="28" t="str">
        <x:v>контраст/комплементарность + матричный эффект</x:v>
      </x:c>
      <x:c r="F8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8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8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2" s="28" t="str">
        <x:v>соус, глазировка, салат, сырная подача или горячее блюдо; маринад, гастрик, чатни, кетчуп или редукция</x:v>
      </x:c>
      <x:c r="J82" s="28" t="str">
        <x:v>Средняя</x:v>
      </x:c>
      <x:c r="K82" s="28" t="str">
        <x:v>The Art &amp; Science of Foodpairing</x:v>
      </x:c>
      <x:c r="L82" s="28" t="str">
        <x:v>The Art &amp; Science of Foodpairing: 204</x:v>
      </x:c>
    </x:row>
    <x:row r="83" ht="62" customHeight="1">
      <x:c r="A83" s="28" t="str">
        <x:v>BER-0234</x:v>
      </x:c>
      <x:c r="B83" s="28" t="str">
        <x:v>голубика</x:v>
      </x:c>
      <x:c r="C83" s="28" t="str">
        <x:v>отварной brown shrimp</x:v>
      </x:c>
      <x:c r="D83" s="28" t="str">
        <x:v>Рыба и морепродукты</x:v>
      </x:c>
      <x:c r="E83" s="28" t="str">
        <x:v>контраст/комплементарность + матричный эффект</x:v>
      </x:c>
      <x:c r="F8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8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8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3" s="28" t="str">
        <x:v>соус, глазировка, салат, сырная подача или горячее блюдо; маринад, гастрик, чатни, кетчуп или редукция</x:v>
      </x:c>
      <x:c r="J83" s="28" t="str">
        <x:v>Средняя</x:v>
      </x:c>
      <x:c r="K83" s="28" t="str">
        <x:v>The Art &amp; Science of Foodpairing</x:v>
      </x:c>
      <x:c r="L83" s="28" t="str">
        <x:v>The Art &amp; Science of Foodpairing: 205</x:v>
      </x:c>
    </x:row>
    <x:row r="84" ht="62" customHeight="1">
      <x:c r="A84" s="28" t="str">
        <x:v>BER-0238</x:v>
      </x:c>
      <x:c r="B84" s="28" t="str">
        <x:v>голубика</x:v>
      </x:c>
      <x:c r="C84" s="28" t="str">
        <x:v>пармиджано-реджано</x:v>
      </x:c>
      <x:c r="D84" s="28" t="str">
        <x:v>Рыба и морепродукты</x:v>
      </x:c>
      <x:c r="E84" s="28" t="str">
        <x:v>контраст/комплементарность + матричный эффект</x:v>
      </x:c>
      <x:c r="F8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8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8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4" s="28" t="str">
        <x:v>соус, глазировка, салат, сырная подача или горячее блюдо; маринад, гастрик, чатни, кетчуп или редукция</x:v>
      </x:c>
      <x:c r="J84" s="28" t="str">
        <x:v>Средняя</x:v>
      </x:c>
      <x:c r="K84" s="28" t="str">
        <x:v>The Art &amp; Science of Foodpairing</x:v>
      </x:c>
      <x:c r="L84" s="28" t="str">
        <x:v>The Art &amp; Science of Foodpairing: 283</x:v>
      </x:c>
    </x:row>
    <x:row r="85" ht="62" customHeight="1">
      <x:c r="A85" s="28" t="str">
        <x:v>BER-0239</x:v>
      </x:c>
      <x:c r="B85" s="28" t="str">
        <x:v>голубика</x:v>
      </x:c>
      <x:c r="C85" s="28" t="str">
        <x:v>перец чили</x:v>
      </x:c>
      <x:c r="D85" s="28" t="str">
        <x:v>Специи</x:v>
      </x:c>
      <x:c r="E85" s="28" t="str">
        <x:v>контраст/комплементарность + матричный эффект</x:v>
      </x:c>
      <x:c r="F8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5" s="28" t="str">
        <x:v>Пряность дозировать как акцент: она быстро перекрывает тонкие ягодные эфиры.</x:v>
      </x:c>
      <x:c r="I8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85" s="28" t="str">
        <x:v>Средняя</x:v>
      </x:c>
      <x:c r="K85" s="28" t="str">
        <x:v>The Art &amp; Science of Foodpairing</x:v>
      </x:c>
      <x:c r="L85" s="28" t="str">
        <x:v>The Art &amp; Science of Foodpairing: 94</x:v>
      </x:c>
    </x:row>
    <x:row r="86" ht="62" customHeight="1">
      <x:c r="A86" s="28" t="str">
        <x:v>BER-0241</x:v>
      </x:c>
      <x:c r="B86" s="28" t="str">
        <x:v>голубика</x:v>
      </x:c>
      <x:c r="C86" s="28" t="str">
        <x:v>приготовленный black-eyed beans</x:v>
      </x:c>
      <x:c r="D86" s="28" t="str">
        <x:v>Овощи и грибы</x:v>
      </x:c>
      <x:c r="E86" s="28" t="str">
        <x:v>ароматическое сходство + вкусовой баланс</x:v>
      </x:c>
      <x:c r="F86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8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8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6" s="28" t="str">
        <x:v>соус, глазировка, салат, сырная подача или горячее блюдо; маринад, гастрик, чатни, кетчуп или редукция</x:v>
      </x:c>
      <x:c r="J86" s="28" t="str">
        <x:v>Средняя</x:v>
      </x:c>
      <x:c r="K86" s="28" t="str">
        <x:v>The Art &amp; Science of Foodpairing</x:v>
      </x:c>
      <x:c r="L86" s="28" t="str">
        <x:v>The Art &amp; Science of Foodpairing: 204</x:v>
      </x:c>
    </x:row>
    <x:row r="87" ht="62" customHeight="1">
      <x:c r="A87" s="28" t="str">
        <x:v>BER-0243</x:v>
      </x:c>
      <x:c r="B87" s="28" t="str">
        <x:v>голубика</x:v>
      </x:c>
      <x:c r="C87" s="28" t="str">
        <x:v>приготовленный mussels swe</x:v>
      </x:c>
      <x:c r="D87" s="28" t="str">
        <x:v>Рыба и морепродукты</x:v>
      </x:c>
      <x:c r="E87" s="28" t="str">
        <x:v>контраст/комплементарность + матричный эффект</x:v>
      </x:c>
      <x:c r="F8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8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8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7" s="28" t="str">
        <x:v>соус, глазировка, салат, сырная подача или горячее блюдо; маринад, гастрик, чатни, кетчуп или редукция</x:v>
      </x:c>
      <x:c r="J87" s="28" t="str">
        <x:v>Средняя</x:v>
      </x:c>
      <x:c r="K87" s="28" t="str">
        <x:v>The Art &amp; Science of Foodpairing</x:v>
      </x:c>
      <x:c r="L87" s="28" t="str">
        <x:v>The Art &amp; Science of Foodpairing: 204</x:v>
      </x:c>
    </x:row>
    <x:row r="88" ht="62" customHeight="1">
      <x:c r="A88" s="28" t="str">
        <x:v>BER-0244</x:v>
      </x:c>
      <x:c r="B88" s="28" t="str">
        <x:v>голубика</x:v>
      </x:c>
      <x:c r="C88" s="28" t="str">
        <x:v>припущенный chicken whi</x:v>
      </x:c>
      <x:c r="D88" s="28" t="str">
        <x:v>Мясо и птица</x:v>
      </x:c>
      <x:c r="E88" s="28" t="str">
        <x:v>контраст/комплементарность + матричный эффект</x:v>
      </x:c>
      <x:c r="F8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8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8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8" s="28" t="str">
        <x:v>соус, глазировка, салат, сырная подача или горячее блюдо; маринад, гастрик, чатни, кетчуп или редукция</x:v>
      </x:c>
      <x:c r="J88" s="28" t="str">
        <x:v>Средняя</x:v>
      </x:c>
      <x:c r="K88" s="28" t="str">
        <x:v>The Art &amp; Science of Foodpairing</x:v>
      </x:c>
      <x:c r="L88" s="28" t="str">
        <x:v>The Art &amp; Science of Foodpairing: 204</x:v>
      </x:c>
    </x:row>
    <x:row r="89" ht="62" customHeight="1">
      <x:c r="A89" s="28" t="str">
        <x:v>BER-0245</x:v>
      </x:c>
      <x:c r="B89" s="28" t="str">
        <x:v>голубика</x:v>
      </x:c>
      <x:c r="C89" s="28" t="str">
        <x:v>припущенный лосось</x:v>
      </x:c>
      <x:c r="D89" s="28" t="str">
        <x:v>Рыба и морепродукты</x:v>
      </x:c>
      <x:c r="E89" s="28" t="str">
        <x:v>контраст/комплементарность + матричный эффект</x:v>
      </x:c>
      <x:c r="F8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8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8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9" s="28" t="str">
        <x:v>соус, глазировка, салат, сырная подача или горячее блюдо; маринад, гастрик, чатни, кетчуп или редукция</x:v>
      </x:c>
      <x:c r="J89" s="28" t="str">
        <x:v>Средняя</x:v>
      </x:c>
      <x:c r="K89" s="28" t="str">
        <x:v>The Art &amp; Science of Foodpairing</x:v>
      </x:c>
      <x:c r="L89" s="28" t="str">
        <x:v>The Art &amp; Science of Foodpairing: 204, 205</x:v>
      </x:c>
    </x:row>
    <x:row r="90" ht="62" customHeight="1">
      <x:c r="A90" s="28" t="str">
        <x:v>BER-0246</x:v>
      </x:c>
      <x:c r="B90" s="28" t="str">
        <x:v>голубика</x:v>
      </x:c>
      <x:c r="C90" s="28" t="str">
        <x:v>розмарин</x:v>
      </x:c>
      <x:c r="D90" s="28" t="str">
        <x:v>Травы и цветы</x:v>
      </x:c>
      <x:c r="E90" s="28" t="str">
        <x:v>ароматическое сходство + вкусовой баланс</x:v>
      </x:c>
      <x:c r="F90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90" s="28" t="str">
        <x:v>Средняя</x:v>
      </x:c>
      <x:c r="K90" s="28" t="str">
        <x:v>Таблица сочетаний</x:v>
      </x:c>
      <x:c r="L90" s="28" t="str">
        <x:v>Таблица сочетаний: 3</x:v>
      </x:c>
    </x:row>
    <x:row r="91" ht="62" customHeight="1">
      <x:c r="A91" s="28" t="str">
        <x:v>BER-0247</x:v>
      </x:c>
      <x:c r="B91" s="28" t="str">
        <x:v>голубика</x:v>
      </x:c>
      <x:c r="C91" s="28" t="str">
        <x:v>свежие съедобные лепестки розы</x:v>
      </x:c>
      <x:c r="D91" s="28" t="str">
        <x:v>Травы и цветы</x:v>
      </x:c>
      <x:c r="E91" s="28" t="str">
        <x:v>ароматическое сходство + вкусовой баланс</x:v>
      </x:c>
      <x:c r="F91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91" s="28" t="str">
        <x:v>Средняя</x:v>
      </x:c>
      <x:c r="K91" s="28" t="str">
        <x:v>The Art &amp; Science of Foodpairing</x:v>
      </x:c>
      <x:c r="L91" s="28" t="str">
        <x:v>The Art &amp; Science of Foodpairing: 205</x:v>
      </x:c>
    </x:row>
    <x:row r="92" ht="62" customHeight="1">
      <x:c r="A92" s="28" t="str">
        <x:v>BER-0248</x:v>
      </x:c>
      <x:c r="B92" s="28" t="str">
        <x:v>голубика</x:v>
      </x:c>
      <x:c r="C92" s="28" t="str">
        <x:v>сушёный chipotle chilli</x:v>
      </x:c>
      <x:c r="D92" s="28" t="str">
        <x:v>Специи</x:v>
      </x:c>
      <x:c r="E92" s="28" t="str">
        <x:v>контраст/комплементарность + матричный эффект</x:v>
      </x:c>
      <x:c r="F9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2" s="28" t="str">
        <x:v>Пряность дозировать как акцент: она быстро перекрывает тонкие ягодные эфиры.</x:v>
      </x:c>
      <x:c r="I9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92" s="28" t="str">
        <x:v>Средняя</x:v>
      </x:c>
      <x:c r="K92" s="28" t="str">
        <x:v>The Art &amp; Science of Foodpairing</x:v>
      </x:c>
      <x:c r="L92" s="28" t="str">
        <x:v>The Art &amp; Science of Foodpairing: 205</x:v>
      </x:c>
    </x:row>
    <x:row r="93" ht="62" customHeight="1">
      <x:c r="A93" s="28" t="str">
        <x:v>BER-0250</x:v>
      </x:c>
      <x:c r="B93" s="28" t="str">
        <x:v>голубика</x:v>
      </x:c>
      <x:c r="C93" s="28" t="str">
        <x:v>трюфель</x:v>
      </x:c>
      <x:c r="D93" s="28" t="str">
        <x:v>Овощи и грибы</x:v>
      </x:c>
      <x:c r="E93" s="28" t="str">
        <x:v>ароматическое сходство + вкусовой баланс</x:v>
      </x:c>
      <x:c r="F93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9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9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3" s="28" t="str">
        <x:v>соус, глазировка, салат, сырная подача или горячее блюдо; маринад, гастрик, чатни, кетчуп или редукция</x:v>
      </x:c>
      <x:c r="J93" s="28" t="str">
        <x:v>Средняя</x:v>
      </x:c>
      <x:c r="K93" s="28" t="str">
        <x:v>The Art &amp; Science of Foodpairing</x:v>
      </x:c>
      <x:c r="L93" s="28" t="str">
        <x:v>The Art &amp; Science of Foodpairing: 193</x:v>
      </x:c>
    </x:row>
    <x:row r="94" ht="62" customHeight="1">
      <x:c r="A94" s="28" t="str">
        <x:v>BER-0252</x:v>
      </x:c>
      <x:c r="B94" s="28" t="str">
        <x:v>голубика</x:v>
      </x:c>
      <x:c r="C94" s="28" t="str">
        <x:v>укроп</x:v>
      </x:c>
      <x:c r="D94" s="28" t="str">
        <x:v>Травы и цветы</x:v>
      </x:c>
      <x:c r="E94" s="28" t="str">
        <x:v>ароматическое сходство + вкусовой баланс</x:v>
      </x:c>
      <x:c r="F94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94" s="28" t="str">
        <x:v>Средняя</x:v>
      </x:c>
      <x:c r="K94" s="28" t="str">
        <x:v>The Art &amp; Science of Foodpairing</x:v>
      </x:c>
      <x:c r="L94" s="28" t="str">
        <x:v>The Art &amp; Science of Foodpairing: 205</x:v>
      </x:c>
    </x:row>
    <x:row r="95" ht="62" customHeight="1">
      <x:c r="A95" s="28" t="str">
        <x:v>BER-0254</x:v>
      </x:c>
      <x:c r="B95" s="28" t="str">
        <x:v>голубика</x:v>
      </x:c>
      <x:c r="C95" s="28" t="str">
        <x:v>хамон иберико</x:v>
      </x:c>
      <x:c r="D95" s="28" t="str">
        <x:v>Мясо и птица</x:v>
      </x:c>
      <x:c r="E95" s="28" t="str">
        <x:v>контраст/комплементарность + матричный эффект</x:v>
      </x:c>
      <x:c r="F9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9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9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5" s="28" t="str">
        <x:v>соус, глазировка, салат, сырная подача или горячее блюдо; маринад, гастрик, чатни, кетчуп или редукция</x:v>
      </x:c>
      <x:c r="J95" s="28" t="str">
        <x:v>Средняя</x:v>
      </x:c>
      <x:c r="K95" s="28" t="str">
        <x:v>The Art &amp; Science of Foodpairing</x:v>
      </x:c>
      <x:c r="L95" s="28" t="str">
        <x:v>The Art &amp; Science of Foodpairing: 278</x:v>
      </x:c>
    </x:row>
    <x:row r="96" ht="62" customHeight="1">
      <x:c r="A96" s="28" t="str">
        <x:v>BER-0255</x:v>
      </x:c>
      <x:c r="B96" s="28" t="str">
        <x:v>голубика</x:v>
      </x:c>
      <x:c r="C96" s="28" t="str">
        <x:v>цветы жасмина</x:v>
      </x:c>
      <x:c r="D96" s="28" t="str">
        <x:v>Травы и цветы</x:v>
      </x:c>
      <x:c r="E96" s="28" t="str">
        <x:v>ароматическое сходство + вкусовой баланс</x:v>
      </x:c>
      <x:c r="F96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96" s="28" t="str">
        <x:v>Средняя</x:v>
      </x:c>
      <x:c r="K96" s="28" t="str">
        <x:v>The Art &amp; Science of Foodpairing</x:v>
      </x:c>
      <x:c r="L96" s="28" t="str">
        <x:v>The Art &amp; Science of Foodpairing: 211</x:v>
      </x:c>
    </x:row>
    <x:row r="97" ht="62" customHeight="1">
      <x:c r="A97" s="28" t="str">
        <x:v>BER-0258</x:v>
      </x:c>
      <x:c r="B97" s="28" t="str">
        <x:v>голубика</x:v>
      </x:c>
      <x:c r="C97" s="28" t="str">
        <x:v>чёрный перец</x:v>
      </x:c>
      <x:c r="D97" s="28" t="str">
        <x:v>Специи</x:v>
      </x:c>
      <x:c r="E97" s="28" t="str">
        <x:v>контраст/комплементарность + матричный эффект</x:v>
      </x:c>
      <x:c r="F9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7" s="28" t="str">
        <x:v>Пряность дозировать как акцент: она быстро перекрывает тонкие ягодные эфиры.</x:v>
      </x:c>
      <x:c r="I9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97" s="28" t="str">
        <x:v>Средняя</x:v>
      </x:c>
      <x:c r="K97" s="28" t="str">
        <x:v>The Art &amp; Science of Foodpairing</x:v>
      </x:c>
      <x:c r="L97" s="28" t="str">
        <x:v>The Art &amp; Science of Foodpairing: 275</x:v>
      </x:c>
    </x:row>
    <x:row r="98" ht="62" customHeight="1">
      <x:c r="A98" s="28" t="str">
        <x:v>BER-0260</x:v>
      </x:c>
      <x:c r="B98" s="28" t="str">
        <x:v>голубика</x:v>
      </x:c>
      <x:c r="C98" s="28" t="str">
        <x:v>шалфей</x:v>
      </x:c>
      <x:c r="D98" s="28" t="str">
        <x:v>Травы и цветы</x:v>
      </x:c>
      <x:c r="E98" s="28" t="str">
        <x:v>ароматическое сходство + вкусовой баланс</x:v>
      </x:c>
      <x:c r="F98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98" s="28" t="str">
        <x:v>Средняя</x:v>
      </x:c>
      <x:c r="K98" s="28" t="str">
        <x:v>Таблица сочетаний</x:v>
      </x:c>
      <x:c r="L98" s="28" t="str">
        <x:v>Таблица сочетаний: 3</x:v>
      </x:c>
    </x:row>
    <x:row r="99" ht="62" customHeight="1">
      <x:c r="A99" s="28" t="str">
        <x:v>BER-0266</x:v>
      </x:c>
      <x:c r="B99" s="28" t="str">
        <x:v>ежевика</x:v>
      </x:c>
      <x:c r="C99" s="28" t="str">
        <x:v>артишок</x:v>
      </x:c>
      <x:c r="D99" s="28" t="str">
        <x:v>Овощи и грибы</x:v>
      </x:c>
      <x:c r="E99" s="28" t="str">
        <x:v>ароматическое сходство + вкусовой баланс</x:v>
      </x:c>
      <x:c r="F99" s="28" t="str">
        <x:v>Прямой вероятный молекулярный мост: C6-альдегиды. Ягодный компонент несёт семейства древесный, зелёный, мускусный, тёмно-фруктовый, цветочный; партнёр — зелёный, землистый, сернистый. Оба компонента формируют кисло-сладкий, умеренно терпкий и растительный, иногда умами контур; сахар, кислота и горечь должны быть выровнены дегустацией. Ягода: пигменты и полифенолы дают цвет и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9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9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9" s="28" t="str">
        <x:v>соус, глазировка, салат, сырная подача или горячее блюдо; маринад, гастрик, чатни, кетчуп или редукция</x:v>
      </x:c>
      <x:c r="J99" s="28" t="str">
        <x:v>Средняя</x:v>
      </x:c>
      <x:c r="K99" s="28" t="str">
        <x:v>The Art &amp; Science of Foodpairing</x:v>
      </x:c>
      <x:c r="L99" s="28" t="str">
        <x:v>The Art &amp; Science of Foodpairing: 328</x:v>
      </x:c>
    </x:row>
    <x:row r="100" ht="62" customHeight="1">
      <x:c r="A100" s="28" t="str">
        <x:v>BER-0270</x:v>
      </x:c>
      <x:c r="B100" s="28" t="str">
        <x:v>ежевика</x:v>
      </x:c>
      <x:c r="C100" s="28" t="str">
        <x:v>говядина</x:v>
      </x:c>
      <x:c r="D100" s="28" t="str">
        <x:v>Мясо и птица</x:v>
      </x:c>
      <x:c r="E100" s="28" t="str">
        <x:v>контраст/комплементарность + матричный эффект</x:v>
      </x:c>
      <x:c r="F10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0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0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0" s="28" t="str">
        <x:v>соус, глазировка, салат, сырная подача или горячее блюдо; маринад, гастрик, чатни, кетчуп или редукция</x:v>
      </x:c>
      <x:c r="J100" s="28" t="str">
        <x:v>Высокая</x:v>
      </x:c>
      <x:c r="K100" s="28" t="str">
        <x:v>Тезариус вкусов</x:v>
      </x:c>
      <x:c r="L100" s="28" t="str">
        <x:v>Тезариус вкусов: 110, 880</x:v>
      </x:c>
    </x:row>
    <x:row r="101" ht="62" customHeight="1">
      <x:c r="A101" s="28" t="str">
        <x:v>BER-0274</x:v>
      </x:c>
      <x:c r="B101" s="28" t="str">
        <x:v>ежевика</x:v>
      </x:c>
      <x:c r="C101" s="28" t="str">
        <x:v>доджанг</x:v>
      </x:c>
      <x:c r="D101" s="28" t="str">
        <x:v>Ферментированные продукты, соусы и уксусы</x:v>
      </x:c>
      <x:c r="E101" s="28" t="str">
        <x:v>ароматическое сходство + вкусовой баланс</x:v>
      </x:c>
      <x:c r="F101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кислый, умами, ферментированный. Оба компонента формируют кисло-сладкий, умеренно терпкий и кислый/солёный/умами контур; сахар, кислота и горечь должны быть выровнены дегустацией. Ягода: пигменты и полифенолы дают цвет и терпкость.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1" s="28" t="str">
        <x:v>соус, глазировка, салат, сырная подача или горячее блюдо; маринад, гастрик, чатни, кетчуп или редукция</x:v>
      </x:c>
      <x:c r="J101" s="28" t="str">
        <x:v>Средняя</x:v>
      </x:c>
      <x:c r="K101" s="28" t="str">
        <x:v>The Art &amp; Science of Foodpairing</x:v>
      </x:c>
      <x:c r="L101" s="28" t="str">
        <x:v>The Art &amp; Science of Foodpairing: 246</x:v>
      </x:c>
    </x:row>
    <x:row r="102" ht="62" customHeight="1">
      <x:c r="A102" s="28" t="str">
        <x:v>BER-0275</x:v>
      </x:c>
      <x:c r="B102" s="28" t="str">
        <x:v>ежевика</x:v>
      </x:c>
      <x:c r="C102" s="28" t="str">
        <x:v>зелёная фасоль</x:v>
      </x:c>
      <x:c r="D102" s="28" t="str">
        <x:v>Овощи и грибы</x:v>
      </x:c>
      <x:c r="E102" s="28" t="str">
        <x:v>ароматическое сходство + вкусовой баланс</x:v>
      </x:c>
      <x:c r="F102" s="28" t="str">
        <x:v>Прямой вероятный молекулярный мост: C6-альдегиды. Ягодный компонент несёт семейства древесный, зелёный, мускусный, тёмно-фруктовый, цветочный; партнёр — зелёный, землистый, сернистый. Оба компонента формируют кисло-сладкий, умеренно терпкий и растительный, иногда умами контур; сахар, кислота и горечь должны быть выровнены дегустацией. Ягода: пигменты и полифенолы дают цвет и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0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0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2" s="28" t="str">
        <x:v>соус, глазировка, салат, сырная подача или горячее блюдо; маринад, гастрик, чатни, кетчуп или редукция</x:v>
      </x:c>
      <x:c r="J102" s="28" t="str">
        <x:v>Средняя</x:v>
      </x:c>
      <x:c r="K102" s="28" t="str">
        <x:v>The Art &amp; Science of Foodpairing</x:v>
      </x:c>
      <x:c r="L102" s="28" t="str">
        <x:v>The Art &amp; Science of Foodpairing: 320</x:v>
      </x:c>
    </x:row>
    <x:row r="103" ht="62" customHeight="1">
      <x:c r="A103" s="28" t="str">
        <x:v>BER-0276</x:v>
      </x:c>
      <x:c r="B103" s="28" t="str">
        <x:v>ежевика</x:v>
      </x:c>
      <x:c r="C103" s="28" t="str">
        <x:v>имбирь</x:v>
      </x:c>
      <x:c r="D103" s="28" t="str">
        <x:v>Специи</x:v>
      </x:c>
      <x:c r="E103" s="28" t="str">
        <x:v>сходство ароматических семейств + комплементарность</x:v>
      </x:c>
      <x:c r="F103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3" s="28" t="str">
        <x:v>Пряность дозировать как акцент: она быстро перекрывает тонкие ягодные эфиры.</x:v>
      </x:c>
      <x:c r="I10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03" s="28" t="str">
        <x:v>Средняя</x:v>
      </x:c>
      <x:c r="K103" s="28" t="str">
        <x:v>Таблица сочетаний</x:v>
      </x:c>
      <x:c r="L103" s="28" t="str">
        <x:v>Таблица сочетаний: 2</x:v>
      </x:c>
    </x:row>
    <x:row r="104" ht="62" customHeight="1">
      <x:c r="A104" s="28" t="str">
        <x:v>BER-0280</x:v>
      </x:c>
      <x:c r="B104" s="28" t="str">
        <x:v>ежевика</x:v>
      </x:c>
      <x:c r="C104" s="28" t="str">
        <x:v>козий сыр</x:v>
      </x:c>
      <x:c r="D104" s="28" t="str">
        <x:v>Молочные продукты и сыры</x:v>
      </x:c>
      <x:c r="E104" s="28" t="str">
        <x:v>контраст/комплементарность + матричный эффект</x:v>
      </x:c>
      <x:c r="F10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0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04" s="28" t="str">
        <x:v>Высокая кислотность может свернуть молочный белок; смешивать при контролируемой температуре.</x:v>
      </x:c>
      <x:c r="I104" s="28" t="str">
        <x:v>сорбет, крем, ганаш, выпечка, джем или соус для десерта; соус, глазировка, салат, сырная подача или горячее блюдо</x:v>
      </x:c>
      <x:c r="J104" s="28" t="str">
        <x:v>Высокая</x:v>
      </x:c>
      <x:c r="K104" s="28" t="str">
        <x:v>Тезариус вкусов</x:v>
      </x:c>
      <x:c r="L104" s="28" t="str">
        <x:v>Тезариус вкусов: 139, 880</x:v>
      </x:c>
    </x:row>
    <x:row r="105" ht="62" customHeight="1">
      <x:c r="A105" s="28" t="str">
        <x:v>BER-0281</x:v>
      </x:c>
      <x:c r="B105" s="28" t="str">
        <x:v>ежевика</x:v>
      </x:c>
      <x:c r="C105" s="28" t="str">
        <x:v>корица</x:v>
      </x:c>
      <x:c r="D105" s="28" t="str">
        <x:v>Специи</x:v>
      </x:c>
      <x:c r="E105" s="28" t="str">
        <x:v>сходство ароматических семейств + комплементарность</x:v>
      </x:c>
      <x:c r="F105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5" s="28" t="str">
        <x:v>Пряность дозировать как акцент: она быстро перекрывает тонкие ягодные эфиры.</x:v>
      </x:c>
      <x:c r="I10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05" s="28" t="str">
        <x:v>Высокая</x:v>
      </x:c>
      <x:c r="K105" s="28" t="str">
        <x:v>The Art &amp; Science of Foodpairing; Таблица сочетаний</x:v>
      </x:c>
      <x:c r="L105" s="28" t="str">
        <x:v>The Art &amp; Science of Foodpairing: 131; Таблица сочетаний: 2</x:v>
      </x:c>
    </x:row>
    <x:row r="106" ht="62" customHeight="1">
      <x:c r="A106" s="28" t="str">
        <x:v>BER-0288</x:v>
      </x:c>
      <x:c r="B106" s="28" t="str">
        <x:v>ежевика</x:v>
      </x:c>
      <x:c r="C106" s="28" t="str">
        <x:v>морковь</x:v>
      </x:c>
      <x:c r="D106" s="28" t="str">
        <x:v>Овощи и грибы</x:v>
      </x:c>
      <x:c r="E106" s="28" t="str">
        <x:v>ароматическое сходство + вкусовой баланс</x:v>
      </x:c>
      <x:c r="F106" s="28" t="str">
        <x:v>Прямой вероятный молекулярный мост: C6-альдегиды. Ягодный компонент несёт семейства древесный, зелёный, мускусный, тёмно-фруктовый, цветочный; партнёр — зелёный, землистый, сернистый. Оба компонента формируют кисло-сладкий, умеренно терпкий и растительный, иногда умами контур; сахар, кислота и горечь должны быть выровнены дегустацией. Ягода: пигменты и полифенолы дают цвет и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0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0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6" s="28" t="str">
        <x:v>соус, глазировка, салат, сырная подача или горячее блюдо; маринад, гастрик, чатни, кетчуп или редукция</x:v>
      </x:c>
      <x:c r="J106" s="28" t="str">
        <x:v>Средняя</x:v>
      </x:c>
      <x:c r="K106" s="28" t="str">
        <x:v>The Art &amp; Science of Foodpairing</x:v>
      </x:c>
      <x:c r="L106" s="28" t="str">
        <x:v>The Art &amp; Science of Foodpairing: 233</x:v>
      </x:c>
    </x:row>
    <x:row r="107" ht="62" customHeight="1">
      <x:c r="A107" s="28" t="str">
        <x:v>BER-0289</x:v>
      </x:c>
      <x:c r="B107" s="28" t="str">
        <x:v>ежевика</x:v>
      </x:c>
      <x:c r="C107" s="28" t="str">
        <x:v>мята</x:v>
      </x:c>
      <x:c r="D107" s="28" t="str">
        <x:v>Травы и цветы</x:v>
      </x:c>
      <x:c r="E107" s="28" t="str">
        <x:v>ароматическое сходство + вкусовой баланс</x:v>
      </x:c>
      <x:c r="F107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07" s="28" t="str">
        <x:v>Средняя</x:v>
      </x:c>
      <x:c r="K107" s="28" t="str">
        <x:v>Таблица сочетаний</x:v>
      </x:c>
      <x:c r="L107" s="28" t="str">
        <x:v>Таблица сочетаний: 2</x:v>
      </x:c>
    </x:row>
    <x:row r="108" ht="62" customHeight="1">
      <x:c r="A108" s="28" t="str">
        <x:v>BER-0291</x:v>
      </x:c>
      <x:c r="B108" s="28" t="str">
        <x:v>ежевика</x:v>
      </x:c>
      <x:c r="C108" s="28" t="str">
        <x:v>пармиджано-реджано</x:v>
      </x:c>
      <x:c r="D108" s="28" t="str">
        <x:v>Рыба и морепродукты</x:v>
      </x:c>
      <x:c r="E108" s="28" t="str">
        <x:v>контраст/комплементарность + матричный эффект</x:v>
      </x:c>
      <x:c r="F10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0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0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8" s="28" t="str">
        <x:v>соус, глазировка, салат, сырная подача или горячее блюдо; маринад, гастрик, чатни, кетчуп или редукция</x:v>
      </x:c>
      <x:c r="J108" s="28" t="str">
        <x:v>Средняя</x:v>
      </x:c>
      <x:c r="K108" s="28" t="str">
        <x:v>The Art &amp; Science of Foodpairing</x:v>
      </x:c>
      <x:c r="L108" s="28" t="str">
        <x:v>The Art &amp; Science of Foodpairing: 282</x:v>
      </x:c>
    </x:row>
    <x:row r="109" ht="62" customHeight="1">
      <x:c r="A109" s="28" t="str">
        <x:v>BER-0292</x:v>
      </x:c>
      <x:c r="B109" s="28" t="str">
        <x:v>ежевика</x:v>
      </x:c>
      <x:c r="C109" s="28" t="str">
        <x:v>паста из твёрдой пшеницы</x:v>
      </x:c>
      <x:c r="D109" s="28" t="str">
        <x:v>Ферментированные продукты, соусы и уксусы</x:v>
      </x:c>
      <x:c r="E109" s="28" t="str">
        <x:v>ароматическое сходство + вкусовой баланс</x:v>
      </x:c>
      <x:c r="F109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кислый, умами, ферментированный. Оба компонента формируют кисло-сладкий, умеренно терпкий и кислый/солёный/умами контур; сахар, кислота и горечь должны быть выровнены дегустацией. Ягода: пигменты и полифенолы дают цвет и терпкость.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9" s="28" t="str">
        <x:v>соус, глазировка, салат, сырная подача или горячее блюдо; маринад, гастрик, чатни, кетчуп или редукция</x:v>
      </x:c>
      <x:c r="J109" s="28" t="str">
        <x:v>Средняя</x:v>
      </x:c>
      <x:c r="K109" s="28" t="str">
        <x:v>The Art &amp; Science of Foodpairing</x:v>
      </x:c>
      <x:c r="L109" s="28" t="str">
        <x:v>The Art &amp; Science of Foodpairing: 325</x:v>
      </x:c>
    </x:row>
    <x:row r="110" ht="62" customHeight="1">
      <x:c r="A110" s="28" t="str">
        <x:v>BER-0293</x:v>
      </x:c>
      <x:c r="B110" s="28" t="str">
        <x:v>ежевика</x:v>
      </x:c>
      <x:c r="C110" s="28" t="str">
        <x:v>перец</x:v>
      </x:c>
      <x:c r="D110" s="28" t="str">
        <x:v>Специи</x:v>
      </x:c>
      <x:c r="E110" s="28" t="str">
        <x:v>сходство ароматических семейств + комплементарность</x:v>
      </x:c>
      <x:c r="F110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0" s="28" t="str">
        <x:v>Пряность дозировать как акцент: она быстро перекрывает тонкие ягодные эфиры.</x:v>
      </x:c>
      <x:c r="I11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10" s="28" t="str">
        <x:v>Средняя</x:v>
      </x:c>
      <x:c r="K110" s="28" t="str">
        <x:v>Таблица сочетаний</x:v>
      </x:c>
      <x:c r="L110" s="28" t="str">
        <x:v>Таблица сочетаний: 16</x:v>
      </x:c>
    </x:row>
    <x:row r="111" ht="62" customHeight="1">
      <x:c r="A111" s="28" t="str">
        <x:v>BER-0298</x:v>
      </x:c>
      <x:c r="B111" s="28" t="str">
        <x:v>ежевика</x:v>
      </x:c>
      <x:c r="C111" s="28" t="str">
        <x:v>тимьян</x:v>
      </x:c>
      <x:c r="D111" s="28" t="str">
        <x:v>Травы и цветы</x:v>
      </x:c>
      <x:c r="E111" s="28" t="str">
        <x:v>ароматическое сходство + вкусовой баланс</x:v>
      </x:c>
      <x:c r="F111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11" s="28" t="str">
        <x:v>Средняя</x:v>
      </x:c>
      <x:c r="K111" s="28" t="str">
        <x:v>Таблица сочетаний</x:v>
      </x:c>
      <x:c r="L111" s="28" t="str">
        <x:v>Таблица сочетаний: 21</x:v>
      </x:c>
    </x:row>
    <x:row r="112" ht="62" customHeight="1">
      <x:c r="A112" s="28" t="str">
        <x:v>BER-0299</x:v>
      </x:c>
      <x:c r="B112" s="28" t="str">
        <x:v>ежевика</x:v>
      </x:c>
      <x:c r="C112" s="28" t="str">
        <x:v>трюфель</x:v>
      </x:c>
      <x:c r="D112" s="28" t="str">
        <x:v>Овощи и грибы</x:v>
      </x:c>
      <x:c r="E112" s="28" t="str">
        <x:v>ароматическое сходство + вкусовой баланс</x:v>
      </x:c>
      <x:c r="F112" s="28" t="str">
        <x:v>Прямой вероятный молекулярный мост: C6-альдегиды. Ягодный компонент несёт семейства древесный, зелёный, мускусный, тёмно-фруктовый, цветочный; партнёр — зелёный, землистый, сернистый. Оба компонента формируют кисло-сладкий, умеренно терпкий и растительный, иногда умами контур; сахар, кислота и горечь должны быть выровнены дегустацией. Ягода: пигменты и полифенолы дают цвет и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1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1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2" s="28" t="str">
        <x:v>соус, глазировка, салат, сырная подача или горячее блюдо; маринад, гастрик, чатни, кетчуп или редукция</x:v>
      </x:c>
      <x:c r="J112" s="28" t="str">
        <x:v>Средняя</x:v>
      </x:c>
      <x:c r="K112" s="28" t="str">
        <x:v>The Art &amp; Science of Foodpairing</x:v>
      </x:c>
      <x:c r="L112" s="28" t="str">
        <x:v>The Art &amp; Science of Foodpairing: 192</x:v>
      </x:c>
    </x:row>
    <x:row r="113" ht="62" customHeight="1">
      <x:c r="A113" s="28" t="str">
        <x:v>BER-0304</x:v>
      </x:c>
      <x:c r="B113" s="28" t="str">
        <x:v>ежевика</x:v>
      </x:c>
      <x:c r="C113" s="28" t="str">
        <x:v>чёрный перец</x:v>
      </x:c>
      <x:c r="D113" s="28" t="str">
        <x:v>Специи</x:v>
      </x:c>
      <x:c r="E113" s="28" t="str">
        <x:v>сходство ароматических семейств + комплементарность</x:v>
      </x:c>
      <x:c r="F113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3" s="28" t="str">
        <x:v>Пряность дозировать как акцент: она быстро перекрывает тонкие ягодные эфиры.</x:v>
      </x:c>
      <x:c r="I11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13" s="28" t="str">
        <x:v>Средняя</x:v>
      </x:c>
      <x:c r="K113" s="28" t="str">
        <x:v>Таблица сочетаний</x:v>
      </x:c>
      <x:c r="L113" s="28" t="str">
        <x:v>Таблица сочетаний: 2</x:v>
      </x:c>
    </x:row>
    <x:row r="114" ht="62" customHeight="1">
      <x:c r="A114" s="28" t="str">
        <x:v>BER-0310</x:v>
      </x:c>
      <x:c r="B114" s="28" t="str">
        <x:v>земляника</x:v>
      </x:c>
      <x:c r="C114" s="28" t="str">
        <x:v>кимчи</x:v>
      </x:c>
      <x:c r="D114" s="28" t="str">
        <x:v>Ферментированные продукты, соусы и уксусы</x:v>
      </x:c>
      <x:c r="E114" s="28" t="str">
        <x:v>ароматическое сходство + вкусовой баланс</x:v>
      </x:c>
      <x:c r="F114" s="28" t="str">
        <x:v>Прямой вероятный молекулярный мост: эфиры. Ягодный компонент несёт семейства зелёный, карамельный, фруктовый, цветочный; партнёр — кислый, умами, ферментированный. Оба компонента формируют сладко-кислый и кислый/солёный/умами контур; сахар, кислота и горечь должны быть выровнены дегустацией. Ягода: очень летучий аромат; лучше щадящая обработка.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4" s="28" t="str">
        <x:v>соус, глазировка, салат, сырная подача или горячее блюдо; маринад, гастрик, чатни, кетчуп или редукция</x:v>
      </x:c>
      <x:c r="J114" s="28" t="str">
        <x:v>Средняя</x:v>
      </x:c>
      <x:c r="K114" s="28" t="str">
        <x:v>The Art &amp; Science of Foodpairing</x:v>
      </x:c>
      <x:c r="L114" s="28" t="str">
        <x:v>The Art &amp; Science of Foodpairing: 304</x:v>
      </x:c>
    </x:row>
    <x:row r="115" ht="62" customHeight="1">
      <x:c r="A115" s="28" t="str">
        <x:v>BER-0313</x:v>
      </x:c>
      <x:c r="B115" s="28" t="str">
        <x:v>земляника</x:v>
      </x:c>
      <x:c r="C115" s="28" t="str">
        <x:v>цветы жасмина</x:v>
      </x:c>
      <x:c r="D115" s="28" t="str">
        <x:v>Травы и цветы</x:v>
      </x:c>
      <x:c r="E115" s="28" t="str">
        <x:v>ароматическое сходство + вкусовой баланс</x:v>
      </x:c>
      <x:c r="F115" s="28" t="str">
        <x:v>Прямой вероятный молекулярный мост: линалоол. Ягодный компонент несёт семейства зелёный, карамельный,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15" s="28" t="str">
        <x:v>Средняя</x:v>
      </x:c>
      <x:c r="K115" s="28" t="str">
        <x:v>The Art &amp; Science of Foodpairing</x:v>
      </x:c>
      <x:c r="L115" s="28" t="str">
        <x:v>The Art &amp; Science of Foodpairing: 210</x:v>
      </x:c>
    </x:row>
    <x:row r="116" ht="62" customHeight="1">
      <x:c r="A116" s="28" t="str">
        <x:v>BER-0314</x:v>
      </x:c>
      <x:c r="B116" s="28" t="str">
        <x:v>земляника</x:v>
      </x:c>
      <x:c r="C116" s="28" t="str">
        <x:v>чёрный перец</x:v>
      </x:c>
      <x:c r="D116" s="28" t="str">
        <x:v>Специи</x:v>
      </x:c>
      <x:c r="E116" s="28" t="str">
        <x:v>контраст/комплементарность + матричный эффект</x:v>
      </x:c>
      <x:c r="F11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6" s="28" t="str">
        <x:v>Пряность дозировать как акцент: она быстро перекрывает тонкие ягодные эфиры.</x:v>
      </x:c>
      <x:c r="I11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16" s="28" t="str">
        <x:v>Средняя</x:v>
      </x:c>
      <x:c r="K116" s="28" t="str">
        <x:v>The Art &amp; Science of Foodpairing</x:v>
      </x:c>
      <x:c r="L116" s="28" t="str">
        <x:v>The Art &amp; Science of Foodpairing: 275</x:v>
      </x:c>
    </x:row>
    <x:row r="117" ht="62" customHeight="1">
      <x:c r="A117" s="28" t="str">
        <x:v>BER-0315</x:v>
      </x:c>
      <x:c r="B117" s="28" t="str">
        <x:v>клубника</x:v>
      </x:c>
      <x:c r="C117" s="28" t="str">
        <x:v>brown chicken stock (fond brun)</x:v>
      </x:c>
      <x:c r="D117" s="28" t="str">
        <x:v>Мясо и птица</x:v>
      </x:c>
      <x:c r="E117" s="28" t="str">
        <x:v>контраст/комплементарность + матричный эффект</x:v>
      </x:c>
      <x:c r="F11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1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1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7" s="28" t="str">
        <x:v>соус, глазировка, салат, сырная подача или горячее блюдо; маринад, гастрик, чатни, кетчуп или редукция</x:v>
      </x:c>
      <x:c r="J117" s="28" t="str">
        <x:v>Средняя</x:v>
      </x:c>
      <x:c r="K117" s="28" t="str">
        <x:v>The Art &amp; Science of Foodpairing</x:v>
      </x:c>
      <x:c r="L117" s="28" t="str">
        <x:v>The Art &amp; Science of Foodpairing: 70</x:v>
      </x:c>
    </x:row>
    <x:row r="118" ht="62" customHeight="1">
      <x:c r="A118" s="28" t="str">
        <x:v>BER-0321</x:v>
      </x:c>
      <x:c r="B118" s="28" t="str">
        <x:v>клубника</x:v>
      </x:c>
      <x:c r="C118" s="28" t="str">
        <x:v>codium seaweed</x:v>
      </x:c>
      <x:c r="D118" s="28" t="str">
        <x:v>Рыба и морепродукты</x:v>
      </x:c>
      <x:c r="E118" s="28" t="str">
        <x:v>контраст/комплементарность + матричный эффект</x:v>
      </x:c>
      <x:c r="F11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1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1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8" s="28" t="str">
        <x:v>соус, глазировка, салат, сырная подача или горячее блюдо; маринад, гастрик, чатни, кетчуп или редукция</x:v>
      </x:c>
      <x:c r="J118" s="28" t="str">
        <x:v>Средняя</x:v>
      </x:c>
      <x:c r="K118" s="28" t="str">
        <x:v>The Art &amp; Science of Foodpairing</x:v>
      </x:c>
      <x:c r="L118" s="28" t="str">
        <x:v>The Art &amp; Science of Foodpairing: 71</x:v>
      </x:c>
    </x:row>
    <x:row r="119" ht="62" customHeight="1">
      <x:c r="A119" s="28" t="str">
        <x:v>BER-0323</x:v>
      </x:c>
      <x:c r="B119" s="28" t="str">
        <x:v>клубника</x:v>
      </x:c>
      <x:c r="C119" s="28" t="str">
        <x:v>goats' cheese</x:v>
      </x:c>
      <x:c r="D119" s="28" t="str">
        <x:v>Молочные продукты и сыры</x:v>
      </x:c>
      <x:c r="E119" s="28" t="str">
        <x:v>сходство ароматических семейств + комплементарность</x:v>
      </x:c>
      <x:c r="F119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1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19" s="28" t="str">
        <x:v>Высокая кислотность может свернуть молочный белок; смешивать при контролируемой температуре.</x:v>
      </x:c>
      <x:c r="I119" s="28" t="str">
        <x:v>сорбет, крем, ганаш, выпечка, джем или соус для десерта; соус, глазировка, салат, сырная подача или горячее блюдо</x:v>
      </x:c>
      <x:c r="J119" s="28" t="str">
        <x:v>Средняя</x:v>
      </x:c>
      <x:c r="K119" s="28" t="str">
        <x:v>The Art &amp; Science of Foodpairing</x:v>
      </x:c>
      <x:c r="L119" s="28" t="str">
        <x:v>The Art &amp; Science of Foodpairing: 71</x:v>
      </x:c>
    </x:row>
    <x:row r="120" ht="62" customHeight="1">
      <x:c r="A120" s="28" t="str">
        <x:v>BER-0325</x:v>
      </x:c>
      <x:c r="B120" s="28" t="str">
        <x:v>клубника</x:v>
      </x:c>
      <x:c r="C120" s="28" t="str">
        <x:v>italian vine tomato</x:v>
      </x:c>
      <x:c r="D120" s="28" t="str">
        <x:v>Овощи и грибы</x:v>
      </x:c>
      <x:c r="E120" s="28" t="str">
        <x:v>сходство ароматических семейств + комплементарность</x:v>
      </x:c>
      <x:c r="F120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2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2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0" s="28" t="str">
        <x:v>соус, глазировка, салат, сырная подача или горячее блюдо; маринад, гастрик, чатни, кетчуп или редукция</x:v>
      </x:c>
      <x:c r="J120" s="28" t="str">
        <x:v>Средняя</x:v>
      </x:c>
      <x:c r="K120" s="28" t="str">
        <x:v>The Art &amp; Science of Foodpairing</x:v>
      </x:c>
      <x:c r="L120" s="28" t="str">
        <x:v>The Art &amp; Science of Foodpairing: 71</x:v>
      </x:c>
    </x:row>
    <x:row r="121" ht="62" customHeight="1">
      <x:c r="A121" s="28" t="str">
        <x:v>BER-0330</x:v>
      </x:c>
      <x:c r="B121" s="28" t="str">
        <x:v>клубника</x:v>
      </x:c>
      <x:c r="C121" s="28" t="str">
        <x:v>lavender honey</x:v>
      </x:c>
      <x:c r="D121" s="28" t="str">
        <x:v>Травы и цветы</x:v>
      </x:c>
      <x:c r="E121" s="28" t="str">
        <x:v>ароматическое сходство + вкусовой баланс</x:v>
      </x:c>
      <x:c r="F121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21" s="28" t="str">
        <x:v>Средняя</x:v>
      </x:c>
      <x:c r="K121" s="28" t="str">
        <x:v>The Art &amp; Science of Foodpairing</x:v>
      </x:c>
      <x:c r="L121" s="28" t="str">
        <x:v>The Art &amp; Science of Foodpairing: 71</x:v>
      </x:c>
    </x:row>
    <x:row r="122" ht="62" customHeight="1">
      <x:c r="A122" s="28" t="str">
        <x:v>BER-0332</x:v>
      </x:c>
      <x:c r="B122" s="28" t="str">
        <x:v>клубника</x:v>
      </x:c>
      <x:c r="C122" s="28" t="str">
        <x:v>parmesan-style cheese</x:v>
      </x:c>
      <x:c r="D122" s="28" t="str">
        <x:v>Молочные продукты и сыры</x:v>
      </x:c>
      <x:c r="E122" s="28" t="str">
        <x:v>сходство ароматических семейств + комплементарность</x:v>
      </x:c>
      <x:c r="F122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2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22" s="28" t="str">
        <x:v>Высокая кислотность может свернуть молочный белок; смешивать при контролируемой температуре.</x:v>
      </x:c>
      <x:c r="I122" s="28" t="str">
        <x:v>сорбет, крем, ганаш, выпечка, джем или соус для десерта; соус, глазировка, салат, сырная подача или горячее блюдо</x:v>
      </x:c>
      <x:c r="J122" s="28" t="str">
        <x:v>Средняя</x:v>
      </x:c>
      <x:c r="K122" s="28" t="str">
        <x:v>The Art &amp; Science of Foodpairing</x:v>
      </x:c>
      <x:c r="L122" s="28" t="str">
        <x:v>The Art &amp; Science of Foodpairing: 70</x:v>
      </x:c>
    </x:row>
    <x:row r="123" ht="62" customHeight="1">
      <x:c r="A123" s="28" t="str">
        <x:v>BER-0342</x:v>
      </x:c>
      <x:c r="B123" s="28" t="str">
        <x:v>клубника</x:v>
      </x:c>
      <x:c r="C123" s="28" t="str">
        <x:v>анис</x:v>
      </x:c>
      <x:c r="D123" s="28" t="str">
        <x:v>Специи</x:v>
      </x:c>
      <x:c r="E123" s="28" t="str">
        <x:v>контраст/комплементарность + матричный эффект</x:v>
      </x:c>
      <x:c r="F12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3" s="28" t="str">
        <x:v>Пряность дозировать как акцент: она быстро перекрывает тонкие ягодные эфиры.</x:v>
      </x:c>
      <x:c r="I12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23" s="28" t="str">
        <x:v>Высокая</x:v>
      </x:c>
      <x:c r="K123" s="28" t="str">
        <x:v>Таблица сочетаний; Тезариус вкусов</x:v>
      </x:c>
      <x:c r="L123" s="28" t="str">
        <x:v>Тезариус вкусов: 483, 693; Таблица сочетаний: 20</x:v>
      </x:c>
    </x:row>
    <x:row r="124" ht="62" customHeight="1">
      <x:c r="A124" s="28" t="str">
        <x:v>BER-0345</x:v>
      </x:c>
      <x:c r="B124" s="28" t="str">
        <x:v>клубника</x:v>
      </x:c>
      <x:c r="C124" s="28" t="str">
        <x:v>артишок</x:v>
      </x:c>
      <x:c r="D124" s="28" t="str">
        <x:v>Овощи и грибы</x:v>
      </x:c>
      <x:c r="E124" s="28" t="str">
        <x:v>сходство ароматических семейств + комплементарность</x:v>
      </x:c>
      <x:c r="F124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2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2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4" s="28" t="str">
        <x:v>соус, глазировка, салат, сырная подача или горячее блюдо; маринад, гастрик, чатни, кетчуп или редукция</x:v>
      </x:c>
      <x:c r="J124" s="28" t="str">
        <x:v>Средняя</x:v>
      </x:c>
      <x:c r="K124" s="28" t="str">
        <x:v>The Art &amp; Science of Foodpairing</x:v>
      </x:c>
      <x:c r="L124" s="28" t="str">
        <x:v>The Art &amp; Science of Foodpairing: 329</x:v>
      </x:c>
    </x:row>
    <x:row r="125" ht="62" customHeight="1">
      <x:c r="A125" s="28" t="str">
        <x:v>BER-0346</x:v>
      </x:c>
      <x:c r="B125" s="28" t="str">
        <x:v>клубника</x:v>
      </x:c>
      <x:c r="C125" s="28" t="str">
        <x:v>базилик</x:v>
      </x:c>
      <x:c r="D125" s="28" t="str">
        <x:v>Травы и цветы</x:v>
      </x:c>
      <x:c r="E125" s="28" t="str">
        <x:v>ароматическое сходство + вкусовой баланс</x:v>
      </x:c>
      <x:c r="F125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25" s="28" t="str">
        <x:v>Средняя</x:v>
      </x:c>
      <x:c r="K125" s="28" t="str">
        <x:v>Таблица сочетаний</x:v>
      </x:c>
      <x:c r="L125" s="28" t="str">
        <x:v>Таблица сочетаний: 20</x:v>
      </x:c>
    </x:row>
    <x:row r="126" ht="62" customHeight="1">
      <x:c r="A126" s="28" t="str">
        <x:v>BER-0347</x:v>
      </x:c>
      <x:c r="B126" s="28" t="str">
        <x:v>клубника</x:v>
      </x:c>
      <x:c r="C126" s="28" t="str">
        <x:v>бальзамический уксус</x:v>
      </x:c>
      <x:c r="D126" s="28" t="str">
        <x:v>Ферментированные продукты, соусы и уксусы</x:v>
      </x:c>
      <x:c r="E126" s="28" t="str">
        <x:v>контраст/комплементарность + матричный эффект</x:v>
      </x:c>
      <x:c r="F12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кислый, умами, ферментированный. Оба компонента формируют сладко-кислый и кислый/солёный/умами контур; сахар, кислота и горечь должны быть выровнены дегустацией. Ягода: высокая доля воды; аромат чувствителен к перегреву.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6" s="28" t="str">
        <x:v>соус, глазировка, салат, сырная подача или горячее блюдо; маринад, гастрик, чатни, кетчуп или редукция</x:v>
      </x:c>
      <x:c r="J126" s="28" t="str">
        <x:v>Средняя</x:v>
      </x:c>
      <x:c r="K126" s="28" t="str">
        <x:v>The Art &amp; Science of Foodpairing</x:v>
      </x:c>
      <x:c r="L126" s="28" t="str">
        <x:v>The Art &amp; Science of Foodpairing: 316, 317</x:v>
      </x:c>
    </x:row>
    <x:row r="127" ht="62" customHeight="1">
      <x:c r="A127" s="28" t="str">
        <x:v>BER-0351</x:v>
      </x:c>
      <x:c r="B127" s="28" t="str">
        <x:v>клубника</x:v>
      </x:c>
      <x:c r="C127" s="28" t="str">
        <x:v>бобы</x:v>
      </x:c>
      <x:c r="D127" s="28" t="str">
        <x:v>Овощи и грибы</x:v>
      </x:c>
      <x:c r="E127" s="28" t="str">
        <x:v>сходство ароматических семейств + комплементарность</x:v>
      </x:c>
      <x:c r="F127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2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2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7" s="28" t="str">
        <x:v>соус, глазировка, салат, сырная подача или горячее блюдо; маринад, гастрик, чатни, кетчуп или редукция</x:v>
      </x:c>
      <x:c r="J127" s="28" t="str">
        <x:v>Средняя</x:v>
      </x:c>
      <x:c r="K127" s="28" t="str">
        <x:v>The Art &amp; Science of Foodpairing</x:v>
      </x:c>
      <x:c r="L127" s="28" t="str">
        <x:v>The Art &amp; Science of Foodpairing: 70</x:v>
      </x:c>
    </x:row>
    <x:row r="128" ht="62" customHeight="1">
      <x:c r="A128" s="28" t="str">
        <x:v>BER-0352</x:v>
      </x:c>
      <x:c r="B128" s="28" t="str">
        <x:v>клубника</x:v>
      </x:c>
      <x:c r="C128" s="28" t="str">
        <x:v>бри</x:v>
      </x:c>
      <x:c r="D128" s="28" t="str">
        <x:v>Молочные продукты и сыры</x:v>
      </x:c>
      <x:c r="E128" s="28" t="str">
        <x:v>сходство ароматических семейств + комплементарность</x:v>
      </x:c>
      <x:c r="F128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2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28" s="28" t="str">
        <x:v>Высокая кислотность может свернуть молочный белок; смешивать при контролируемой температуре.</x:v>
      </x:c>
      <x:c r="I128" s="28" t="str">
        <x:v>сорбет, крем, ганаш, выпечка, джем или соус для десерта; соус, глазировка, салат, сырная подача или горячее блюдо</x:v>
      </x:c>
      <x:c r="J128" s="28" t="str">
        <x:v>Средняя</x:v>
      </x:c>
      <x:c r="K128" s="28" t="str">
        <x:v>The Art &amp; Science of Foodpairing</x:v>
      </x:c>
      <x:c r="L128" s="28" t="str">
        <x:v>The Art &amp; Science of Foodpairing: 336</x:v>
      </x:c>
    </x:row>
    <x:row r="129" ht="62" customHeight="1">
      <x:c r="A129" s="28" t="str">
        <x:v>BER-0356</x:v>
      </x:c>
      <x:c r="B129" s="28" t="str">
        <x:v>клубника</x:v>
      </x:c>
      <x:c r="C129" s="28" t="str">
        <x:v>гвоздика</x:v>
      </x:c>
      <x:c r="D129" s="28" t="str">
        <x:v>Специи</x:v>
      </x:c>
      <x:c r="E129" s="28" t="str">
        <x:v>контраст/комплементарность + матричный эффект</x:v>
      </x:c>
      <x:c r="F12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9" s="28" t="str">
        <x:v>Пряность дозировать как акцент: она быстро перекрывает тонкие ягодные эфиры.</x:v>
      </x:c>
      <x:c r="I12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29" s="28" t="str">
        <x:v>Средняя</x:v>
      </x:c>
      <x:c r="K129" s="28" t="str">
        <x:v>Таблица сочетаний</x:v>
      </x:c>
      <x:c r="L129" s="28" t="str">
        <x:v>Таблица сочетаний: 20</x:v>
      </x:c>
    </x:row>
    <x:row r="130" ht="62" customHeight="1">
      <x:c r="A130" s="28" t="str">
        <x:v>BER-0358</x:v>
      </x:c>
      <x:c r="B130" s="28" t="str">
        <x:v>клубника</x:v>
      </x:c>
      <x:c r="C130" s="28" t="str">
        <x:v>голубой сыр</x:v>
      </x:c>
      <x:c r="D130" s="28" t="str">
        <x:v>Молочные продукты и сыры</x:v>
      </x:c>
      <x:c r="E130" s="28" t="str">
        <x:v>сходство ароматических семейств + комплементарность</x:v>
      </x:c>
      <x:c r="F130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3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30" s="28" t="str">
        <x:v>Высокая кислотность может свернуть молочный белок; смешивать при контролируемой температуре.</x:v>
      </x:c>
      <x:c r="I130" s="28" t="str">
        <x:v>сорбет, крем, ганаш, выпечка, джем или соус для десерта; соус, глазировка, салат, сырная подача или горячее блюдо</x:v>
      </x:c>
      <x:c r="J130" s="28" t="str">
        <x:v>Средняя</x:v>
      </x:c>
      <x:c r="K130" s="28" t="str">
        <x:v>The Art &amp; Science of Foodpairing</x:v>
      </x:c>
      <x:c r="L130" s="28" t="str">
        <x:v>The Art &amp; Science of Foodpairing: 164, 165</x:v>
      </x:c>
    </x:row>
    <x:row r="131" ht="62" customHeight="1">
      <x:c r="A131" s="28" t="str">
        <x:v>BER-0362</x:v>
      </x:c>
      <x:c r="B131" s="28" t="str">
        <x:v>клубника</x:v>
      </x:c>
      <x:c r="C131" s="28" t="str">
        <x:v>грюйер</x:v>
      </x:c>
      <x:c r="D131" s="28" t="str">
        <x:v>Молочные продукты и сыры</x:v>
      </x:c>
      <x:c r="E131" s="28" t="str">
        <x:v>сходство ароматических семейств + комплементарность</x:v>
      </x:c>
      <x:c r="F131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3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31" s="28" t="str">
        <x:v>Высокая кислотность может свернуть молочный белок; смешивать при контролируемой температуре.</x:v>
      </x:c>
      <x:c r="I131" s="28" t="str">
        <x:v>сорбет, крем, ганаш, выпечка, джем или соус для десерта; соус, глазировка, салат, сырная подача или горячее блюдо</x:v>
      </x:c>
      <x:c r="J131" s="28" t="str">
        <x:v>Средняя</x:v>
      </x:c>
      <x:c r="K131" s="28" t="str">
        <x:v>The Art &amp; Science of Foodpairing</x:v>
      </x:c>
      <x:c r="L131" s="28" t="str">
        <x:v>The Art &amp; Science of Foodpairing: 70</x:v>
      </x:c>
    </x:row>
    <x:row r="132" ht="62" customHeight="1">
      <x:c r="A132" s="28" t="str">
        <x:v>BER-0366</x:v>
      </x:c>
      <x:c r="B132" s="28" t="str">
        <x:v>клубника</x:v>
      </x:c>
      <x:c r="C132" s="28" t="str">
        <x:v>жареные телячьи зобные железы</x:v>
      </x:c>
      <x:c r="D132" s="28" t="str">
        <x:v>Мясо и птица</x:v>
      </x:c>
      <x:c r="E132" s="28" t="str">
        <x:v>контраст/комплементарность + матричный эффект</x:v>
      </x:c>
      <x:c r="F13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3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3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2" s="28" t="str">
        <x:v>соус, глазировка, салат, сырная подача или горячее блюдо; маринад, гастрик, чатни, кетчуп или редукция</x:v>
      </x:c>
      <x:c r="J132" s="28" t="str">
        <x:v>Средняя</x:v>
      </x:c>
      <x:c r="K132" s="28" t="str">
        <x:v>The Art &amp; Science of Foodpairing</x:v>
      </x:c>
      <x:c r="L132" s="28" t="str">
        <x:v>The Art &amp; Science of Foodpairing: 70</x:v>
      </x:c>
    </x:row>
    <x:row r="133" ht="62" customHeight="1">
      <x:c r="A133" s="28" t="str">
        <x:v>BER-0368</x:v>
      </x:c>
      <x:c r="B133" s="28" t="str">
        <x:v>клубника</x:v>
      </x:c>
      <x:c r="C133" s="28" t="str">
        <x:v>запечённая морская камбала</x:v>
      </x:c>
      <x:c r="D133" s="28" t="str">
        <x:v>Рыба и морепродукты</x:v>
      </x:c>
      <x:c r="E133" s="28" t="str">
        <x:v>контраст/комплементарность + матричный эффект</x:v>
      </x:c>
      <x:c r="F13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3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3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3" s="28" t="str">
        <x:v>соус, глазировка, салат, сырная подача или горячее блюдо; маринад, гастрик, чатни, кетчуп или редукция</x:v>
      </x:c>
      <x:c r="J133" s="28" t="str">
        <x:v>Средняя</x:v>
      </x:c>
      <x:c r="K133" s="28" t="str">
        <x:v>The Art &amp; Science of Foodpairing</x:v>
      </x:c>
      <x:c r="L133" s="28" t="str">
        <x:v>The Art &amp; Science of Foodpairing: 70</x:v>
      </x:c>
    </x:row>
    <x:row r="134" ht="62" customHeight="1">
      <x:c r="A134" s="28" t="str">
        <x:v>BER-0370</x:v>
      </x:c>
      <x:c r="B134" s="28" t="str">
        <x:v>клубника</x:v>
      </x:c>
      <x:c r="C134" s="28" t="str">
        <x:v>зелёная фасоль</x:v>
      </x:c>
      <x:c r="D134" s="28" t="str">
        <x:v>Овощи и грибы</x:v>
      </x:c>
      <x:c r="E134" s="28" t="str">
        <x:v>сходство ароматических семейств + комплементарность</x:v>
      </x:c>
      <x:c r="F134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3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3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4" s="28" t="str">
        <x:v>соус, глазировка, салат, сырная подача или горячее блюдо; маринад, гастрик, чатни, кетчуп или редукция</x:v>
      </x:c>
      <x:c r="J134" s="28" t="str">
        <x:v>Средняя</x:v>
      </x:c>
      <x:c r="K134" s="28" t="str">
        <x:v>The Art &amp; Science of Foodpairing</x:v>
      </x:c>
      <x:c r="L134" s="28" t="str">
        <x:v>The Art &amp; Science of Foodpairing: 320</x:v>
      </x:c>
    </x:row>
    <x:row r="135" ht="62" customHeight="1">
      <x:c r="A135" s="28" t="str">
        <x:v>BER-0372</x:v>
      </x:c>
      <x:c r="B135" s="28" t="str">
        <x:v>клубника</x:v>
      </x:c>
      <x:c r="C135" s="28" t="str">
        <x:v>имбирь</x:v>
      </x:c>
      <x:c r="D135" s="28" t="str">
        <x:v>Специи</x:v>
      </x:c>
      <x:c r="E135" s="28" t="str">
        <x:v>контраст/комплементарность + матричный эффект</x:v>
      </x:c>
      <x:c r="F13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5" s="28" t="str">
        <x:v>Пряность дозировать как акцент: она быстро перекрывает тонкие ягодные эфиры.</x:v>
      </x:c>
      <x:c r="I13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35" s="28" t="str">
        <x:v>Средняя</x:v>
      </x:c>
      <x:c r="K135" s="28" t="str">
        <x:v>Таблица сочетаний</x:v>
      </x:c>
      <x:c r="L135" s="28" t="str">
        <x:v>Таблица сочетаний: 20</x:v>
      </x:c>
    </x:row>
    <x:row r="136" ht="62" customHeight="1">
      <x:c r="A136" s="28" t="str">
        <x:v>BER-0373</x:v>
      </x:c>
      <x:c r="B136" s="28" t="str">
        <x:v>клубника</x:v>
      </x:c>
      <x:c r="C136" s="28" t="str">
        <x:v>кабачок</x:v>
      </x:c>
      <x:c r="D136" s="28" t="str">
        <x:v>Овощи и грибы</x:v>
      </x:c>
      <x:c r="E136" s="28" t="str">
        <x:v>сходство ароматических семейств + комплементарность</x:v>
      </x:c>
      <x:c r="F136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3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3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6" s="28" t="str">
        <x:v>соус, глазировка, салат, сырная подача или горячее блюдо; маринад, гастрик, чатни, кетчуп или редукция</x:v>
      </x:c>
      <x:c r="J136" s="28" t="str">
        <x:v>Средняя</x:v>
      </x:c>
      <x:c r="K136" s="28" t="str">
        <x:v>The Art &amp; Science of Foodpairing</x:v>
      </x:c>
      <x:c r="L136" s="28" t="str">
        <x:v>The Art &amp; Science of Foodpairing: 70</x:v>
      </x:c>
    </x:row>
    <x:row r="137" ht="62" customHeight="1">
      <x:c r="A137" s="28" t="str">
        <x:v>BER-0375</x:v>
      </x:c>
      <x:c r="B137" s="28" t="str">
        <x:v>клубника</x:v>
      </x:c>
      <x:c r="C137" s="28" t="str">
        <x:v>кардамон</x:v>
      </x:c>
      <x:c r="D137" s="28" t="str">
        <x:v>Специи</x:v>
      </x:c>
      <x:c r="E137" s="28" t="str">
        <x:v>контраст/комплементарность + матричный эффект</x:v>
      </x:c>
      <x:c r="F13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7" s="28" t="str">
        <x:v>Пряность дозировать как акцент: она быстро перекрывает тонкие ягодные эфиры.</x:v>
      </x:c>
      <x:c r="I13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37" s="28" t="str">
        <x:v>Средняя</x:v>
      </x:c>
      <x:c r="K137" s="28" t="str">
        <x:v>The Art &amp; Science of Foodpairing</x:v>
      </x:c>
      <x:c r="L137" s="28" t="str">
        <x:v>The Art &amp; Science of Foodpairing: 257</x:v>
      </x:c>
    </x:row>
    <x:row r="138" ht="62" customHeight="1">
      <x:c r="A138" s="28" t="str">
        <x:v>BER-0382</x:v>
      </x:c>
      <x:c r="B138" s="28" t="str">
        <x:v>клубника</x:v>
      </x:c>
      <x:c r="C138" s="28" t="str">
        <x:v>корица</x:v>
      </x:c>
      <x:c r="D138" s="28" t="str">
        <x:v>Специи</x:v>
      </x:c>
      <x:c r="E138" s="28" t="str">
        <x:v>контраст/комплементарность + матричный эффект</x:v>
      </x:c>
      <x:c r="F13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8" s="28" t="str">
        <x:v>Пряность дозировать как акцент: она быстро перекрывает тонкие ягодные эфиры.</x:v>
      </x:c>
      <x:c r="I13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38" s="28" t="str">
        <x:v>Высокая</x:v>
      </x:c>
      <x:c r="K138" s="28" t="str">
        <x:v>The Art &amp; Science of Foodpairing; Тезариус вкусов</x:v>
      </x:c>
      <x:c r="L138" s="28" t="str">
        <x:v>Тезариус вкусов: 577, 695; The Art &amp; Science of Foodpairing: 131</x:v>
      </x:c>
    </x:row>
    <x:row r="139" ht="62" customHeight="1">
      <x:c r="A139" s="28" t="str">
        <x:v>BER-0394</x:v>
      </x:c>
      <x:c r="B139" s="28" t="str">
        <x:v>клубника</x:v>
      </x:c>
      <x:c r="C139" s="28" t="str">
        <x:v>мелисса</x:v>
      </x:c>
      <x:c r="D139" s="28" t="str">
        <x:v>Травы и цветы</x:v>
      </x:c>
      <x:c r="E139" s="28" t="str">
        <x:v>ароматическое сходство + вкусовой баланс</x:v>
      </x:c>
      <x:c r="F139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39" s="28" t="str">
        <x:v>Средняя</x:v>
      </x:c>
      <x:c r="K139" s="28" t="str">
        <x:v>The Art &amp; Science of Foodpairing</x:v>
      </x:c>
      <x:c r="L139" s="28" t="str">
        <x:v>The Art &amp; Science of Foodpairing: 70</x:v>
      </x:c>
    </x:row>
    <x:row r="140" ht="62" customHeight="1">
      <x:c r="A140" s="28" t="str">
        <x:v>BER-0396</x:v>
      </x:c>
      <x:c r="B140" s="28" t="str">
        <x:v>клубника</x:v>
      </x:c>
      <x:c r="C140" s="28" t="str">
        <x:v>морковь</x:v>
      </x:c>
      <x:c r="D140" s="28" t="str">
        <x:v>Овощи и грибы</x:v>
      </x:c>
      <x:c r="E140" s="28" t="str">
        <x:v>сходство ароматических семейств + комплементарность</x:v>
      </x:c>
      <x:c r="F140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4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4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0" s="28" t="str">
        <x:v>соус, глазировка, салат, сырная подача или горячее блюдо; маринад, гастрик, чатни, кетчуп или редукция</x:v>
      </x:c>
      <x:c r="J140" s="28" t="str">
        <x:v>Средняя</x:v>
      </x:c>
      <x:c r="K140" s="28" t="str">
        <x:v>The Art &amp; Science of Foodpairing</x:v>
      </x:c>
      <x:c r="L140" s="28" t="str">
        <x:v>The Art &amp; Science of Foodpairing: 233</x:v>
      </x:c>
    </x:row>
    <x:row r="141" ht="62" customHeight="1">
      <x:c r="A141" s="28" t="str">
        <x:v>BER-0399</x:v>
      </x:c>
      <x:c r="B141" s="28" t="str">
        <x:v>клубника</x:v>
      </x:c>
      <x:c r="C141" s="28" t="str">
        <x:v>мягкий сыр</x:v>
      </x:c>
      <x:c r="D141" s="28" t="str">
        <x:v>Молочные продукты и сыры</x:v>
      </x:c>
      <x:c r="E141" s="28" t="str">
        <x:v>сходство ароматических семейств + комплементарность</x:v>
      </x:c>
      <x:c r="F141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4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41" s="28" t="str">
        <x:v>Высокая кислотность может свернуть молочный белок; смешивать при контролируемой температуре.</x:v>
      </x:c>
      <x:c r="I141" s="28" t="str">
        <x:v>сорбет, крем, ганаш, выпечка, джем или соус для десерта; соус, глазировка, салат, сырная подача или горячее блюдо</x:v>
      </x:c>
      <x:c r="J141" s="28" t="str">
        <x:v>Высокая</x:v>
      </x:c>
      <x:c r="K141" s="28" t="str">
        <x:v>Тезариус вкусов</x:v>
      </x:c>
      <x:c r="L141" s="28" t="str">
        <x:v>Тезариус вкусов: 185, 696</x:v>
      </x:c>
    </x:row>
    <x:row r="142" ht="62" customHeight="1">
      <x:c r="A142" s="28" t="str">
        <x:v>BER-0400</x:v>
      </x:c>
      <x:c r="B142" s="28" t="str">
        <x:v>клубника</x:v>
      </x:c>
      <x:c r="C142" s="28" t="str">
        <x:v>мясо</x:v>
      </x:c>
      <x:c r="D142" s="28" t="str">
        <x:v>Мясо и птица</x:v>
      </x:c>
      <x:c r="E142" s="28" t="str">
        <x:v>контраст/комплементарность + матричный эффект</x:v>
      </x:c>
      <x:c r="F14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4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4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2" s="28" t="str">
        <x:v>соус, глазировка, салат, сырная подача или горячее блюдо; маринад, гастрик, чатни, кетчуп или редукция</x:v>
      </x:c>
      <x:c r="J142" s="28" t="str">
        <x:v>Средняя</x:v>
      </x:c>
      <x:c r="K142" s="28" t="str">
        <x:v>The Art &amp; Science of Foodpairing</x:v>
      </x:c>
      <x:c r="L142" s="28" t="str">
        <x:v>The Art &amp; Science of Foodpairing: 188, 189</x:v>
      </x:c>
    </x:row>
    <x:row r="143" ht="62" customHeight="1">
      <x:c r="A143" s="28" t="str">
        <x:v>BER-0401</x:v>
      </x:c>
      <x:c r="B143" s="28" t="str">
        <x:v>клубника</x:v>
      </x:c>
      <x:c r="C143" s="28" t="str">
        <x:v>мята</x:v>
      </x:c>
      <x:c r="D143" s="28" t="str">
        <x:v>Травы и цветы</x:v>
      </x:c>
      <x:c r="E143" s="28" t="str">
        <x:v>ароматическое сходство + вкусовой баланс</x:v>
      </x:c>
      <x:c r="F143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3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43" s="28" t="str">
        <x:v>Высокая</x:v>
      </x:c>
      <x:c r="K143" s="28" t="str">
        <x:v>Таблица сочетаний; Тезариус вкусов</x:v>
      </x:c>
      <x:c r="L143" s="28" t="str">
        <x:v>Тезариус вкусов: 697, 868; Таблица сочетаний: 13, 20</x:v>
      </x:c>
    </x:row>
    <x:row r="144" ht="62" customHeight="1">
      <x:c r="A144" s="28" t="str">
        <x:v>BER-0402</x:v>
      </x:c>
      <x:c r="B144" s="28" t="str">
        <x:v>клубника</x:v>
      </x:c>
      <x:c r="C144" s="28" t="str">
        <x:v>на гриле turbot</x:v>
      </x:c>
      <x:c r="D144" s="28" t="str">
        <x:v>Рыба и морепродукты</x:v>
      </x:c>
      <x:c r="E144" s="28" t="str">
        <x:v>контраст/комплементарность + матричный эффект</x:v>
      </x:c>
      <x:c r="F14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4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4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4" s="28" t="str">
        <x:v>соус, глазировка, салат, сырная подача или горячее блюдо; маринад, гастрик, чатни, кетчуп или редукция</x:v>
      </x:c>
      <x:c r="J144" s="28" t="str">
        <x:v>Средняя</x:v>
      </x:c>
      <x:c r="K144" s="28" t="str">
        <x:v>The Art &amp; Science of Foodpairing</x:v>
      </x:c>
      <x:c r="L144" s="28" t="str">
        <x:v>The Art &amp; Science of Foodpairing: 71</x:v>
      </x:c>
    </x:row>
    <x:row r="145" ht="62" customHeight="1">
      <x:c r="A145" s="28" t="str">
        <x:v>BER-0404</x:v>
      </x:c>
      <x:c r="B145" s="28" t="str">
        <x:v>клубника</x:v>
      </x:c>
      <x:c r="C145" s="28" t="str">
        <x:v>обжаренный chicken breast fillet</x:v>
      </x:c>
      <x:c r="D145" s="28" t="str">
        <x:v>Мясо и птица</x:v>
      </x:c>
      <x:c r="E145" s="28" t="str">
        <x:v>контраст/комплементарность + матричный эффект</x:v>
      </x:c>
      <x:c r="F14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4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4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5" s="28" t="str">
        <x:v>соус, глазировка, салат, сырная подача или горячее блюдо; маринад, гастрик, чатни, кетчуп или редукция</x:v>
      </x:c>
      <x:c r="J145" s="28" t="str">
        <x:v>Средняя</x:v>
      </x:c>
      <x:c r="K145" s="28" t="str">
        <x:v>The Art &amp; Science of Foodpairing</x:v>
      </x:c>
      <x:c r="L145" s="28" t="str">
        <x:v>The Art &amp; Science of Foodpairing: 70</x:v>
      </x:c>
    </x:row>
    <x:row r="146" ht="62" customHeight="1">
      <x:c r="A146" s="28" t="str">
        <x:v>BER-0406</x:v>
      </x:c>
      <x:c r="B146" s="28" t="str">
        <x:v>клубника</x:v>
      </x:c>
      <x:c r="C146" s="28" t="str">
        <x:v>обжаренный pheasant</x:v>
      </x:c>
      <x:c r="D146" s="28" t="str">
        <x:v>Мясо и птица</x:v>
      </x:c>
      <x:c r="E146" s="28" t="str">
        <x:v>контраст/комплементарность + матричный эффект</x:v>
      </x:c>
      <x:c r="F14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4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4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6" s="28" t="str">
        <x:v>соус, глазировка, салат, сырная подача или горячее блюдо; маринад, гастрик, чатни, кетчуп или редукция</x:v>
      </x:c>
      <x:c r="J146" s="28" t="str">
        <x:v>Средняя</x:v>
      </x:c>
      <x:c r="K146" s="28" t="str">
        <x:v>The Art &amp; Science of Foodpairing</x:v>
      </x:c>
      <x:c r="L146" s="28" t="str">
        <x:v>The Art &amp; Science of Foodpairing: 70</x:v>
      </x:c>
    </x:row>
    <x:row r="147" ht="62" customHeight="1">
      <x:c r="A147" s="28" t="str">
        <x:v>BER-0407</x:v>
      </x:c>
      <x:c r="B147" s="28" t="str">
        <x:v>клубника</x:v>
      </x:c>
      <x:c r="C147" s="28" t="str">
        <x:v>обжаренный venison</x:v>
      </x:c>
      <x:c r="D147" s="28" t="str">
        <x:v>Мясо и птица</x:v>
      </x:c>
      <x:c r="E147" s="28" t="str">
        <x:v>контраст/комплементарность + матричный эффект</x:v>
      </x:c>
      <x:c r="F14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4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4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7" s="28" t="str">
        <x:v>соус, глазировка, салат, сырная подача или горячее блюдо; маринад, гастрик, чатни, кетчуп или редукция</x:v>
      </x:c>
      <x:c r="J147" s="28" t="str">
        <x:v>Средняя</x:v>
      </x:c>
      <x:c r="K147" s="28" t="str">
        <x:v>The Art &amp; Science of Foodpairing</x:v>
      </x:c>
      <x:c r="L147" s="28" t="str">
        <x:v>The Art &amp; Science of Foodpairing: 70</x:v>
      </x:c>
    </x:row>
    <x:row r="148" ht="62" customHeight="1">
      <x:c r="A148" s="28" t="str">
        <x:v>BER-0408</x:v>
      </x:c>
      <x:c r="B148" s="28" t="str">
        <x:v>клубника</x:v>
      </x:c>
      <x:c r="C148" s="28" t="str">
        <x:v>огурец</x:v>
      </x:c>
      <x:c r="D148" s="28" t="str">
        <x:v>Овощи и грибы</x:v>
      </x:c>
      <x:c r="E148" s="28" t="str">
        <x:v>сходство ароматических семейств + комплементарность</x:v>
      </x:c>
      <x:c r="F148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4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4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8" s="28" t="str">
        <x:v>соус, глазировка, салат, сырная подача или горячее блюдо; маринад, гастрик, чатни, кетчуп или редукция</x:v>
      </x:c>
      <x:c r="J148" s="28" t="str">
        <x:v>Средняя</x:v>
      </x:c>
      <x:c r="K148" s="28" t="str">
        <x:v>Таблица сочетаний</x:v>
      </x:c>
      <x:c r="L148" s="28" t="str">
        <x:v>Таблица сочетаний: 6</x:v>
      </x:c>
    </x:row>
    <x:row r="149" ht="62" customHeight="1">
      <x:c r="A149" s="28" t="str">
        <x:v>BER-0409</x:v>
      </x:c>
      <x:c r="B149" s="28" t="str">
        <x:v>клубника</x:v>
      </x:c>
      <x:c r="C149" s="28" t="str">
        <x:v>огурцы</x:v>
      </x:c>
      <x:c r="D149" s="28" t="str">
        <x:v>Овощи и грибы</x:v>
      </x:c>
      <x:c r="E149" s="28" t="str">
        <x:v>сходство ароматических семейств + комплементарность</x:v>
      </x:c>
      <x:c r="F149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4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4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9" s="28" t="str">
        <x:v>соус, глазировка, салат, сырная подача или горячее блюдо; маринад, гастрик, чатни, кетчуп или редукция</x:v>
      </x:c>
      <x:c r="J149" s="28" t="str">
        <x:v>Высокая</x:v>
      </x:c>
      <x:c r="K149" s="28" t="str">
        <x:v>Тезариус вкусов</x:v>
      </x:c>
      <x:c r="L149" s="28" t="str">
        <x:v>Тезариус вкусов: 492, 697</x:v>
      </x:c>
    </x:row>
    <x:row r="150" ht="62" customHeight="1">
      <x:c r="A150" s="28" t="str">
        <x:v>BER-0410</x:v>
      </x:c>
      <x:c r="B150" s="28" t="str">
        <x:v>клубника</x:v>
      </x:c>
      <x:c r="C150" s="28" t="str">
        <x:v>оливковое масло Cornicabra</x:v>
      </x:c>
      <x:c r="D150" s="28" t="str">
        <x:v>Молочные продукты и сыры</x:v>
      </x:c>
      <x:c r="E150" s="28" t="str">
        <x:v>сходство ароматических семейств + комплементарность</x:v>
      </x:c>
      <x:c r="F150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5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50" s="28" t="str">
        <x:v>Высокая кислотность может свернуть молочный белок; смешивать при контролируемой температуре.</x:v>
      </x:c>
      <x:c r="I150" s="28" t="str">
        <x:v>сорбет, крем, ганаш, выпечка, джем или соус для десерта; соус, глазировка, салат, сырная подача или горячее блюдо</x:v>
      </x:c>
      <x:c r="J150" s="28" t="str">
        <x:v>Средняя</x:v>
      </x:c>
      <x:c r="K150" s="28" t="str">
        <x:v>The Art &amp; Science of Foodpairing</x:v>
      </x:c>
      <x:c r="L150" s="28" t="str">
        <x:v>The Art &amp; Science of Foodpairing: 70</x:v>
      </x:c>
    </x:row>
    <x:row r="151" ht="62" customHeight="1">
      <x:c r="A151" s="28" t="str">
        <x:v>BER-0411</x:v>
      </x:c>
      <x:c r="B151" s="28" t="str">
        <x:v>клубника</x:v>
      </x:c>
      <x:c r="C151" s="28" t="str">
        <x:v>оливковое масло Picholine</x:v>
      </x:c>
      <x:c r="D151" s="28" t="str">
        <x:v>Молочные продукты и сыры</x:v>
      </x:c>
      <x:c r="E151" s="28" t="str">
        <x:v>сходство ароматических семейств + комплементарность</x:v>
      </x:c>
      <x:c r="F151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5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51" s="28" t="str">
        <x:v>Высокая кислотность может свернуть молочный белок; смешивать при контролируемой температуре.</x:v>
      </x:c>
      <x:c r="I151" s="28" t="str">
        <x:v>сорбет, крем, ганаш, выпечка, джем или соус для десерта; соус, глазировка, салат, сырная подача или горячее блюдо</x:v>
      </x:c>
      <x:c r="J151" s="28" t="str">
        <x:v>Средняя</x:v>
      </x:c>
      <x:c r="K151" s="28" t="str">
        <x:v>The Art &amp; Science of Foodpairing</x:v>
      </x:c>
      <x:c r="L151" s="28" t="str">
        <x:v>The Art &amp; Science of Foodpairing: 70</x:v>
      </x:c>
    </x:row>
    <x:row r="152" ht="62" customHeight="1">
      <x:c r="A152" s="28" t="str">
        <x:v>BER-0412</x:v>
      </x:c>
      <x:c r="B152" s="28" t="str">
        <x:v>клубника</x:v>
      </x:c>
      <x:c r="C152" s="28" t="str">
        <x:v>оливковое масло Picual</x:v>
      </x:c>
      <x:c r="D152" s="28" t="str">
        <x:v>Молочные продукты и сыры</x:v>
      </x:c>
      <x:c r="E152" s="28" t="str">
        <x:v>сходство ароматических семейств + комплементарность</x:v>
      </x:c>
      <x:c r="F152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5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52" s="28" t="str">
        <x:v>Высокая кислотность может свернуть молочный белок; смешивать при контролируемой температуре.</x:v>
      </x:c>
      <x:c r="I152" s="28" t="str">
        <x:v>сорбет, крем, ганаш, выпечка, джем или соус для десерта; соус, глазировка, салат, сырная подача или горячее блюдо</x:v>
      </x:c>
      <x:c r="J152" s="28" t="str">
        <x:v>Средняя</x:v>
      </x:c>
      <x:c r="K152" s="28" t="str">
        <x:v>The Art &amp; Science of Foodpairing</x:v>
      </x:c>
      <x:c r="L152" s="28" t="str">
        <x:v>The Art &amp; Science of Foodpairing: 70</x:v>
      </x:c>
    </x:row>
    <x:row r="153" ht="62" customHeight="1">
      <x:c r="A153" s="28" t="str">
        <x:v>BER-0416</x:v>
      </x:c>
      <x:c r="B153" s="28" t="str">
        <x:v>клубника</x:v>
      </x:c>
      <x:c r="C153" s="28" t="str">
        <x:v>пастеризованный томатный сок</x:v>
      </x:c>
      <x:c r="D153" s="28" t="str">
        <x:v>Овощи и грибы</x:v>
      </x:c>
      <x:c r="E153" s="28" t="str">
        <x:v>сходство ароматических семейств + комплементарность</x:v>
      </x:c>
      <x:c r="F153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5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5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3" s="28" t="str">
        <x:v>соус, глазировка, салат, сырная подача или горячее блюдо; маринад, гастрик, чатни, кетчуп или редукция</x:v>
      </x:c>
      <x:c r="J153" s="28" t="str">
        <x:v>Средняя</x:v>
      </x:c>
      <x:c r="K153" s="28" t="str">
        <x:v>The Art &amp; Science of Foodpairing</x:v>
      </x:c>
      <x:c r="L153" s="28" t="str">
        <x:v>The Art &amp; Science of Foodpairing: 70</x:v>
      </x:c>
    </x:row>
    <x:row r="154" ht="62" customHeight="1">
      <x:c r="A154" s="28" t="str">
        <x:v>BER-0417</x:v>
      </x:c>
      <x:c r="B154" s="28" t="str">
        <x:v>клубника</x:v>
      </x:c>
      <x:c r="C154" s="28" t="str">
        <x:v>перец</x:v>
      </x:c>
      <x:c r="D154" s="28" t="str">
        <x:v>Специи</x:v>
      </x:c>
      <x:c r="E154" s="28" t="str">
        <x:v>контраст/комплементарность + матричный эффект</x:v>
      </x:c>
      <x:c r="F15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4" s="28" t="str">
        <x:v>Пряность дозировать как акцент: она быстро перекрывает тонкие ягодные эфиры.</x:v>
      </x:c>
      <x:c r="I15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54" s="28" t="str">
        <x:v>Средняя</x:v>
      </x:c>
      <x:c r="K154" s="28" t="str">
        <x:v>Таблица сочетаний</x:v>
      </x:c>
      <x:c r="L154" s="28" t="str">
        <x:v>Таблица сочетаний: 16</x:v>
      </x:c>
    </x:row>
    <x:row r="155" ht="62" customHeight="1">
      <x:c r="A155" s="28" t="str">
        <x:v>BER-0418</x:v>
      </x:c>
      <x:c r="B155" s="28" t="str">
        <x:v>клубника</x:v>
      </x:c>
      <x:c r="C155" s="28" t="str">
        <x:v>перец чили</x:v>
      </x:c>
      <x:c r="D155" s="28" t="str">
        <x:v>Специи</x:v>
      </x:c>
      <x:c r="E155" s="28" t="str">
        <x:v>контраст/комплементарность + матричный эффект</x:v>
      </x:c>
      <x:c r="F15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5" s="28" t="str">
        <x:v>Пряность дозировать как акцент: она быстро перекрывает тонкие ягодные эфиры.</x:v>
      </x:c>
      <x:c r="I15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55" s="28" t="str">
        <x:v>Средняя</x:v>
      </x:c>
      <x:c r="K155" s="28" t="str">
        <x:v>The Art &amp; Science of Foodpairing</x:v>
      </x:c>
      <x:c r="L155" s="28" t="str">
        <x:v>The Art &amp; Science of Foodpairing: 94</x:v>
      </x:c>
    </x:row>
    <x:row r="156" ht="62" customHeight="1">
      <x:c r="A156" s="28" t="str">
        <x:v>BER-0420</x:v>
      </x:c>
      <x:c r="B156" s="28" t="str">
        <x:v>клубника</x:v>
      </x:c>
      <x:c r="C156" s="28" t="str">
        <x:v>петрушка</x:v>
      </x:c>
      <x:c r="D156" s="28" t="str">
        <x:v>Травы и цветы</x:v>
      </x:c>
      <x:c r="E156" s="28" t="str">
        <x:v>ароматическое сходство + вкусовой баланс</x:v>
      </x:c>
      <x:c r="F156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56" s="28" t="str">
        <x:v>Средняя</x:v>
      </x:c>
      <x:c r="K156" s="28" t="str">
        <x:v>Таблица сочетаний</x:v>
      </x:c>
      <x:c r="L156" s="28" t="str">
        <x:v>Таблица сочетаний: 15</x:v>
      </x:c>
    </x:row>
    <x:row r="157" ht="62" customHeight="1">
      <x:c r="A157" s="28" t="str">
        <x:v>BER-0423</x:v>
      </x:c>
      <x:c r="B157" s="28" t="str">
        <x:v>клубника</x:v>
      </x:c>
      <x:c r="C157" s="28" t="str">
        <x:v>приготовленные моллюски</x:v>
      </x:c>
      <x:c r="D157" s="28" t="str">
        <x:v>Рыба и морепродукты</x:v>
      </x:c>
      <x:c r="E157" s="28" t="str">
        <x:v>контраст/комплементарность + матричный эффект</x:v>
      </x:c>
      <x:c r="F15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5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5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7" s="28" t="str">
        <x:v>соус, глазировка, салат, сырная подача или горячее блюдо; маринад, гастрик, чатни, кетчуп или редукция</x:v>
      </x:c>
      <x:c r="J157" s="28" t="str">
        <x:v>Средняя</x:v>
      </x:c>
      <x:c r="K157" s="28" t="str">
        <x:v>The Art &amp; Science of Foodpairing</x:v>
      </x:c>
      <x:c r="L157" s="28" t="str">
        <x:v>The Art &amp; Science of Foodpairing: 70</x:v>
      </x:c>
    </x:row>
    <x:row r="158" ht="62" customHeight="1">
      <x:c r="A158" s="28" t="str">
        <x:v>BER-0425</x:v>
      </x:c>
      <x:c r="B158" s="28" t="str">
        <x:v>клубника</x:v>
      </x:c>
      <x:c r="C158" s="28" t="str">
        <x:v>припущенная кефаль</x:v>
      </x:c>
      <x:c r="D158" s="28" t="str">
        <x:v>Рыба и морепродукты</x:v>
      </x:c>
      <x:c r="E158" s="28" t="str">
        <x:v>контраст/комплементарность + матричный эффект</x:v>
      </x:c>
      <x:c r="F15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5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5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8" s="28" t="str">
        <x:v>соус, глазировка, салат, сырная подача или горячее блюдо; маринад, гастрик, чатни, кетчуп или редукция</x:v>
      </x:c>
      <x:c r="J158" s="28" t="str">
        <x:v>Средняя</x:v>
      </x:c>
      <x:c r="K158" s="28" t="str">
        <x:v>The Art &amp; Science of Foodpairing</x:v>
      </x:c>
      <x:c r="L158" s="28" t="str">
        <x:v>The Art &amp; Science of Foodpairing: 70</x:v>
      </x:c>
    </x:row>
    <x:row r="159" ht="62" customHeight="1">
      <x:c r="A159" s="28" t="str">
        <x:v>BER-0430</x:v>
      </x:c>
      <x:c r="B159" s="28" t="str">
        <x:v>клубника</x:v>
      </x:c>
      <x:c r="C159" s="28" t="str">
        <x:v>редис</x:v>
      </x:c>
      <x:c r="D159" s="28" t="str">
        <x:v>Овощи и грибы</x:v>
      </x:c>
      <x:c r="E159" s="28" t="str">
        <x:v>сходство ароматических семейств + комплементарность</x:v>
      </x:c>
      <x:c r="F159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5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5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9" s="28" t="str">
        <x:v>соус, глазировка, салат, сырная подача или горячее блюдо; маринад, гастрик, чатни, кетчуп или редукция</x:v>
      </x:c>
      <x:c r="J159" s="28" t="str">
        <x:v>Средняя</x:v>
      </x:c>
      <x:c r="K159" s="28" t="str">
        <x:v>The Art &amp; Science of Foodpairing</x:v>
      </x:c>
      <x:c r="L159" s="28" t="str">
        <x:v>The Art &amp; Science of Foodpairing: 70</x:v>
      </x:c>
    </x:row>
    <x:row r="160" ht="62" customHeight="1">
      <x:c r="A160" s="28" t="str">
        <x:v>BER-0431</x:v>
      </x:c>
      <x:c r="B160" s="28" t="str">
        <x:v>клубника</x:v>
      </x:c>
      <x:c r="C160" s="28" t="str">
        <x:v>репа</x:v>
      </x:c>
      <x:c r="D160" s="28" t="str">
        <x:v>Овощи и грибы</x:v>
      </x:c>
      <x:c r="E160" s="28" t="str">
        <x:v>сходство ароматических семейств + комплементарность</x:v>
      </x:c>
      <x:c r="F160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6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6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0" s="28" t="str">
        <x:v>соус, глазировка, салат, сырная подача или горячее блюдо; маринад, гастрик, чатни, кетчуп или редукция</x:v>
      </x:c>
      <x:c r="J160" s="28" t="str">
        <x:v>Средняя</x:v>
      </x:c>
      <x:c r="K160" s="28" t="str">
        <x:v>The Art &amp; Science of Foodpairing</x:v>
      </x:c>
      <x:c r="L160" s="28" t="str">
        <x:v>The Art &amp; Science of Foodpairing: 70</x:v>
      </x:c>
    </x:row>
    <x:row r="161" ht="62" customHeight="1">
      <x:c r="A161" s="28" t="str">
        <x:v>BER-0432</x:v>
      </x:c>
      <x:c r="B161" s="28" t="str">
        <x:v>клубника</x:v>
      </x:c>
      <x:c r="C161" s="28" t="str">
        <x:v>роза</x:v>
      </x:c>
      <x:c r="D161" s="28" t="str">
        <x:v>Травы и цветы</x:v>
      </x:c>
      <x:c r="E161" s="28" t="str">
        <x:v>ароматическое сходство + вкусовой баланс</x:v>
      </x:c>
      <x:c r="F161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61" s="28" t="str">
        <x:v>Средняя</x:v>
      </x:c>
      <x:c r="K161" s="28" t="str">
        <x:v>Таблица сочетаний</x:v>
      </x:c>
      <x:c r="L161" s="28" t="str">
        <x:v>Таблица сочетаний: 19</x:v>
      </x:c>
    </x:row>
    <x:row r="162" ht="62" customHeight="1">
      <x:c r="A162" s="28" t="str">
        <x:v>BER-0433</x:v>
      </x:c>
      <x:c r="B162" s="28" t="str">
        <x:v>клубника</x:v>
      </x:c>
      <x:c r="C162" s="28" t="str">
        <x:v>розмарин</x:v>
      </x:c>
      <x:c r="D162" s="28" t="str">
        <x:v>Травы и цветы</x:v>
      </x:c>
      <x:c r="E162" s="28" t="str">
        <x:v>ароматическое сходство + вкусовой баланс</x:v>
      </x:c>
      <x:c r="F162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62" s="28" t="str">
        <x:v>Средняя</x:v>
      </x:c>
      <x:c r="K162" s="28" t="str">
        <x:v>Таблица сочетаний</x:v>
      </x:c>
      <x:c r="L162" s="28" t="str">
        <x:v>Таблица сочетаний: 20</x:v>
      </x:c>
    </x:row>
    <x:row r="163" ht="62" customHeight="1">
      <x:c r="A163" s="28" t="str">
        <x:v>BER-0434</x:v>
      </x:c>
      <x:c r="B163" s="28" t="str">
        <x:v>клубника</x:v>
      </x:c>
      <x:c r="C163" s="28" t="str">
        <x:v>свежие съедобные лепестки розы</x:v>
      </x:c>
      <x:c r="D163" s="28" t="str">
        <x:v>Травы и цветы</x:v>
      </x:c>
      <x:c r="E163" s="28" t="str">
        <x:v>ароматическое сходство + вкусовой баланс</x:v>
      </x:c>
      <x:c r="F163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3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63" s="28" t="str">
        <x:v>Средняя</x:v>
      </x:c>
      <x:c r="K163" s="28" t="str">
        <x:v>The Art &amp; Science of Foodpairing</x:v>
      </x:c>
      <x:c r="L163" s="28" t="str">
        <x:v>The Art &amp; Science of Foodpairing: 70</x:v>
      </x:c>
    </x:row>
    <x:row r="164" ht="62" customHeight="1">
      <x:c r="A164" s="28" t="str">
        <x:v>BER-0435</x:v>
      </x:c>
      <x:c r="B164" s="28" t="str">
        <x:v>клубника</x:v>
      </x:c>
      <x:c r="C164" s="28" t="str">
        <x:v>свежий корень имбиря</x:v>
      </x:c>
      <x:c r="D164" s="28" t="str">
        <x:v>Специи</x:v>
      </x:c>
      <x:c r="E164" s="28" t="str">
        <x:v>контраст/комплементарность + матричный эффект</x:v>
      </x:c>
      <x:c r="F16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4" s="28" t="str">
        <x:v>Пряность дозировать как акцент: она быстро перекрывает тонкие ягодные эфиры.</x:v>
      </x:c>
      <x:c r="I16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64" s="28" t="str">
        <x:v>Средняя</x:v>
      </x:c>
      <x:c r="K164" s="28" t="str">
        <x:v>The Art &amp; Science of Foodpairing</x:v>
      </x:c>
      <x:c r="L164" s="28" t="str">
        <x:v>The Art &amp; Science of Foodpairing: 70</x:v>
      </x:c>
    </x:row>
    <x:row r="165" ht="62" customHeight="1">
      <x:c r="A165" s="28" t="str">
        <x:v>BER-0436</x:v>
      </x:c>
      <x:c r="B165" s="28" t="str">
        <x:v>клубника</x:v>
      </x:c>
      <x:c r="C165" s="28" t="str">
        <x:v>свёкла</x:v>
      </x:c>
      <x:c r="D165" s="28" t="str">
        <x:v>Овощи и грибы</x:v>
      </x:c>
      <x:c r="E165" s="28" t="str">
        <x:v>сходство ароматических семейств + комплементарность</x:v>
      </x:c>
      <x:c r="F165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6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6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5" s="28" t="str">
        <x:v>соус, глазировка, салат, сырная подача или горячее блюдо; маринад, гастрик, чатни, кетчуп или редукция</x:v>
      </x:c>
      <x:c r="J165" s="28" t="str">
        <x:v>Средняя</x:v>
      </x:c>
      <x:c r="K165" s="28" t="str">
        <x:v>The Art &amp; Science of Foodpairing</x:v>
      </x:c>
      <x:c r="L165" s="28" t="str">
        <x:v>The Art &amp; Science of Foodpairing: 71, 225</x:v>
      </x:c>
    </x:row>
    <x:row r="166" ht="62" customHeight="1">
      <x:c r="A166" s="28" t="str">
        <x:v>BER-0437</x:v>
      </x:c>
      <x:c r="B166" s="28" t="str">
        <x:v>клубника</x:v>
      </x:c>
      <x:c r="C166" s="28" t="str">
        <x:v>семена кардамона</x:v>
      </x:c>
      <x:c r="D166" s="28" t="str">
        <x:v>Специи</x:v>
      </x:c>
      <x:c r="E166" s="28" t="str">
        <x:v>контраст/комплементарность + матричный эффект</x:v>
      </x:c>
      <x:c r="F16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6" s="28" t="str">
        <x:v>Пряность дозировать как акцент: она быстро перекрывает тонкие ягодные эфиры.</x:v>
      </x:c>
      <x:c r="I16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66" s="28" t="str">
        <x:v>Средняя</x:v>
      </x:c>
      <x:c r="K166" s="28" t="str">
        <x:v>The Art &amp; Science of Foodpairing</x:v>
      </x:c>
      <x:c r="L166" s="28" t="str">
        <x:v>The Art &amp; Science of Foodpairing: 71</x:v>
      </x:c>
    </x:row>
    <x:row r="167" ht="62" customHeight="1">
      <x:c r="A167" s="28" t="str">
        <x:v>BER-0445</x:v>
      </x:c>
      <x:c r="B167" s="28" t="str">
        <x:v>клубника</x:v>
      </x:c>
      <x:c r="C167" s="28" t="str">
        <x:v>тимьян</x:v>
      </x:c>
      <x:c r="D167" s="28" t="str">
        <x:v>Травы и цветы</x:v>
      </x:c>
      <x:c r="E167" s="28" t="str">
        <x:v>ароматическое сходство + вкусовой баланс</x:v>
      </x:c>
      <x:c r="F167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67" s="28" t="str">
        <x:v>Средняя</x:v>
      </x:c>
      <x:c r="K167" s="28" t="str">
        <x:v>Таблица сочетаний</x:v>
      </x:c>
      <x:c r="L167" s="28" t="str">
        <x:v>Таблица сочетаний: 20</x:v>
      </x:c>
    </x:row>
    <x:row r="168" ht="62" customHeight="1">
      <x:c r="A168" s="28" t="str">
        <x:v>BER-0446</x:v>
      </x:c>
      <x:c r="B168" s="28" t="str">
        <x:v>клубника</x:v>
      </x:c>
      <x:c r="C168" s="28" t="str">
        <x:v>томат</x:v>
      </x:c>
      <x:c r="D168" s="28" t="str">
        <x:v>Овощи и грибы</x:v>
      </x:c>
      <x:c r="E168" s="28" t="str">
        <x:v>сходство ароматических семейств + комплементарность</x:v>
      </x:c>
      <x:c r="F168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6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6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8" s="28" t="str">
        <x:v>соус, глазировка, салат, сырная подача или горячее блюдо; маринад, гастрик, чатни, кетчуп или редукция</x:v>
      </x:c>
      <x:c r="J168" s="28" t="str">
        <x:v>Высокая</x:v>
      </x:c>
      <x:c r="K168" s="28" t="str">
        <x:v>The Art &amp; Science of Foodpairing; Таблица сочетаний</x:v>
      </x:c>
      <x:c r="L168" s="28" t="str">
        <x:v>The Art &amp; Science of Foodpairing: 70; Таблица сочетаний: 21</x:v>
      </x:c>
    </x:row>
    <x:row r="169" ht="62" customHeight="1">
      <x:c r="A169" s="28" t="str">
        <x:v>BER-0447</x:v>
      </x:c>
      <x:c r="B169" s="28" t="str">
        <x:v>клубника</x:v>
      </x:c>
      <x:c r="C169" s="28" t="str">
        <x:v>томаты</x:v>
      </x:c>
      <x:c r="D169" s="28" t="str">
        <x:v>Овощи и грибы</x:v>
      </x:c>
      <x:c r="E169" s="28" t="str">
        <x:v>сходство ароматических семейств + комплементарность</x:v>
      </x:c>
      <x:c r="F169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6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6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9" s="28" t="str">
        <x:v>соус, глазировка, салат, сырная подача или горячее блюдо; маринад, гастрик, чатни, кетчуп или редукция</x:v>
      </x:c>
      <x:c r="J169" s="28" t="str">
        <x:v>Высокая</x:v>
      </x:c>
      <x:c r="K169" s="28" t="str">
        <x:v>Тезариус вкусов</x:v>
      </x:c>
      <x:c r="L169" s="28" t="str">
        <x:v>Тезариус вкусов: 686, 698</x:v>
      </x:c>
    </x:row>
    <x:row r="170" ht="62" customHeight="1">
      <x:c r="A170" s="28" t="str">
        <x:v>BER-0448</x:v>
      </x:c>
      <x:c r="B170" s="28" t="str">
        <x:v>клубника</x:v>
      </x:c>
      <x:c r="C170" s="28" t="str">
        <x:v>тыква</x:v>
      </x:c>
      <x:c r="D170" s="28" t="str">
        <x:v>Овощи и грибы</x:v>
      </x:c>
      <x:c r="E170" s="28" t="str">
        <x:v>сходство ароматических семейств + комплементарность</x:v>
      </x:c>
      <x:c r="F170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7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7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0" s="28" t="str">
        <x:v>соус, глазировка, салат, сырная подача или горячее блюдо; маринад, гастрик, чатни, кетчуп или редукция</x:v>
      </x:c>
      <x:c r="J170" s="28" t="str">
        <x:v>Средняя</x:v>
      </x:c>
      <x:c r="K170" s="28" t="str">
        <x:v>Таблица сочетаний</x:v>
      </x:c>
      <x:c r="L170" s="28" t="str">
        <x:v>Таблица сочетаний: 18</x:v>
      </x:c>
    </x:row>
    <x:row r="171" ht="62" customHeight="1">
      <x:c r="A171" s="28" t="str">
        <x:v>BER-0451</x:v>
      </x:c>
      <x:c r="B171" s="28" t="str">
        <x:v>клубника</x:v>
      </x:c>
      <x:c r="C171" s="28" t="str">
        <x:v>цветы жасмина</x:v>
      </x:c>
      <x:c r="D171" s="28" t="str">
        <x:v>Травы и цветы</x:v>
      </x:c>
      <x:c r="E171" s="28" t="str">
        <x:v>ароматическое сходство + вкусовой баланс</x:v>
      </x:c>
      <x:c r="F171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71" s="28" t="str">
        <x:v>Средняя</x:v>
      </x:c>
      <x:c r="K171" s="28" t="str">
        <x:v>The Art &amp; Science of Foodpairing</x:v>
      </x:c>
      <x:c r="L171" s="28" t="str">
        <x:v>The Art &amp; Science of Foodpairing: 210</x:v>
      </x:c>
    </x:row>
    <x:row r="172" ht="62" customHeight="1">
      <x:c r="A172" s="28" t="str">
        <x:v>BER-0452</x:v>
      </x:c>
      <x:c r="B172" s="28" t="str">
        <x:v>клубника</x:v>
      </x:c>
      <x:c r="C172" s="28" t="str">
        <x:v>цветы фиалки</x:v>
      </x:c>
      <x:c r="D172" s="28" t="str">
        <x:v>Травы и цветы</x:v>
      </x:c>
      <x:c r="E172" s="28" t="str">
        <x:v>ароматическое сходство + вкусовой баланс</x:v>
      </x:c>
      <x:c r="F172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72" s="28" t="str">
        <x:v>Средняя</x:v>
      </x:c>
      <x:c r="K172" s="28" t="str">
        <x:v>The Art &amp; Science of Foodpairing</x:v>
      </x:c>
      <x:c r="L172" s="28" t="str">
        <x:v>The Art &amp; Science of Foodpairing: 70</x:v>
      </x:c>
    </x:row>
    <x:row r="173" ht="62" customHeight="1">
      <x:c r="A173" s="28" t="str">
        <x:v>BER-0457</x:v>
      </x:c>
      <x:c r="B173" s="28" t="str">
        <x:v>клубника</x:v>
      </x:c>
      <x:c r="C173" s="28" t="str">
        <x:v>чёрный перец</x:v>
      </x:c>
      <x:c r="D173" s="28" t="str">
        <x:v>Специи</x:v>
      </x:c>
      <x:c r="E173" s="28" t="str">
        <x:v>контраст/комплементарность + матричный эффект</x:v>
      </x:c>
      <x:c r="F17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3" s="28" t="str">
        <x:v>Пряность дозировать как акцент: она быстро перекрывает тонкие ягодные эфиры.</x:v>
      </x:c>
      <x:c r="I17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73" s="28" t="str">
        <x:v>Высокая</x:v>
      </x:c>
      <x:c r="K173" s="28" t="str">
        <x:v>The Art &amp; Science of Foodpairing; Таблица сочетаний</x:v>
      </x:c>
      <x:c r="L173" s="28" t="str">
        <x:v>The Art &amp; Science of Foodpairing: 273; Таблица сочетаний: 20</x:v>
      </x:c>
    </x:row>
    <x:row r="174" ht="62" customHeight="1">
      <x:c r="A174" s="28" t="str">
        <x:v>BER-0459</x:v>
      </x:c>
      <x:c r="B174" s="28" t="str">
        <x:v>клубника</x:v>
      </x:c>
      <x:c r="C174" s="28" t="str">
        <x:v>чили ахи мирасоль</x:v>
      </x:c>
      <x:c r="D174" s="28" t="str">
        <x:v>Специи</x:v>
      </x:c>
      <x:c r="E174" s="28" t="str">
        <x:v>контраст/комплементарность + матричный эффект</x:v>
      </x:c>
      <x:c r="F17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4" s="28" t="str">
        <x:v>Пряность дозировать как акцент: она быстро перекрывает тонкие ягодные эфиры.</x:v>
      </x:c>
      <x:c r="I17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74" s="28" t="str">
        <x:v>Средняя</x:v>
      </x:c>
      <x:c r="K174" s="28" t="str">
        <x:v>The Art &amp; Science of Foodpairing</x:v>
      </x:c>
      <x:c r="L174" s="28" t="str">
        <x:v>The Art &amp; Science of Foodpairing: 70</x:v>
      </x:c>
    </x:row>
    <x:row r="175" ht="62" customHeight="1">
      <x:c r="A175" s="28" t="str">
        <x:v>BER-0460</x:v>
      </x:c>
      <x:c r="B175" s="28" t="str">
        <x:v>клубника</x:v>
      </x:c>
      <x:c r="C175" s="28" t="str">
        <x:v>шалфей</x:v>
      </x:c>
      <x:c r="D175" s="28" t="str">
        <x:v>Травы и цветы</x:v>
      </x:c>
      <x:c r="E175" s="28" t="str">
        <x:v>ароматическое сходство + вкусовой баланс</x:v>
      </x:c>
      <x:c r="F175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75" s="28" t="str">
        <x:v>Средняя</x:v>
      </x:c>
      <x:c r="K175" s="28" t="str">
        <x:v>Таблица сочетаний</x:v>
      </x:c>
      <x:c r="L175" s="28" t="str">
        <x:v>Таблица сочетаний: 20</x:v>
      </x:c>
    </x:row>
    <x:row r="176" ht="62" customHeight="1">
      <x:c r="A176" s="28" t="str">
        <x:v>BER-0462</x:v>
      </x:c>
      <x:c r="B176" s="28" t="str">
        <x:v>клубника</x:v>
      </x:c>
      <x:c r="C176" s="28" t="str">
        <x:v>шафран</x:v>
      </x:c>
      <x:c r="D176" s="28" t="str">
        <x:v>Специи</x:v>
      </x:c>
      <x:c r="E176" s="28" t="str">
        <x:v>контраст/комплементарность + матричный эффект</x:v>
      </x:c>
      <x:c r="F17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6" s="28" t="str">
        <x:v>Пряность дозировать как акцент: она быстро перекрывает тонкие ягодные эфиры.</x:v>
      </x:c>
      <x:c r="I17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76" s="28" t="str">
        <x:v>Средняя</x:v>
      </x:c>
      <x:c r="K176" s="28" t="str">
        <x:v>The Art &amp; Science of Foodpairing</x:v>
      </x:c>
      <x:c r="L176" s="28" t="str">
        <x:v>The Art &amp; Science of Foodpairing: 70</x:v>
      </x:c>
    </x:row>
    <x:row r="177" ht="62" customHeight="1">
      <x:c r="A177" s="28" t="str">
        <x:v>BER-0465</x:v>
      </x:c>
      <x:c r="B177" s="28" t="str">
        <x:v>клубника</x:v>
      </x:c>
      <x:c r="C177" s="28" t="str">
        <x:v>эстрагон</x:v>
      </x:c>
      <x:c r="D177" s="28" t="str">
        <x:v>Травы и цветы</x:v>
      </x:c>
      <x:c r="E177" s="28" t="str">
        <x:v>ароматическое сходство + вкусовой баланс</x:v>
      </x:c>
      <x:c r="F177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77" s="28" t="str">
        <x:v>Средняя</x:v>
      </x:c>
      <x:c r="K177" s="28" t="str">
        <x:v>The Art &amp; Science of Foodpairing</x:v>
      </x:c>
      <x:c r="L177" s="28" t="str">
        <x:v>The Art &amp; Science of Foodpairing: 70</x:v>
      </x:c>
    </x:row>
    <x:row r="178" ht="62" customHeight="1">
      <x:c r="A178" s="28" t="str">
        <x:v>BER-0471</x:v>
      </x:c>
      <x:c r="B178" s="28" t="str">
        <x:v>клубника сорта Elsanta</x:v>
      </x:c>
      <x:c r="C178" s="28" t="str">
        <x:v>чоризо</x:v>
      </x:c>
      <x:c r="D178" s="28" t="str">
        <x:v>Мясо и птица</x:v>
      </x:c>
      <x:c r="E178" s="28" t="str">
        <x:v>контраст/комплементарность + матричный эффект</x:v>
      </x:c>
      <x:c r="F17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7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7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8" s="28" t="str">
        <x:v>соус, глазировка, салат, сырная подача или горячее блюдо; маринад, гастрик, чатни, кетчуп или редукция</x:v>
      </x:c>
      <x:c r="J178" s="28" t="str">
        <x:v>Средняя</x:v>
      </x:c>
      <x:c r="K178" s="28" t="str">
        <x:v>The Art &amp; Science of Foodpairing</x:v>
      </x:c>
      <x:c r="L178" s="28" t="str">
        <x:v>The Art &amp; Science of Foodpairing: 289</x:v>
      </x:c>
    </x:row>
    <x:row r="179" ht="62" customHeight="1">
      <x:c r="A179" s="28" t="str">
        <x:v>BER-0474</x:v>
      </x:c>
      <x:c r="B179" s="28" t="str">
        <x:v>клубника сорта Mara des Bois</x:v>
      </x:c>
      <x:c r="C179" s="28" t="str">
        <x:v>морковь</x:v>
      </x:c>
      <x:c r="D179" s="28" t="str">
        <x:v>Овощи и грибы</x:v>
      </x:c>
      <x:c r="E179" s="28" t="str">
        <x:v>сходство ароматических семейств + комплементарность</x:v>
      </x:c>
      <x:c r="F179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7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7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9" s="28" t="str">
        <x:v>соус, глазировка, салат, сырная подача или горячее блюдо; маринад, гастрик, чатни, кетчуп или редукция</x:v>
      </x:c>
      <x:c r="J179" s="28" t="str">
        <x:v>Средняя</x:v>
      </x:c>
      <x:c r="K179" s="28" t="str">
        <x:v>The Art &amp; Science of Foodpairing</x:v>
      </x:c>
      <x:c r="L179" s="28" t="str">
        <x:v>The Art &amp; Science of Foodpairing: 232</x:v>
      </x:c>
    </x:row>
    <x:row r="180" ht="62" customHeight="1">
      <x:c r="A180" s="28" t="str">
        <x:v>BER-0481</x:v>
      </x:c>
      <x:c r="B180" s="28" t="str">
        <x:v>клюква</x:v>
      </x:c>
      <x:c r="C180" s="28" t="str">
        <x:v>гвоздика</x:v>
      </x:c>
      <x:c r="D180" s="28" t="str">
        <x:v>Специи</x:v>
      </x:c>
      <x:c r="E180" s="28" t="str">
        <x:v>ароматическое сходство + вкусовой баланс</x:v>
      </x:c>
      <x:c r="F180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0" s="28" t="str">
        <x:v>Пряность дозировать как акцент: она быстро перекрывает тонкие ягодные эфиры.</x:v>
      </x:c>
      <x:c r="I18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80" s="28" t="str">
        <x:v>Средняя</x:v>
      </x:c>
      <x:c r="K180" s="28" t="str">
        <x:v>Таблица сочетаний</x:v>
      </x:c>
      <x:c r="L180" s="28" t="str">
        <x:v>Таблица сочетаний: 6</x:v>
      </x:c>
    </x:row>
    <x:row r="181" ht="62" customHeight="1">
      <x:c r="A181" s="28" t="str">
        <x:v>BER-0486</x:v>
      </x:c>
      <x:c r="B181" s="28" t="str">
        <x:v>клюква</x:v>
      </x:c>
      <x:c r="C181" s="28" t="str">
        <x:v>имбирь</x:v>
      </x:c>
      <x:c r="D181" s="28" t="str">
        <x:v>Специи</x:v>
      </x:c>
      <x:c r="E181" s="28" t="str">
        <x:v>ароматическое сходство + вкусовой баланс</x:v>
      </x:c>
      <x:c r="F181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1" s="28" t="str">
        <x:v>Пряность дозировать как акцент: она быстро перекрывает тонкие ягодные эфиры.</x:v>
      </x:c>
      <x:c r="I18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81" s="28" t="str">
        <x:v>Средняя</x:v>
      </x:c>
      <x:c r="K181" s="28" t="str">
        <x:v>Таблица сочетаний</x:v>
      </x:c>
      <x:c r="L181" s="28" t="str">
        <x:v>Таблица сочетаний: 6</x:v>
      </x:c>
    </x:row>
    <x:row r="182" ht="62" customHeight="1">
      <x:c r="A182" s="28" t="str">
        <x:v>BER-0488</x:v>
      </x:c>
      <x:c r="B182" s="28" t="str">
        <x:v>клюква</x:v>
      </x:c>
      <x:c r="C182" s="28" t="str">
        <x:v>кардамон</x:v>
      </x:c>
      <x:c r="D182" s="28" t="str">
        <x:v>Специи</x:v>
      </x:c>
      <x:c r="E182" s="28" t="str">
        <x:v>ароматическое сходство + вкусовой баланс</x:v>
      </x:c>
      <x:c r="F182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2" s="28" t="str">
        <x:v>Пряность дозировать как акцент: она быстро перекрывает тонкие ягодные эфиры.</x:v>
      </x:c>
      <x:c r="I18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82" s="28" t="str">
        <x:v>Средняя</x:v>
      </x:c>
      <x:c r="K182" s="28" t="str">
        <x:v>Таблица сочетаний</x:v>
      </x:c>
      <x:c r="L182" s="28" t="str">
        <x:v>Таблица сочетаний: 6</x:v>
      </x:c>
    </x:row>
    <x:row r="183" ht="62" customHeight="1">
      <x:c r="A183" s="28" t="str">
        <x:v>BER-0489</x:v>
      </x:c>
      <x:c r="B183" s="28" t="str">
        <x:v>клюква</x:v>
      </x:c>
      <x:c r="C183" s="28" t="str">
        <x:v>кимчи</x:v>
      </x:c>
      <x:c r="D183" s="28" t="str">
        <x:v>Ферментированные продукты, соусы и уксусы</x:v>
      </x:c>
      <x:c r="E183" s="28" t="str">
        <x:v>ароматическое сходство + вкусовой баланс</x:v>
      </x:c>
      <x:c r="F183" s="28" t="str">
        <x:v>Прямой вероятный молекулярный мост: эфиры. Ягодный компонент несёт семейства древесный, зелёный, кислый, красно-фруктовый; партнёр — кислый, умами, ферментированный. Оба компонента формируют очень кислый, терпкий и кислый/солёный/умами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3" s="28" t="str">
        <x:v>соус, глазировка, салат, сырная подача или горячее блюдо; маринад, гастрик, чатни, кетчуп или редукция</x:v>
      </x:c>
      <x:c r="J183" s="28" t="str">
        <x:v>Средняя</x:v>
      </x:c>
      <x:c r="K183" s="28" t="str">
        <x:v>The Art &amp; Science of Foodpairing</x:v>
      </x:c>
      <x:c r="L183" s="28" t="str">
        <x:v>The Art &amp; Science of Foodpairing: 304</x:v>
      </x:c>
    </x:row>
    <x:row r="184" ht="62" customHeight="1">
      <x:c r="A184" s="28" t="str">
        <x:v>BER-0491</x:v>
      </x:c>
      <x:c r="B184" s="28" t="str">
        <x:v>клюква</x:v>
      </x:c>
      <x:c r="C184" s="28" t="str">
        <x:v>корица</x:v>
      </x:c>
      <x:c r="D184" s="28" t="str">
        <x:v>Специи</x:v>
      </x:c>
      <x:c r="E184" s="28" t="str">
        <x:v>ароматическое сходство + вкусовой баланс</x:v>
      </x:c>
      <x:c r="F184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4" s="28" t="str">
        <x:v>Пряность дозировать как акцент: она быстро перекрывает тонкие ягодные эфиры.</x:v>
      </x:c>
      <x:c r="I18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84" s="28" t="str">
        <x:v>Высокая</x:v>
      </x:c>
      <x:c r="K184" s="28" t="str">
        <x:v>The Art &amp; Science of Foodpairing; Таблица сочетаний</x:v>
      </x:c>
      <x:c r="L184" s="28" t="str">
        <x:v>The Art &amp; Science of Foodpairing: 130, 131; Таблица сочетаний: 6</x:v>
      </x:c>
    </x:row>
    <x:row r="185" ht="62" customHeight="1">
      <x:c r="A185" s="28" t="str">
        <x:v>BER-0497</x:v>
      </x:c>
      <x:c r="B185" s="28" t="str">
        <x:v>клюква</x:v>
      </x:c>
      <x:c r="C185" s="28" t="str">
        <x:v>морковь</x:v>
      </x:c>
      <x:c r="D185" s="28" t="str">
        <x:v>Овощи и грибы</x:v>
      </x:c>
      <x:c r="E185" s="28" t="str">
        <x:v>ароматическое сходство + вкусовой баланс</x:v>
      </x:c>
      <x:c r="F185" s="28" t="str">
        <x:v>Прямой вероятный молекулярный мост: C6-альдегиды. Ягодный компонент несёт семейства древесный, зелёный, кислый, красно-фруктовый; партнёр — зелёный, землистый, сернистый. Оба компонента формируют очень кислый, терпкий и растительный, иногда умами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8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8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5" s="28" t="str">
        <x:v>соус, глазировка, салат, сырная подача или горячее блюдо; маринад, гастрик, чатни, кетчуп или редукция</x:v>
      </x:c>
      <x:c r="J185" s="28" t="str">
        <x:v>Средняя</x:v>
      </x:c>
      <x:c r="K185" s="28" t="str">
        <x:v>The Art &amp; Science of Foodpairing</x:v>
      </x:c>
      <x:c r="L185" s="28" t="str">
        <x:v>The Art &amp; Science of Foodpairing: 232</x:v>
      </x:c>
    </x:row>
    <x:row r="186" ht="62" customHeight="1">
      <x:c r="A186" s="28" t="str">
        <x:v>BER-0499</x:v>
      </x:c>
      <x:c r="B186" s="28" t="str">
        <x:v>клюква</x:v>
      </x:c>
      <x:c r="C186" s="28" t="str">
        <x:v>мята</x:v>
      </x:c>
      <x:c r="D186" s="28" t="str">
        <x:v>Травы и цветы</x:v>
      </x:c>
      <x:c r="E186" s="28" t="str">
        <x:v>ароматическое сходство + вкусовой баланс</x:v>
      </x:c>
      <x:c r="F186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86" s="28" t="str">
        <x:v>Средняя</x:v>
      </x:c>
      <x:c r="K186" s="28" t="str">
        <x:v>Таблица сочетаний</x:v>
      </x:c>
      <x:c r="L186" s="28" t="str">
        <x:v>Таблица сочетаний: 6</x:v>
      </x:c>
    </x:row>
    <x:row r="187" ht="62" customHeight="1">
      <x:c r="A187" s="28" t="str">
        <x:v>BER-0501</x:v>
      </x:c>
      <x:c r="B187" s="28" t="str">
        <x:v>клюква</x:v>
      </x:c>
      <x:c r="C187" s="28" t="str">
        <x:v>перец чили</x:v>
      </x:c>
      <x:c r="D187" s="28" t="str">
        <x:v>Специи</x:v>
      </x:c>
      <x:c r="E187" s="28" t="str">
        <x:v>ароматическое сходство + вкусовой баланс</x:v>
      </x:c>
      <x:c r="F187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7" s="28" t="str">
        <x:v>Пряность дозировать как акцент: она быстро перекрывает тонкие ягодные эфиры.</x:v>
      </x:c>
      <x:c r="I18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87" s="28" t="str">
        <x:v>Средняя</x:v>
      </x:c>
      <x:c r="K187" s="28" t="str">
        <x:v>The Art &amp; Science of Foodpairing</x:v>
      </x:c>
      <x:c r="L187" s="28" t="str">
        <x:v>The Art &amp; Science of Foodpairing: 95</x:v>
      </x:c>
    </x:row>
    <x:row r="188" ht="62" customHeight="1">
      <x:c r="A188" s="28" t="str">
        <x:v>BER-0503</x:v>
      </x:c>
      <x:c r="B188" s="28" t="str">
        <x:v>клюква</x:v>
      </x:c>
      <x:c r="C188" s="28" t="str">
        <x:v>розмарин</x:v>
      </x:c>
      <x:c r="D188" s="28" t="str">
        <x:v>Травы и цветы</x:v>
      </x:c>
      <x:c r="E188" s="28" t="str">
        <x:v>ароматическое сходство + вкусовой баланс</x:v>
      </x:c>
      <x:c r="F188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88" s="28" t="str">
        <x:v>Средняя</x:v>
      </x:c>
      <x:c r="K188" s="28" t="str">
        <x:v>Таблица сочетаний</x:v>
      </x:c>
      <x:c r="L188" s="28" t="str">
        <x:v>Таблица сочетаний: 19</x:v>
      </x:c>
    </x:row>
    <x:row r="189" ht="62" customHeight="1">
      <x:c r="A189" s="28" t="str">
        <x:v>BER-0504</x:v>
      </x:c>
      <x:c r="B189" s="28" t="str">
        <x:v>клюква</x:v>
      </x:c>
      <x:c r="C189" s="28" t="str">
        <x:v>рыба</x:v>
      </x:c>
      <x:c r="D189" s="28" t="str">
        <x:v>Рыба и морепродукты</x:v>
      </x:c>
      <x:c r="E189" s="28" t="str">
        <x:v>контраст/комплементарность + матричный эффект</x:v>
      </x:c>
      <x:c r="F18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8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8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9" s="28" t="str">
        <x:v>соус, глазировка, салат, сырная подача или горячее блюдо; маринад, гастрик, чатни, кетчуп или редукция</x:v>
      </x:c>
      <x:c r="J189" s="28" t="str">
        <x:v>Средняя</x:v>
      </x:c>
      <x:c r="K189" s="28" t="str">
        <x:v>The Art &amp; Science of Foodpairing</x:v>
      </x:c>
      <x:c r="L189" s="28" t="str">
        <x:v>The Art &amp; Science of Foodpairing: 105</x:v>
      </x:c>
    </x:row>
    <x:row r="190" ht="62" customHeight="1">
      <x:c r="A190" s="28" t="str">
        <x:v>BER-0506</x:v>
      </x:c>
      <x:c r="B190" s="28" t="str">
        <x:v>клюква</x:v>
      </x:c>
      <x:c r="C190" s="28" t="str">
        <x:v>тыква</x:v>
      </x:c>
      <x:c r="D190" s="28" t="str">
        <x:v>Овощи и грибы</x:v>
      </x:c>
      <x:c r="E190" s="28" t="str">
        <x:v>ароматическое сходство + вкусовой баланс</x:v>
      </x:c>
      <x:c r="F190" s="28" t="str">
        <x:v>Прямой вероятный молекулярный мост: C6-альдегиды. Ягодный компонент несёт семейства древесный, зелёный, кислый, красно-фруктовый; партнёр — зелёный, землистый, сернистый. Оба компонента формируют очень кислый, терпкий и растительный, иногда умами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9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9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0" s="28" t="str">
        <x:v>соус, глазировка, салат, сырная подача или горячее блюдо; маринад, гастрик, чатни, кетчуп или редукция</x:v>
      </x:c>
      <x:c r="J190" s="28" t="str">
        <x:v>Средняя</x:v>
      </x:c>
      <x:c r="K190" s="28" t="str">
        <x:v>Таблица сочетаний</x:v>
      </x:c>
      <x:c r="L190" s="28" t="str">
        <x:v>Таблица сочетаний: 6, 18</x:v>
      </x:c>
    </x:row>
    <x:row r="191" ht="62" customHeight="1">
      <x:c r="A191" s="28" t="str">
        <x:v>BER-0507</x:v>
      </x:c>
      <x:c r="B191" s="28" t="str">
        <x:v>клюква</x:v>
      </x:c>
      <x:c r="C191" s="28" t="str">
        <x:v>устрица</x:v>
      </x:c>
      <x:c r="D191" s="28" t="str">
        <x:v>Рыба и морепродукты</x:v>
      </x:c>
      <x:c r="E191" s="28" t="str">
        <x:v>контраст/комплементарность + матричный эффект</x:v>
      </x:c>
      <x:c r="F19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9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9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1" s="28" t="str">
        <x:v>соус, глазировка, салат, сырная подача или горячее блюдо; маринад, гастрик, чатни, кетчуп или редукция</x:v>
      </x:c>
      <x:c r="J191" s="28" t="str">
        <x:v>Средняя</x:v>
      </x:c>
      <x:c r="K191" s="28" t="str">
        <x:v>The Art &amp; Science of Foodpairing</x:v>
      </x:c>
      <x:c r="L191" s="28" t="str">
        <x:v>The Art &amp; Science of Foodpairing: 370</x:v>
      </x:c>
    </x:row>
    <x:row r="192" ht="62" customHeight="1">
      <x:c r="A192" s="28" t="str">
        <x:v>BER-0508</x:v>
      </x:c>
      <x:c r="B192" s="28" t="str">
        <x:v>клюква</x:v>
      </x:c>
      <x:c r="C192" s="28" t="str">
        <x:v>фиалка</x:v>
      </x:c>
      <x:c r="D192" s="28" t="str">
        <x:v>Травы и цветы</x:v>
      </x:c>
      <x:c r="E192" s="28" t="str">
        <x:v>ароматическое сходство + вкусовой баланс</x:v>
      </x:c>
      <x:c r="F192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92" s="28" t="str">
        <x:v>Средняя</x:v>
      </x:c>
      <x:c r="K192" s="28" t="str">
        <x:v>Таблица сочетаний</x:v>
      </x:c>
      <x:c r="L192" s="28" t="str">
        <x:v>Таблица сочетаний: 21</x:v>
      </x:c>
    </x:row>
    <x:row r="193" ht="62" customHeight="1">
      <x:c r="A193" s="28" t="str">
        <x:v>BER-0512</x:v>
      </x:c>
      <x:c r="B193" s="28" t="str">
        <x:v>клюква</x:v>
      </x:c>
      <x:c r="C193" s="28" t="str">
        <x:v>хамон иберико</x:v>
      </x:c>
      <x:c r="D193" s="28" t="str">
        <x:v>Мясо и птица</x:v>
      </x:c>
      <x:c r="E193" s="28" t="str">
        <x:v>контраст/комплементарность + матричный эффект</x:v>
      </x:c>
      <x:c r="F19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9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9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3" s="28" t="str">
        <x:v>соус, глазировка, салат, сырная подача или горячее блюдо; маринад, гастрик, чатни, кетчуп или редукция</x:v>
      </x:c>
      <x:c r="J193" s="28" t="str">
        <x:v>Средняя</x:v>
      </x:c>
      <x:c r="K193" s="28" t="str">
        <x:v>The Art &amp; Science of Foodpairing</x:v>
      </x:c>
      <x:c r="L193" s="28" t="str">
        <x:v>The Art &amp; Science of Foodpairing: 278</x:v>
      </x:c>
    </x:row>
    <x:row r="194" ht="62" customHeight="1">
      <x:c r="A194" s="28" t="str">
        <x:v>BER-0514</x:v>
      </x:c>
      <x:c r="B194" s="28" t="str">
        <x:v>клюква</x:v>
      </x:c>
      <x:c r="C194" s="28" t="str">
        <x:v>шалфей</x:v>
      </x:c>
      <x:c r="D194" s="28" t="str">
        <x:v>Травы и цветы</x:v>
      </x:c>
      <x:c r="E194" s="28" t="str">
        <x:v>ароматическое сходство + вкусовой баланс</x:v>
      </x:c>
      <x:c r="F194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94" s="28" t="str">
        <x:v>Средняя</x:v>
      </x:c>
      <x:c r="K194" s="28" t="str">
        <x:v>Таблица сочетаний</x:v>
      </x:c>
      <x:c r="L194" s="28" t="str">
        <x:v>Таблица сочетаний: 6</x:v>
      </x:c>
    </x:row>
    <x:row r="195" ht="62" customHeight="1">
      <x:c r="A195" s="28" t="str">
        <x:v>BER-0517</x:v>
      </x:c>
      <x:c r="B195" s="28" t="str">
        <x:v>клюквенный сок</x:v>
      </x:c>
      <x:c r="C195" s="28" t="str">
        <x:v>базилик</x:v>
      </x:c>
      <x:c r="D195" s="28" t="str">
        <x:v>Травы и цветы</x:v>
      </x:c>
      <x:c r="E195" s="28" t="str">
        <x:v>контраст/комплементарность + матричный эффект</x:v>
      </x:c>
      <x:c r="F19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95" s="28" t="str">
        <x:v>Средняя</x:v>
      </x:c>
      <x:c r="K195" s="28" t="str">
        <x:v>The Art &amp; Science of Foodpairing</x:v>
      </x:c>
      <x:c r="L195" s="28" t="str">
        <x:v>The Art &amp; Science of Foodpairing: 74</x:v>
      </x:c>
    </x:row>
    <x:row r="196" ht="62" customHeight="1">
      <x:c r="A196" s="28" t="str">
        <x:v>BER-0519</x:v>
      </x:c>
      <x:c r="B196" s="28" t="str">
        <x:v>клюквенный сок</x:v>
      </x:c>
      <x:c r="C196" s="28" t="str">
        <x:v>доджанг</x:v>
      </x:c>
      <x:c r="D196" s="28" t="str">
        <x:v>Ферментированные продукты, соусы и уксусы</x:v>
      </x:c>
      <x:c r="E196" s="28" t="str">
        <x:v>контраст/комплементарность + матричный эффект</x:v>
      </x:c>
      <x:c r="F19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кислый, умами, ферментированный. Оба компонента формируют зависит от ингредиента и кислый/солёный/умами контур; сахар, кислота и горечь должны быть выровнены дегустацией. Ягода: механизм зависит от конкретного продукта.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6" s="28" t="str">
        <x:v>соус, глазировка, салат, сырная подача или горячее блюдо; маринад, гастрик, чатни, кетчуп или редукция</x:v>
      </x:c>
      <x:c r="J196" s="28" t="str">
        <x:v>Средняя</x:v>
      </x:c>
      <x:c r="K196" s="28" t="str">
        <x:v>The Art &amp; Science of Foodpairing</x:v>
      </x:c>
      <x:c r="L196" s="28" t="str">
        <x:v>The Art &amp; Science of Foodpairing: 246</x:v>
      </x:c>
    </x:row>
    <x:row r="197" ht="62" customHeight="1">
      <x:c r="A197" s="28" t="str">
        <x:v>BER-0520</x:v>
      </x:c>
      <x:c r="B197" s="28" t="str">
        <x:v>клюквенный сок</x:v>
      </x:c>
      <x:c r="C197" s="28" t="str">
        <x:v>кардамон</x:v>
      </x:c>
      <x:c r="D197" s="28" t="str">
        <x:v>Специи</x:v>
      </x:c>
      <x:c r="E197" s="28" t="str">
        <x:v>контраст/комплементарность + матричный эффект</x:v>
      </x:c>
      <x:c r="F19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7" s="28" t="str">
        <x:v>Пряность дозировать как акцент: она быстро перекрывает тонкие ягодные эфиры.</x:v>
      </x:c>
      <x:c r="I19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97" s="28" t="str">
        <x:v>Средняя</x:v>
      </x:c>
      <x:c r="K197" s="28" t="str">
        <x:v>The Art &amp; Science of Foodpairing</x:v>
      </x:c>
      <x:c r="L197" s="28" t="str">
        <x:v>The Art &amp; Science of Foodpairing: 256</x:v>
      </x:c>
    </x:row>
    <x:row r="198" ht="62" customHeight="1">
      <x:c r="A198" s="28" t="str">
        <x:v>BER-0521</x:v>
      </x:c>
      <x:c r="B198" s="28" t="str">
        <x:v>красная смородина</x:v>
      </x:c>
      <x:c r="C198" s="28" t="str">
        <x:v>чёрный перец</x:v>
      </x:c>
      <x:c r="D198" s="28" t="str">
        <x:v>Специи</x:v>
      </x:c>
      <x:c r="E198" s="28" t="str">
        <x:v>ароматическое сходство + вкусовой баланс</x:v>
      </x:c>
      <x:c r="F198" s="28" t="str">
        <x:v>Прямой вероятный молекулярный мост: терпены. Ягодный компонент несёт семейства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8" s="28" t="str">
        <x:v>Пряность дозировать как акцент: она быстро перекрывает тонкие ягодные эфиры.</x:v>
      </x:c>
      <x:c r="I19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98" s="28" t="str">
        <x:v>Средняя</x:v>
      </x:c>
      <x:c r="K198" s="28" t="str">
        <x:v>The Art &amp; Science of Foodpairing</x:v>
      </x:c>
      <x:c r="L198" s="28" t="str">
        <x:v>The Art &amp; Science of Foodpairing: 275</x:v>
      </x:c>
    </x:row>
    <x:row r="199" ht="62" customHeight="1">
      <x:c r="A199" s="28" t="str">
        <x:v>BER-0523</x:v>
      </x:c>
      <x:c r="B199" s="28" t="str">
        <x:v>крыжовник</x:v>
      </x:c>
      <x:c r="C199" s="28" t="str">
        <x:v>имбирь</x:v>
      </x:c>
      <x:c r="D199" s="28" t="str">
        <x:v>Специи</x:v>
      </x:c>
      <x:c r="E199" s="28" t="str">
        <x:v>контраст/комплементарность + матричный эффект</x:v>
      </x:c>
      <x:c r="F19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кислый, травянистый, тропический;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9" s="28" t="str">
        <x:v>Пряность дозировать как акцент: она быстро перекрывает тонкие ягодные эфиры.</x:v>
      </x:c>
      <x:c r="I19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99" s="28" t="str">
        <x:v>Средняя</x:v>
      </x:c>
      <x:c r="K199" s="28" t="str">
        <x:v>Таблица сочетаний</x:v>
      </x:c>
      <x:c r="L199" s="28" t="str">
        <x:v>Таблица сочетаний: 8</x:v>
      </x:c>
    </x:row>
    <x:row r="200" ht="62" customHeight="1">
      <x:c r="A200" s="28" t="str">
        <x:v>BER-0528</x:v>
      </x:c>
      <x:c r="B200" s="28" t="str">
        <x:v>крыжовник</x:v>
      </x:c>
      <x:c r="C200" s="28" t="str">
        <x:v>мята</x:v>
      </x:c>
      <x:c r="D200" s="28" t="str">
        <x:v>Травы и цветы</x:v>
      </x:c>
      <x:c r="E200" s="28" t="str">
        <x:v>сходство ароматических семейств + комплементарность</x:v>
      </x:c>
      <x:c r="F200" s="28" t="str">
        <x:v>Общие ароматические семейства: зелёный, травянистый;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00" s="28" t="str">
        <x:v>Средняя</x:v>
      </x:c>
      <x:c r="K200" s="28" t="str">
        <x:v>Таблица сочетаний</x:v>
      </x:c>
      <x:c r="L200" s="28" t="str">
        <x:v>Таблица сочетаний: 8</x:v>
      </x:c>
    </x:row>
    <x:row r="201" ht="62" customHeight="1">
      <x:c r="A201" s="28" t="str">
        <x:v>BER-0529</x:v>
      </x:c>
      <x:c r="B201" s="28" t="str">
        <x:v>крыжовник</x:v>
      </x:c>
      <x:c r="C201" s="28" t="str">
        <x:v>оливковое масло</x:v>
      </x:c>
      <x:c r="D201" s="28" t="str">
        <x:v>Молочные продукты и сыры</x:v>
      </x:c>
      <x:c r="E201" s="28" t="str">
        <x:v>контраст/комплементарность + матричный эффект</x:v>
      </x:c>
      <x:c r="F20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кислый, травянистый, тропический;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0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01" s="28" t="str">
        <x:v>Высокая кислотность может свернуть молочный белок; смешивать при контролируемой температуре.</x:v>
      </x:c>
      <x:c r="I201" s="28" t="str">
        <x:v>сорбет, крем, ганаш, выпечка, джем или соус для десерта; соус, глазировка, салат, сырная подача или горячее блюдо</x:v>
      </x:c>
      <x:c r="J201" s="28" t="str">
        <x:v>Средняя</x:v>
      </x:c>
      <x:c r="K201" s="28" t="str">
        <x:v>The Art &amp; Science of Foodpairing</x:v>
      </x:c>
      <x:c r="L201" s="28" t="str">
        <x:v>The Art &amp; Science of Foodpairing: 173</x:v>
      </x:c>
    </x:row>
    <x:row r="202" ht="62" customHeight="1">
      <x:c r="A202" s="28" t="str">
        <x:v>BER-0530</x:v>
      </x:c>
      <x:c r="B202" s="28" t="str">
        <x:v>крыжовник</x:v>
      </x:c>
      <x:c r="C202" s="28" t="str">
        <x:v>розмарин</x:v>
      </x:c>
      <x:c r="D202" s="28" t="str">
        <x:v>Травы и цветы</x:v>
      </x:c>
      <x:c r="E202" s="28" t="str">
        <x:v>сходство ароматических семейств + комплементарность</x:v>
      </x:c>
      <x:c r="F202" s="28" t="str">
        <x:v>Общие ароматические семейства: зелёный, травянистый;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02" s="28" t="str">
        <x:v>Средняя</x:v>
      </x:c>
      <x:c r="K202" s="28" t="str">
        <x:v>Таблица сочетаний</x:v>
      </x:c>
      <x:c r="L202" s="28" t="str">
        <x:v>Таблица сочетаний: 9</x:v>
      </x:c>
    </x:row>
    <x:row r="203" ht="62" customHeight="1">
      <x:c r="A203" s="28" t="str">
        <x:v>BER-0531</x:v>
      </x:c>
      <x:c r="B203" s="28" t="str">
        <x:v>крыжовник</x:v>
      </x:c>
      <x:c r="C203" s="28" t="str">
        <x:v>тимьян</x:v>
      </x:c>
      <x:c r="D203" s="28" t="str">
        <x:v>Травы и цветы</x:v>
      </x:c>
      <x:c r="E203" s="28" t="str">
        <x:v>сходство ароматических семейств + комплементарность</x:v>
      </x:c>
      <x:c r="F203" s="28" t="str">
        <x:v>Общие ароматические семейства: зелёный, травянистый;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3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03" s="28" t="str">
        <x:v>Средняя</x:v>
      </x:c>
      <x:c r="K203" s="28" t="str">
        <x:v>Таблица сочетаний</x:v>
      </x:c>
      <x:c r="L203" s="28" t="str">
        <x:v>Таблица сочетаний: 9</x:v>
      </x:c>
    </x:row>
    <x:row r="204" ht="62" customHeight="1">
      <x:c r="A204" s="28" t="str">
        <x:v>BER-0532</x:v>
      </x:c>
      <x:c r="B204" s="28" t="str">
        <x:v>крыжовник</x:v>
      </x:c>
      <x:c r="C204" s="28" t="str">
        <x:v>чёрный перец</x:v>
      </x:c>
      <x:c r="D204" s="28" t="str">
        <x:v>Специи</x:v>
      </x:c>
      <x:c r="E204" s="28" t="str">
        <x:v>контраст/комплементарность + матричный эффект</x:v>
      </x:c>
      <x:c r="F20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кислый, травянистый, тропический;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4" s="28" t="str">
        <x:v>Пряность дозировать как акцент: она быстро перекрывает тонкие ягодные эфиры.</x:v>
      </x:c>
      <x:c r="I20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04" s="28" t="str">
        <x:v>Средняя</x:v>
      </x:c>
      <x:c r="K204" s="28" t="str">
        <x:v>Таблица сочетаний</x:v>
      </x:c>
      <x:c r="L204" s="28" t="str">
        <x:v>Таблица сочетаний: 8</x:v>
      </x:c>
    </x:row>
    <x:row r="205" ht="62" customHeight="1">
      <x:c r="A205" s="28" t="str">
        <x:v>BER-0536</x:v>
      </x:c>
      <x:c r="B205" s="28" t="str">
        <x:v>лист чёрной смородины</x:v>
      </x:c>
      <x:c r="C205" s="28" t="str">
        <x:v>кардамон</x:v>
      </x:c>
      <x:c r="D205" s="28" t="str">
        <x:v>Специи</x:v>
      </x:c>
      <x:c r="E205" s="28" t="str">
        <x:v>контраст/комплементарность + матричный эффект</x:v>
      </x:c>
      <x:c r="F20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5" s="28" t="str">
        <x:v>Пряность дозировать как акцент: она быстро перекрывает тонкие ягодные эфиры.</x:v>
      </x:c>
      <x:c r="I20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05" s="28" t="str">
        <x:v>Средняя</x:v>
      </x:c>
      <x:c r="K205" s="28" t="str">
        <x:v>The Art &amp; Science of Foodpairing</x:v>
      </x:c>
      <x:c r="L205" s="28" t="str">
        <x:v>The Art &amp; Science of Foodpairing: 256</x:v>
      </x:c>
    </x:row>
    <x:row r="206" ht="62" customHeight="1">
      <x:c r="A206" s="28" t="str">
        <x:v>BER-0538</x:v>
      </x:c>
      <x:c r="B206" s="28" t="str">
        <x:v>логанова ягода</x:v>
      </x:c>
      <x:c r="C206" s="28" t="str">
        <x:v>козий сыр</x:v>
      </x:c>
      <x:c r="D206" s="28" t="str">
        <x:v>Молочные продукты и сыры</x:v>
      </x:c>
      <x:c r="E206" s="28" t="str">
        <x:v>контраст/комплементарность + матричный эффект</x:v>
      </x:c>
      <x:c r="F20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0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06" s="28" t="str">
        <x:v>Высокая кислотность может свернуть молочный белок; смешивать при контролируемой температуре.</x:v>
      </x:c>
      <x:c r="I206" s="28" t="str">
        <x:v>сорбет, крем, ганаш, выпечка, джем или соус для десерта; соус, глазировка, салат, сырная подача или горячее блюдо</x:v>
      </x:c>
      <x:c r="J206" s="28" t="str">
        <x:v>Средняя</x:v>
      </x:c>
      <x:c r="K206" s="28" t="str">
        <x:v>The Art &amp; Science of Foodpairing</x:v>
      </x:c>
      <x:c r="L206" s="28" t="str">
        <x:v>The Art &amp; Science of Foodpairing: 200</x:v>
      </x:c>
    </x:row>
    <x:row r="207" ht="62" customHeight="1">
      <x:c r="A207" s="28" t="str">
        <x:v>BER-0539</x:v>
      </x:c>
      <x:c r="B207" s="28" t="str">
        <x:v>логанова ягода</x:v>
      </x:c>
      <x:c r="C207" s="28" t="str">
        <x:v>мясо</x:v>
      </x:c>
      <x:c r="D207" s="28" t="str">
        <x:v>Мясо и птица</x:v>
      </x:c>
      <x:c r="E207" s="28" t="str">
        <x:v>контраст/комплементарность + матричный эффект</x:v>
      </x:c>
      <x:c r="F20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0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0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7" s="28" t="str">
        <x:v>соус, глазировка, салат, сырная подача или горячее блюдо; маринад, гастрик, чатни, кетчуп или редукция</x:v>
      </x:c>
      <x:c r="J207" s="28" t="str">
        <x:v>Средняя</x:v>
      </x:c>
      <x:c r="K207" s="28" t="str">
        <x:v>The Art &amp; Science of Foodpairing</x:v>
      </x:c>
      <x:c r="L207" s="28" t="str">
        <x:v>The Art &amp; Science of Foodpairing: 186</x:v>
      </x:c>
    </x:row>
    <x:row r="208" ht="62" customHeight="1">
      <x:c r="A208" s="28" t="str">
        <x:v>BER-0543</x:v>
      </x:c>
      <x:c r="B208" s="28" t="str">
        <x:v>малина</x:v>
      </x:c>
      <x:c r="C208" s="28" t="str">
        <x:v>базилик</x:v>
      </x:c>
      <x:c r="D208" s="28" t="str">
        <x:v>Травы и цветы</x:v>
      </x:c>
      <x:c r="E208" s="28" t="str">
        <x:v>ароматическое сходство + вкусовой баланс</x:v>
      </x:c>
      <x:c r="F208" s="28" t="str">
        <x:v>Прямой вероятный молекулярный мост: гераниол, линалоол. Ягодный компонент несёт семейства древесный, зелёный, фиалковый,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08" s="28" t="str">
        <x:v>Высокая</x:v>
      </x:c>
      <x:c r="K208" s="28" t="str">
        <x:v>Таблица сочетаний; Тезариус вкусов</x:v>
      </x:c>
      <x:c r="L208" s="28" t="str">
        <x:v>Тезариус вкусов: 568, 886; Таблица сочетаний: 19</x:v>
      </x:c>
    </x:row>
    <x:row r="209" ht="62" customHeight="1">
      <x:c r="A209" s="28" t="str">
        <x:v>BER-0546</x:v>
      </x:c>
      <x:c r="B209" s="28" t="str">
        <x:v>малина</x:v>
      </x:c>
      <x:c r="C209" s="28" t="str">
        <x:v>бри</x:v>
      </x:c>
      <x:c r="D209" s="28" t="str">
        <x:v>Молочные продукты и сыры</x:v>
      </x:c>
      <x:c r="E209" s="28" t="str">
        <x:v>контраст/комплементарность + матричный эффект</x:v>
      </x:c>
      <x:c r="F20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0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09" s="28" t="str">
        <x:v>Высокая кислотность может свернуть молочный белок; смешивать при контролируемой температуре.</x:v>
      </x:c>
      <x:c r="I209" s="28" t="str">
        <x:v>сорбет, крем, ганаш, выпечка, джем или соус для десерта; соус, глазировка, салат, сырная подача или горячее блюдо</x:v>
      </x:c>
      <x:c r="J209" s="28" t="str">
        <x:v>Средняя</x:v>
      </x:c>
      <x:c r="K209" s="28" t="str">
        <x:v>The Art &amp; Science of Foodpairing</x:v>
      </x:c>
      <x:c r="L209" s="28" t="str">
        <x:v>The Art &amp; Science of Foodpairing: 336</x:v>
      </x:c>
    </x:row>
    <x:row r="210" ht="62" customHeight="1">
      <x:c r="A210" s="28" t="str">
        <x:v>BER-0549</x:v>
      </x:c>
      <x:c r="B210" s="28" t="str">
        <x:v>малина</x:v>
      </x:c>
      <x:c r="C210" s="28" t="str">
        <x:v>голубой сыр</x:v>
      </x:c>
      <x:c r="D210" s="28" t="str">
        <x:v>Молочные продукты и сыры</x:v>
      </x:c>
      <x:c r="E210" s="28" t="str">
        <x:v>контраст/комплементарность + матричный эффект</x:v>
      </x:c>
      <x:c r="F21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10" s="28" t="str">
        <x:v>Высокая кислотность может свернуть молочный белок; смешивать при контролируемой температуре.</x:v>
      </x:c>
      <x:c r="I210" s="28" t="str">
        <x:v>сорбет, крем, ганаш, выпечка, джем или соус для десерта; соус, глазировка, салат, сырная подача или горячее блюдо</x:v>
      </x:c>
      <x:c r="J210" s="28" t="str">
        <x:v>Средняя</x:v>
      </x:c>
      <x:c r="K210" s="28" t="str">
        <x:v>The Art &amp; Science of Foodpairing</x:v>
      </x:c>
      <x:c r="L210" s="28" t="str">
        <x:v>The Art &amp; Science of Foodpairing: 165</x:v>
      </x:c>
    </x:row>
    <x:row r="211" ht="62" customHeight="1">
      <x:c r="A211" s="28" t="str">
        <x:v>BER-0552</x:v>
      </x:c>
      <x:c r="B211" s="28" t="str">
        <x:v>малина</x:v>
      </x:c>
      <x:c r="C211" s="28" t="str">
        <x:v>доджанг</x:v>
      </x:c>
      <x:c r="D211" s="28" t="str">
        <x:v>Ферментированные продукты, соусы и уксусы</x:v>
      </x:c>
      <x:c r="E211" s="28" t="str">
        <x:v>контраст/комплементарность + матричный эффект</x:v>
      </x:c>
      <x:c r="F21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кислый, умами, ферментированный. Оба компонента формируют кисло-сладкий и кислый/солёный/умами контур; сахар, кислота и горечь должны быть выровнены дегустацией. Ягода: семена добавляют древесность и лёгкую терпкость.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1" s="28" t="str">
        <x:v>соус, глазировка, салат, сырная подача или горячее блюдо; маринад, гастрик, чатни, кетчуп или редукция</x:v>
      </x:c>
      <x:c r="J211" s="28" t="str">
        <x:v>Средняя</x:v>
      </x:c>
      <x:c r="K211" s="28" t="str">
        <x:v>The Art &amp; Science of Foodpairing</x:v>
      </x:c>
      <x:c r="L211" s="28" t="str">
        <x:v>The Art &amp; Science of Foodpairing: 247</x:v>
      </x:c>
    </x:row>
    <x:row r="212" ht="62" customHeight="1">
      <x:c r="A212" s="28" t="str">
        <x:v>BER-0554</x:v>
      </x:c>
      <x:c r="B212" s="28" t="str">
        <x:v>малина</x:v>
      </x:c>
      <x:c r="C212" s="28" t="str">
        <x:v>имбирь</x:v>
      </x:c>
      <x:c r="D212" s="28" t="str">
        <x:v>Специи</x:v>
      </x:c>
      <x:c r="E212" s="28" t="str">
        <x:v>сходство ароматических семейств + комплементарность</x:v>
      </x:c>
      <x:c r="F212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2" s="28" t="str">
        <x:v>Пряность дозировать как акцент: она быстро перекрывает тонкие ягодные эфиры.</x:v>
      </x:c>
      <x:c r="I21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12" s="28" t="str">
        <x:v>Высокая</x:v>
      </x:c>
      <x:c r="K212" s="28" t="str">
        <x:v>The Art &amp; Science of Foodpairing; Таблица сочетаний</x:v>
      </x:c>
      <x:c r="L212" s="28" t="str">
        <x:v>The Art &amp; Science of Foodpairing: 142; Таблица сочетаний: 8, 19</x:v>
      </x:c>
    </x:row>
    <x:row r="213" ht="62" customHeight="1">
      <x:c r="A213" s="28" t="str">
        <x:v>BER-0556</x:v>
      </x:c>
      <x:c r="B213" s="28" t="str">
        <x:v>малина</x:v>
      </x:c>
      <x:c r="C213" s="28" t="str">
        <x:v>козий сыр</x:v>
      </x:c>
      <x:c r="D213" s="28" t="str">
        <x:v>Молочные продукты и сыры</x:v>
      </x:c>
      <x:c r="E213" s="28" t="str">
        <x:v>контраст/комплементарность + матричный эффект</x:v>
      </x:c>
      <x:c r="F21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1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13" s="28" t="str">
        <x:v>Высокая кислотность может свернуть молочный белок; смешивать при контролируемой температуре.</x:v>
      </x:c>
      <x:c r="I213" s="28" t="str">
        <x:v>сорбет, крем, ганаш, выпечка, джем или соус для десерта; соус, глазировка, салат, сырная подача или горячее блюдо</x:v>
      </x:c>
      <x:c r="J213" s="28" t="str">
        <x:v>Высокая</x:v>
      </x:c>
      <x:c r="K213" s="28" t="str">
        <x:v>The Art &amp; Science of Foodpairing; Тезариус вкусов</x:v>
      </x:c>
      <x:c r="L213" s="28" t="str">
        <x:v>Тезариус вкусов: 141, 887; The Art &amp; Science of Foodpairing: 201</x:v>
      </x:c>
    </x:row>
    <x:row r="214" ht="62" customHeight="1">
      <x:c r="A214" s="28" t="str">
        <x:v>BER-0559</x:v>
      </x:c>
      <x:c r="B214" s="28" t="str">
        <x:v>малина</x:v>
      </x:c>
      <x:c r="C214" s="28" t="str">
        <x:v>корица</x:v>
      </x:c>
      <x:c r="D214" s="28" t="str">
        <x:v>Специи</x:v>
      </x:c>
      <x:c r="E214" s="28" t="str">
        <x:v>сходство ароматических семейств + комплементарность</x:v>
      </x:c>
      <x:c r="F214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4" s="28" t="str">
        <x:v>Пряность дозировать как акцент: она быстро перекрывает тонкие ягодные эфиры.</x:v>
      </x:c>
      <x:c r="I21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14" s="28" t="str">
        <x:v>Высокая</x:v>
      </x:c>
      <x:c r="K214" s="28" t="str">
        <x:v>The Art &amp; Science of Foodpairing; Таблица сочетаний</x:v>
      </x:c>
      <x:c r="L214" s="28" t="str">
        <x:v>The Art &amp; Science of Foodpairing: 130; Таблица сочетаний: 19</x:v>
      </x:c>
    </x:row>
    <x:row r="215" ht="62" customHeight="1">
      <x:c r="A215" s="28" t="str">
        <x:v>BER-0568</x:v>
      </x:c>
      <x:c r="B215" s="28" t="str">
        <x:v>малина</x:v>
      </x:c>
      <x:c r="C215" s="28" t="str">
        <x:v>мясо</x:v>
      </x:c>
      <x:c r="D215" s="28" t="str">
        <x:v>Мясо и птица</x:v>
      </x:c>
      <x:c r="E215" s="28" t="str">
        <x:v>контраст/комплементарность + матричный эффект</x:v>
      </x:c>
      <x:c r="F21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1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1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5" s="28" t="str">
        <x:v>соус, глазировка, салат, сырная подача или горячее блюдо; маринад, гастрик, чатни, кетчуп или редукция</x:v>
      </x:c>
      <x:c r="J215" s="28" t="str">
        <x:v>Средняя</x:v>
      </x:c>
      <x:c r="K215" s="28" t="str">
        <x:v>The Art &amp; Science of Foodpairing</x:v>
      </x:c>
      <x:c r="L215" s="28" t="str">
        <x:v>The Art &amp; Science of Foodpairing: 187</x:v>
      </x:c>
    </x:row>
    <x:row r="216" ht="62" customHeight="1">
      <x:c r="A216" s="28" t="str">
        <x:v>BER-0569</x:v>
      </x:c>
      <x:c r="B216" s="28" t="str">
        <x:v>малина</x:v>
      </x:c>
      <x:c r="C216" s="28" t="str">
        <x:v>мята</x:v>
      </x:c>
      <x:c r="D216" s="28" t="str">
        <x:v>Травы и цветы</x:v>
      </x:c>
      <x:c r="E216" s="28" t="str">
        <x:v>ароматическое сходство + вкусовой баланс</x:v>
      </x:c>
      <x:c r="F216" s="28" t="str">
        <x:v>Прямой вероятный молекулярный мост: гераниол, линалоол. Ягодный компонент несёт семейства древесный, зелёный, фиалковый,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16" s="28" t="str">
        <x:v>Высокая</x:v>
      </x:c>
      <x:c r="K216" s="28" t="str">
        <x:v>Таблица сочетаний; Тезариус вкусов</x:v>
      </x:c>
      <x:c r="L216" s="28" t="str">
        <x:v>Тезариус вкусов: 869, 889; Таблица сочетаний: 19</x:v>
      </x:c>
    </x:row>
    <x:row r="217" ht="62" customHeight="1">
      <x:c r="A217" s="28" t="str">
        <x:v>BER-0571</x:v>
      </x:c>
      <x:c r="B217" s="28" t="str">
        <x:v>малина</x:v>
      </x:c>
      <x:c r="C217" s="28" t="str">
        <x:v>огурец</x:v>
      </x:c>
      <x:c r="D217" s="28" t="str">
        <x:v>Овощи и грибы</x:v>
      </x:c>
      <x:c r="E217" s="28" t="str">
        <x:v>сходство ароматических семейств + комплементарность</x:v>
      </x:c>
      <x:c r="F217" s="28" t="str">
        <x:v>Общие ароматические семейства: зелёный;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землистый, сернистый. Оба компонента формируют кисло-сладкий и растительный, иногда умами контур; сахар, кислота и горечь должны быть выровнены дегустацией. Ягода: семена добавляют древесность и лёгкую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1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1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7" s="28" t="str">
        <x:v>соус, глазировка, салат, сырная подача или горячее блюдо; маринад, гастрик, чатни, кетчуп или редукция</x:v>
      </x:c>
      <x:c r="J217" s="28" t="str">
        <x:v>Средняя</x:v>
      </x:c>
      <x:c r="K217" s="28" t="str">
        <x:v>Таблица сочетаний</x:v>
      </x:c>
      <x:c r="L217" s="28" t="str">
        <x:v>Таблица сочетаний: 6</x:v>
      </x:c>
    </x:row>
    <x:row r="218" ht="62" customHeight="1">
      <x:c r="A218" s="28" t="str">
        <x:v>BER-0574</x:v>
      </x:c>
      <x:c r="B218" s="28" t="str">
        <x:v>малина</x:v>
      </x:c>
      <x:c r="C218" s="28" t="str">
        <x:v>роза</x:v>
      </x:c>
      <x:c r="D218" s="28" t="str">
        <x:v>Травы и цветы</x:v>
      </x:c>
      <x:c r="E218" s="28" t="str">
        <x:v>ароматическое сходство + вкусовой баланс</x:v>
      </x:c>
      <x:c r="F218" s="28" t="str">
        <x:v>Прямой вероятный молекулярный мост: гераниол, линалоол. Ягодный компонент несёт семейства древесный, зелёный, фиалковый,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18" s="28" t="str">
        <x:v>Средняя</x:v>
      </x:c>
      <x:c r="K218" s="28" t="str">
        <x:v>Таблица сочетаний</x:v>
      </x:c>
      <x:c r="L218" s="28" t="str">
        <x:v>Таблица сочетаний: 19</x:v>
      </x:c>
    </x:row>
    <x:row r="219" ht="62" customHeight="1">
      <x:c r="A219" s="28" t="str">
        <x:v>BER-0576</x:v>
      </x:c>
      <x:c r="B219" s="28" t="str">
        <x:v>малина</x:v>
      </x:c>
      <x:c r="C219" s="28" t="str">
        <x:v>свёкла</x:v>
      </x:c>
      <x:c r="D219" s="28" t="str">
        <x:v>Овощи и грибы</x:v>
      </x:c>
      <x:c r="E219" s="28" t="str">
        <x:v>сходство ароматических семейств + комплементарность</x:v>
      </x:c>
      <x:c r="F219" s="28" t="str">
        <x:v>Общие ароматические семейства: зелёный;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землистый, сернистый. Оба компонента формируют кисло-сладкий и растительный, иногда умами контур; сахар, кислота и горечь должны быть выровнены дегустацией. Ягода: семена добавляют древесность и лёгкую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1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1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9" s="28" t="str">
        <x:v>соус, глазировка, салат, сырная подача или горячее блюдо; маринад, гастрик, чатни, кетчуп или редукция</x:v>
      </x:c>
      <x:c r="J219" s="28" t="str">
        <x:v>Средняя</x:v>
      </x:c>
      <x:c r="K219" s="28" t="str">
        <x:v>The Art &amp; Science of Foodpairing</x:v>
      </x:c>
      <x:c r="L219" s="28" t="str">
        <x:v>The Art &amp; Science of Foodpairing: 224</x:v>
      </x:c>
    </x:row>
    <x:row r="220" ht="62" customHeight="1">
      <x:c r="A220" s="28" t="str">
        <x:v>BER-0579</x:v>
      </x:c>
      <x:c r="B220" s="28" t="str">
        <x:v>малина</x:v>
      </x:c>
      <x:c r="C220" s="28" t="str">
        <x:v>тимьян</x:v>
      </x:c>
      <x:c r="D220" s="28" t="str">
        <x:v>Травы и цветы</x:v>
      </x:c>
      <x:c r="E220" s="28" t="str">
        <x:v>ароматическое сходство + вкусовой баланс</x:v>
      </x:c>
      <x:c r="F220" s="28" t="str">
        <x:v>Прямой вероятный молекулярный мост: гераниол, линалоол. Ягодный компонент несёт семейства древесный, зелёный, фиалковый,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20" s="28" t="str">
        <x:v>Средняя</x:v>
      </x:c>
      <x:c r="K220" s="28" t="str">
        <x:v>Таблица сочетаний</x:v>
      </x:c>
      <x:c r="L220" s="28" t="str">
        <x:v>Таблица сочетаний: 19, 21</x:v>
      </x:c>
    </x:row>
    <x:row r="221" ht="62" customHeight="1">
      <x:c r="A221" s="28" t="str">
        <x:v>BER-0580</x:v>
      </x:c>
      <x:c r="B221" s="28" t="str">
        <x:v>малина</x:v>
      </x:c>
      <x:c r="C221" s="28" t="str">
        <x:v>трюфель</x:v>
      </x:c>
      <x:c r="D221" s="28" t="str">
        <x:v>Овощи и грибы</x:v>
      </x:c>
      <x:c r="E221" s="28" t="str">
        <x:v>сходство ароматических семейств + комплементарность</x:v>
      </x:c>
      <x:c r="F221" s="28" t="str">
        <x:v>Общие ароматические семейства: зелёный;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землистый, сернистый. Оба компонента формируют кисло-сладкий и растительный, иногда умами контур; сахар, кислота и горечь должны быть выровнены дегустацией. Ягода: семена добавляют древесность и лёгкую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2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2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1" s="28" t="str">
        <x:v>соус, глазировка, салат, сырная подача или горячее блюдо; маринад, гастрик, чатни, кетчуп или редукция</x:v>
      </x:c>
      <x:c r="J221" s="28" t="str">
        <x:v>Средняя</x:v>
      </x:c>
      <x:c r="K221" s="28" t="str">
        <x:v>The Art &amp; Science of Foodpairing</x:v>
      </x:c>
      <x:c r="L221" s="28" t="str">
        <x:v>The Art &amp; Science of Foodpairing: 193</x:v>
      </x:c>
    </x:row>
    <x:row r="222" ht="62" customHeight="1">
      <x:c r="A222" s="28" t="str">
        <x:v>BER-0584</x:v>
      </x:c>
      <x:c r="B222" s="28" t="str">
        <x:v>малина</x:v>
      </x:c>
      <x:c r="C222" s="28" t="str">
        <x:v>чоризо</x:v>
      </x:c>
      <x:c r="D222" s="28" t="str">
        <x:v>Мясо и птица</x:v>
      </x:c>
      <x:c r="E222" s="28" t="str">
        <x:v>контраст/комплементарность + матричный эффект</x:v>
      </x:c>
      <x:c r="F22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2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2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2" s="28" t="str">
        <x:v>соус, глазировка, салат, сырная подача или горячее блюдо; маринад, гастрик, чатни, кетчуп или редукция</x:v>
      </x:c>
      <x:c r="J222" s="28" t="str">
        <x:v>Средняя</x:v>
      </x:c>
      <x:c r="K222" s="28" t="str">
        <x:v>The Art &amp; Science of Foodpairing</x:v>
      </x:c>
      <x:c r="L222" s="28" t="str">
        <x:v>The Art &amp; Science of Foodpairing: 288</x:v>
      </x:c>
    </x:row>
    <x:row r="223" ht="62" customHeight="1">
      <x:c r="A223" s="28" t="str">
        <x:v>BER-0589</x:v>
      </x:c>
      <x:c r="B223" s="28" t="str">
        <x:v>малина сорта Meeker</x:v>
      </x:c>
      <x:c r="C223" s="28" t="str">
        <x:v>кардамон</x:v>
      </x:c>
      <x:c r="D223" s="28" t="str">
        <x:v>Специи</x:v>
      </x:c>
      <x:c r="E223" s="28" t="str">
        <x:v>сходство ароматических семейств + комплементарность</x:v>
      </x:c>
      <x:c r="F223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3" s="28" t="str">
        <x:v>Пряность дозировать как акцент: она быстро перекрывает тонкие ягодные эфиры.</x:v>
      </x:c>
      <x:c r="I22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23" s="28" t="str">
        <x:v>Средняя</x:v>
      </x:c>
      <x:c r="K223" s="28" t="str">
        <x:v>The Art &amp; Science of Foodpairing</x:v>
      </x:c>
      <x:c r="L223" s="28" t="str">
        <x:v>The Art &amp; Science of Foodpairing: 256</x:v>
      </x:c>
    </x:row>
    <x:row r="224" ht="62" customHeight="1">
      <x:c r="A224" s="28" t="str">
        <x:v>BER-0591</x:v>
      </x:c>
      <x:c r="B224" s="28" t="str">
        <x:v>малиновое пюре</x:v>
      </x:c>
      <x:c r="C224" s="28" t="str">
        <x:v>рыба</x:v>
      </x:c>
      <x:c r="D224" s="28" t="str">
        <x:v>Рыба и морепродукты</x:v>
      </x:c>
      <x:c r="E224" s="28" t="str">
        <x:v>контраст/комплементарность + матричный эффект</x:v>
      </x:c>
      <x:c r="F22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2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2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4" s="28" t="str">
        <x:v>соус, глазировка, салат, сырная подача или горячее блюдо; маринад, гастрик, чатни, кетчуп или редукция</x:v>
      </x:c>
      <x:c r="J224" s="28" t="str">
        <x:v>Средняя</x:v>
      </x:c>
      <x:c r="K224" s="28" t="str">
        <x:v>The Art &amp; Science of Foodpairing</x:v>
      </x:c>
      <x:c r="L224" s="28" t="str">
        <x:v>The Art &amp; Science of Foodpairing: 104</x:v>
      </x:c>
    </x:row>
    <x:row r="225" ht="62" customHeight="1">
      <x:c r="A225" s="28" t="str">
        <x:v>BER-0592</x:v>
      </x:c>
      <x:c r="B225" s="28" t="str">
        <x:v>малиновый сок</x:v>
      </x:c>
      <x:c r="C225" s="28" t="str">
        <x:v>бри</x:v>
      </x:c>
      <x:c r="D225" s="28" t="str">
        <x:v>Молочные продукты и сыры</x:v>
      </x:c>
      <x:c r="E225" s="28" t="str">
        <x:v>контраст/комплементарность + матричный эффект</x:v>
      </x:c>
      <x:c r="F22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2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25" s="28" t="str">
        <x:v>Высокая кислотность может свернуть молочный белок; смешивать при контролируемой температуре.</x:v>
      </x:c>
      <x:c r="I225" s="28" t="str">
        <x:v>сорбет, крем, ганаш, выпечка, джем или соус для десерта; соус, глазировка, салат, сырная подача или горячее блюдо</x:v>
      </x:c>
      <x:c r="J225" s="28" t="str">
        <x:v>Средняя</x:v>
      </x:c>
      <x:c r="K225" s="28" t="str">
        <x:v>The Art &amp; Science of Foodpairing</x:v>
      </x:c>
      <x:c r="L225" s="28" t="str">
        <x:v>The Art &amp; Science of Foodpairing: 336</x:v>
      </x:c>
    </x:row>
    <x:row r="226" ht="62" customHeight="1">
      <x:c r="A226" s="28" t="str">
        <x:v>BER-0596</x:v>
      </x:c>
      <x:c r="B226" s="28" t="str">
        <x:v>морошка</x:v>
      </x:c>
      <x:c r="C226" s="28" t="str">
        <x:v>корица</x:v>
      </x:c>
      <x:c r="D226" s="28" t="str">
        <x:v>Специи</x:v>
      </x:c>
      <x:c r="E226" s="28" t="str">
        <x:v>контраст/комплементарность + матричный эффект</x:v>
      </x:c>
      <x:c r="F22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абрикосовый, лактонный, медовый,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6" s="28" t="str">
        <x:v>Пряность дозировать как акцент: она быстро перекрывает тонкие ягодные эфиры.</x:v>
      </x:c>
      <x:c r="I22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26" s="28" t="str">
        <x:v>Средняя</x:v>
      </x:c>
      <x:c r="K226" s="28" t="str">
        <x:v>Таблица сочетаний</x:v>
      </x:c>
      <x:c r="L226" s="28" t="str">
        <x:v>Таблица сочетаний: 5</x:v>
      </x:c>
    </x:row>
    <x:row r="227" ht="62" customHeight="1">
      <x:c r="A227" s="28" t="str">
        <x:v>BER-0599</x:v>
      </x:c>
      <x:c r="B227" s="28" t="str">
        <x:v>морошка</x:v>
      </x:c>
      <x:c r="C227" s="28" t="str">
        <x:v>мята</x:v>
      </x:c>
      <x:c r="D227" s="28" t="str">
        <x:v>Травы и цветы</x:v>
      </x:c>
      <x:c r="E227" s="28" t="str">
        <x:v>сходство ароматических семейств + комплементарность</x:v>
      </x:c>
      <x:c r="F227" s="28" t="str">
        <x:v>Общие ароматические семейства: цветочный; конкретная доля одорантов зависит от сорта и обработки. Ягодный компонент несёт семейства абрикосовый, лактонный, медовый,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27" s="28" t="str">
        <x:v>Средняя</x:v>
      </x:c>
      <x:c r="K227" s="28" t="str">
        <x:v>Таблица сочетаний</x:v>
      </x:c>
      <x:c r="L227" s="28" t="str">
        <x:v>Таблица сочетаний: 5</x:v>
      </x:c>
    </x:row>
    <x:row r="228" ht="62" customHeight="1">
      <x:c r="A228" s="28" t="str">
        <x:v>BER-0600</x:v>
      </x:c>
      <x:c r="B228" s="28" t="str">
        <x:v>морошка</x:v>
      </x:c>
      <x:c r="C228" s="28" t="str">
        <x:v>сливки</x:v>
      </x:c>
      <x:c r="D228" s="28" t="str">
        <x:v>Молочные продукты и сыры</x:v>
      </x:c>
      <x:c r="E228" s="28" t="str">
        <x:v>ароматическое сходство + вкусовой баланс</x:v>
      </x:c>
      <x:c r="F228" s="28" t="str">
        <x:v>Прямой вероятный молекулярный мост: лактоны. Ягодный компонент несёт семейства абрикосовый, лактонный, медовый,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2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28" s="28" t="str">
        <x:v>Высокая кислотность может свернуть молочный белок; смешивать при контролируемой температуре.</x:v>
      </x:c>
      <x:c r="I228" s="28" t="str">
        <x:v>сорбет, крем, ганаш, выпечка, джем или соус для десерта; соус, глазировка, салат, сырная подача или горячее блюдо</x:v>
      </x:c>
      <x:c r="J228" s="28" t="str">
        <x:v>Средняя</x:v>
      </x:c>
      <x:c r="K228" s="28" t="str">
        <x:v>Таблица сочетаний</x:v>
      </x:c>
      <x:c r="L228" s="28" t="str">
        <x:v>Таблица сочетаний: 5</x:v>
      </x:c>
    </x:row>
    <x:row r="229" ht="62" customHeight="1">
      <x:c r="A229" s="28" t="str">
        <x:v>BER-0601</x:v>
      </x:c>
      <x:c r="B229" s="28" t="str">
        <x:v>морошка</x:v>
      </x:c>
      <x:c r="C229" s="28" t="str">
        <x:v>устрица</x:v>
      </x:c>
      <x:c r="D229" s="28" t="str">
        <x:v>Рыба и морепродукты</x:v>
      </x:c>
      <x:c r="E229" s="28" t="str">
        <x:v>контраст/комплементарность + матричный эффект</x:v>
      </x:c>
      <x:c r="F22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абрикосовый, лактонный, медовый,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2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2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9" s="28" t="str">
        <x:v>соус, глазировка, салат, сырная подача или горячее блюдо; маринад, гастрик, чатни, кетчуп или редукция</x:v>
      </x:c>
      <x:c r="J229" s="28" t="str">
        <x:v>Средняя</x:v>
      </x:c>
      <x:c r="K229" s="28" t="str">
        <x:v>The Art &amp; Science of Foodpairing</x:v>
      </x:c>
      <x:c r="L229" s="28" t="str">
        <x:v>The Art &amp; Science of Foodpairing: 370</x:v>
      </x:c>
    </x:row>
    <x:row r="230" ht="62" customHeight="1">
      <x:c r="A230" s="28" t="str">
        <x:v>BER-0604</x:v>
      </x:c>
      <x:c r="B230" s="28" t="str">
        <x:v>морошка</x:v>
      </x:c>
      <x:c r="C230" s="28" t="str">
        <x:v>шалфей</x:v>
      </x:c>
      <x:c r="D230" s="28" t="str">
        <x:v>Травы и цветы</x:v>
      </x:c>
      <x:c r="E230" s="28" t="str">
        <x:v>сходство ароматических семейств + комплементарность</x:v>
      </x:c>
      <x:c r="F230" s="28" t="str">
        <x:v>Общие ароматические семейства: цветочный; конкретная доля одорантов зависит от сорта и обработки. Ягодный компонент несёт семейства абрикосовый, лактонный, медовый,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30" s="28" t="str">
        <x:v>Средняя</x:v>
      </x:c>
      <x:c r="K230" s="28" t="str">
        <x:v>Таблица сочетаний</x:v>
      </x:c>
      <x:c r="L230" s="28" t="str">
        <x:v>Таблица сочетаний: 5</x:v>
      </x:c>
    </x:row>
    <x:row r="231" ht="62" customHeight="1">
      <x:c r="A231" s="28" t="str">
        <x:v>BER-0605</x:v>
      </x:c>
      <x:c r="B231" s="28" t="str">
        <x:v>облепиха</x:v>
      </x:c>
      <x:c r="C231" s="28" t="str">
        <x:v>козий сыр</x:v>
      </x:c>
      <x:c r="D231" s="28" t="str">
        <x:v>Молочные продукты и сыры</x:v>
      </x:c>
      <x:c r="E231" s="28" t="str">
        <x:v>контраст/комплементарность + матричный эффект</x:v>
      </x:c>
      <x:c r="F23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жирный, тропический, фруктовый, цитрусовый;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3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31" s="28" t="str">
        <x:v>Высокая кислотность может свернуть молочный белок; смешивать при контролируемой температуре.</x:v>
      </x:c>
      <x:c r="I231" s="28" t="str">
        <x:v>сорбет, крем, ганаш, выпечка, джем или соус для десерта; соус, глазировка, салат, сырная подача или горячее блюдо</x:v>
      </x:c>
      <x:c r="J231" s="28" t="str">
        <x:v>Средняя</x:v>
      </x:c>
      <x:c r="K231" s="28" t="str">
        <x:v>The Art &amp; Science of Foodpairing</x:v>
      </x:c>
      <x:c r="L231" s="28" t="str">
        <x:v>The Art &amp; Science of Foodpairing: 200</x:v>
      </x:c>
    </x:row>
    <x:row r="232" ht="62" customHeight="1">
      <x:c r="A232" s="28" t="str">
        <x:v>BER-0615</x:v>
      </x:c>
      <x:c r="B232" s="28" t="str">
        <x:v>сок чёрной смородины</x:v>
      </x:c>
      <x:c r="C232" s="28" t="str">
        <x:v>козий сыр</x:v>
      </x:c>
      <x:c r="D232" s="28" t="str">
        <x:v>Молочные продукты и сыры</x:v>
      </x:c>
      <x:c r="E232" s="28" t="str">
        <x:v>контраст/комплементарность + матричный эффект</x:v>
      </x:c>
      <x:c r="F23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3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32" s="28" t="str">
        <x:v>Высокая кислотность может свернуть молочный белок; смешивать при контролируемой температуре.</x:v>
      </x:c>
      <x:c r="I232" s="28" t="str">
        <x:v>сорбет, крем, ганаш, выпечка, джем или соус для десерта; соус, глазировка, салат, сырная подача или горячее блюдо</x:v>
      </x:c>
      <x:c r="J232" s="28" t="str">
        <x:v>Средняя</x:v>
      </x:c>
      <x:c r="K232" s="28" t="str">
        <x:v>The Art &amp; Science of Foodpairing</x:v>
      </x:c>
      <x:c r="L232" s="28" t="str">
        <x:v>The Art &amp; Science of Foodpairing: 200</x:v>
      </x:c>
    </x:row>
    <x:row r="233" ht="62" customHeight="1">
      <x:c r="A233" s="28" t="str">
        <x:v>BER-0616</x:v>
      </x:c>
      <x:c r="B233" s="28" t="str">
        <x:v>сушёные ягоды годжи</x:v>
      </x:c>
      <x:c r="C233" s="28" t="str">
        <x:v>устрица</x:v>
      </x:c>
      <x:c r="D233" s="28" t="str">
        <x:v>Рыба и морепродукты</x:v>
      </x:c>
      <x:c r="E233" s="28" t="str">
        <x:v>контраст/комплементарность + матричный эффект</x:v>
      </x:c>
      <x:c r="F23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3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3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3" s="28" t="str">
        <x:v>соус, глазировка, салат, сырная подача или горячее блюдо; маринад, гастрик, чатни, кетчуп или редукция</x:v>
      </x:c>
      <x:c r="J233" s="28" t="str">
        <x:v>Средняя</x:v>
      </x:c>
      <x:c r="K233" s="28" t="str">
        <x:v>The Art &amp; Science of Foodpairing</x:v>
      </x:c>
      <x:c r="L233" s="28" t="str">
        <x:v>The Art &amp; Science of Foodpairing: 370</x:v>
      </x:c>
    </x:row>
    <x:row r="234" ht="62" customHeight="1">
      <x:c r="A234" s="28" t="str">
        <x:v>BER-0621</x:v>
      </x:c>
      <x:c r="B234" s="28" t="str">
        <x:v>черешня</x:v>
      </x:c>
      <x:c r="C234" s="28" t="str">
        <x:v>голубой сыр</x:v>
      </x:c>
      <x:c r="D234" s="28" t="str">
        <x:v>Молочные продукты и сыры</x:v>
      </x:c>
      <x:c r="E234" s="28" t="str">
        <x:v>контраст/комплементарность + матричный эффект</x:v>
      </x:c>
      <x:c r="F23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3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34" s="28" t="str">
        <x:v>Не использовать повреждённые косточки без валидированной технологии: они содержат цианогенные гликозиды. Высокая кислотность может свернуть молочный белок; смешивать при контролируемой температуре.</x:v>
      </x:c>
      <x:c r="I234" s="28" t="str">
        <x:v>сорбет, крем, ганаш, выпечка, джем или соус для десерта; соус, глазировка, салат, сырная подача или горячее блюдо</x:v>
      </x:c>
      <x:c r="J234" s="28" t="str">
        <x:v>Средняя</x:v>
      </x:c>
      <x:c r="K234" s="28" t="str">
        <x:v>The Art &amp; Science of Foodpairing</x:v>
      </x:c>
      <x:c r="L234" s="28" t="str">
        <x:v>The Art &amp; Science of Foodpairing: 164</x:v>
      </x:c>
    </x:row>
    <x:row r="235" ht="62" customHeight="1">
      <x:c r="A235" s="28" t="str">
        <x:v>BER-0622</x:v>
      </x:c>
      <x:c r="B235" s="28" t="str">
        <x:v>черешня</x:v>
      </x:c>
      <x:c r="C235" s="28" t="str">
        <x:v>доджанг</x:v>
      </x:c>
      <x:c r="D235" s="28" t="str">
        <x:v>Ферментированные продукты, соусы и уксусы</x:v>
      </x:c>
      <x:c r="E235" s="28" t="str">
        <x:v>ароматическое сходство + вкусовой баланс</x:v>
      </x:c>
      <x:c r="F235" s="28" t="str">
        <x:v>Прямой вероятный молекулярный мост: эфиры. Ягодный компонент несёт семейства миндальный, сладко-фруктовый, цветочный; партнёр — кислый, умами, ферментированный. Оба компонента формируют сладкий, умеренно кислый и кислый/солёный/умами контур; сахар, кислота и горечь должны быть выровнены дегустацией. Ягода: нежнее кислой вишни; легко становится приторной.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5" s="28" t="str">
        <x:v>Не использовать повреждённые косточки без валидированной технологии: они содержат цианогенные гликозиды.</x:v>
      </x:c>
      <x:c r="I235" s="28" t="str">
        <x:v>соус, глазировка, салат, сырная подача или горячее блюдо; маринад, гастрик, чатни, кетчуп или редукция</x:v>
      </x:c>
      <x:c r="J235" s="28" t="str">
        <x:v>Средняя</x:v>
      </x:c>
      <x:c r="K235" s="28" t="str">
        <x:v>The Art &amp; Science of Foodpairing</x:v>
      </x:c>
      <x:c r="L235" s="28" t="str">
        <x:v>The Art &amp; Science of Foodpairing: 246</x:v>
      </x:c>
    </x:row>
    <x:row r="236" ht="62" customHeight="1">
      <x:c r="A236" s="28" t="str">
        <x:v>BER-0623</x:v>
      </x:c>
      <x:c r="B236" s="28" t="str">
        <x:v>черешня</x:v>
      </x:c>
      <x:c r="C236" s="28" t="str">
        <x:v>имбирь</x:v>
      </x:c>
      <x:c r="D236" s="28" t="str">
        <x:v>Специи</x:v>
      </x:c>
      <x:c r="E236" s="28" t="str">
        <x:v>контраст/комплементарность + матричный эффект</x:v>
      </x:c>
      <x:c r="F23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6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23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36" s="28" t="str">
        <x:v>Средняя</x:v>
      </x:c>
      <x:c r="K236" s="28" t="str">
        <x:v>The Art &amp; Science of Foodpairing</x:v>
      </x:c>
      <x:c r="L236" s="28" t="str">
        <x:v>The Art &amp; Science of Foodpairing: 142</x:v>
      </x:c>
    </x:row>
    <x:row r="237" ht="62" customHeight="1">
      <x:c r="A237" s="28" t="str">
        <x:v>BER-0628</x:v>
      </x:c>
      <x:c r="B237" s="28" t="str">
        <x:v>черешня</x:v>
      </x:c>
      <x:c r="C237" s="28" t="str">
        <x:v>морковь</x:v>
      </x:c>
      <x:c r="D237" s="28" t="str">
        <x:v>Овощи и грибы</x:v>
      </x:c>
      <x:c r="E237" s="28" t="str">
        <x:v>контраст/комплементарность + матричный эффект</x:v>
      </x:c>
      <x:c r="F23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зелёный, землистый, сернистый. Оба компонента формируют сладкий, умеренно кислый и растительный, иногда умами контур; сахар, кислота и горечь должны быть выровнены дегустацией. Ягода: нежнее кислой вишни; легко становится приторной.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3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37" s="28" t="str">
        <x:v>Не использовать повреждённые косточки без валидированной технологии: они содержат цианогенные гликозиды.</x:v>
      </x:c>
      <x:c r="I237" s="28" t="str">
        <x:v>соус, глазировка, салат, сырная подача или горячее блюдо; маринад, гастрик, чатни, кетчуп или редукция</x:v>
      </x:c>
      <x:c r="J237" s="28" t="str">
        <x:v>Средняя</x:v>
      </x:c>
      <x:c r="K237" s="28" t="str">
        <x:v>The Art &amp; Science of Foodpairing</x:v>
      </x:c>
      <x:c r="L237" s="28" t="str">
        <x:v>The Art &amp; Science of Foodpairing: 233</x:v>
      </x:c>
    </x:row>
    <x:row r="238" ht="62" customHeight="1">
      <x:c r="A238" s="28" t="str">
        <x:v>BER-0629</x:v>
      </x:c>
      <x:c r="B238" s="28" t="str">
        <x:v>черешня</x:v>
      </x:c>
      <x:c r="C238" s="28" t="str">
        <x:v>огурец</x:v>
      </x:c>
      <x:c r="D238" s="28" t="str">
        <x:v>Овощи и грибы</x:v>
      </x:c>
      <x:c r="E238" s="28" t="str">
        <x:v>контраст/комплементарность + матричный эффект</x:v>
      </x:c>
      <x:c r="F23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зелёный, землистый, сернистый. Оба компонента формируют сладкий, умеренно кислый и растительный, иногда умами контур; сахар, кислота и горечь должны быть выровнены дегустацией. Ягода: нежнее кислой вишни; легко становится приторной.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3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38" s="28" t="str">
        <x:v>Не использовать повреждённые косточки без валидированной технологии: они содержат цианогенные гликозиды.</x:v>
      </x:c>
      <x:c r="I238" s="28" t="str">
        <x:v>соус, глазировка, салат, сырная подача или горячее блюдо; маринад, гастрик, чатни, кетчуп или редукция</x:v>
      </x:c>
      <x:c r="J238" s="28" t="str">
        <x:v>Средняя</x:v>
      </x:c>
      <x:c r="K238" s="28" t="str">
        <x:v>The Art &amp; Science of Foodpairing</x:v>
      </x:c>
      <x:c r="L238" s="28" t="str">
        <x:v>The Art &amp; Science of Foodpairing: 268</x:v>
      </x:c>
    </x:row>
    <x:row r="239" ht="62" customHeight="1">
      <x:c r="A239" s="28" t="str">
        <x:v>BER-0630</x:v>
      </x:c>
      <x:c r="B239" s="28" t="str">
        <x:v>черешня</x:v>
      </x:c>
      <x:c r="C239" s="28" t="str">
        <x:v>оливковое масло</x:v>
      </x:c>
      <x:c r="D239" s="28" t="str">
        <x:v>Молочные продукты и сыры</x:v>
      </x:c>
      <x:c r="E239" s="28" t="str">
        <x:v>контраст/комплементарность + матричный эффект</x:v>
      </x:c>
      <x:c r="F23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3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39" s="28" t="str">
        <x:v>Не использовать повреждённые косточки без валидированной технологии: они содержат цианогенные гликозиды. Высокая кислотность может свернуть молочный белок; смешивать при контролируемой температуре.</x:v>
      </x:c>
      <x:c r="I239" s="28" t="str">
        <x:v>сорбет, крем, ганаш, выпечка, джем или соус для десерта; соус, глазировка, салат, сырная подача или горячее блюдо</x:v>
      </x:c>
      <x:c r="J239" s="28" t="str">
        <x:v>Средняя</x:v>
      </x:c>
      <x:c r="K239" s="28" t="str">
        <x:v>The Art &amp; Science of Foodpairing</x:v>
      </x:c>
      <x:c r="L239" s="28" t="str">
        <x:v>The Art &amp; Science of Foodpairing: 172</x:v>
      </x:c>
    </x:row>
    <x:row r="240" ht="62" customHeight="1">
      <x:c r="A240" s="28" t="str">
        <x:v>BER-0631</x:v>
      </x:c>
      <x:c r="B240" s="28" t="str">
        <x:v>черешня</x:v>
      </x:c>
      <x:c r="C240" s="28" t="str">
        <x:v>перец чили</x:v>
      </x:c>
      <x:c r="D240" s="28" t="str">
        <x:v>Специи</x:v>
      </x:c>
      <x:c r="E240" s="28" t="str">
        <x:v>контраст/комплементарность + матричный эффект</x:v>
      </x:c>
      <x:c r="F24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0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24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40" s="28" t="str">
        <x:v>Средняя</x:v>
      </x:c>
      <x:c r="K240" s="28" t="str">
        <x:v>The Art &amp; Science of Foodpairing</x:v>
      </x:c>
      <x:c r="L240" s="28" t="str">
        <x:v>The Art &amp; Science of Foodpairing: 95</x:v>
      </x:c>
    </x:row>
    <x:row r="241" ht="62" customHeight="1">
      <x:c r="A241" s="28" t="str">
        <x:v>BER-0634</x:v>
      </x:c>
      <x:c r="B241" s="28" t="str">
        <x:v>черешня</x:v>
      </x:c>
      <x:c r="C241" s="28" t="str">
        <x:v>томат</x:v>
      </x:c>
      <x:c r="D241" s="28" t="str">
        <x:v>Овощи и грибы</x:v>
      </x:c>
      <x:c r="E241" s="28" t="str">
        <x:v>контраст/комплементарность + матричный эффект</x:v>
      </x:c>
      <x:c r="F24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зелёный, землистый, сернистый. Оба компонента формируют сладкий, умеренно кислый и растительный, иногда умами контур; сахар, кислота и горечь должны быть выровнены дегустацией. Ягода: нежнее кислой вишни; легко становится приторной.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4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41" s="28" t="str">
        <x:v>Не использовать повреждённые косточки без валидированной технологии: они содержат цианогенные гликозиды.</x:v>
      </x:c>
      <x:c r="I241" s="28" t="str">
        <x:v>соус, глазировка, салат, сырная подача или горячее блюдо; маринад, гастрик, чатни, кетчуп или редукция</x:v>
      </x:c>
      <x:c r="J241" s="28" t="str">
        <x:v>Средняя</x:v>
      </x:c>
      <x:c r="K241" s="28" t="str">
        <x:v>The Art &amp; Science of Foodpairing</x:v>
      </x:c>
      <x:c r="L241" s="28" t="str">
        <x:v>The Art &amp; Science of Foodpairing: 161</x:v>
      </x:c>
    </x:row>
    <x:row r="242" ht="62" customHeight="1">
      <x:c r="A242" s="28" t="str">
        <x:v>BER-0635</x:v>
      </x:c>
      <x:c r="B242" s="28" t="str">
        <x:v>черешня</x:v>
      </x:c>
      <x:c r="C242" s="28" t="str">
        <x:v>трюфель</x:v>
      </x:c>
      <x:c r="D242" s="28" t="str">
        <x:v>Овощи и грибы</x:v>
      </x:c>
      <x:c r="E242" s="28" t="str">
        <x:v>контраст/комплементарность + матричный эффект</x:v>
      </x:c>
      <x:c r="F24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зелёный, землистый, сернистый. Оба компонента формируют сладкий, умеренно кислый и растительный, иногда умами контур; сахар, кислота и горечь должны быть выровнены дегустацией. Ягода: нежнее кислой вишни; легко становится приторной.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4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42" s="28" t="str">
        <x:v>Не использовать повреждённые косточки без валидированной технологии: они содержат цианогенные гликозиды.</x:v>
      </x:c>
      <x:c r="I242" s="28" t="str">
        <x:v>соус, глазировка, салат, сырная подача или горячее блюдо; маринад, гастрик, чатни, кетчуп или редукция</x:v>
      </x:c>
      <x:c r="J242" s="28" t="str">
        <x:v>Средняя</x:v>
      </x:c>
      <x:c r="K242" s="28" t="str">
        <x:v>The Art &amp; Science of Foodpairing</x:v>
      </x:c>
      <x:c r="L242" s="28" t="str">
        <x:v>The Art &amp; Science of Foodpairing: 193</x:v>
      </x:c>
    </x:row>
    <x:row r="243" ht="62" customHeight="1">
      <x:c r="A243" s="28" t="str">
        <x:v>BER-0636</x:v>
      </x:c>
      <x:c r="B243" s="28" t="str">
        <x:v>черешня</x:v>
      </x:c>
      <x:c r="C243" s="28" t="str">
        <x:v>устрица</x:v>
      </x:c>
      <x:c r="D243" s="28" t="str">
        <x:v>Рыба и морепродукты</x:v>
      </x:c>
      <x:c r="E243" s="28" t="str">
        <x:v>контраст/комплементарность + матричный эффект</x:v>
      </x:c>
      <x:c r="F24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4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43" s="28" t="str">
        <x:v>Не использовать повреждённые косточки без валидированной технологии: они содержат цианогенные гликозиды.</x:v>
      </x:c>
      <x:c r="I243" s="28" t="str">
        <x:v>соус, глазировка, салат, сырная подача или горячее блюдо; маринад, гастрик, чатни, кетчуп или редукция</x:v>
      </x:c>
      <x:c r="J243" s="28" t="str">
        <x:v>Средняя</x:v>
      </x:c>
      <x:c r="K243" s="28" t="str">
        <x:v>The Art &amp; Science of Foodpairing</x:v>
      </x:c>
      <x:c r="L243" s="28" t="str">
        <x:v>The Art &amp; Science of Foodpairing: 370</x:v>
      </x:c>
    </x:row>
    <x:row r="244" ht="62" customHeight="1">
      <x:c r="A244" s="28" t="str">
        <x:v>BER-0639</x:v>
      </x:c>
      <x:c r="B244" s="28" t="str">
        <x:v>чёрная смородина</x:v>
      </x:c>
      <x:c r="C244" s="28" t="str">
        <x:v>анис</x:v>
      </x:c>
      <x:c r="D244" s="28" t="str">
        <x:v>Специи</x:v>
      </x:c>
      <x:c r="E244" s="28" t="str">
        <x:v>ароматическое сходство + вкусовой баланс</x:v>
      </x:c>
      <x:c r="F244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4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I24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44" s="28" t="str">
        <x:v>Высокая</x:v>
      </x:c>
      <x:c r="K244" s="28" t="str">
        <x:v>Тезариус вкусов</x:v>
      </x:c>
      <x:c r="L244" s="28" t="str">
        <x:v>Тезариус вкусов: 488, 873</x:v>
      </x:c>
    </x:row>
    <x:row r="245" ht="62" customHeight="1">
      <x:c r="A245" s="28" t="str">
        <x:v>BER-0641</x:v>
      </x:c>
      <x:c r="B245" s="28" t="str">
        <x:v>чёрная смородина</x:v>
      </x:c>
      <x:c r="C245" s="28" t="str">
        <x:v>базилик</x:v>
      </x:c>
      <x:c r="D245" s="28" t="str">
        <x:v>Травы и цветы</x:v>
      </x:c>
      <x:c r="E245" s="28" t="str">
        <x:v>ароматическое сходство + вкусовой баланс</x:v>
      </x:c>
      <x:c r="F245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5" s="28" t="str">
        <x:v>Тиольный профиль чёрной смородины легко доминирует и при избытке становится сернисто-«кошачьим».</x:v>
      </x:c>
      <x:c r="I24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45" s="28" t="str">
        <x:v>Высокая</x:v>
      </x:c>
      <x:c r="K245" s="28" t="str">
        <x:v>The Art &amp; Science of Foodpairing; Таблица сочетаний</x:v>
      </x:c>
      <x:c r="L245" s="28" t="str">
        <x:v>The Art &amp; Science of Foodpairing: 74; Таблица сочетаний: 2</x:v>
      </x:c>
    </x:row>
    <x:row r="246" ht="62" customHeight="1">
      <x:c r="A246" s="28" t="str">
        <x:v>BER-0642</x:v>
      </x:c>
      <x:c r="B246" s="28" t="str">
        <x:v>чёрная смородина</x:v>
      </x:c>
      <x:c r="C246" s="28" t="str">
        <x:v>голубой сыр</x:v>
      </x:c>
      <x:c r="D246" s="28" t="str">
        <x:v>Молочные продукты и сыры</x:v>
      </x:c>
      <x:c r="E246" s="28" t="str">
        <x:v>контраст/комплементарность + матричный эффект</x:v>
      </x:c>
      <x:c r="F24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4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46" s="28" t="str">
        <x:v>Тиольный профиль чёрной смородины легко доминирует и при избытке становится сернисто-«кошачьим». Высокая кислотность может свернуть молочный белок; смешивать при контролируемой температуре.</x:v>
      </x:c>
      <x:c r="I246" s="28" t="str">
        <x:v>сорбет, крем, ганаш, выпечка, джем или соус для десерта; соус, глазировка, салат, сырная подача или горячее блюдо</x:v>
      </x:c>
      <x:c r="J246" s="28" t="str">
        <x:v>Средняя</x:v>
      </x:c>
      <x:c r="K246" s="28" t="str">
        <x:v>The Art &amp; Science of Foodpairing</x:v>
      </x:c>
      <x:c r="L246" s="28" t="str">
        <x:v>The Art &amp; Science of Foodpairing: 164</x:v>
      </x:c>
    </x:row>
    <x:row r="247" ht="62" customHeight="1">
      <x:c r="A247" s="28" t="str">
        <x:v>BER-0646</x:v>
      </x:c>
      <x:c r="B247" s="28" t="str">
        <x:v>чёрная смородина</x:v>
      </x:c>
      <x:c r="C247" s="28" t="str">
        <x:v>зелёная фасоль</x:v>
      </x:c>
      <x:c r="D247" s="28" t="str">
        <x:v>Овощи и грибы</x:v>
      </x:c>
      <x:c r="E247" s="28" t="str">
        <x:v>сходство ароматических семейств + комплементарность</x:v>
      </x:c>
      <x:c r="F247" s="28" t="str">
        <x:v>Общие ароматические семейства: зелёный, сернистый; конкретная доля одорантов зависит от сорта и обработки. Ягодный компонент несёт семейства зелёный, листовой, сернистый, тёмно-фруктовый, цветочный; партнёр — зелёный, землистый, сернистый. Оба компонента формируют ярко-кислый, терпкий и растительный, иногда умами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4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47" s="28" t="str">
        <x:v>Тиольный профиль чёрной смородины легко доминирует и при избытке становится сернисто-«кошачьим».</x:v>
      </x:c>
      <x:c r="I247" s="28" t="str">
        <x:v>соус, глазировка, салат, сырная подача или горячее блюдо; маринад, гастрик, чатни, кетчуп или редукция</x:v>
      </x:c>
      <x:c r="J247" s="28" t="str">
        <x:v>Средняя</x:v>
      </x:c>
      <x:c r="K247" s="28" t="str">
        <x:v>The Art &amp; Science of Foodpairing</x:v>
      </x:c>
      <x:c r="L247" s="28" t="str">
        <x:v>The Art &amp; Science of Foodpairing: 321</x:v>
      </x:c>
    </x:row>
    <x:row r="248" ht="62" customHeight="1">
      <x:c r="A248" s="28" t="str">
        <x:v>BER-0647</x:v>
      </x:c>
      <x:c r="B248" s="28" t="str">
        <x:v>чёрная смородина</x:v>
      </x:c>
      <x:c r="C248" s="28" t="str">
        <x:v>имбирь</x:v>
      </x:c>
      <x:c r="D248" s="28" t="str">
        <x:v>Специи</x:v>
      </x:c>
      <x:c r="E248" s="28" t="str">
        <x:v>ароматическое сходство + вкусовой баланс</x:v>
      </x:c>
      <x:c r="F248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8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I24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48" s="28" t="str">
        <x:v>Средняя</x:v>
      </x:c>
      <x:c r="K248" s="28" t="str">
        <x:v>Таблица сочетаний</x:v>
      </x:c>
      <x:c r="L248" s="28" t="str">
        <x:v>Таблица сочетаний: 2</x:v>
      </x:c>
    </x:row>
    <x:row r="249" ht="62" customHeight="1">
      <x:c r="A249" s="28" t="str">
        <x:v>BER-0650</x:v>
      </x:c>
      <x:c r="B249" s="28" t="str">
        <x:v>чёрная смородина</x:v>
      </x:c>
      <x:c r="C249" s="28" t="str">
        <x:v>красный сладкий перец</x:v>
      </x:c>
      <x:c r="D249" s="28" t="str">
        <x:v>Специи</x:v>
      </x:c>
      <x:c r="E249" s="28" t="str">
        <x:v>ароматическое сходство + вкусовой баланс</x:v>
      </x:c>
      <x:c r="F249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9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I24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49" s="28" t="str">
        <x:v>Средняя</x:v>
      </x:c>
      <x:c r="K249" s="28" t="str">
        <x:v>The Art &amp; Science of Foodpairing</x:v>
      </x:c>
      <x:c r="L249" s="28" t="str">
        <x:v>The Art &amp; Science of Foodpairing: 109</x:v>
      </x:c>
    </x:row>
    <x:row r="250" ht="62" customHeight="1">
      <x:c r="A250" s="28" t="str">
        <x:v>BER-0655</x:v>
      </x:c>
      <x:c r="B250" s="28" t="str">
        <x:v>чёрная смородина</x:v>
      </x:c>
      <x:c r="C250" s="28" t="str">
        <x:v>морковь</x:v>
      </x:c>
      <x:c r="D250" s="28" t="str">
        <x:v>Овощи и грибы</x:v>
      </x:c>
      <x:c r="E250" s="28" t="str">
        <x:v>сходство ароматических семейств + комплементарность</x:v>
      </x:c>
      <x:c r="F250" s="28" t="str">
        <x:v>Общие ароматические семейства: зелёный, сернистый; конкретная доля одорантов зависит от сорта и обработки. Ягодный компонент несёт семейства зелёный, листовой, сернистый, тёмно-фруктовый, цветочный; партнёр — зелёный, землистый, сернистый. Оба компонента формируют ярко-кислый, терпкий и растительный, иногда умами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5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50" s="28" t="str">
        <x:v>Тиольный профиль чёрной смородины легко доминирует и при избытке становится сернисто-«кошачьим».</x:v>
      </x:c>
      <x:c r="I250" s="28" t="str">
        <x:v>соус, глазировка, салат, сырная подача или горячее блюдо; маринад, гастрик, чатни, кетчуп или редукция</x:v>
      </x:c>
      <x:c r="J250" s="28" t="str">
        <x:v>Средняя</x:v>
      </x:c>
      <x:c r="K250" s="28" t="str">
        <x:v>Таблица сочетаний</x:v>
      </x:c>
      <x:c r="L250" s="28" t="str">
        <x:v>Таблица сочетаний: 2</x:v>
      </x:c>
    </x:row>
    <x:row r="251" ht="62" customHeight="1">
      <x:c r="A251" s="28" t="str">
        <x:v>BER-0656</x:v>
      </x:c>
      <x:c r="B251" s="28" t="str">
        <x:v>чёрная смородина</x:v>
      </x:c>
      <x:c r="C251" s="28" t="str">
        <x:v>мягкий сыр</x:v>
      </x:c>
      <x:c r="D251" s="28" t="str">
        <x:v>Молочные продукты и сыры</x:v>
      </x:c>
      <x:c r="E251" s="28" t="str">
        <x:v>контраст/комплементарность + матричный эффект</x:v>
      </x:c>
      <x:c r="F25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5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51" s="28" t="str">
        <x:v>Тиольный профиль чёрной смородины легко доминирует и при избытке становится сернисто-«кошачьим». Высокая кислотность может свернуть молочный белок; смешивать при контролируемой температуре.</x:v>
      </x:c>
      <x:c r="I251" s="28" t="str">
        <x:v>сорбет, крем, ганаш, выпечка, джем или соус для десерта; соус, глазировка, салат, сырная подача или горячее блюдо</x:v>
      </x:c>
      <x:c r="J251" s="28" t="str">
        <x:v>Высокая</x:v>
      </x:c>
      <x:c r="K251" s="28" t="str">
        <x:v>Тезариус вкусов</x:v>
      </x:c>
      <x:c r="L251" s="28" t="str">
        <x:v>Тезариус вкусов: 188, 878</x:v>
      </x:c>
    </x:row>
    <x:row r="252" ht="62" customHeight="1">
      <x:c r="A252" s="28" t="str">
        <x:v>BER-0657</x:v>
      </x:c>
      <x:c r="B252" s="28" t="str">
        <x:v>чёрная смородина</x:v>
      </x:c>
      <x:c r="C252" s="28" t="str">
        <x:v>мята</x:v>
      </x:c>
      <x:c r="D252" s="28" t="str">
        <x:v>Травы и цветы</x:v>
      </x:c>
      <x:c r="E252" s="28" t="str">
        <x:v>ароматическое сходство + вкусовой баланс</x:v>
      </x:c>
      <x:c r="F252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2" s="28" t="str">
        <x:v>Тиольный профиль чёрной смородины легко доминирует и при избытке становится сернисто-«кошачьим».</x:v>
      </x:c>
      <x:c r="I25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52" s="28" t="str">
        <x:v>Высокая</x:v>
      </x:c>
      <x:c r="K252" s="28" t="str">
        <x:v>Таблица сочетаний; Тезариус вкусов</x:v>
      </x:c>
      <x:c r="L252" s="28" t="str">
        <x:v>Тезариус вкусов: 870, 878; Таблица сочетаний: 2</x:v>
      </x:c>
    </x:row>
    <x:row r="253" ht="62" customHeight="1">
      <x:c r="A253" s="28" t="str">
        <x:v>BER-0658</x:v>
      </x:c>
      <x:c r="B253" s="28" t="str">
        <x:v>чёрная смородина</x:v>
      </x:c>
      <x:c r="C253" s="28" t="str">
        <x:v>пармиджано-реджано</x:v>
      </x:c>
      <x:c r="D253" s="28" t="str">
        <x:v>Рыба и морепродукты</x:v>
      </x:c>
      <x:c r="E253" s="28" t="str">
        <x:v>контраст/комплементарность + матричный эффект</x:v>
      </x:c>
      <x:c r="F25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5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53" s="28" t="str">
        <x:v>Тиольный профиль чёрной смородины легко доминирует и при избытке становится сернисто-«кошачьим».</x:v>
      </x:c>
      <x:c r="I253" s="28" t="str">
        <x:v>соус, глазировка, салат, сырная подача или горячее блюдо; маринад, гастрик, чатни, кетчуп или редукция</x:v>
      </x:c>
      <x:c r="J253" s="28" t="str">
        <x:v>Средняя</x:v>
      </x:c>
      <x:c r="K253" s="28" t="str">
        <x:v>The Art &amp; Science of Foodpairing</x:v>
      </x:c>
      <x:c r="L253" s="28" t="str">
        <x:v>The Art &amp; Science of Foodpairing: 282, 283</x:v>
      </x:c>
    </x:row>
    <x:row r="254" ht="62" customHeight="1">
      <x:c r="A254" s="28" t="str">
        <x:v>BER-0659</x:v>
      </x:c>
      <x:c r="B254" s="28" t="str">
        <x:v>чёрная смородина</x:v>
      </x:c>
      <x:c r="C254" s="28" t="str">
        <x:v>перец</x:v>
      </x:c>
      <x:c r="D254" s="28" t="str">
        <x:v>Специи</x:v>
      </x:c>
      <x:c r="E254" s="28" t="str">
        <x:v>ароматическое сходство + вкусовой баланс</x:v>
      </x:c>
      <x:c r="F254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4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I25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54" s="28" t="str">
        <x:v>Средняя</x:v>
      </x:c>
      <x:c r="K254" s="28" t="str">
        <x:v>Таблица сочетаний</x:v>
      </x:c>
      <x:c r="L254" s="28" t="str">
        <x:v>Таблица сочетаний: 2</x:v>
      </x:c>
    </x:row>
    <x:row r="255" ht="62" customHeight="1">
      <x:c r="A255" s="28" t="str">
        <x:v>BER-0661</x:v>
      </x:c>
      <x:c r="B255" s="28" t="str">
        <x:v>чёрная смородина</x:v>
      </x:c>
      <x:c r="C255" s="28" t="str">
        <x:v>розмарин</x:v>
      </x:c>
      <x:c r="D255" s="28" t="str">
        <x:v>Травы и цветы</x:v>
      </x:c>
      <x:c r="E255" s="28" t="str">
        <x:v>ароматическое сходство + вкусовой баланс</x:v>
      </x:c>
      <x:c r="F255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5" s="28" t="str">
        <x:v>Тиольный профиль чёрной смородины легко доминирует и при избытке становится сернисто-«кошачьим».</x:v>
      </x:c>
      <x:c r="I25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55" s="28" t="str">
        <x:v>Средняя</x:v>
      </x:c>
      <x:c r="K255" s="28" t="str">
        <x:v>Таблица сочетаний</x:v>
      </x:c>
      <x:c r="L255" s="28" t="str">
        <x:v>Таблица сочетаний: 2</x:v>
      </x:c>
    </x:row>
    <x:row r="256" ht="62" customHeight="1">
      <x:c r="A256" s="28" t="str">
        <x:v>BER-0662</x:v>
      </x:c>
      <x:c r="B256" s="28" t="str">
        <x:v>чёрная смородина</x:v>
      </x:c>
      <x:c r="C256" s="28" t="str">
        <x:v>рыба</x:v>
      </x:c>
      <x:c r="D256" s="28" t="str">
        <x:v>Рыба и морепродукты</x:v>
      </x:c>
      <x:c r="E256" s="28" t="str">
        <x:v>контраст/комплементарность + матричный эффект</x:v>
      </x:c>
      <x:c r="F25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5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56" s="28" t="str">
        <x:v>Тиольный профиль чёрной смородины легко доминирует и при избытке становится сернисто-«кошачьим».</x:v>
      </x:c>
      <x:c r="I256" s="28" t="str">
        <x:v>соус, глазировка, салат, сырная подача или горячее блюдо; маринад, гастрик, чатни, кетчуп или редукция</x:v>
      </x:c>
      <x:c r="J256" s="28" t="str">
        <x:v>Средняя</x:v>
      </x:c>
      <x:c r="K256" s="28" t="str">
        <x:v>The Art &amp; Science of Foodpairing</x:v>
      </x:c>
      <x:c r="L256" s="28" t="str">
        <x:v>The Art &amp; Science of Foodpairing: 104</x:v>
      </x:c>
    </x:row>
    <x:row r="257" ht="62" customHeight="1">
      <x:c r="A257" s="28" t="str">
        <x:v>BER-0663</x:v>
      </x:c>
      <x:c r="B257" s="28" t="str">
        <x:v>чёрная смородина</x:v>
      </x:c>
      <x:c r="C257" s="28" t="str">
        <x:v>свёкла</x:v>
      </x:c>
      <x:c r="D257" s="28" t="str">
        <x:v>Овощи и грибы</x:v>
      </x:c>
      <x:c r="E257" s="28" t="str">
        <x:v>сходство ароматических семейств + комплементарность</x:v>
      </x:c>
      <x:c r="F257" s="28" t="str">
        <x:v>Общие ароматические семейства: зелёный, сернистый; конкретная доля одорантов зависит от сорта и обработки. Ягодный компонент несёт семейства зелёный, листовой, сернистый, тёмно-фруктовый, цветочный; партнёр — зелёный, землистый, сернистый. Оба компонента формируют ярко-кислый, терпкий и растительный, иногда умами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5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57" s="28" t="str">
        <x:v>Тиольный профиль чёрной смородины легко доминирует и при избытке становится сернисто-«кошачьим».</x:v>
      </x:c>
      <x:c r="I257" s="28" t="str">
        <x:v>соус, глазировка, салат, сырная подача или горячее блюдо; маринад, гастрик, чатни, кетчуп или редукция</x:v>
      </x:c>
      <x:c r="J257" s="28" t="str">
        <x:v>Средняя</x:v>
      </x:c>
      <x:c r="K257" s="28" t="str">
        <x:v>The Art &amp; Science of Foodpairing</x:v>
      </x:c>
      <x:c r="L257" s="28" t="str">
        <x:v>The Art &amp; Science of Foodpairing: 224</x:v>
      </x:c>
    </x:row>
    <x:row r="258" ht="62" customHeight="1">
      <x:c r="A258" s="28" t="str">
        <x:v>BER-0664</x:v>
      </x:c>
      <x:c r="B258" s="28" t="str">
        <x:v>чёрная смородина</x:v>
      </x:c>
      <x:c r="C258" s="28" t="str">
        <x:v>соевый соус</x:v>
      </x:c>
      <x:c r="D258" s="28" t="str">
        <x:v>Ферментированные продукты, соусы и уксусы</x:v>
      </x:c>
      <x:c r="E258" s="28" t="str">
        <x:v>контраст/комплементарность + матричный эффект</x:v>
      </x:c>
      <x:c r="F25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кислый, умами, ферментированный. Оба компонента формируют ярко-кислый, терпкий и кислый/солёный/умами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8" s="28" t="str">
        <x:v>Тиольный профиль чёрной смородины легко доминирует и при избытке становится сернисто-«кошачьим».</x:v>
      </x:c>
      <x:c r="I258" s="28" t="str">
        <x:v>соус, глазировка, салат, сырная подача или горячее блюдо; маринад, гастрик, чатни, кетчуп или редукция</x:v>
      </x:c>
      <x:c r="J258" s="28" t="str">
        <x:v>Средняя</x:v>
      </x:c>
      <x:c r="K258" s="28" t="str">
        <x:v>The Art &amp; Science of Foodpairing</x:v>
      </x:c>
      <x:c r="L258" s="28" t="str">
        <x:v>The Art &amp; Science of Foodpairing: 300</x:v>
      </x:c>
    </x:row>
    <x:row r="259" ht="62" customHeight="1">
      <x:c r="A259" s="28" t="str">
        <x:v>BER-0666</x:v>
      </x:c>
      <x:c r="B259" s="28" t="str">
        <x:v>чёрная смородина</x:v>
      </x:c>
      <x:c r="C259" s="28" t="str">
        <x:v>хамон иберико</x:v>
      </x:c>
      <x:c r="D259" s="28" t="str">
        <x:v>Мясо и птица</x:v>
      </x:c>
      <x:c r="E259" s="28" t="str">
        <x:v>сходство ароматических семейств + комплементарность</x:v>
      </x:c>
      <x:c r="F259" s="28" t="str">
        <x:v>Общие ароматические семейства: сернистый; конкретная доля одорантов зависит от сорта и обработки. Ягодный компонент несёт семейства зелёный, листовой, сернистый, тёмно-фруктовый,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5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59" s="28" t="str">
        <x:v>Тиольный профиль чёрной смородины легко доминирует и при избытке становится сернисто-«кошачьим».</x:v>
      </x:c>
      <x:c r="I259" s="28" t="str">
        <x:v>соус, глазировка, салат, сырная подача или горячее блюдо; маринад, гастрик, чатни, кетчуп или редукция</x:v>
      </x:c>
      <x:c r="J259" s="28" t="str">
        <x:v>Средняя</x:v>
      </x:c>
      <x:c r="K259" s="28" t="str">
        <x:v>The Art &amp; Science of Foodpairing</x:v>
      </x:c>
      <x:c r="L259" s="28" t="str">
        <x:v>The Art &amp; Science of Foodpairing: 279</x:v>
      </x:c>
    </x:row>
    <x:row r="260" ht="62" customHeight="1">
      <x:c r="A260" s="28" t="str">
        <x:v>BER-0667</x:v>
      </x:c>
      <x:c r="B260" s="28" t="str">
        <x:v>чёрная смородина</x:v>
      </x:c>
      <x:c r="C260" s="28" t="str">
        <x:v>цветная капуста</x:v>
      </x:c>
      <x:c r="D260" s="28" t="str">
        <x:v>Травы и цветы</x:v>
      </x:c>
      <x:c r="E260" s="28" t="str">
        <x:v>ароматическое сходство + вкусовой баланс</x:v>
      </x:c>
      <x:c r="F260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0" s="28" t="str">
        <x:v>Тиольный профиль чёрной смородины легко доминирует и при избытке становится сернисто-«кошачьим».</x:v>
      </x:c>
      <x:c r="I26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60" s="28" t="str">
        <x:v>Средняя</x:v>
      </x:c>
      <x:c r="K260" s="28" t="str">
        <x:v>The Art &amp; Science of Foodpairing</x:v>
      </x:c>
      <x:c r="L260" s="28" t="str">
        <x:v>The Art &amp; Science of Foodpairing: 67</x:v>
      </x:c>
    </x:row>
    <x:row r="261" ht="62" customHeight="1">
      <x:c r="A261" s="28" t="str">
        <x:v>BER-0670</x:v>
      </x:c>
      <x:c r="B261" s="28" t="str">
        <x:v>чёрная смородина</x:v>
      </x:c>
      <x:c r="C261" s="28" t="str">
        <x:v>чёрный перец</x:v>
      </x:c>
      <x:c r="D261" s="28" t="str">
        <x:v>Специи</x:v>
      </x:c>
      <x:c r="E261" s="28" t="str">
        <x:v>ароматическое сходство + вкусовой баланс</x:v>
      </x:c>
      <x:c r="F261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1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I26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61" s="28" t="str">
        <x:v>Средняя</x:v>
      </x:c>
      <x:c r="K261" s="28" t="str">
        <x:v>The Art &amp; Science of Foodpairing</x:v>
      </x:c>
      <x:c r="L261" s="28" t="str">
        <x:v>The Art &amp; Science of Foodpairing: 273</x:v>
      </x:c>
    </x:row>
    <x:row r="262" ht="62" customHeight="1">
      <x:c r="A262" s="28" t="str">
        <x:v>BER-0676</x:v>
      </x:c>
      <x:c r="B262" s="28" t="str">
        <x:v>черника</x:v>
      </x:c>
      <x:c r="C262" s="28" t="str">
        <x:v>голубой сыр</x:v>
      </x:c>
      <x:c r="D262" s="28" t="str">
        <x:v>Молочные продукты и сыры</x:v>
      </x:c>
      <x:c r="E262" s="28" t="str">
        <x:v>контраст/комплементарность + матричный эффект</x:v>
      </x:c>
      <x:c r="F26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тёмно-фруктовый,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6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62" s="28" t="str">
        <x:v>Высокая кислотность может свернуть молочный белок; смешивать при контролируемой температуре.</x:v>
      </x:c>
      <x:c r="I262" s="28" t="str">
        <x:v>сорбет, крем, ганаш, выпечка, джем или соус для десерта; соус, глазировка, салат, сырная подача или горячее блюдо</x:v>
      </x:c>
      <x:c r="J262" s="28" t="str">
        <x:v>Высокая</x:v>
      </x:c>
      <x:c r="K262" s="28" t="str">
        <x:v>The Art &amp; Science of Foodpairing; Тезариус вкусов</x:v>
      </x:c>
      <x:c r="L262" s="28" t="str">
        <x:v>Тезариус вкусов: 162, 904; The Art &amp; Science of Foodpairing: 165</x:v>
      </x:c>
    </x:row>
    <x:row r="263" ht="62" customHeight="1">
      <x:c r="A263" s="28" t="str">
        <x:v>BER-0677</x:v>
      </x:c>
      <x:c r="B263" s="28" t="str">
        <x:v>черника</x:v>
      </x:c>
      <x:c r="C263" s="28" t="str">
        <x:v>грибы</x:v>
      </x:c>
      <x:c r="D263" s="28" t="str">
        <x:v>Овощи и грибы</x:v>
      </x:c>
      <x:c r="E263" s="28" t="str">
        <x:v>ароматическое сходство + вкусовой баланс</x:v>
      </x:c>
      <x:c r="F263" s="28" t="str">
        <x:v>Прямой вероятный молекулярный мост: C6-альдегиды. Ягодный компонент несёт семейства древесный, зелёный, тёмно-фруктовый, цветочный; партнёр — зелёный, землистый, сернистый. Оба компонента формируют кисло-сладкий, терпкий и растительный, иногда умами контур; сахар, кислота и горечь должны быть выровнены дегустацией. Ягода: антоцианы отвечают за цвет, но не за основной запах.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6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6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63" s="28" t="str">
        <x:v>соус, глазировка, салат, сырная подача или горячее блюдо; маринад, гастрик, чатни, кетчуп или редукция</x:v>
      </x:c>
      <x:c r="J263" s="28" t="str">
        <x:v>Высокая</x:v>
      </x:c>
      <x:c r="K263" s="28" t="str">
        <x:v>Тезариус вкусов</x:v>
      </x:c>
      <x:c r="L263" s="28" t="str">
        <x:v>Тезариус вкусов: 206, 904</x:v>
      </x:c>
    </x:row>
    <x:row r="264" ht="62" customHeight="1">
      <x:c r="A264" s="28" t="str">
        <x:v>BER-0678</x:v>
      </x:c>
      <x:c r="B264" s="28" t="str">
        <x:v>черника</x:v>
      </x:c>
      <x:c r="C264" s="28" t="str">
        <x:v>корица</x:v>
      </x:c>
      <x:c r="D264" s="28" t="str">
        <x:v>Специи</x:v>
      </x:c>
      <x:c r="E264" s="28" t="str">
        <x:v>ароматическое сходство + вкусовой баланс</x:v>
      </x:c>
      <x:c r="F264" s="28" t="str">
        <x:v>Прямой вероятный молекулярный мост: терпены. Ягодный компонент несёт семейства древесный,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4" s="28" t="str">
        <x:v>Пряность дозировать как акцент: она быстро перекрывает тонкие ягодные эфиры.</x:v>
      </x:c>
      <x:c r="I26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64" s="28" t="str">
        <x:v>Высокая</x:v>
      </x:c>
      <x:c r="K264" s="28" t="str">
        <x:v>Тезариус вкусов</x:v>
      </x:c>
      <x:c r="L264" s="28" t="str">
        <x:v>Тезариус вкусов: 580, 905</x:v>
      </x:c>
    </x:row>
    <x:row r="265" ht="62" customHeight="1">
      <x:c r="A265" s="28" t="str">
        <x:v>BER-0682</x:v>
      </x:c>
      <x:c r="B265" s="28" t="str">
        <x:v>черника</x:v>
      </x:c>
      <x:c r="C265" s="28" t="str">
        <x:v>мясо</x:v>
      </x:c>
      <x:c r="D265" s="28" t="str">
        <x:v>Мясо и птица</x:v>
      </x:c>
      <x:c r="E265" s="28" t="str">
        <x:v>контраст/комплементарность + матричный эффект</x:v>
      </x:c>
      <x:c r="F26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тёмно-фруктовый,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6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6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65" s="28" t="str">
        <x:v>соус, глазировка, салат, сырная подача или горячее блюдо; маринад, гастрик, чатни, кетчуп или редукция</x:v>
      </x:c>
      <x:c r="J265" s="28" t="str">
        <x:v>Средняя</x:v>
      </x:c>
      <x:c r="K265" s="28" t="str">
        <x:v>The Art &amp; Science of Foodpairing</x:v>
      </x:c>
      <x:c r="L265" s="28" t="str">
        <x:v>The Art &amp; Science of Foodpairing: 187</x:v>
      </x:c>
    </x:row>
    <x:row r="266" ht="62" customHeight="1">
      <x:c r="A266" s="28" t="str">
        <x:v>BER-0688</x:v>
      </x:c>
      <x:c r="B266" s="28" t="str">
        <x:v>шелковица</x:v>
      </x:c>
      <x:c r="C266" s="28" t="str">
        <x:v>доджанг</x:v>
      </x:c>
      <x:c r="D266" s="28" t="str">
        <x:v>Ферментированные продукты, соусы и уксусы</x:v>
      </x:c>
      <x:c r="E266" s="28" t="str">
        <x:v>ароматическое сходство + вкусовой баланс</x:v>
      </x:c>
      <x:c r="F266" s="28" t="str">
        <x:v>Прямой вероятный молекулярный мост: эфиры. Ягодный компонент несёт семейства джемовый, фруктовый, цветочный; партнёр — кислый, умами, ферментированный. Оба компонента формируют сладко-кислый и кислый/солёный/умами контур; сахар, кислота и горечь должны быть выровнены дегустацией. Ягода: мягкий аромат нуждается в кислотной опоре.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66" s="28" t="str">
        <x:v>соус, глазировка, салат, сырная подача или горячее блюдо; маринад, гастрик, чатни, кетчуп или редукция</x:v>
      </x:c>
      <x:c r="J266" s="28" t="str">
        <x:v>Средняя</x:v>
      </x:c>
      <x:c r="K266" s="28" t="str">
        <x:v>The Art &amp; Science of Foodpairing</x:v>
      </x:c>
      <x:c r="L266" s="28" t="str">
        <x:v>The Art &amp; Science of Foodpairing: 247</x:v>
      </x:c>
    </x:row>
    <x:row r="267" ht="62" customHeight="1">
      <x:c r="A267" s="28" t="str">
        <x:v>BER-0691</x:v>
      </x:c>
      <x:c r="B267" s="28" t="str">
        <x:v>шелковица</x:v>
      </x:c>
      <x:c r="C267" s="28" t="str">
        <x:v>мята</x:v>
      </x:c>
      <x:c r="D267" s="28" t="str">
        <x:v>Травы и цветы</x:v>
      </x:c>
      <x:c r="E267" s="28" t="str">
        <x:v>ароматическое сходство + вкусовой баланс</x:v>
      </x:c>
      <x:c r="F267" s="28" t="str">
        <x:v>Прямой вероятный молекулярный мост: терпены. Ягодный компонент несёт семейства джемовый,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6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67" s="28" t="str">
        <x:v>Средняя</x:v>
      </x:c>
      <x:c r="K267" s="28" t="str">
        <x:v>Таблица сочетаний</x:v>
      </x:c>
      <x:c r="L267" s="28" t="str">
        <x:v>Таблица сочетаний: 13</x:v>
      </x:c>
    </x:row>
    <x:row r="268" ht="62" customHeight="1">
      <x:c r="A268" s="28" t="str">
        <x:v>BER-0692</x:v>
      </x:c>
      <x:c r="B268" s="28" t="str">
        <x:v>шелковица</x:v>
      </x:c>
      <x:c r="C268" s="28" t="str">
        <x:v>розмарин</x:v>
      </x:c>
      <x:c r="D268" s="28" t="str">
        <x:v>Травы и цветы</x:v>
      </x:c>
      <x:c r="E268" s="28" t="str">
        <x:v>ароматическое сходство + вкусовой баланс</x:v>
      </x:c>
      <x:c r="F268" s="28" t="str">
        <x:v>Прямой вероятный молекулярный мост: терпены. Ягодный компонент несёт семейства джемовый,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6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68" s="28" t="str">
        <x:v>Средняя</x:v>
      </x:c>
      <x:c r="K268" s="28" t="str">
        <x:v>Таблица сочетаний</x:v>
      </x:c>
      <x:c r="L268" s="28" t="str">
        <x:v>Таблица сочетаний: 13</x:v>
      </x:c>
    </x:row>
    <x:row r="269" ht="62" customHeight="1">
      <x:c r="A269" s="28" t="str">
        <x:v>BER-0694</x:v>
      </x:c>
      <x:c r="B269" s="28" t="str">
        <x:v>шелковица</x:v>
      </x:c>
      <x:c r="C269" s="28" t="str">
        <x:v>тимьян</x:v>
      </x:c>
      <x:c r="D269" s="28" t="str">
        <x:v>Травы и цветы</x:v>
      </x:c>
      <x:c r="E269" s="28" t="str">
        <x:v>ароматическое сходство + вкусовой баланс</x:v>
      </x:c>
      <x:c r="F269" s="28" t="str">
        <x:v>Прямой вероятный молекулярный мост: терпены. Ягодный компонент несёт семейства джемовый,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6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69" s="28" t="str">
        <x:v>Средняя</x:v>
      </x:c>
      <x:c r="K269" s="28" t="str">
        <x:v>Таблица сочетаний</x:v>
      </x:c>
      <x:c r="L269" s="28" t="str">
        <x:v>Таблица сочетаний: 13</x:v>
      </x:c>
    </x:row>
    <x:row r="270" ht="62" customHeight="1">
      <x:c r="A270" s="28" t="str">
        <x:v>BER-0695</x:v>
      </x:c>
      <x:c r="B270" s="28" t="str">
        <x:v>шелковица</x:v>
      </x:c>
      <x:c r="C270" s="28" t="str">
        <x:v>чёрный перец</x:v>
      </x:c>
      <x:c r="D270" s="28" t="str">
        <x:v>Специи</x:v>
      </x:c>
      <x:c r="E270" s="28" t="str">
        <x:v>ароматическое сходство + вкусовой баланс</x:v>
      </x:c>
      <x:c r="F270" s="28" t="str">
        <x:v>Прямой вероятный молекулярный мост: терпены. Ягодный компонент несёт семейства джемовый,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0" s="28" t="str">
        <x:v>Пряность дозировать как акцент: она быстро перекрывает тонкие ягодные эфиры.</x:v>
      </x:c>
      <x:c r="I27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70" s="28" t="str">
        <x:v>Средняя</x:v>
      </x:c>
      <x:c r="K270" s="28" t="str">
        <x:v>Таблица сочетаний</x:v>
      </x:c>
      <x:c r="L270" s="28" t="str">
        <x:v>Таблица сочетаний: 13</x:v>
      </x:c>
    </x:row>
    <x:row r="271" ht="62" customHeight="1">
      <x:c r="A271" s="28" t="str">
        <x:v>BER-0698</x:v>
      </x:c>
      <x:c r="B271" s="28" t="str">
        <x:v>ягоды асаи</x:v>
      </x:c>
      <x:c r="C271" s="28" t="str">
        <x:v>имбирь</x:v>
      </x:c>
      <x:c r="D271" s="28" t="str">
        <x:v>Специи</x:v>
      </x:c>
      <x:c r="E271" s="28" t="str">
        <x:v>контраст/комплементарность + матричный эффект</x:v>
      </x:c>
      <x:c r="F27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1" s="28" t="str">
        <x:v>Пряность дозировать как акцент: она быстро перекрывает тонкие ягодные эфиры.</x:v>
      </x:c>
      <x:c r="I27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71" s="28" t="str">
        <x:v>Средняя</x:v>
      </x:c>
      <x:c r="K271" s="28" t="str">
        <x:v>The Art &amp; Science of Foodpairing</x:v>
      </x:c>
      <x:c r="L271" s="28" t="str">
        <x:v>The Art &amp; Science of Foodpairing: 142</x:v>
      </x:c>
    </x:row>
    <x:row r="272" ht="62" customHeight="1">
      <x:c r="A272" s="28" t="str">
        <x:v>BER-0702</x:v>
      </x:c>
      <x:c r="B272" s="28" t="str">
        <x:v>ягоды асаи</x:v>
      </x:c>
      <x:c r="C272" s="28" t="str">
        <x:v>свёкла</x:v>
      </x:c>
      <x:c r="D272" s="28" t="str">
        <x:v>Овощи и грибы</x:v>
      </x:c>
      <x:c r="E272" s="28" t="str">
        <x:v>контраст/комплементарность + матричный эффект</x:v>
      </x:c>
      <x:c r="F27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землистый, сернистый. Оба компонента формируют зависит от ингредиента и растительный, иногда умами контур; сахар, кислота и горечь должны быть выровнены дегустацией. Ягода: механизм зависит от конкретного продукта.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7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7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72" s="28" t="str">
        <x:v>соус, глазировка, салат, сырная подача или горячее блюдо; маринад, гастрик, чатни, кетчуп или редукция</x:v>
      </x:c>
      <x:c r="J272" s="28" t="str">
        <x:v>Средняя</x:v>
      </x:c>
      <x:c r="K272" s="28" t="str">
        <x:v>The Art &amp; Science of Foodpairing</x:v>
      </x:c>
      <x:c r="L272" s="28" t="str">
        <x:v>The Art &amp; Science of Foodpairing: 224</x:v>
      </x:c>
    </x:row>
    <x:row r="273" ht="62" customHeight="1">
      <x:c r="A273" s="28" t="str">
        <x:v>BER-0703</x:v>
      </x:c>
      <x:c r="B273" s="28" t="str">
        <x:v>ягоды асаи</x:v>
      </x:c>
      <x:c r="C273" s="28" t="str">
        <x:v>соевый соус</x:v>
      </x:c>
      <x:c r="D273" s="28" t="str">
        <x:v>Ферментированные продукты, соусы и уксусы</x:v>
      </x:c>
      <x:c r="E273" s="28" t="str">
        <x:v>контраст/комплементарность + матричный эффект</x:v>
      </x:c>
      <x:c r="F27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кислый, умами, ферментированный. Оба компонента формируют зависит от ингредиента и кислый/солёный/умами контур; сахар, кислота и горечь должны быть выровнены дегустацией. Ягода: механизм зависит от конкретного продукта.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73" s="28" t="str">
        <x:v>соус, глазировка, салат, сырная подача или горячее блюдо; маринад, гастрик, чатни, кетчуп или редукция</x:v>
      </x:c>
      <x:c r="J273" s="28" t="str">
        <x:v>Средняя</x:v>
      </x:c>
      <x:c r="K273" s="28" t="str">
        <x:v>The Art &amp; Science of Foodpairing</x:v>
      </x:c>
      <x:c r="L273" s="28" t="str">
        <x:v>The Art &amp; Science of Foodpairing: 301</x:v>
      </x:c>
    </x:row>
    <x:row r="274" ht="62" customHeight="1">
      <x:c r="A274" s="28" t="str">
        <x:v>BER-0704</x:v>
      </x:c>
      <x:c r="B274" s="28" t="str">
        <x:v>ягоды асаи</x:v>
      </x:c>
      <x:c r="C274" s="28" t="str">
        <x:v>трюфель</x:v>
      </x:c>
      <x:c r="D274" s="28" t="str">
        <x:v>Овощи и грибы</x:v>
      </x:c>
      <x:c r="E274" s="28" t="str">
        <x:v>контраст/комплементарность + матричный эффект</x:v>
      </x:c>
      <x:c r="F27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землистый, сернистый. Оба компонента формируют зависит от ингредиента и растительный, иногда умами контур; сахар, кислота и горечь должны быть выровнены дегустацией. Ягода: механизм зависит от конкретного продукта.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7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7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74" s="28" t="str">
        <x:v>соус, глазировка, салат, сырная подача или горячее блюдо; маринад, гастрик, чатни, кетчуп или редукция</x:v>
      </x:c>
      <x:c r="J274" s="28" t="str">
        <x:v>Средняя</x:v>
      </x:c>
      <x:c r="K274" s="28" t="str">
        <x:v>The Art &amp; Science of Foodpairing</x:v>
      </x:c>
      <x:c r="L274" s="28" t="str">
        <x:v>The Art &amp; Science of Foodpairing: 193</x:v>
      </x:c>
    </x:row>
    <x:row r="275" ht="62" customHeight="1">
      <x:c r="A275" s="28" t="str">
        <x:v>BER-0708</x:v>
      </x:c>
      <x:c r="B275" s="28" t="str">
        <x:v>ягоды годжи</x:v>
      </x:c>
      <x:c r="C275" s="28" t="str">
        <x:v>базилик</x:v>
      </x:c>
      <x:c r="D275" s="28" t="str">
        <x:v>Травы и цветы</x:v>
      </x:c>
      <x:c r="E275" s="28" t="str">
        <x:v>контраст/комплементарность + матричный эффект</x:v>
      </x:c>
      <x:c r="F27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7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75" s="28" t="str">
        <x:v>Средняя</x:v>
      </x:c>
      <x:c r="K275" s="28" t="str">
        <x:v>The Art &amp; Science of Foodpairing</x:v>
      </x:c>
      <x:c r="L275" s="28" t="str">
        <x:v>The Art &amp; Science of Foodpairing: 74</x:v>
      </x:c>
    </x:row>
    <x:row r="276" ht="62" customHeight="1">
      <x:c r="A276" s="28" t="str">
        <x:v>BER-0711</x:v>
      </x:c>
      <x:c r="B276" s="28" t="str">
        <x:v>ягоды годжи</x:v>
      </x:c>
      <x:c r="C276" s="28" t="str">
        <x:v>корица</x:v>
      </x:c>
      <x:c r="D276" s="28" t="str">
        <x:v>Специи</x:v>
      </x:c>
      <x:c r="E276" s="28" t="str">
        <x:v>контраст/комплементарность + матричный эффект</x:v>
      </x:c>
      <x:c r="F27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6" s="28" t="str">
        <x:v>Пряность дозировать как акцент: она быстро перекрывает тонкие ягодные эфиры.</x:v>
      </x:c>
      <x:c r="I27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76" s="28" t="str">
        <x:v>Средняя</x:v>
      </x:c>
      <x:c r="K276" s="28" t="str">
        <x:v>Таблица сочетаний</x:v>
      </x:c>
      <x:c r="L276" s="28" t="str">
        <x:v>Таблица сочетаний: 8</x:v>
      </x:c>
    </x:row>
    <x:row r="277" ht="62" customHeight="1">
      <x:c r="A277" s="28" t="str">
        <x:v>BER-0715</x:v>
      </x:c>
      <x:c r="B277" s="28" t="str">
        <x:v>ягоды годжи</x:v>
      </x:c>
      <x:c r="C277" s="28" t="str">
        <x:v>мята</x:v>
      </x:c>
      <x:c r="D277" s="28" t="str">
        <x:v>Травы и цветы</x:v>
      </x:c>
      <x:c r="E277" s="28" t="str">
        <x:v>контраст/комплементарность + матричный эффект</x:v>
      </x:c>
      <x:c r="F27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7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77" s="28" t="str">
        <x:v>Средняя</x:v>
      </x:c>
      <x:c r="K277" s="28" t="str">
        <x:v>Таблица сочетаний</x:v>
      </x:c>
      <x:c r="L277" s="28" t="str">
        <x:v>Таблица сочетаний: 8</x:v>
      </x:c>
    </x:row>
    <x:row r="278" ht="62" customHeight="1">
      <x:c r="A278" s="28" t="str">
        <x:v>BER-0716</x:v>
      </x:c>
      <x:c r="B278" s="28" t="str">
        <x:v>ягоды годжи</x:v>
      </x:c>
      <x:c r="C278" s="28" t="str">
        <x:v>тимьян</x:v>
      </x:c>
      <x:c r="D278" s="28" t="str">
        <x:v>Травы и цветы</x:v>
      </x:c>
      <x:c r="E278" s="28" t="str">
        <x:v>контраст/комплементарность + матричный эффект</x:v>
      </x:c>
      <x:c r="F27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7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78" s="28" t="str">
        <x:v>Средняя</x:v>
      </x:c>
      <x:c r="K278" s="28" t="str">
        <x:v>Таблица сочетаний</x:v>
      </x:c>
      <x:c r="L278" s="28" t="str">
        <x:v>Таблица сочетаний: 8</x:v>
      </x:c>
    </x:row>
  </x:sheetData>
  <x:conditionalFormatting sqref="J2:J278">
    <x:cfRule type="expression" dxfId="4" priority="1">
      <x:formula>J2="Высокая"</x:formula>
    </x:cfRule>
    <x:cfRule type="expression" dxfId="5" priority="2">
      <x:formula>J2="Средняя"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3e084564a3438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29" hidden="0" customWidth="1"/>
    <x:col min="4" max="4" width="24" hidden="0" customWidth="1"/>
    <x:col min="5" max="5" width="34" hidden="0" customWidth="1"/>
    <x:col min="6" max="6" width="60" hidden="0" customWidth="1"/>
    <x:col min="7" max="7" width="48" hidden="0" customWidth="1"/>
    <x:col min="8" max="8" width="48" hidden="0" customWidth="1"/>
    <x:col min="9" max="9" width="44" hidden="0" customWidth="1"/>
    <x:col min="10" max="10" width="22" hidden="0" customWidth="1"/>
    <x:col min="11" max="11" width="36" hidden="0" customWidth="1"/>
    <x:col min="12" max="12" width="42" hidden="0" customWidth="1"/>
  </x:cols>
  <x:sheetData>
    <x:row r="1" ht="42" customHeight="1">
      <x:c r="A1" s="20" t="str">
        <x:v>ID</x:v>
      </x:c>
      <x:c r="B1" s="20" t="str">
        <x:v>Ягода / производное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Подробное 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Практическое 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2" customHeight="1">
      <x:c r="A2" s="28" t="str">
        <x:v>BER-0007</x:v>
      </x:c>
      <x:c r="B2" s="28" t="str">
        <x:v>брусника</x:v>
      </x:c>
      <x:c r="C2" s="28" t="str">
        <x:v>груша</x:v>
      </x:c>
      <x:c r="D2" s="28" t="str">
        <x:v>Фрукты</x:v>
      </x:c>
      <x:c r="E2" s="28" t="str">
        <x:v>ароматическое сходство + вкусовой баланс</x:v>
      </x:c>
      <x:c r="F2" s="28" t="str">
        <x:v>Прямой вероятный молекулярный мост: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кислый, терпкий и сладко-кислый контур; сахар, кислота и горечь должны быть выровнены дегустацией. Ягода: хорошо выдерживает нагрев, но требует баланса сладостью/жиром.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" s="28" t="str">
        <x:v>Средняя</x:v>
      </x:c>
      <x:c r="K2" s="28" t="str">
        <x:v>Таблица сочетаний</x:v>
      </x:c>
      <x:c r="L2" s="28" t="str">
        <x:v>Таблица сочетаний: 16</x:v>
      </x:c>
    </x:row>
    <x:row r="3" ht="62" customHeight="1">
      <x:c r="A3" s="28" t="str">
        <x:v>BER-0008</x:v>
      </x:c>
      <x:c r="B3" s="28" t="str">
        <x:v>брусника</x:v>
      </x:c>
      <x:c r="C3" s="28" t="str">
        <x:v>ржаной хлеб на закваске</x:v>
      </x:c>
      <x:c r="D3" s="28" t="str">
        <x:v>Злаки и выпечка</x:v>
      </x:c>
      <x:c r="E3" s="28" t="str">
        <x:v>контраст/комплементарность + матричный эффект</x:v>
      </x:c>
      <x:c r="F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жареный, зерновой, солодовый. Оба компонента формируют кислый, терпкий и крахмалистый, сладковатый контур; сахар, кислота и горечь должны быть выровнены дегустацией. Ягода: хорошо выдерживает нагрев, но требует баланса сладостью/жиром. Партнёр: крахмал и сухая пористая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3" s="28" t="str">
        <x:v>сорбет, крем, ганаш, выпечка, джем или соус для десерта</x:v>
      </x:c>
      <x:c r="J3" s="28" t="str">
        <x:v>Средняя</x:v>
      </x:c>
      <x:c r="K3" s="28" t="str">
        <x:v>The Art &amp; Science of Foodpairing</x:v>
      </x:c>
      <x:c r="L3" s="28" t="str">
        <x:v>The Art &amp; Science of Foodpairing: 177</x:v>
      </x:c>
    </x:row>
    <x:row r="4" ht="62" customHeight="1">
      <x:c r="A4" s="28" t="str">
        <x:v>BER-0009</x:v>
      </x:c>
      <x:c r="B4" s="28" t="str">
        <x:v>бузина</x:v>
      </x:c>
      <x:c r="C4" s="28" t="str">
        <x:v>ананас</x:v>
      </x:c>
      <x:c r="D4" s="28" t="str">
        <x:v>Фрукты</x:v>
      </x:c>
      <x:c r="E4" s="28" t="str">
        <x:v>ароматическое сходство + вкусовой баланс</x:v>
      </x:c>
      <x:c r="F4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4" s="28" t="str">
        <x:v>Средняя</x:v>
      </x:c>
      <x:c r="K4" s="28" t="str">
        <x:v>Таблица сочетаний</x:v>
      </x:c>
      <x:c r="L4" s="28" t="str">
        <x:v>Таблица сочетаний: 7</x:v>
      </x:c>
    </x:row>
    <x:row r="5" ht="62" customHeight="1">
      <x:c r="A5" s="28" t="str">
        <x:v>BER-0013</x:v>
      </x:c>
      <x:c r="B5" s="28" t="str">
        <x:v>бузина</x:v>
      </x:c>
      <x:c r="C5" s="28" t="str">
        <x:v>гвоздика</x:v>
      </x:c>
      <x:c r="D5" s="28" t="str">
        <x:v>Специи</x:v>
      </x:c>
      <x:c r="E5" s="28" t="str">
        <x:v>ароматическое сходство + вкусовой баланс</x:v>
      </x:c>
      <x:c r="F5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" s="28" t="str">
        <x:v>Пряность дозировать как акцент: она быстро перекрывает тонкие ягодные эфиры.</x:v>
      </x:c>
      <x:c r="I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5" s="28" t="str">
        <x:v>Средняя</x:v>
      </x:c>
      <x:c r="K5" s="28" t="str">
        <x:v>Таблица сочетаний</x:v>
      </x:c>
      <x:c r="L5" s="28" t="str">
        <x:v>Таблица сочетаний: 7</x:v>
      </x:c>
    </x:row>
    <x:row r="6" ht="62" customHeight="1">
      <x:c r="A6" s="28" t="str">
        <x:v>BER-0014</x:v>
      </x:c>
      <x:c r="B6" s="28" t="str">
        <x:v>бузина</x:v>
      </x:c>
      <x:c r="C6" s="28" t="str">
        <x:v>голубика</x:v>
      </x:c>
      <x:c r="D6" s="28" t="str">
        <x:v>Ягоды и производные</x:v>
      </x:c>
      <x:c r="E6" s="28" t="str">
        <x:v>сходство ароматических семейств + комплементарность</x:v>
      </x:c>
      <x:c r="F6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фруктовый, цветочный, цитрусовый. Оба компонента формируют кисло-сладкий, терпкий и сладко-кислый, мягкий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нежный аромат легко теряется на фоне сильной сладости.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6" s="28" t="str">
        <x:v>Средняя</x:v>
      </x:c>
      <x:c r="K6" s="28" t="str">
        <x:v>The Art &amp; Science of Foodpairing</x:v>
      </x:c>
      <x:c r="L6" s="28" t="str">
        <x:v>The Art &amp; Science of Foodpairing: 205</x:v>
      </x:c>
    </x:row>
    <x:row r="7" ht="62" customHeight="1">
      <x:c r="A7" s="28" t="str">
        <x:v>BER-0016</x:v>
      </x:c>
      <x:c r="B7" s="28" t="str">
        <x:v>бузина</x:v>
      </x:c>
      <x:c r="C7" s="28" t="str">
        <x:v>груша</x:v>
      </x:c>
      <x:c r="D7" s="28" t="str">
        <x:v>Фрукты</x:v>
      </x:c>
      <x:c r="E7" s="28" t="str">
        <x:v>ароматическое сходство + вкусовой баланс</x:v>
      </x:c>
      <x:c r="F7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7" s="28" t="str">
        <x:v>Высокая</x:v>
      </x:c>
      <x:c r="K7" s="28" t="str">
        <x:v>The Art &amp; Science of Foodpairing; Таблица сочетаний</x:v>
      </x:c>
      <x:c r="L7" s="28" t="str">
        <x:v>The Art &amp; Science of Foodpairing: 350; Таблица сочетаний: 8</x:v>
      </x:c>
    </x:row>
    <x:row r="8" ht="62" customHeight="1">
      <x:c r="A8" s="28" t="str">
        <x:v>BER-0017</x:v>
      </x:c>
      <x:c r="B8" s="28" t="str">
        <x:v>бузина</x:v>
      </x:c>
      <x:c r="C8" s="28" t="str">
        <x:v>ежевика</x:v>
      </x:c>
      <x:c r="D8" s="28" t="str">
        <x:v>Ягоды и производные</x:v>
      </x:c>
      <x:c r="E8" s="28" t="str">
        <x:v>ароматическое сходство + вкусовой баланс</x:v>
      </x:c>
      <x:c r="F8" s="28" t="str">
        <x:v>Прямой вероятный молекулярный мост: эфиры. Ягодный компонент несёт семейства зелёный, тёмно-фруктовый, цветочный; партнёр — древесный, зелёный, мускусный, тёмно-фруктовый, цветочный. Оба компонента формируют кисло-сладкий, терпкий и кисло-сладкий, умеренно терпкий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пигменты и полифенолы дают цвет и терпкость.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8" s="28" t="str">
        <x:v>Средняя</x:v>
      </x:c>
      <x:c r="K8" s="28" t="str">
        <x:v>Таблица сочетаний</x:v>
      </x:c>
      <x:c r="L8" s="28" t="str">
        <x:v>Таблица сочетаний: 2</x:v>
      </x:c>
    </x:row>
    <x:row r="9" ht="62" customHeight="1">
      <x:c r="A9" s="28" t="str">
        <x:v>BER-0019</x:v>
      </x:c>
      <x:c r="B9" s="28" t="str">
        <x:v>бузина</x:v>
      </x:c>
      <x:c r="C9" s="28" t="str">
        <x:v>имбирь</x:v>
      </x:c>
      <x:c r="D9" s="28" t="str">
        <x:v>Специи</x:v>
      </x:c>
      <x:c r="E9" s="28" t="str">
        <x:v>ароматическое сходство + вкусовой баланс</x:v>
      </x:c>
      <x:c r="F9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" s="28" t="str">
        <x:v>Пряность дозировать как акцент: она быстро перекрывает тонкие ягодные эфиры.</x:v>
      </x:c>
      <x:c r="I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9" s="28" t="str">
        <x:v>Средняя</x:v>
      </x:c>
      <x:c r="K9" s="28" t="str">
        <x:v>Таблица сочетаний</x:v>
      </x:c>
      <x:c r="L9" s="28" t="str">
        <x:v>Таблица сочетаний: 7</x:v>
      </x:c>
    </x:row>
    <x:row r="10" ht="62" customHeight="1">
      <x:c r="A10" s="28" t="str">
        <x:v>BER-0020</x:v>
      </x:c>
      <x:c r="B10" s="28" t="str">
        <x:v>бузина</x:v>
      </x:c>
      <x:c r="C10" s="28" t="str">
        <x:v>киви</x:v>
      </x:c>
      <x:c r="D10" s="28" t="str">
        <x:v>Фрукты</x:v>
      </x:c>
      <x:c r="E10" s="28" t="str">
        <x:v>ароматическое сходство + вкусовой баланс</x:v>
      </x:c>
      <x:c r="F10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0" s="28" t="str">
        <x:v>Средняя</x:v>
      </x:c>
      <x:c r="K10" s="28" t="str">
        <x:v>Таблица сочетаний</x:v>
      </x:c>
      <x:c r="L10" s="28" t="str">
        <x:v>Таблица сочетаний: 8</x:v>
      </x:c>
    </x:row>
    <x:row r="11" ht="62" customHeight="1">
      <x:c r="A11" s="28" t="str">
        <x:v>BER-0023</x:v>
      </x:c>
      <x:c r="B11" s="28" t="str">
        <x:v>бузина</x:v>
      </x:c>
      <x:c r="C11" s="28" t="str">
        <x:v>корица</x:v>
      </x:c>
      <x:c r="D11" s="28" t="str">
        <x:v>Специи</x:v>
      </x:c>
      <x:c r="E11" s="28" t="str">
        <x:v>ароматическое сходство + вкусовой баланс</x:v>
      </x:c>
      <x:c r="F11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" s="28" t="str">
        <x:v>Пряность дозировать как акцент: она быстро перекрывает тонкие ягодные эфиры.</x:v>
      </x:c>
      <x:c r="I1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1" s="28" t="str">
        <x:v>Средняя</x:v>
      </x:c>
      <x:c r="K11" s="28" t="str">
        <x:v>Таблица сочетаний</x:v>
      </x:c>
      <x:c r="L11" s="28" t="str">
        <x:v>Таблица сочетаний: 7</x:v>
      </x:c>
    </x:row>
    <x:row r="12" ht="62" customHeight="1">
      <x:c r="A12" s="28" t="str">
        <x:v>BER-0027</x:v>
      </x:c>
      <x:c r="B12" s="28" t="str">
        <x:v>бузина</x:v>
      </x:c>
      <x:c r="C12" s="28" t="str">
        <x:v>личи</x:v>
      </x:c>
      <x:c r="D12" s="28" t="str">
        <x:v>Фрукты</x:v>
      </x:c>
      <x:c r="E12" s="28" t="str">
        <x:v>ароматическое сходство + вкусовой баланс</x:v>
      </x:c>
      <x:c r="F12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2" s="28" t="str">
        <x:v>Средняя</x:v>
      </x:c>
      <x:c r="K12" s="28" t="str">
        <x:v>Таблица сочетаний</x:v>
      </x:c>
      <x:c r="L12" s="28" t="str">
        <x:v>Таблица сочетаний: 8</x:v>
      </x:c>
    </x:row>
    <x:row r="13" ht="62" customHeight="1">
      <x:c r="A13" s="28" t="str">
        <x:v>BER-0028</x:v>
      </x:c>
      <x:c r="B13" s="28" t="str">
        <x:v>бузина</x:v>
      </x:c>
      <x:c r="C13" s="28" t="str">
        <x:v>манго</x:v>
      </x:c>
      <x:c r="D13" s="28" t="str">
        <x:v>Фрукты</x:v>
      </x:c>
      <x:c r="E13" s="28" t="str">
        <x:v>ароматическое сходство + вкусовой баланс</x:v>
      </x:c>
      <x:c r="F13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3" s="28" t="str">
        <x:v>Средняя</x:v>
      </x:c>
      <x:c r="K13" s="28" t="str">
        <x:v>The Art &amp; Science of Foodpairing</x:v>
      </x:c>
      <x:c r="L13" s="28" t="str">
        <x:v>The Art &amp; Science of Foodpairing: 313</x:v>
      </x:c>
    </x:row>
    <x:row r="14" ht="62" customHeight="1">
      <x:c r="A14" s="28" t="str">
        <x:v>BER-0032</x:v>
      </x:c>
      <x:c r="B14" s="28" t="str">
        <x:v>бузина</x:v>
      </x:c>
      <x:c r="C14" s="28" t="str">
        <x:v>мускатный орех</x:v>
      </x:c>
      <x:c r="D14" s="28" t="str">
        <x:v>Орехи и семена</x:v>
      </x:c>
      <x:c r="E14" s="28" t="str">
        <x:v>контраст/комплементарность + матричный эффект</x:v>
      </x:c>
      <x:c r="F1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тёмно-фруктовый,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" s="28" t="str">
        <x:v>сорбет, крем, ганаш, выпечка, джем или соус для десерта</x:v>
      </x:c>
      <x:c r="J14" s="28" t="str">
        <x:v>Средняя</x:v>
      </x:c>
      <x:c r="K14" s="28" t="str">
        <x:v>Таблица сочетаний</x:v>
      </x:c>
      <x:c r="L14" s="28" t="str">
        <x:v>Таблица сочетаний: 7</x:v>
      </x:c>
    </x:row>
    <x:row r="15" ht="62" customHeight="1">
      <x:c r="A15" s="28" t="str">
        <x:v>BER-0036</x:v>
      </x:c>
      <x:c r="B15" s="28" t="str">
        <x:v>бузина</x:v>
      </x:c>
      <x:c r="C15" s="28" t="str">
        <x:v>перец чили</x:v>
      </x:c>
      <x:c r="D15" s="28" t="str">
        <x:v>Специи</x:v>
      </x:c>
      <x:c r="E15" s="28" t="str">
        <x:v>ароматическое сходство + вкусовой баланс</x:v>
      </x:c>
      <x:c r="F15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" s="28" t="str">
        <x:v>Пряность дозировать как акцент: она быстро перекрывает тонкие ягодные эфиры.</x:v>
      </x:c>
      <x:c r="I1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5" s="28" t="str">
        <x:v>Средняя</x:v>
      </x:c>
      <x:c r="K15" s="28" t="str">
        <x:v>The Art &amp; Science of Foodpairing</x:v>
      </x:c>
      <x:c r="L15" s="28" t="str">
        <x:v>The Art &amp; Science of Foodpairing: 95</x:v>
      </x:c>
    </x:row>
    <x:row r="16" ht="62" customHeight="1">
      <x:c r="A16" s="28" t="str">
        <x:v>BER-0037</x:v>
      </x:c>
      <x:c r="B16" s="28" t="str">
        <x:v>бузина</x:v>
      </x:c>
      <x:c r="C16" s="28" t="str">
        <x:v>персик</x:v>
      </x:c>
      <x:c r="D16" s="28" t="str">
        <x:v>Фрукты</x:v>
      </x:c>
      <x:c r="E16" s="28" t="str">
        <x:v>ароматическое сходство + вкусовой баланс</x:v>
      </x:c>
      <x:c r="F16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6" s="28" t="str">
        <x:v>Средняя</x:v>
      </x:c>
      <x:c r="K16" s="28" t="str">
        <x:v>Таблица сочетаний</x:v>
      </x:c>
      <x:c r="L16" s="28" t="str">
        <x:v>Таблица сочетаний: 7, 8</x:v>
      </x:c>
    </x:row>
    <x:row r="17" ht="62" customHeight="1">
      <x:c r="A17" s="28" t="str">
        <x:v>BER-0043</x:v>
      </x:c>
      <x:c r="B17" s="28" t="str">
        <x:v>бузина</x:v>
      </x:c>
      <x:c r="C17" s="28" t="str">
        <x:v>фундук</x:v>
      </x:c>
      <x:c r="D17" s="28" t="str">
        <x:v>Орехи и семена</x:v>
      </x:c>
      <x:c r="E17" s="28" t="str">
        <x:v>контраст/комплементарность + матричный эффект</x:v>
      </x:c>
      <x:c r="F1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тёмно-фруктовый,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" s="28" t="str">
        <x:v>сорбет, крем, ганаш, выпечка, джем или соус для десерта</x:v>
      </x:c>
      <x:c r="J17" s="28" t="str">
        <x:v>Средняя</x:v>
      </x:c>
      <x:c r="K17" s="28" t="str">
        <x:v>The Art &amp; Science of Foodpairing</x:v>
      </x:c>
      <x:c r="L17" s="28" t="str">
        <x:v>The Art &amp; Science of Foodpairing: 333</x:v>
      </x:c>
    </x:row>
    <x:row r="18" ht="62" customHeight="1">
      <x:c r="A18" s="28" t="str">
        <x:v>BER-0044</x:v>
      </x:c>
      <x:c r="B18" s="28" t="str">
        <x:v>бузина</x:v>
      </x:c>
      <x:c r="C18" s="28" t="str">
        <x:v>чёрный перец</x:v>
      </x:c>
      <x:c r="D18" s="28" t="str">
        <x:v>Специи</x:v>
      </x:c>
      <x:c r="E18" s="28" t="str">
        <x:v>ароматическое сходство + вкусовой баланс</x:v>
      </x:c>
      <x:c r="F18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" s="28" t="str">
        <x:v>Пряность дозировать как акцент: она быстро перекрывает тонкие ягодные эфиры.</x:v>
      </x:c>
      <x:c r="I1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8" s="28" t="str">
        <x:v>Средняя</x:v>
      </x:c>
      <x:c r="K18" s="28" t="str">
        <x:v>Таблица сочетаний</x:v>
      </x:c>
      <x:c r="L18" s="28" t="str">
        <x:v>Таблица сочетаний: 7</x:v>
      </x:c>
    </x:row>
    <x:row r="19" ht="62" customHeight="1">
      <x:c r="A19" s="28" t="str">
        <x:v>BER-0046</x:v>
      </x:c>
      <x:c r="B19" s="28" t="str">
        <x:v>бузина</x:v>
      </x:c>
      <x:c r="C19" s="28" t="str">
        <x:v>яблоко</x:v>
      </x:c>
      <x:c r="D19" s="28" t="str">
        <x:v>Фрукты</x:v>
      </x:c>
      <x:c r="E19" s="28" t="str">
        <x:v>ароматическое сходство + вкусовой баланс</x:v>
      </x:c>
      <x:c r="F19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9" s="28" t="str">
        <x:v>Средняя</x:v>
      </x:c>
      <x:c r="K19" s="28" t="str">
        <x:v>Таблица сочетаний</x:v>
      </x:c>
      <x:c r="L19" s="28" t="str">
        <x:v>Таблица сочетаний: 7</x:v>
      </x:c>
    </x:row>
    <x:row r="20" ht="62" customHeight="1">
      <x:c r="A20" s="28" t="str">
        <x:v>BER-0048</x:v>
      </x:c>
      <x:c r="B20" s="28" t="str">
        <x:v>бузиновый сок</x:v>
      </x:c>
      <x:c r="C20" s="28" t="str">
        <x:v>клубника</x:v>
      </x:c>
      <x:c r="D20" s="28" t="str">
        <x:v>Ягоды и производные</x:v>
      </x:c>
      <x:c r="E20" s="28" t="str">
        <x:v>контраст/комплементарность + матричный эффект</x:v>
      </x:c>
      <x:c r="F2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карамельный, сливочный, фруктовый, цветочный. Оба компонента формируют зависит от ингредиента и сладко-кислый контур; сахар, кислота и горечь должны быть выровнены дегустацией. Ягода: механизм зависит от конкретного продукта. Партнёр: высокая доля воды; аромат чувствителен к перегреву.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0" s="28" t="str">
        <x:v>Средняя</x:v>
      </x:c>
      <x:c r="K20" s="28" t="str">
        <x:v>The Art &amp; Science of Foodpairing</x:v>
      </x:c>
      <x:c r="L20" s="28" t="str">
        <x:v>The Art &amp; Science of Foodpairing: 71</x:v>
      </x:c>
    </x:row>
    <x:row r="21" ht="62" customHeight="1">
      <x:c r="A21" s="28" t="str">
        <x:v>BER-0052</x:v>
      </x:c>
      <x:c r="B21" s="28" t="str">
        <x:v>бузиновый сок</x:v>
      </x:c>
      <x:c r="C21" s="28" t="str">
        <x:v>фундук</x:v>
      </x:c>
      <x:c r="D21" s="28" t="str">
        <x:v>Орехи и семена</x:v>
      </x:c>
      <x:c r="E21" s="28" t="str">
        <x:v>контраст/комплементарность + матричный эффект</x:v>
      </x:c>
      <x:c r="F2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" s="28" t="str">
        <x:v>сорбет, крем, ганаш, выпечка, джем или соус для десерта</x:v>
      </x:c>
      <x:c r="J21" s="28" t="str">
        <x:v>Средняя</x:v>
      </x:c>
      <x:c r="K21" s="28" t="str">
        <x:v>The Art &amp; Science of Foodpairing</x:v>
      </x:c>
      <x:c r="L21" s="28" t="str">
        <x:v>The Art &amp; Science of Foodpairing: 332</x:v>
      </x:c>
    </x:row>
    <x:row r="22" ht="62" customHeight="1">
      <x:c r="A22" s="28" t="str">
        <x:v>BER-0053</x:v>
      </x:c>
      <x:c r="B22" s="28" t="str">
        <x:v>бузиновый сок</x:v>
      </x:c>
      <x:c r="C22" s="28" t="str">
        <x:v>шоколад</x:v>
      </x:c>
      <x:c r="D22" s="28" t="str">
        <x:v>Шоколад, кофе и жареные продукты</x:v>
      </x:c>
      <x:c r="E22" s="28" t="str">
        <x:v>контраст/комплементарность + матричный эффект</x:v>
      </x:c>
      <x:c r="F2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" s="28" t="str">
        <x:v>сорбет, крем, ганаш, выпечка, джем или соус для десерта</x:v>
      </x:c>
      <x:c r="J22" s="28" t="str">
        <x:v>Средняя</x:v>
      </x:c>
      <x:c r="K22" s="28" t="str">
        <x:v>The Art &amp; Science of Foodpairing</x:v>
      </x:c>
      <x:c r="L22" s="28" t="str">
        <x:v>The Art &amp; Science of Foodpairing: 63</x:v>
      </x:c>
    </x:row>
    <x:row r="23" ht="62" customHeight="1">
      <x:c r="A23" s="28" t="str">
        <x:v>BER-0054</x:v>
      </x:c>
      <x:c r="B23" s="28" t="str">
        <x:v>вишня</x:v>
      </x:c>
      <x:c r="C23" s="28" t="str">
        <x:v>абрикос</x:v>
      </x:c>
      <x:c r="D23" s="28" t="str">
        <x:v>Фрукты</x:v>
      </x:c>
      <x:c r="E23" s="28" t="str">
        <x:v>сходство ароматических семейств + комплементарность</x:v>
      </x:c>
      <x:c r="F23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" s="28" t="str">
        <x:v>Не использовать повреждённые косточки без валидированной технологии: они содержат цианогенные гликозиды.</x:v>
      </x:c>
      <x:c r="I2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3" s="28" t="str">
        <x:v>Средняя</x:v>
      </x:c>
      <x:c r="K23" s="28" t="str">
        <x:v>Таблица сочетаний</x:v>
      </x:c>
      <x:c r="L23" s="28" t="str">
        <x:v>Таблица сочетаний: 1, 4</x:v>
      </x:c>
    </x:row>
    <x:row r="24" ht="62" customHeight="1">
      <x:c r="A24" s="28" t="str">
        <x:v>BER-0058</x:v>
      </x:c>
      <x:c r="B24" s="28" t="str">
        <x:v>вишня</x:v>
      </x:c>
      <x:c r="C24" s="28" t="str">
        <x:v>ананас</x:v>
      </x:c>
      <x:c r="D24" s="28" t="str">
        <x:v>Фрукты</x:v>
      </x:c>
      <x:c r="E24" s="28" t="str">
        <x:v>сходство ароматических семейств + комплементарность</x:v>
      </x:c>
      <x:c r="F24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" s="28" t="str">
        <x:v>Не использовать повреждённые косточки без валидированной технологии: они содержат цианогенные гликозиды.</x:v>
      </x:c>
      <x:c r="I2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4" s="28" t="str">
        <x:v>Высокая</x:v>
      </x:c>
      <x:c r="K24" s="28" t="str">
        <x:v>The Art &amp; Science of Foodpairing; Таблица сочетаний</x:v>
      </x:c>
      <x:c r="L24" s="28" t="str">
        <x:v>The Art &amp; Science of Foodpairing: 243; Таблица сочетаний: 17</x:v>
      </x:c>
    </x:row>
    <x:row r="25" ht="62" customHeight="1">
      <x:c r="A25" s="28" t="str">
        <x:v>BER-0063</x:v>
      </x:c>
      <x:c r="B25" s="28" t="str">
        <x:v>вишня</x:v>
      </x:c>
      <x:c r="C25" s="28" t="str">
        <x:v>банан</x:v>
      </x:c>
      <x:c r="D25" s="28" t="str">
        <x:v>Фрукты</x:v>
      </x:c>
      <x:c r="E25" s="28" t="str">
        <x:v>сходство ароматических семейств + комплементарность</x:v>
      </x:c>
      <x:c r="F25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" s="28" t="str">
        <x:v>Не использовать повреждённые косточки без валидированной технологии: они содержат цианогенные гликозиды.</x:v>
      </x:c>
      <x:c r="I2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5" s="28" t="str">
        <x:v>Высокая</x:v>
      </x:c>
      <x:c r="K25" s="28" t="str">
        <x:v>The Art &amp; Science of Foodpairing; Тезариус вкусов</x:v>
      </x:c>
      <x:c r="L25" s="28" t="str">
        <x:v>Тезариус вкусов: 653, 731; The Art &amp; Science of Foodpairing: 343</x:v>
      </x:c>
    </x:row>
    <x:row r="26" ht="62" customHeight="1">
      <x:c r="A26" s="28" t="str">
        <x:v>BER-0065</x:v>
      </x:c>
      <x:c r="B26" s="28" t="str">
        <x:v>вишня</x:v>
      </x:c>
      <x:c r="C26" s="28" t="str">
        <x:v>бри</x:v>
      </x:c>
      <x:c r="D26" s="28" t="str">
        <x:v>Молочные продукты и сыры</x:v>
      </x:c>
      <x:c r="E26" s="28" t="str">
        <x:v>контраст/комплементарность + матричный эффект</x:v>
      </x:c>
      <x:c r="F2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6" s="28" t="str">
        <x:v>Не использовать повреждённые косточки без валидированной технологии: они содержат цианогенные гликозиды. Высокая кислотность может свернуть молочный белок; смешивать при контролируемой температуре.</x:v>
      </x:c>
      <x:c r="I26" s="28" t="str">
        <x:v>сорбет, крем, ганаш, выпечка, джем или соус для десерта; соус, глазировка, салат, сырная подача или горячее блюдо</x:v>
      </x:c>
      <x:c r="J26" s="28" t="str">
        <x:v>Средняя</x:v>
      </x:c>
      <x:c r="K26" s="28" t="str">
        <x:v>The Art &amp; Science of Foodpairing</x:v>
      </x:c>
      <x:c r="L26" s="28" t="str">
        <x:v>The Art &amp; Science of Foodpairing: 337</x:v>
      </x:c>
    </x:row>
    <x:row r="27" ht="62" customHeight="1">
      <x:c r="A27" s="28" t="str">
        <x:v>BER-0067</x:v>
      </x:c>
      <x:c r="B27" s="28" t="str">
        <x:v>вишня</x:v>
      </x:c>
      <x:c r="C27" s="28" t="str">
        <x:v>голубика</x:v>
      </x:c>
      <x:c r="D27" s="28" t="str">
        <x:v>Ягоды и производные</x:v>
      </x:c>
      <x:c r="E27" s="28" t="str">
        <x:v>ароматическое сходство + вкусовой баланс</x:v>
      </x:c>
      <x:c r="F27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фруктовый, цветочный, цитрусовый. Оба компонента формируют сладко-кислый, иногда терпкий и сладко-кислый, мягкий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нежный аромат легко теряется на фоне сильной сладости.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" s="28" t="str">
        <x:v>Не использовать повреждённые косточки без валидированной технологии: они содержат цианогенные гликозиды.</x:v>
      </x:c>
      <x:c r="I2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7" s="28" t="str">
        <x:v>Средняя</x:v>
      </x:c>
      <x:c r="K27" s="28" t="str">
        <x:v>The Art &amp; Science of Foodpairing</x:v>
      </x:c>
      <x:c r="L27" s="28" t="str">
        <x:v>The Art &amp; Science of Foodpairing: 204, 205</x:v>
      </x:c>
    </x:row>
    <x:row r="28" ht="62" customHeight="1">
      <x:c r="A28" s="28" t="str">
        <x:v>BER-0068</x:v>
      </x:c>
      <x:c r="B28" s="28" t="str">
        <x:v>вишня</x:v>
      </x:c>
      <x:c r="C28" s="28" t="str">
        <x:v>голубой сыр</x:v>
      </x:c>
      <x:c r="D28" s="28" t="str">
        <x:v>Молочные продукты и сыры</x:v>
      </x:c>
      <x:c r="E28" s="28" t="str">
        <x:v>контраст/комплементарность + матричный эффект</x:v>
      </x:c>
      <x:c r="F2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8" s="28" t="str">
        <x:v>Не использовать повреждённые косточки без валидированной технологии: они содержат цианогенные гликозиды. Высокая кислотность может свернуть молочный белок; смешивать при контролируемой температуре.</x:v>
      </x:c>
      <x:c r="I28" s="28" t="str">
        <x:v>сорбет, крем, ганаш, выпечка, джем или соус для десерта; соус, глазировка, салат, сырная подача или горячее блюдо</x:v>
      </x:c>
      <x:c r="J28" s="28" t="str">
        <x:v>Средняя</x:v>
      </x:c>
      <x:c r="K28" s="28" t="str">
        <x:v>The Art &amp; Science of Foodpairing</x:v>
      </x:c>
      <x:c r="L28" s="28" t="str">
        <x:v>The Art &amp; Science of Foodpairing: 165</x:v>
      </x:c>
    </x:row>
    <x:row r="29" ht="62" customHeight="1">
      <x:c r="A29" s="28" t="str">
        <x:v>BER-0070</x:v>
      </x:c>
      <x:c r="B29" s="28" t="str">
        <x:v>вишня</x:v>
      </x:c>
      <x:c r="C29" s="28" t="str">
        <x:v>грецкий орех</x:v>
      </x:c>
      <x:c r="D29" s="28" t="str">
        <x:v>Орехи и семена</x:v>
      </x:c>
      <x:c r="E29" s="28" t="str">
        <x:v>ароматическое сходство + вкусовой баланс</x:v>
      </x:c>
      <x:c r="F29" s="28" t="str">
        <x:v>Прямой вероятный молекулярный мост: бензальдегид. Ягодный компонент несёт семейства миндальный, пряный,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" s="28" t="str">
        <x:v>Не использовать повреждённые косточки без валидированной технологии: они содержат цианогенные гликозиды.</x:v>
      </x:c>
      <x:c r="I29" s="28" t="str">
        <x:v>сорбет, крем, ганаш, выпечка, джем или соус для десерта</x:v>
      </x:c>
      <x:c r="J29" s="28" t="str">
        <x:v>Высокая</x:v>
      </x:c>
      <x:c r="K29" s="28" t="str">
        <x:v>Таблица сочетаний; Тезариус вкусов</x:v>
      </x:c>
      <x:c r="L29" s="28" t="str">
        <x:v>Тезариус вкусов: 625, 654; Таблица сочетаний: 22</x:v>
      </x:c>
    </x:row>
    <x:row r="30" ht="62" customHeight="1">
      <x:c r="A30" s="28" t="str">
        <x:v>BER-0071</x:v>
      </x:c>
      <x:c r="B30" s="28" t="str">
        <x:v>вишня</x:v>
      </x:c>
      <x:c r="C30" s="28" t="str">
        <x:v>груша</x:v>
      </x:c>
      <x:c r="D30" s="28" t="str">
        <x:v>Фрукты</x:v>
      </x:c>
      <x:c r="E30" s="28" t="str">
        <x:v>сходство ароматических семейств + комплементарность</x:v>
      </x:c>
      <x:c r="F30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0" s="28" t="str">
        <x:v>Не использовать повреждённые косточки без валидированной технологии: они содержат цианогенные гликозиды.</x:v>
      </x:c>
      <x:c r="I3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30" s="28" t="str">
        <x:v>Высокая</x:v>
      </x:c>
      <x:c r="K30" s="28" t="str">
        <x:v>The Art &amp; Science of Foodpairing; Таблица сочетаний</x:v>
      </x:c>
      <x:c r="L30" s="28" t="str">
        <x:v>The Art &amp; Science of Foodpairing: 350, 351; Таблица сочетаний: 16</x:v>
      </x:c>
    </x:row>
    <x:row r="31" ht="62" customHeight="1">
      <x:c r="A31" s="28" t="str">
        <x:v>BER-0074</x:v>
      </x:c>
      <x:c r="B31" s="28" t="str">
        <x:v>вишня</x:v>
      </x:c>
      <x:c r="C31" s="28" t="str">
        <x:v>инжир</x:v>
      </x:c>
      <x:c r="D31" s="28" t="str">
        <x:v>Фрукты</x:v>
      </x:c>
      <x:c r="E31" s="28" t="str">
        <x:v>сходство ароматических семейств + комплементарность</x:v>
      </x:c>
      <x:c r="F31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1" s="28" t="str">
        <x:v>Не использовать повреждённые косточки без валидированной технологии: они содержат цианогенные гликозиды.</x:v>
      </x:c>
      <x:c r="I3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31" s="28" t="str">
        <x:v>Средняя</x:v>
      </x:c>
      <x:c r="K31" s="28" t="str">
        <x:v>Таблица сочетаний</x:v>
      </x:c>
      <x:c r="L31" s="28" t="str">
        <x:v>Таблица сочетаний: 8</x:v>
      </x:c>
    </x:row>
    <x:row r="32" ht="62" customHeight="1">
      <x:c r="A32" s="28" t="str">
        <x:v>BER-0075</x:v>
      </x:c>
      <x:c r="B32" s="28" t="str">
        <x:v>вишня</x:v>
      </x:c>
      <x:c r="C32" s="28" t="str">
        <x:v>карамель</x:v>
      </x:c>
      <x:c r="D32" s="28" t="str">
        <x:v>Шоколад, кофе и жареные продукты</x:v>
      </x:c>
      <x:c r="E32" s="28" t="str">
        <x:v>контраст/комплементарность + матричный эффект</x:v>
      </x:c>
      <x:c r="F3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2" s="28" t="str">
        <x:v>Не использовать повреждённые косточки без валидированной технологии: они содержат цианогенные гликозиды.</x:v>
      </x:c>
      <x:c r="I32" s="28" t="str">
        <x:v>сорбет, крем, ганаш, выпечка, джем или соус для десерта</x:v>
      </x:c>
      <x:c r="J32" s="28" t="str">
        <x:v>Средняя</x:v>
      </x:c>
      <x:c r="K32" s="28" t="str">
        <x:v>Таблица сочетаний</x:v>
      </x:c>
      <x:c r="L32" s="28" t="str">
        <x:v>Таблица сочетаний: 4</x:v>
      </x:c>
    </x:row>
    <x:row r="33" ht="62" customHeight="1">
      <x:c r="A33" s="28" t="str">
        <x:v>BER-0076</x:v>
      </x:c>
      <x:c r="B33" s="28" t="str">
        <x:v>вишня</x:v>
      </x:c>
      <x:c r="C33" s="28" t="str">
        <x:v>киви</x:v>
      </x:c>
      <x:c r="D33" s="28" t="str">
        <x:v>Фрукты</x:v>
      </x:c>
      <x:c r="E33" s="28" t="str">
        <x:v>сходство ароматических семейств + комплементарность</x:v>
      </x:c>
      <x:c r="F33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3" s="28" t="str">
        <x:v>Не использовать повреждённые косточки без валидированной технологии: они содержат цианогенные гликозиды.</x:v>
      </x:c>
      <x:c r="I3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33" s="28" t="str">
        <x:v>Средняя</x:v>
      </x:c>
      <x:c r="K33" s="28" t="str">
        <x:v>Таблица сочетаний</x:v>
      </x:c>
      <x:c r="L33" s="28" t="str">
        <x:v>Таблица сочетаний: 10</x:v>
      </x:c>
    </x:row>
    <x:row r="34" ht="62" customHeight="1">
      <x:c r="A34" s="28" t="str">
        <x:v>BER-0077</x:v>
      </x:c>
      <x:c r="B34" s="28" t="str">
        <x:v>вишня</x:v>
      </x:c>
      <x:c r="C34" s="28" t="str">
        <x:v>козий сыр</x:v>
      </x:c>
      <x:c r="D34" s="28" t="str">
        <x:v>Молочные продукты и сыры</x:v>
      </x:c>
      <x:c r="E34" s="28" t="str">
        <x:v>контраст/комплементарность + матричный эффект</x:v>
      </x:c>
      <x:c r="F3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3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34" s="28" t="str">
        <x:v>Не использовать повреждённые косточки без валидированной технологии: они содержат цианогенные гликозиды. Высокая кислотность может свернуть молочный белок; смешивать при контролируемой температуре.</x:v>
      </x:c>
      <x:c r="I34" s="28" t="str">
        <x:v>сорбет, крем, ганаш, выпечка, джем или соус для десерта; соус, глазировка, салат, сырная подача или горячее блюдо</x:v>
      </x:c>
      <x:c r="J34" s="28" t="str">
        <x:v>Высокая</x:v>
      </x:c>
      <x:c r="K34" s="28" t="str">
        <x:v>The Art &amp; Science of Foodpairing; Тезариус вкусов</x:v>
      </x:c>
      <x:c r="L34" s="28" t="str">
        <x:v>Тезариус вкусов: 137, 654; The Art &amp; Science of Foodpairing: 200</x:v>
      </x:c>
    </x:row>
    <x:row r="35" ht="62" customHeight="1">
      <x:c r="A35" s="28" t="str">
        <x:v>BER-0081</x:v>
      </x:c>
      <x:c r="B35" s="28" t="str">
        <x:v>вишня</x:v>
      </x:c>
      <x:c r="C35" s="28" t="str">
        <x:v>корица</x:v>
      </x:c>
      <x:c r="D35" s="28" t="str">
        <x:v>Специи</x:v>
      </x:c>
      <x:c r="E35" s="28" t="str">
        <x:v>ароматическое сходство + вкусовой баланс</x:v>
      </x:c>
      <x:c r="F35" s="28" t="str">
        <x:v>Прямой вероятный молекулярный мост: эвгенол. Ягодный компонент несёт семейства миндальный, пряный,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5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3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35" s="28" t="str">
        <x:v>Высокая</x:v>
      </x:c>
      <x:c r="K35" s="28" t="str">
        <x:v>The Art &amp; Science of Foodpairing; Таблица сочетаний; Тезариус вкусов</x:v>
      </x:c>
      <x:c r="L35" s="28" t="str">
        <x:v>Тезариус вкусов: 574, 655; The Art &amp; Science of Foodpairing: 130; Таблица сочетаний: 4</x:v>
      </x:c>
    </x:row>
    <x:row r="36" ht="62" customHeight="1">
      <x:c r="A36" s="28" t="str">
        <x:v>BER-0082</x:v>
      </x:c>
      <x:c r="B36" s="28" t="str">
        <x:v>вишня</x:v>
      </x:c>
      <x:c r="C36" s="28" t="str">
        <x:v>кофе</x:v>
      </x:c>
      <x:c r="D36" s="28" t="str">
        <x:v>Шоколад, кофе и жареные продукты</x:v>
      </x:c>
      <x:c r="E36" s="28" t="str">
        <x:v>контраст/комплементарность + матричный эффект</x:v>
      </x:c>
      <x:c r="F3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6" s="28" t="str">
        <x:v>Не использовать повреждённые косточки без валидированной технологии: они содержат цианогенные гликозиды.</x:v>
      </x:c>
      <x:c r="I36" s="28" t="str">
        <x:v>сорбет, крем, ганаш, выпечка, джем или соус для десерта</x:v>
      </x:c>
      <x:c r="J36" s="28" t="str">
        <x:v>Высокая</x:v>
      </x:c>
      <x:c r="K36" s="28" t="str">
        <x:v>Таблица сочетаний; Тезариус вкусов</x:v>
      </x:c>
      <x:c r="L36" s="28" t="str">
        <x:v>Тезариус вкусов: 43, 655; Таблица сочетаний: 6</x:v>
      </x:c>
    </x:row>
    <x:row r="37" ht="62" customHeight="1">
      <x:c r="A37" s="28" t="str">
        <x:v>BER-0083</x:v>
      </x:c>
      <x:c r="B37" s="28" t="str">
        <x:v>вишня</x:v>
      </x:c>
      <x:c r="C37" s="28" t="str">
        <x:v>красный сладкий перец</x:v>
      </x:c>
      <x:c r="D37" s="28" t="str">
        <x:v>Специи</x:v>
      </x:c>
      <x:c r="E37" s="28" t="str">
        <x:v>ароматическое сходство + вкусовой баланс</x:v>
      </x:c>
      <x:c r="F37" s="28" t="str">
        <x:v>Прямой вероятный молекулярный мост: эвгенол. Ягодный компонент несёт семейства миндальный, пряный,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7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3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37" s="28" t="str">
        <x:v>Средняя</x:v>
      </x:c>
      <x:c r="K37" s="28" t="str">
        <x:v>The Art &amp; Science of Foodpairing</x:v>
      </x:c>
      <x:c r="L37" s="28" t="str">
        <x:v>The Art &amp; Science of Foodpairing: 108</x:v>
      </x:c>
    </x:row>
    <x:row r="38" ht="62" customHeight="1">
      <x:c r="A38" s="28" t="str">
        <x:v>BER-0085</x:v>
      </x:c>
      <x:c r="B38" s="28" t="str">
        <x:v>вишня</x:v>
      </x:c>
      <x:c r="C38" s="28" t="str">
        <x:v>кунжут</x:v>
      </x:c>
      <x:c r="D38" s="28" t="str">
        <x:v>Орехи и семена</x:v>
      </x:c>
      <x:c r="E38" s="28" t="str">
        <x:v>ароматическое сходство + вкусовой баланс</x:v>
      </x:c>
      <x:c r="F38" s="28" t="str">
        <x:v>Прямой вероятный молекулярный мост: бензальдегид. Ягодный компонент несёт семейства миндальный, пряный,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8" s="28" t="str">
        <x:v>Не использовать повреждённые косточки без валидированной технологии: они содержат цианогенные гликозиды.</x:v>
      </x:c>
      <x:c r="I38" s="28" t="str">
        <x:v>сорбет, крем, ганаш, выпечка, джем или соус для десерта</x:v>
      </x:c>
      <x:c r="J38" s="28" t="str">
        <x:v>Средняя</x:v>
      </x:c>
      <x:c r="K38" s="28" t="str">
        <x:v>The Art &amp; Science of Foodpairing</x:v>
      </x:c>
      <x:c r="L38" s="28" t="str">
        <x:v>The Art &amp; Science of Foodpairing: 308, 309</x:v>
      </x:c>
    </x:row>
    <x:row r="39" ht="62" customHeight="1">
      <x:c r="A39" s="28" t="str">
        <x:v>BER-0088</x:v>
      </x:c>
      <x:c r="B39" s="28" t="str">
        <x:v>вишня</x:v>
      </x:c>
      <x:c r="C39" s="28" t="str">
        <x:v>личи</x:v>
      </x:c>
      <x:c r="D39" s="28" t="str">
        <x:v>Фрукты</x:v>
      </x:c>
      <x:c r="E39" s="28" t="str">
        <x:v>сходство ароматических семейств + комплементарность</x:v>
      </x:c>
      <x:c r="F39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9" s="28" t="str">
        <x:v>Не использовать повреждённые косточки без валидированной технологии: они содержат цианогенные гликозиды.</x:v>
      </x:c>
      <x:c r="I3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39" s="28" t="str">
        <x:v>Средняя</x:v>
      </x:c>
      <x:c r="K39" s="28" t="str">
        <x:v>Таблица сочетаний</x:v>
      </x:c>
      <x:c r="L39" s="28" t="str">
        <x:v>Таблица сочетаний: 4</x:v>
      </x:c>
    </x:row>
    <x:row r="40" ht="62" customHeight="1">
      <x:c r="A40" s="28" t="str">
        <x:v>BER-0089</x:v>
      </x:c>
      <x:c r="B40" s="28" t="str">
        <x:v>вишня</x:v>
      </x:c>
      <x:c r="C40" s="28" t="str">
        <x:v>макадамия</x:v>
      </x:c>
      <x:c r="D40" s="28" t="str">
        <x:v>Орехи и семена</x:v>
      </x:c>
      <x:c r="E40" s="28" t="str">
        <x:v>ароматическое сходство + вкусовой баланс</x:v>
      </x:c>
      <x:c r="F40" s="28" t="str">
        <x:v>Прямой вероятный молекулярный мост: бензальдегид. Ягодный компонент несёт семейства миндальный, пряный,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0" s="28" t="str">
        <x:v>Не использовать повреждённые косточки без валидированной технологии: они содержат цианогенные гликозиды.</x:v>
      </x:c>
      <x:c r="I40" s="28" t="str">
        <x:v>сорбет, крем, ганаш, выпечка, джем или соус для десерта</x:v>
      </x:c>
      <x:c r="J40" s="28" t="str">
        <x:v>Средняя</x:v>
      </x:c>
      <x:c r="K40" s="28" t="str">
        <x:v>Таблица сочетаний</x:v>
      </x:c>
      <x:c r="L40" s="28" t="str">
        <x:v>Таблица сочетаний: 12</x:v>
      </x:c>
    </x:row>
    <x:row r="41" ht="62" customHeight="1">
      <x:c r="A41" s="28" t="str">
        <x:v>BER-0091</x:v>
      </x:c>
      <x:c r="B41" s="28" t="str">
        <x:v>вишня</x:v>
      </x:c>
      <x:c r="C41" s="28" t="str">
        <x:v>миндаль</x:v>
      </x:c>
      <x:c r="D41" s="28" t="str">
        <x:v>Орехи и семена</x:v>
      </x:c>
      <x:c r="E41" s="28" t="str">
        <x:v>ароматическое сходство + вкусовой баланс</x:v>
      </x:c>
      <x:c r="F41" s="28" t="str">
        <x:v>Прямой вероятный молекулярный мост: бензальдегид. Ягодный компонент несёт семейства миндальный, пряный,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1" s="28" t="str">
        <x:v>Не использовать повреждённые косточки без валидированной технологии: они содержат цианогенные гликозиды.</x:v>
      </x:c>
      <x:c r="I41" s="28" t="str">
        <x:v>сорбет, крем, ганаш, выпечка, джем или соус для десерта</x:v>
      </x:c>
      <x:c r="J41" s="28" t="str">
        <x:v>Высокая</x:v>
      </x:c>
      <x:c r="K41" s="28" t="str">
        <x:v>The Art &amp; Science of Foodpairing; Таблица сочетаний; Тезариус вкусов</x:v>
      </x:c>
      <x:c r="L41" s="28" t="str">
        <x:v>Тезариус вкусов: 642, 655; The Art &amp; Science of Foodpairing: 347; Таблица сочетаний: 1</x:v>
      </x:c>
    </x:row>
    <x:row r="42" ht="62" customHeight="1">
      <x:c r="A42" s="28" t="str">
        <x:v>BER-0093</x:v>
      </x:c>
      <x:c r="B42" s="28" t="str">
        <x:v>вишня</x:v>
      </x:c>
      <x:c r="C42" s="28" t="str">
        <x:v>мускатный орех</x:v>
      </x:c>
      <x:c r="D42" s="28" t="str">
        <x:v>Орехи и семена</x:v>
      </x:c>
      <x:c r="E42" s="28" t="str">
        <x:v>ароматическое сходство + вкусовой баланс</x:v>
      </x:c>
      <x:c r="F42" s="28" t="str">
        <x:v>Прямой вероятный молекулярный мост: бензальдегид. Ягодный компонент несёт семейства миндальный, пряный,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2" s="28" t="str">
        <x:v>Не использовать повреждённые косточки без валидированной технологии: они содержат цианогенные гликозиды.</x:v>
      </x:c>
      <x:c r="I42" s="28" t="str">
        <x:v>сорбет, крем, ганаш, выпечка, джем или соус для десерта</x:v>
      </x:c>
      <x:c r="J42" s="28" t="str">
        <x:v>Средняя</x:v>
      </x:c>
      <x:c r="K42" s="28" t="str">
        <x:v>Таблица сочетаний</x:v>
      </x:c>
      <x:c r="L42" s="28" t="str">
        <x:v>Таблица сочетаний: 4</x:v>
      </x:c>
    </x:row>
    <x:row r="43" ht="62" customHeight="1">
      <x:c r="A43" s="28" t="str">
        <x:v>BER-0096</x:v>
      </x:c>
      <x:c r="B43" s="28" t="str">
        <x:v>вишня</x:v>
      </x:c>
      <x:c r="C43" s="28" t="str">
        <x:v>оливковое масло</x:v>
      </x:c>
      <x:c r="D43" s="28" t="str">
        <x:v>Молочные продукты и сыры</x:v>
      </x:c>
      <x:c r="E43" s="28" t="str">
        <x:v>контраст/комплементарность + матричный эффект</x:v>
      </x:c>
      <x:c r="F4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4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43" s="28" t="str">
        <x:v>Не использовать повреждённые косточки без валидированной технологии: они содержат цианогенные гликозиды. Высокая кислотность может свернуть молочный белок; смешивать при контролируемой температуре.</x:v>
      </x:c>
      <x:c r="I43" s="28" t="str">
        <x:v>сорбет, крем, ганаш, выпечка, джем или соус для десерта; соус, глазировка, салат, сырная подача или горячее блюдо</x:v>
      </x:c>
      <x:c r="J43" s="28" t="str">
        <x:v>Средняя</x:v>
      </x:c>
      <x:c r="K43" s="28" t="str">
        <x:v>The Art &amp; Science of Foodpairing</x:v>
      </x:c>
      <x:c r="L43" s="28" t="str">
        <x:v>The Art &amp; Science of Foodpairing: 172</x:v>
      </x:c>
    </x:row>
    <x:row r="44" ht="62" customHeight="1">
      <x:c r="A44" s="28" t="str">
        <x:v>BER-0098</x:v>
      </x:c>
      <x:c r="B44" s="28" t="str">
        <x:v>вишня</x:v>
      </x:c>
      <x:c r="C44" s="28" t="str">
        <x:v>пекан</x:v>
      </x:c>
      <x:c r="D44" s="28" t="str">
        <x:v>Орехи и семена</x:v>
      </x:c>
      <x:c r="E44" s="28" t="str">
        <x:v>ароматическое сходство + вкусовой баланс</x:v>
      </x:c>
      <x:c r="F44" s="28" t="str">
        <x:v>Прямой вероятный молекулярный мост: бензальдегид. Ягодный компонент несёт семейства миндальный, пряный,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4" s="28" t="str">
        <x:v>Не использовать повреждённые косточки без валидированной технологии: они содержат цианогенные гликозиды.</x:v>
      </x:c>
      <x:c r="I44" s="28" t="str">
        <x:v>сорбет, крем, ганаш, выпечка, джем или соус для десерта</x:v>
      </x:c>
      <x:c r="J44" s="28" t="str">
        <x:v>Средняя</x:v>
      </x:c>
      <x:c r="K44" s="28" t="str">
        <x:v>Таблица сочетаний</x:v>
      </x:c>
      <x:c r="L44" s="28" t="str">
        <x:v>Таблица сочетаний: 4</x:v>
      </x:c>
    </x:row>
    <x:row r="45" ht="62" customHeight="1">
      <x:c r="A45" s="28" t="str">
        <x:v>BER-0099</x:v>
      </x:c>
      <x:c r="B45" s="28" t="str">
        <x:v>вишня</x:v>
      </x:c>
      <x:c r="C45" s="28" t="str">
        <x:v>перец</x:v>
      </x:c>
      <x:c r="D45" s="28" t="str">
        <x:v>Специи</x:v>
      </x:c>
      <x:c r="E45" s="28" t="str">
        <x:v>ароматическое сходство + вкусовой баланс</x:v>
      </x:c>
      <x:c r="F45" s="28" t="str">
        <x:v>Прямой вероятный молекулярный мост: эвгенол. Ягодный компонент несёт семейства миндальный, пряный,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5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4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45" s="28" t="str">
        <x:v>Средняя</x:v>
      </x:c>
      <x:c r="K45" s="28" t="str">
        <x:v>Таблица сочетаний</x:v>
      </x:c>
      <x:c r="L45" s="28" t="str">
        <x:v>Таблица сочетаний: 16</x:v>
      </x:c>
    </x:row>
    <x:row r="46" ht="62" customHeight="1">
      <x:c r="A46" s="28" t="str">
        <x:v>BER-0100</x:v>
      </x:c>
      <x:c r="B46" s="28" t="str">
        <x:v>вишня</x:v>
      </x:c>
      <x:c r="C46" s="28" t="str">
        <x:v>персик</x:v>
      </x:c>
      <x:c r="D46" s="28" t="str">
        <x:v>Фрукты</x:v>
      </x:c>
      <x:c r="E46" s="28" t="str">
        <x:v>сходство ароматических семейств + комплементарность</x:v>
      </x:c>
      <x:c r="F46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6" s="28" t="str">
        <x:v>Не использовать повреждённые косточки без валидированной технологии: они содержат цианогенные гликозиды.</x:v>
      </x:c>
      <x:c r="I4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46" s="28" t="str">
        <x:v>Высокая</x:v>
      </x:c>
      <x:c r="K46" s="28" t="str">
        <x:v>The Art &amp; Science of Foodpairing; Таблица сочетаний; Тезариус вкусов</x:v>
      </x:c>
      <x:c r="L46" s="28" t="str">
        <x:v>Тезариус вкусов: 656, 749; The Art &amp; Science of Foodpairing: 260; Таблица сочетаний: 4, 15</x:v>
      </x:c>
    </x:row>
    <x:row r="47" ht="62" customHeight="1">
      <x:c r="A47" s="28" t="str">
        <x:v>BER-0104</x:v>
      </x:c>
      <x:c r="B47" s="28" t="str">
        <x:v>вишня</x:v>
      </x:c>
      <x:c r="C47" s="28" t="str">
        <x:v>смородина</x:v>
      </x:c>
      <x:c r="D47" s="28" t="str">
        <x:v>Ягоды и производные</x:v>
      </x:c>
      <x:c r="E47" s="28" t="str">
        <x:v>сходство ароматических семейств + комплементарность</x:v>
      </x:c>
      <x:c r="F47" s="28" t="str">
        <x:v>Общие ароматические семейства: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тёмно-фруктовый, цветочный. Оба компонента формируют сладко-кислый, иногда терпкий и кисло-сладкий, терпкий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профиль зависит от вида смородины.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7" s="28" t="str">
        <x:v>Не использовать повреждённые косточки без валидированной технологии: они содержат цианогенные гликозиды.</x:v>
      </x:c>
      <x:c r="I4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47" s="28" t="str">
        <x:v>Средняя</x:v>
      </x:c>
      <x:c r="K47" s="28" t="str">
        <x:v>Таблица сочетаний</x:v>
      </x:c>
      <x:c r="L47" s="28" t="str">
        <x:v>Таблица сочетаний: 4</x:v>
      </x:c>
    </x:row>
    <x:row r="48" ht="62" customHeight="1">
      <x:c r="A48" s="28" t="str">
        <x:v>BER-0108</x:v>
      </x:c>
      <x:c r="B48" s="28" t="str">
        <x:v>вишня</x:v>
      </x:c>
      <x:c r="C48" s="28" t="str">
        <x:v>фундук</x:v>
      </x:c>
      <x:c r="D48" s="28" t="str">
        <x:v>Орехи и семена</x:v>
      </x:c>
      <x:c r="E48" s="28" t="str">
        <x:v>ароматическое сходство + вкусовой баланс</x:v>
      </x:c>
      <x:c r="F48" s="28" t="str">
        <x:v>Прямой вероятный молекулярный мост: бензальдегид. Ягодный компонент несёт семейства миндальный, пряный,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8" s="28" t="str">
        <x:v>Не использовать повреждённые косточки без валидированной технологии: они содержат цианогенные гликозиды.</x:v>
      </x:c>
      <x:c r="I48" s="28" t="str">
        <x:v>сорбет, крем, ганаш, выпечка, джем или соус для десерта</x:v>
      </x:c>
      <x:c r="J48" s="28" t="str">
        <x:v>Высокая</x:v>
      </x:c>
      <x:c r="K48" s="28" t="str">
        <x:v>Тезариус вкусов</x:v>
      </x:c>
      <x:c r="L48" s="28" t="str">
        <x:v>Тезариус вкусов: 634, 656</x:v>
      </x:c>
    </x:row>
    <x:row r="49" ht="62" customHeight="1">
      <x:c r="A49" s="28" t="str">
        <x:v>BER-0113</x:v>
      </x:c>
      <x:c r="B49" s="28" t="str">
        <x:v>вишня</x:v>
      </x:c>
      <x:c r="C49" s="28" t="str">
        <x:v>чёрная смородина</x:v>
      </x:c>
      <x:c r="D49" s="28" t="str">
        <x:v>Ягоды и производные</x:v>
      </x:c>
      <x:c r="E49" s="28" t="str">
        <x:v>сходство ароматических семейств + комплементарность</x:v>
      </x:c>
      <x:c r="F49" s="28" t="str">
        <x:v>Общие ароматические семейства: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листовой, сернистый, тёмно-фруктовый, цветочный. Оба компонента формируют сладко-кислый, иногда терпкий и ярко-кислый, терпкий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следовые тиолы чрезвычайно мощные; передозировка даёт «кошачий» тон.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9" s="28" t="str">
        <x:v>Не использовать повреждённые косточки без валидированной технологии: они содержат цианогенные гликозиды.</x:v>
      </x:c>
      <x:c r="I4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49" s="28" t="str">
        <x:v>Средняя</x:v>
      </x:c>
      <x:c r="K49" s="28" t="str">
        <x:v>Таблица сочетаний</x:v>
      </x:c>
      <x:c r="L49" s="28" t="str">
        <x:v>Таблица сочетаний: 2</x:v>
      </x:c>
    </x:row>
    <x:row r="50" ht="62" customHeight="1">
      <x:c r="A50" s="28" t="str">
        <x:v>BER-0114</x:v>
      </x:c>
      <x:c r="B50" s="28" t="str">
        <x:v>вишня</x:v>
      </x:c>
      <x:c r="C50" s="28" t="str">
        <x:v>чёрный перец</x:v>
      </x:c>
      <x:c r="D50" s="28" t="str">
        <x:v>Специи</x:v>
      </x:c>
      <x:c r="E50" s="28" t="str">
        <x:v>ароматическое сходство + вкусовой баланс</x:v>
      </x:c>
      <x:c r="F50" s="28" t="str">
        <x:v>Прямой вероятный молекулярный мост: эвгенол. Ягодный компонент несёт семейства миндальный, пряный,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0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5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50" s="28" t="str">
        <x:v>Средняя</x:v>
      </x:c>
      <x:c r="K50" s="28" t="str">
        <x:v>Таблица сочетаний</x:v>
      </x:c>
      <x:c r="L50" s="28" t="str">
        <x:v>Таблица сочетаний: 4</x:v>
      </x:c>
    </x:row>
    <x:row r="51" ht="62" customHeight="1">
      <x:c r="A51" s="28" t="str">
        <x:v>BER-0118</x:v>
      </x:c>
      <x:c r="B51" s="28" t="str">
        <x:v>вишня</x:v>
      </x:c>
      <x:c r="C51" s="28" t="str">
        <x:v>шоколад</x:v>
      </x:c>
      <x:c r="D51" s="28" t="str">
        <x:v>Шоколад, кофе и жареные продукты</x:v>
      </x:c>
      <x:c r="E51" s="28" t="str">
        <x:v>контраст/комплементарность + матричный эффект</x:v>
      </x:c>
      <x:c r="F5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1" s="28" t="str">
        <x:v>Не использовать повреждённые косточки без валидированной технологии: они содержат цианогенные гликозиды.</x:v>
      </x:c>
      <x:c r="I51" s="28" t="str">
        <x:v>сорбет, крем, ганаш, выпечка, джем или соус для десерта</x:v>
      </x:c>
      <x:c r="J51" s="28" t="str">
        <x:v>Высокая</x:v>
      </x:c>
      <x:c r="K51" s="28" t="str">
        <x:v>The Art &amp; Science of Foodpairing; Таблица сочетаний; Тезариус вкусов</x:v>
      </x:c>
      <x:c r="L51" s="28" t="str">
        <x:v>Тезариус вкусов: 28, 657; The Art &amp; Science of Foodpairing: 62, 63; Таблица сочетаний: 4, 5</x:v>
      </x:c>
    </x:row>
    <x:row r="52" ht="62" customHeight="1">
      <x:c r="A52" s="28" t="str">
        <x:v>BER-0119</x:v>
      </x:c>
      <x:c r="B52" s="28" t="str">
        <x:v>вишня</x:v>
      </x:c>
      <x:c r="C52" s="28" t="str">
        <x:v>яблоко</x:v>
      </x:c>
      <x:c r="D52" s="28" t="str">
        <x:v>Фрукты</x:v>
      </x:c>
      <x:c r="E52" s="28" t="str">
        <x:v>сходство ароматических семейств + комплементарность</x:v>
      </x:c>
      <x:c r="F52" s="28" t="str">
        <x:v>Общие ароматические семейства: фруктовый, цветочный; конкретная доля одорантов зависит от сорта и обработки. Ягодный компонент несёт семейства миндальный, пряный, фруктовый, цветочный; партнёр — зелёный, фруктовый, цветочный. Оба компонента формируют сладко-кислый, иногда терпкий и сладко-кислый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2" s="28" t="str">
        <x:v>Не использовать повреждённые косточки без валидированной технологии: они содержат цианогенные гликозиды.</x:v>
      </x:c>
      <x:c r="I5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52" s="28" t="str">
        <x:v>Средняя</x:v>
      </x:c>
      <x:c r="K52" s="28" t="str">
        <x:v>The Art &amp; Science of Foodpairing</x:v>
      </x:c>
      <x:c r="L52" s="28" t="str">
        <x:v>The Art &amp; Science of Foodpairing: 48, 49</x:v>
      </x:c>
    </x:row>
    <x:row r="53" ht="62" customHeight="1">
      <x:c r="A53" s="28" t="str">
        <x:v>BER-0120</x:v>
      </x:c>
      <x:c r="B53" s="28" t="str">
        <x:v>голубика</x:v>
      </x:c>
      <x:c r="C53" s="28" t="str">
        <x:v>amarillo chilli</x:v>
      </x:c>
      <x:c r="D53" s="28" t="str">
        <x:v>Специи</x:v>
      </x:c>
      <x:c r="E53" s="28" t="str">
        <x:v>контраст/комплементарность + матричный эффект</x:v>
      </x:c>
      <x:c r="F5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3" s="28" t="str">
        <x:v>Пряность дозировать как акцент: она быстро перекрывает тонкие ягодные эфиры.</x:v>
      </x:c>
      <x:c r="I5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53" s="28" t="str">
        <x:v>Средняя</x:v>
      </x:c>
      <x:c r="K53" s="28" t="str">
        <x:v>The Art &amp; Science of Foodpairing</x:v>
      </x:c>
      <x:c r="L53" s="28" t="str">
        <x:v>The Art &amp; Science of Foodpairing: 204</x:v>
      </x:c>
    </x:row>
    <x:row r="54" ht="62" customHeight="1">
      <x:c r="A54" s="28" t="str">
        <x:v>BER-0121</x:v>
      </x:c>
      <x:c r="B54" s="28" t="str">
        <x:v>голубика</x:v>
      </x:c>
      <x:c r="C54" s="28" t="str">
        <x:v>anberry</x:v>
      </x:c>
      <x:c r="D54" s="28" t="str">
        <x:v>Ягоды и производные</x:v>
      </x:c>
      <x:c r="E54" s="28" t="str">
        <x:v>контраст/комплементарность + матричный эффект</x:v>
      </x:c>
      <x:c r="F5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54" s="28" t="str">
        <x:v>Средняя</x:v>
      </x:c>
      <x:c r="K54" s="28" t="str">
        <x:v>The Art &amp; Science of Foodpairing</x:v>
      </x:c>
      <x:c r="L54" s="28" t="str">
        <x:v>The Art &amp; Science of Foodpairing: 204</x:v>
      </x:c>
    </x:row>
    <x:row r="55" ht="62" customHeight="1">
      <x:c r="A55" s="28" t="str">
        <x:v>BER-0125</x:v>
      </x:c>
      <x:c r="B55" s="28" t="str">
        <x:v>голубика</x:v>
      </x:c>
      <x:c r="C55" s="28" t="str">
        <x:v>banana chips</x:v>
      </x:c>
      <x:c r="D55" s="28" t="str">
        <x:v>Фрукты</x:v>
      </x:c>
      <x:c r="E55" s="28" t="str">
        <x:v>сходство ароматических семейств + комплементарность</x:v>
      </x:c>
      <x:c r="F55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55" s="28" t="str">
        <x:v>Средняя</x:v>
      </x:c>
      <x:c r="K55" s="28" t="str">
        <x:v>The Art &amp; Science of Foodpairing</x:v>
      </x:c>
      <x:c r="L55" s="28" t="str">
        <x:v>The Art &amp; Science of Foodpairing: 205</x:v>
      </x:c>
    </x:row>
    <x:row r="56" ht="62" customHeight="1">
      <x:c r="A56" s="28" t="str">
        <x:v>BER-0128</x:v>
      </x:c>
      <x:c r="B56" s="28" t="str">
        <x:v>голубика</x:v>
      </x:c>
      <x:c r="C56" s="28" t="str">
        <x:v>berry</x:v>
      </x:c>
      <x:c r="D56" s="28" t="str">
        <x:v>Ягоды и производные</x:v>
      </x:c>
      <x:c r="E56" s="28" t="str">
        <x:v>контраст/комплементарность + матричный эффект</x:v>
      </x:c>
      <x:c r="F5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56" s="28" t="str">
        <x:v>Средняя</x:v>
      </x:c>
      <x:c r="K56" s="28" t="str">
        <x:v>The Art &amp; Science of Foodpairing</x:v>
      </x:c>
      <x:c r="L56" s="28" t="str">
        <x:v>The Art &amp; Science of Foodpairing: 204</x:v>
      </x:c>
    </x:row>
    <x:row r="57" ht="62" customHeight="1">
      <x:c r="A57" s="28" t="str">
        <x:v>BER-0129</x:v>
      </x:c>
      <x:c r="B57" s="28" t="str">
        <x:v>голубика</x:v>
      </x:c>
      <x:c r="C57" s="28" t="str">
        <x:v>berry vinegar</x:v>
      </x:c>
      <x:c r="D57" s="28" t="str">
        <x:v>Ягоды и производные</x:v>
      </x:c>
      <x:c r="E57" s="28" t="str">
        <x:v>контраст/комплементарность + матричный эффект</x:v>
      </x:c>
      <x:c r="F5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57" s="28" t="str">
        <x:v>Средняя</x:v>
      </x:c>
      <x:c r="K57" s="28" t="str">
        <x:v>The Art &amp; Science of Foodpairing</x:v>
      </x:c>
      <x:c r="L57" s="28" t="str">
        <x:v>The Art &amp; Science of Foodpairing: 204</x:v>
      </x:c>
    </x:row>
    <x:row r="58" ht="62" customHeight="1">
      <x:c r="A58" s="28" t="str">
        <x:v>BER-0134</x:v>
      </x:c>
      <x:c r="B58" s="28" t="str">
        <x:v>голубика</x:v>
      </x:c>
      <x:c r="C58" s="28" t="str">
        <x:v>brioche kiw</x:v>
      </x:c>
      <x:c r="D58" s="28" t="str">
        <x:v>Злаки и выпечка</x:v>
      </x:c>
      <x:c r="E58" s="28" t="str">
        <x:v>контраст/комплементарность + матричный эффект</x:v>
      </x:c>
      <x:c r="F5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зерновой, солодовый. Оба компонента формируют сладко-кислый, мягкий и крахмалистый, сладковатый контур; сахар, кислота и горечь должны быть выровнены дегустацией. Ягода: нежный аромат легко теряется на фоне сильной сладости. Партнёр: крахмал и сухая пористая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8" s="28" t="str">
        <x:v>сорбет, крем, ганаш, выпечка, джем или соус для десерта</x:v>
      </x:c>
      <x:c r="J58" s="28" t="str">
        <x:v>Средняя</x:v>
      </x:c>
      <x:c r="K58" s="28" t="str">
        <x:v>The Art &amp; Science of Foodpairing</x:v>
      </x:c>
      <x:c r="L58" s="28" t="str">
        <x:v>The Art &amp; Science of Foodpairing: 204</x:v>
      </x:c>
    </x:row>
    <x:row r="59" ht="62" customHeight="1">
      <x:c r="A59" s="28" t="str">
        <x:v>BER-0140</x:v>
      </x:c>
      <x:c r="B59" s="28" t="str">
        <x:v>голубика</x:v>
      </x:c>
      <x:c r="C59" s="28" t="str">
        <x:v>dark chocolate log</x:v>
      </x:c>
      <x:c r="D59" s="28" t="str">
        <x:v>Шоколад, кофе и жареные продукты</x:v>
      </x:c>
      <x:c r="E59" s="28" t="str">
        <x:v>контраст/комплементарность + матричный эффект</x:v>
      </x:c>
      <x:c r="F5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9" s="28" t="str">
        <x:v>сорбет, крем, ганаш, выпечка, джем или соус для десерта</x:v>
      </x:c>
      <x:c r="J59" s="28" t="str">
        <x:v>Средняя</x:v>
      </x:c>
      <x:c r="K59" s="28" t="str">
        <x:v>The Art &amp; Science of Foodpairing</x:v>
      </x:c>
      <x:c r="L59" s="28" t="str">
        <x:v>The Art &amp; Science of Foodpairing: 204</x:v>
      </x:c>
    </x:row>
    <x:row r="60" ht="62" customHeight="1">
      <x:c r="A60" s="28" t="str">
        <x:v>BER-0142</x:v>
      </x:c>
      <x:c r="B60" s="28" t="str">
        <x:v>голубика</x:v>
      </x:c>
      <x:c r="C60" s="28" t="str">
        <x:v>ed fig</x:v>
      </x:c>
      <x:c r="D60" s="28" t="str">
        <x:v>Фрукты</x:v>
      </x:c>
      <x:c r="E60" s="28" t="str">
        <x:v>сходство ароматических семейств + комплементарность</x:v>
      </x:c>
      <x:c r="F60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60" s="28" t="str">
        <x:v>Средняя</x:v>
      </x:c>
      <x:c r="K60" s="28" t="str">
        <x:v>The Art &amp; Science of Foodpairing</x:v>
      </x:c>
      <x:c r="L60" s="28" t="str">
        <x:v>The Art &amp; Science of Foodpairing: 204</x:v>
      </x:c>
    </x:row>
    <x:row r="61" ht="62" customHeight="1">
      <x:c r="A61" s="28" t="str">
        <x:v>BER-0144</x:v>
      </x:c>
      <x:c r="B61" s="28" t="str">
        <x:v>голубика</x:v>
      </x:c>
      <x:c r="C61" s="28" t="str">
        <x:v>edamame nut</x:v>
      </x:c>
      <x:c r="D61" s="28" t="str">
        <x:v>Орехи и семена</x:v>
      </x:c>
      <x:c r="E61" s="28" t="str">
        <x:v>контраст/комплементарность + матричный эффект</x:v>
      </x:c>
      <x:c r="F6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1" s="28" t="str">
        <x:v>сорбет, крем, ганаш, выпечка, джем или соус для десерта</x:v>
      </x:c>
      <x:c r="J61" s="28" t="str">
        <x:v>Средняя</x:v>
      </x:c>
      <x:c r="K61" s="28" t="str">
        <x:v>The Art &amp; Science of Foodpairing</x:v>
      </x:c>
      <x:c r="L61" s="28" t="str">
        <x:v>The Art &amp; Science of Foodpairing: 204</x:v>
      </x:c>
    </x:row>
    <x:row r="62" ht="62" customHeight="1">
      <x:c r="A62" s="28" t="str">
        <x:v>BER-0150</x:v>
      </x:c>
      <x:c r="B62" s="28" t="str">
        <x:v>голубика</x:v>
      </x:c>
      <x:c r="C62" s="28" t="str">
        <x:v>honeydew melon</x:v>
      </x:c>
      <x:c r="D62" s="28" t="str">
        <x:v>Фрукты</x:v>
      </x:c>
      <x:c r="E62" s="28" t="str">
        <x:v>сходство ароматических семейств + комплементарность</x:v>
      </x:c>
      <x:c r="F62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62" s="28" t="str">
        <x:v>Средняя</x:v>
      </x:c>
      <x:c r="K62" s="28" t="str">
        <x:v>The Art &amp; Science of Foodpairing</x:v>
      </x:c>
      <x:c r="L62" s="28" t="str">
        <x:v>The Art &amp; Science of Foodpairing: 205</x:v>
      </x:c>
    </x:row>
    <x:row r="63" ht="62" customHeight="1">
      <x:c r="A63" s="28" t="str">
        <x:v>BER-0157</x:v>
      </x:c>
      <x:c r="B63" s="28" t="str">
        <x:v>голубика</x:v>
      </x:c>
      <x:c r="C63" s="28" t="str">
        <x:v>kent mango</x:v>
      </x:c>
      <x:c r="D63" s="28" t="str">
        <x:v>Фрукты</x:v>
      </x:c>
      <x:c r="E63" s="28" t="str">
        <x:v>сходство ароматических семейств + комплементарность</x:v>
      </x:c>
      <x:c r="F63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63" s="28" t="str">
        <x:v>Средняя</x:v>
      </x:c>
      <x:c r="K63" s="28" t="str">
        <x:v>The Art &amp; Science of Foodpairing</x:v>
      </x:c>
      <x:c r="L63" s="28" t="str">
        <x:v>The Art &amp; Science of Foodpairing: 205</x:v>
      </x:c>
    </x:row>
    <x:row r="64" ht="62" customHeight="1">
      <x:c r="A64" s="28" t="str">
        <x:v>BER-0166</x:v>
      </x:c>
      <x:c r="B64" s="28" t="str">
        <x:v>голубика</x:v>
      </x:c>
      <x:c r="C64" s="28" t="str">
        <x:v>melted butter</x:v>
      </x:c>
      <x:c r="D64" s="28" t="str">
        <x:v>Молочные продукты и сыры</x:v>
      </x:c>
      <x:c r="E64" s="28" t="str">
        <x:v>контраст/комплементарность + матричный эффект</x:v>
      </x:c>
      <x:c r="F6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6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64" s="28" t="str">
        <x:v>Высокая кислотность может свернуть молочный белок; смешивать при контролируемой температуре.</x:v>
      </x:c>
      <x:c r="I64" s="28" t="str">
        <x:v>сорбет, крем, ганаш, выпечка, джем или соус для десерта; соус, глазировка, салат, сырная подача или горячее блюдо</x:v>
      </x:c>
      <x:c r="J64" s="28" t="str">
        <x:v>Средняя</x:v>
      </x:c>
      <x:c r="K64" s="28" t="str">
        <x:v>The Art &amp; Science of Foodpairing</x:v>
      </x:c>
      <x:c r="L64" s="28" t="str">
        <x:v>The Art &amp; Science of Foodpairing: 205</x:v>
      </x:c>
    </x:row>
    <x:row r="65" ht="62" customHeight="1">
      <x:c r="A65" s="28" t="str">
        <x:v>BER-0174</x:v>
      </x:c>
      <x:c r="B65" s="28" t="str">
        <x:v>голубика</x:v>
      </x:c>
      <x:c r="C65" s="28" t="str">
        <x:v>polish blue cheese</x:v>
      </x:c>
      <x:c r="D65" s="28" t="str">
        <x:v>Молочные продукты и сыры</x:v>
      </x:c>
      <x:c r="E65" s="28" t="str">
        <x:v>контраст/комплементарность + матричный эффект</x:v>
      </x:c>
      <x:c r="F6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6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65" s="28" t="str">
        <x:v>Высокая кислотность может свернуть молочный белок; смешивать при контролируемой температуре.</x:v>
      </x:c>
      <x:c r="I65" s="28" t="str">
        <x:v>сорбет, крем, ганаш, выпечка, джем или соус для десерта; соус, глазировка, салат, сырная подача или горячее блюдо</x:v>
      </x:c>
      <x:c r="J65" s="28" t="str">
        <x:v>Средняя</x:v>
      </x:c>
      <x:c r="K65" s="28" t="str">
        <x:v>The Art &amp; Science of Foodpairing</x:v>
      </x:c>
      <x:c r="L65" s="28" t="str">
        <x:v>The Art &amp; Science of Foodpairing: 204</x:v>
      </x:c>
    </x:row>
    <x:row r="66" ht="62" customHeight="1">
      <x:c r="A66" s="28" t="str">
        <x:v>BER-0175</x:v>
      </x:c>
      <x:c r="B66" s="28" t="str">
        <x:v>голубика</x:v>
      </x:c>
      <x:c r="C66" s="28" t="str">
        <x:v>red bell pepper</x:v>
      </x:c>
      <x:c r="D66" s="28" t="str">
        <x:v>Специи</x:v>
      </x:c>
      <x:c r="E66" s="28" t="str">
        <x:v>контраст/комплементарность + матричный эффект</x:v>
      </x:c>
      <x:c r="F6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6" s="28" t="str">
        <x:v>Пряность дозировать как акцент: она быстро перекрывает тонкие ягодные эфиры.</x:v>
      </x:c>
      <x:c r="I6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66" s="28" t="str">
        <x:v>Средняя</x:v>
      </x:c>
      <x:c r="K66" s="28" t="str">
        <x:v>The Art &amp; Science of Foodpairing</x:v>
      </x:c>
      <x:c r="L66" s="28" t="str">
        <x:v>The Art &amp; Science of Foodpairing: 205</x:v>
      </x:c>
    </x:row>
    <x:row r="67" ht="62" customHeight="1">
      <x:c r="A67" s="28" t="str">
        <x:v>BER-0185</x:v>
      </x:c>
      <x:c r="B67" s="28" t="str">
        <x:v>голубика</x:v>
      </x:c>
      <x:c r="C67" s="28" t="str">
        <x:v>uan pepper</x:v>
      </x:c>
      <x:c r="D67" s="28" t="str">
        <x:v>Специи</x:v>
      </x:c>
      <x:c r="E67" s="28" t="str">
        <x:v>контраст/комплементарность + матричный эффект</x:v>
      </x:c>
      <x:c r="F6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7" s="28" t="str">
        <x:v>Пряность дозировать как акцент: она быстро перекрывает тонкие ягодные эфиры.</x:v>
      </x:c>
      <x:c r="I6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67" s="28" t="str">
        <x:v>Средняя</x:v>
      </x:c>
      <x:c r="K67" s="28" t="str">
        <x:v>The Art &amp; Science of Foodpairing</x:v>
      </x:c>
      <x:c r="L67" s="28" t="str">
        <x:v>The Art &amp; Science of Foodpairing: 204</x:v>
      </x:c>
    </x:row>
    <x:row r="68" ht="62" customHeight="1">
      <x:c r="A68" s="28" t="str">
        <x:v>BER-0187</x:v>
      </x:c>
      <x:c r="B68" s="28" t="str">
        <x:v>голубика</x:v>
      </x:c>
      <x:c r="C68" s="28" t="str">
        <x:v>wberry</x:v>
      </x:c>
      <x:c r="D68" s="28" t="str">
        <x:v>Ягоды и производные</x:v>
      </x:c>
      <x:c r="E68" s="28" t="str">
        <x:v>контраст/комплементарность + матричный эффект</x:v>
      </x:c>
      <x:c r="F6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комплексный. Оба компонента формируют сладко-кислый, мягкий и зависит от ингредиента контур; сахар, кислота и горечь должны быть выровнены дегустацией. Ягода: нежный аромат легко теряется на фоне сильной сладости. Партнёр: механизм зависит от конкретного продукта.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68" s="28" t="str">
        <x:v>Средняя</x:v>
      </x:c>
      <x:c r="K68" s="28" t="str">
        <x:v>The Art &amp; Science of Foodpairing</x:v>
      </x:c>
      <x:c r="L68" s="28" t="str">
        <x:v>The Art &amp; Science of Foodpairing: 204</x:v>
      </x:c>
    </x:row>
    <x:row r="69" ht="62" customHeight="1">
      <x:c r="A69" s="28" t="str">
        <x:v>BER-0188</x:v>
      </x:c>
      <x:c r="B69" s="28" t="str">
        <x:v>голубика</x:v>
      </x:c>
      <x:c r="C69" s="28" t="str">
        <x:v>абрикос</x:v>
      </x:c>
      <x:c r="D69" s="28" t="str">
        <x:v>Фрукты</x:v>
      </x:c>
      <x:c r="E69" s="28" t="str">
        <x:v>сходство ароматических семейств + комплементарность</x:v>
      </x:c>
      <x:c r="F69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69" s="28" t="str">
        <x:v>Высокая</x:v>
      </x:c>
      <x:c r="K69" s="28" t="str">
        <x:v>The Art &amp; Science of Foodpairing; Таблица сочетаний</x:v>
      </x:c>
      <x:c r="L69" s="28" t="str">
        <x:v>The Art &amp; Science of Foodpairing: 205; Таблица сочетаний: 3</x:v>
      </x:c>
    </x:row>
    <x:row r="70" ht="62" customHeight="1">
      <x:c r="A70" s="28" t="str">
        <x:v>BER-0189</x:v>
      </x:c>
      <x:c r="B70" s="28" t="str">
        <x:v>голубика</x:v>
      </x:c>
      <x:c r="C70" s="28" t="str">
        <x:v>ананас</x:v>
      </x:c>
      <x:c r="D70" s="28" t="str">
        <x:v>Фрукты</x:v>
      </x:c>
      <x:c r="E70" s="28" t="str">
        <x:v>сходство ароматических семейств + комплементарность</x:v>
      </x:c>
      <x:c r="F70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70" s="28" t="str">
        <x:v>Средняя</x:v>
      </x:c>
      <x:c r="K70" s="28" t="str">
        <x:v>The Art &amp; Science of Foodpairing</x:v>
      </x:c>
      <x:c r="L70" s="28" t="str">
        <x:v>The Art &amp; Science of Foodpairing: 242</x:v>
      </x:c>
    </x:row>
    <x:row r="71" ht="62" customHeight="1">
      <x:c r="A71" s="28" t="str">
        <x:v>BER-0193</x:v>
      </x:c>
      <x:c r="B71" s="28" t="str">
        <x:v>голубика</x:v>
      </x:c>
      <x:c r="C71" s="28" t="str">
        <x:v>белый шоколад</x:v>
      </x:c>
      <x:c r="D71" s="28" t="str">
        <x:v>Шоколад, кофе и жареные продукты</x:v>
      </x:c>
      <x:c r="E71" s="28" t="str">
        <x:v>контраст/комплементарность + матричный эффект</x:v>
      </x:c>
      <x:c r="F7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1" s="28" t="str">
        <x:v>сорбет, крем, ганаш, выпечка, джем или соус для десерта</x:v>
      </x:c>
      <x:c r="J71" s="28" t="str">
        <x:v>Высокая</x:v>
      </x:c>
      <x:c r="K71" s="28" t="str">
        <x:v>The Art &amp; Science of Foodpairing; Таблица сочетаний</x:v>
      </x:c>
      <x:c r="L71" s="28" t="str">
        <x:v>The Art &amp; Science of Foodpairing: 205; Таблица сочетаний: 3</x:v>
      </x:c>
    </x:row>
    <x:row r="72" ht="62" customHeight="1">
      <x:c r="A72" s="28" t="str">
        <x:v>BER-0196</x:v>
      </x:c>
      <x:c r="B72" s="28" t="str">
        <x:v>голубика</x:v>
      </x:c>
      <x:c r="C72" s="28" t="str">
        <x:v>гранат</x:v>
      </x:c>
      <x:c r="D72" s="28" t="str">
        <x:v>Фрукты</x:v>
      </x:c>
      <x:c r="E72" s="28" t="str">
        <x:v>сходство ароматических семейств + комплементарность</x:v>
      </x:c>
      <x:c r="F72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72" s="28" t="str">
        <x:v>Средняя</x:v>
      </x:c>
      <x:c r="K72" s="28" t="str">
        <x:v>Таблица сочетаний</x:v>
      </x:c>
      <x:c r="L72" s="28" t="str">
        <x:v>Таблица сочетаний: 17</x:v>
      </x:c>
    </x:row>
    <x:row r="73" ht="62" customHeight="1">
      <x:c r="A73" s="28" t="str">
        <x:v>BER-0198</x:v>
      </x:c>
      <x:c r="B73" s="28" t="str">
        <x:v>голубика</x:v>
      </x:c>
      <x:c r="C73" s="28" t="str">
        <x:v>груша</x:v>
      </x:c>
      <x:c r="D73" s="28" t="str">
        <x:v>Фрукты</x:v>
      </x:c>
      <x:c r="E73" s="28" t="str">
        <x:v>сходство ароматических семейств + комплементарность</x:v>
      </x:c>
      <x:c r="F73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73" s="28" t="str">
        <x:v>Средняя</x:v>
      </x:c>
      <x:c r="K73" s="28" t="str">
        <x:v>The Art &amp; Science of Foodpairing</x:v>
      </x:c>
      <x:c r="L73" s="28" t="str">
        <x:v>The Art &amp; Science of Foodpairing: 351</x:v>
      </x:c>
    </x:row>
    <x:row r="74" ht="62" customHeight="1">
      <x:c r="A74" s="28" t="str">
        <x:v>BER-0199</x:v>
      </x:c>
      <x:c r="B74" s="28" t="str">
        <x:v>голубика</x:v>
      </x:c>
      <x:c r="C74" s="28" t="str">
        <x:v>груша Conference</x:v>
      </x:c>
      <x:c r="D74" s="28" t="str">
        <x:v>Фрукты</x:v>
      </x:c>
      <x:c r="E74" s="28" t="str">
        <x:v>сходство ароматических семейств + комплементарность</x:v>
      </x:c>
      <x:c r="F74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74" s="28" t="str">
        <x:v>Средняя</x:v>
      </x:c>
      <x:c r="K74" s="28" t="str">
        <x:v>The Art &amp; Science of Foodpairing</x:v>
      </x:c>
      <x:c r="L74" s="28" t="str">
        <x:v>The Art &amp; Science of Foodpairing: 205</x:v>
      </x:c>
    </x:row>
    <x:row r="75" ht="62" customHeight="1">
      <x:c r="A75" s="28" t="str">
        <x:v>BER-0202</x:v>
      </x:c>
      <x:c r="B75" s="28" t="str">
        <x:v>голубика</x:v>
      </x:c>
      <x:c r="C75" s="28" t="str">
        <x:v>жареный фундук</x:v>
      </x:c>
      <x:c r="D75" s="28" t="str">
        <x:v>Орехи и семена</x:v>
      </x:c>
      <x:c r="E75" s="28" t="str">
        <x:v>контраст/комплементарность + матричный эффект</x:v>
      </x:c>
      <x:c r="F7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5" s="28" t="str">
        <x:v>сорбет, крем, ганаш, выпечка, джем или соус для десерта</x:v>
      </x:c>
      <x:c r="J75" s="28" t="str">
        <x:v>Средняя</x:v>
      </x:c>
      <x:c r="K75" s="28" t="str">
        <x:v>The Art &amp; Science of Foodpairing</x:v>
      </x:c>
      <x:c r="L75" s="28" t="str">
        <x:v>The Art &amp; Science of Foodpairing: 204</x:v>
      </x:c>
    </x:row>
    <x:row r="76" ht="62" customHeight="1">
      <x:c r="A76" s="28" t="str">
        <x:v>BER-0205</x:v>
      </x:c>
      <x:c r="B76" s="28" t="str">
        <x:v>голубика</x:v>
      </x:c>
      <x:c r="C76" s="28" t="str">
        <x:v>имбирь</x:v>
      </x:c>
      <x:c r="D76" s="28" t="str">
        <x:v>Специи</x:v>
      </x:c>
      <x:c r="E76" s="28" t="str">
        <x:v>контраст/комплементарность + матричный эффект</x:v>
      </x:c>
      <x:c r="F7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6" s="28" t="str">
        <x:v>Пряность дозировать как акцент: она быстро перекрывает тонкие ягодные эфиры.</x:v>
      </x:c>
      <x:c r="I7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76" s="28" t="str">
        <x:v>Средняя</x:v>
      </x:c>
      <x:c r="K76" s="28" t="str">
        <x:v>Таблица сочетаний</x:v>
      </x:c>
      <x:c r="L76" s="28" t="str">
        <x:v>Таблица сочетаний: 3</x:v>
      </x:c>
    </x:row>
    <x:row r="77" ht="62" customHeight="1">
      <x:c r="A77" s="28" t="str">
        <x:v>BER-0206</x:v>
      </x:c>
      <x:c r="B77" s="28" t="str">
        <x:v>голубика</x:v>
      </x:c>
      <x:c r="C77" s="28" t="str">
        <x:v>инжир</x:v>
      </x:c>
      <x:c r="D77" s="28" t="str">
        <x:v>Фрукты</x:v>
      </x:c>
      <x:c r="E77" s="28" t="str">
        <x:v>сходство ароматических семейств + комплементарность</x:v>
      </x:c>
      <x:c r="F77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77" s="28" t="str">
        <x:v>Средняя</x:v>
      </x:c>
      <x:c r="K77" s="28" t="str">
        <x:v>Таблица сочетаний</x:v>
      </x:c>
      <x:c r="L77" s="28" t="str">
        <x:v>Таблица сочетаний: 3</x:v>
      </x:c>
    </x:row>
    <x:row r="78" ht="62" customHeight="1">
      <x:c r="A78" s="28" t="str">
        <x:v>BER-0207</x:v>
      </x:c>
      <x:c r="B78" s="28" t="str">
        <x:v>голубика</x:v>
      </x:c>
      <x:c r="C78" s="28" t="str">
        <x:v>камамбер</x:v>
      </x:c>
      <x:c r="D78" s="28" t="str">
        <x:v>Молочные продукты и сыры</x:v>
      </x:c>
      <x:c r="E78" s="28" t="str">
        <x:v>контраст/комплементарность + матричный эффект</x:v>
      </x:c>
      <x:c r="F7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7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78" s="28" t="str">
        <x:v>Высокая кислотность может свернуть молочный белок; смешивать при контролируемой температуре.</x:v>
      </x:c>
      <x:c r="I78" s="28" t="str">
        <x:v>сорбет, крем, ганаш, выпечка, джем или соус для десерта; соус, глазировка, салат, сырная подача или горячее блюдо</x:v>
      </x:c>
      <x:c r="J78" s="28" t="str">
        <x:v>Средняя</x:v>
      </x:c>
      <x:c r="K78" s="28" t="str">
        <x:v>The Art &amp; Science of Foodpairing</x:v>
      </x:c>
      <x:c r="L78" s="28" t="str">
        <x:v>The Art &amp; Science of Foodpairing: 205</x:v>
      </x:c>
    </x:row>
    <x:row r="79" ht="62" customHeight="1">
      <x:c r="A79" s="28" t="str">
        <x:v>BER-0208</x:v>
      </x:c>
      <x:c r="B79" s="28" t="str">
        <x:v>голубика</x:v>
      </x:c>
      <x:c r="C79" s="28" t="str">
        <x:v>кардамон</x:v>
      </x:c>
      <x:c r="D79" s="28" t="str">
        <x:v>Специи</x:v>
      </x:c>
      <x:c r="E79" s="28" t="str">
        <x:v>контраст/комплементарность + матричный эффект</x:v>
      </x:c>
      <x:c r="F7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9" s="28" t="str">
        <x:v>Пряность дозировать как акцент: она быстро перекрывает тонкие ягодные эфиры.</x:v>
      </x:c>
      <x:c r="I7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79" s="28" t="str">
        <x:v>Средняя</x:v>
      </x:c>
      <x:c r="K79" s="28" t="str">
        <x:v>Таблица сочетаний</x:v>
      </x:c>
      <x:c r="L79" s="28" t="str">
        <x:v>Таблица сочетаний: 3</x:v>
      </x:c>
    </x:row>
    <x:row r="80" ht="62" customHeight="1">
      <x:c r="A80" s="28" t="str">
        <x:v>BER-0212</x:v>
      </x:c>
      <x:c r="B80" s="28" t="str">
        <x:v>голубика</x:v>
      </x:c>
      <x:c r="C80" s="28" t="str">
        <x:v>корица</x:v>
      </x:c>
      <x:c r="D80" s="28" t="str">
        <x:v>Специи</x:v>
      </x:c>
      <x:c r="E80" s="28" t="str">
        <x:v>контраст/комплементарность + матричный эффект</x:v>
      </x:c>
      <x:c r="F8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0" s="28" t="str">
        <x:v>Пряность дозировать как акцент: она быстро перекрывает тонкие ягодные эфиры.</x:v>
      </x:c>
      <x:c r="I8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80" s="28" t="str">
        <x:v>Средняя</x:v>
      </x:c>
      <x:c r="K80" s="28" t="str">
        <x:v>The Art &amp; Science of Foodpairing</x:v>
      </x:c>
      <x:c r="L80" s="28" t="str">
        <x:v>The Art &amp; Science of Foodpairing: 130</x:v>
      </x:c>
    </x:row>
    <x:row r="81" ht="62" customHeight="1">
      <x:c r="A81" s="28" t="str">
        <x:v>BER-0214</x:v>
      </x:c>
      <x:c r="B81" s="28" t="str">
        <x:v>голубика</x:v>
      </x:c>
      <x:c r="C81" s="28" t="str">
        <x:v>красный сладкий перец</x:v>
      </x:c>
      <x:c r="D81" s="28" t="str">
        <x:v>Специи</x:v>
      </x:c>
      <x:c r="E81" s="28" t="str">
        <x:v>контраст/комплементарность + матричный эффект</x:v>
      </x:c>
      <x:c r="F8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1" s="28" t="str">
        <x:v>Пряность дозировать как акцент: она быстро перекрывает тонкие ягодные эфиры.</x:v>
      </x:c>
      <x:c r="I8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81" s="28" t="str">
        <x:v>Средняя</x:v>
      </x:c>
      <x:c r="K81" s="28" t="str">
        <x:v>The Art &amp; Science of Foodpairing</x:v>
      </x:c>
      <x:c r="L81" s="28" t="str">
        <x:v>The Art &amp; Science of Foodpairing: 109</x:v>
      </x:c>
    </x:row>
    <x:row r="82" ht="62" customHeight="1">
      <x:c r="A82" s="28" t="str">
        <x:v>BER-0218</x:v>
      </x:c>
      <x:c r="B82" s="28" t="str">
        <x:v>голубика</x:v>
      </x:c>
      <x:c r="C82" s="28" t="str">
        <x:v>манго</x:v>
      </x:c>
      <x:c r="D82" s="28" t="str">
        <x:v>Фрукты</x:v>
      </x:c>
      <x:c r="E82" s="28" t="str">
        <x:v>сходство ароматических семейств + комплементарность</x:v>
      </x:c>
      <x:c r="F82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82" s="28" t="str">
        <x:v>Средняя</x:v>
      </x:c>
      <x:c r="K82" s="28" t="str">
        <x:v>Таблица сочетаний</x:v>
      </x:c>
      <x:c r="L82" s="28" t="str">
        <x:v>Таблица сочетаний: 3</x:v>
      </x:c>
    </x:row>
    <x:row r="83" ht="62" customHeight="1">
      <x:c r="A83" s="28" t="str">
        <x:v>BER-0219</x:v>
      </x:c>
      <x:c r="B83" s="28" t="str">
        <x:v>голубика</x:v>
      </x:c>
      <x:c r="C83" s="28" t="str">
        <x:v>манго Alphonso</x:v>
      </x:c>
      <x:c r="D83" s="28" t="str">
        <x:v>Фрукты</x:v>
      </x:c>
      <x:c r="E83" s="28" t="str">
        <x:v>сходство ароматических семейств + комплементарность</x:v>
      </x:c>
      <x:c r="F83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83" s="28" t="str">
        <x:v>Средняя</x:v>
      </x:c>
      <x:c r="K83" s="28" t="str">
        <x:v>The Art &amp; Science of Foodpairing</x:v>
      </x:c>
      <x:c r="L83" s="28" t="str">
        <x:v>The Art &amp; Science of Foodpairing: 205</x:v>
      </x:c>
    </x:row>
    <x:row r="84" ht="62" customHeight="1">
      <x:c r="A84" s="28" t="str">
        <x:v>BER-0221</x:v>
      </x:c>
      <x:c r="B84" s="28" t="str">
        <x:v>голубика</x:v>
      </x:c>
      <x:c r="C84" s="28" t="str">
        <x:v>миндаль</x:v>
      </x:c>
      <x:c r="D84" s="28" t="str">
        <x:v>Орехи и семена</x:v>
      </x:c>
      <x:c r="E84" s="28" t="str">
        <x:v>контраст/комплементарность + матричный эффект</x:v>
      </x:c>
      <x:c r="F8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4" s="28" t="str">
        <x:v>сорбет, крем, ганаш, выпечка, джем или соус для десерта</x:v>
      </x:c>
      <x:c r="J84" s="28" t="str">
        <x:v>Средняя</x:v>
      </x:c>
      <x:c r="K84" s="28" t="str">
        <x:v>Таблица сочетаний</x:v>
      </x:c>
      <x:c r="L84" s="28" t="str">
        <x:v>Таблица сочетаний: 3</x:v>
      </x:c>
    </x:row>
    <x:row r="85" ht="62" customHeight="1">
      <x:c r="A85" s="28" t="str">
        <x:v>BER-0235</x:v>
      </x:c>
      <x:c r="B85" s="28" t="str">
        <x:v>голубика</x:v>
      </x:c>
      <x:c r="C85" s="28" t="str">
        <x:v>отварной butternut squash</x:v>
      </x:c>
      <x:c r="D85" s="28" t="str">
        <x:v>Орехи и семена</x:v>
      </x:c>
      <x:c r="E85" s="28" t="str">
        <x:v>контраст/комплементарность + матричный эффект</x:v>
      </x:c>
      <x:c r="F8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5" s="28" t="str">
        <x:v>сорбет, крем, ганаш, выпечка, джем или соус для десерта</x:v>
      </x:c>
      <x:c r="J85" s="28" t="str">
        <x:v>Средняя</x:v>
      </x:c>
      <x:c r="K85" s="28" t="str">
        <x:v>The Art &amp; Science of Foodpairing</x:v>
      </x:c>
      <x:c r="L85" s="28" t="str">
        <x:v>The Art &amp; Science of Foodpairing: 205</x:v>
      </x:c>
    </x:row>
    <x:row r="86" ht="62" customHeight="1">
      <x:c r="A86" s="28" t="str">
        <x:v>BER-0239</x:v>
      </x:c>
      <x:c r="B86" s="28" t="str">
        <x:v>голубика</x:v>
      </x:c>
      <x:c r="C86" s="28" t="str">
        <x:v>перец чили</x:v>
      </x:c>
      <x:c r="D86" s="28" t="str">
        <x:v>Специи</x:v>
      </x:c>
      <x:c r="E86" s="28" t="str">
        <x:v>контраст/комплементарность + матричный эффект</x:v>
      </x:c>
      <x:c r="F8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6" s="28" t="str">
        <x:v>Пряность дозировать как акцент: она быстро перекрывает тонкие ягодные эфиры.</x:v>
      </x:c>
      <x:c r="I8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86" s="28" t="str">
        <x:v>Средняя</x:v>
      </x:c>
      <x:c r="K86" s="28" t="str">
        <x:v>The Art &amp; Science of Foodpairing</x:v>
      </x:c>
      <x:c r="L86" s="28" t="str">
        <x:v>The Art &amp; Science of Foodpairing: 94</x:v>
      </x:c>
    </x:row>
    <x:row r="87" ht="62" customHeight="1">
      <x:c r="A87" s="28" t="str">
        <x:v>BER-0240</x:v>
      </x:c>
      <x:c r="B87" s="28" t="str">
        <x:v>голубика</x:v>
      </x:c>
      <x:c r="C87" s="28" t="str">
        <x:v>персик</x:v>
      </x:c>
      <x:c r="D87" s="28" t="str">
        <x:v>Фрукты</x:v>
      </x:c>
      <x:c r="E87" s="28" t="str">
        <x:v>сходство ароматических семейств + комплементарность</x:v>
      </x:c>
      <x:c r="F87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87" s="28" t="str">
        <x:v>Средняя</x:v>
      </x:c>
      <x:c r="K87" s="28" t="str">
        <x:v>Таблица сочетаний</x:v>
      </x:c>
      <x:c r="L87" s="28" t="str">
        <x:v>Таблица сочетаний: 15</x:v>
      </x:c>
    </x:row>
    <x:row r="88" ht="62" customHeight="1">
      <x:c r="A88" s="28" t="str">
        <x:v>BER-0248</x:v>
      </x:c>
      <x:c r="B88" s="28" t="str">
        <x:v>голубика</x:v>
      </x:c>
      <x:c r="C88" s="28" t="str">
        <x:v>сушёный chipotle chilli</x:v>
      </x:c>
      <x:c r="D88" s="28" t="str">
        <x:v>Специи</x:v>
      </x:c>
      <x:c r="E88" s="28" t="str">
        <x:v>контраст/комплементарность + матричный эффект</x:v>
      </x:c>
      <x:c r="F8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8" s="28" t="str">
        <x:v>Пряность дозировать как акцент: она быстро перекрывает тонкие ягодные эфиры.</x:v>
      </x:c>
      <x:c r="I8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88" s="28" t="str">
        <x:v>Средняя</x:v>
      </x:c>
      <x:c r="K88" s="28" t="str">
        <x:v>The Art &amp; Science of Foodpairing</x:v>
      </x:c>
      <x:c r="L88" s="28" t="str">
        <x:v>The Art &amp; Science of Foodpairing: 205</x:v>
      </x:c>
    </x:row>
    <x:row r="89" ht="62" customHeight="1">
      <x:c r="A89" s="28" t="str">
        <x:v>BER-0249</x:v>
      </x:c>
      <x:c r="B89" s="28" t="str">
        <x:v>голубика</x:v>
      </x:c>
      <x:c r="C89" s="28" t="str">
        <x:v>тёмный шоколад</x:v>
      </x:c>
      <x:c r="D89" s="28" t="str">
        <x:v>Шоколад, кофе и жареные продукты</x:v>
      </x:c>
      <x:c r="E89" s="28" t="str">
        <x:v>контраст/комплементарность + матричный эффект</x:v>
      </x:c>
      <x:c r="F8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9" s="28" t="str">
        <x:v>сорбет, крем, ганаш, выпечка, джем или соус для десерта</x:v>
      </x:c>
      <x:c r="J89" s="28" t="str">
        <x:v>Средняя</x:v>
      </x:c>
      <x:c r="K89" s="28" t="str">
        <x:v>The Art &amp; Science of Foodpairing</x:v>
      </x:c>
      <x:c r="L89" s="28" t="str">
        <x:v>The Art &amp; Science of Foodpairing: 204</x:v>
      </x:c>
    </x:row>
    <x:row r="90" ht="62" customHeight="1">
      <x:c r="A90" s="28" t="str">
        <x:v>BER-0253</x:v>
      </x:c>
      <x:c r="B90" s="28" t="str">
        <x:v>голубика</x:v>
      </x:c>
      <x:c r="C90" s="28" t="str">
        <x:v>фундук</x:v>
      </x:c>
      <x:c r="D90" s="28" t="str">
        <x:v>Орехи и семена</x:v>
      </x:c>
      <x:c r="E90" s="28" t="str">
        <x:v>контраст/комплементарность + матричный эффект</x:v>
      </x:c>
      <x:c r="F9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0" s="28" t="str">
        <x:v>сорбет, крем, ганаш, выпечка, джем или соус для десерта</x:v>
      </x:c>
      <x:c r="J90" s="28" t="str">
        <x:v>Средняя</x:v>
      </x:c>
      <x:c r="K90" s="28" t="str">
        <x:v>Таблица сочетаний</x:v>
      </x:c>
      <x:c r="L90" s="28" t="str">
        <x:v>Таблица сочетаний: 3</x:v>
      </x:c>
    </x:row>
    <x:row r="91" ht="62" customHeight="1">
      <x:c r="A91" s="28" t="str">
        <x:v>BER-0257</x:v>
      </x:c>
      <x:c r="B91" s="28" t="str">
        <x:v>голубика</x:v>
      </x:c>
      <x:c r="C91" s="28" t="str">
        <x:v>черешня</x:v>
      </x:c>
      <x:c r="D91" s="28" t="str">
        <x:v>Ягоды и производные</x:v>
      </x:c>
      <x:c r="E91" s="28" t="str">
        <x:v>сходство ароматических семейств + комплементарность</x:v>
      </x:c>
      <x:c r="F91" s="28" t="str">
        <x:v>Общие ароматические семейства: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миндальный, сладко-фруктовый, цветочный. Оба компонента формируют сладко-кислый, мягкий и сладкий, умеренно кислый контур; сахар, кислота и горечь должны быть выровнены дегустацией. Ягода: нежный аромат легко теряется на фоне сильной сладости. Партнёр: нежнее кислой вишни; легко становится приторной.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91" s="28" t="str">
        <x:v>Средняя</x:v>
      </x:c>
      <x:c r="K91" s="28" t="str">
        <x:v>The Art &amp; Science of Foodpairing</x:v>
      </x:c>
      <x:c r="L91" s="28" t="str">
        <x:v>The Art &amp; Science of Foodpairing: 204, 205</x:v>
      </x:c>
    </x:row>
    <x:row r="92" ht="62" customHeight="1">
      <x:c r="A92" s="28" t="str">
        <x:v>BER-0258</x:v>
      </x:c>
      <x:c r="B92" s="28" t="str">
        <x:v>голубика</x:v>
      </x:c>
      <x:c r="C92" s="28" t="str">
        <x:v>чёрный перец</x:v>
      </x:c>
      <x:c r="D92" s="28" t="str">
        <x:v>Специи</x:v>
      </x:c>
      <x:c r="E92" s="28" t="str">
        <x:v>контраст/комплементарность + матричный эффект</x:v>
      </x:c>
      <x:c r="F9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2" s="28" t="str">
        <x:v>Пряность дозировать как акцент: она быстро перекрывает тонкие ягодные эфиры.</x:v>
      </x:c>
      <x:c r="I9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92" s="28" t="str">
        <x:v>Средняя</x:v>
      </x:c>
      <x:c r="K92" s="28" t="str">
        <x:v>The Art &amp; Science of Foodpairing</x:v>
      </x:c>
      <x:c r="L92" s="28" t="str">
        <x:v>The Art &amp; Science of Foodpairing: 275</x:v>
      </x:c>
    </x:row>
    <x:row r="93" ht="62" customHeight="1">
      <x:c r="A93" s="28" t="str">
        <x:v>BER-0261</x:v>
      </x:c>
      <x:c r="B93" s="28" t="str">
        <x:v>голубика</x:v>
      </x:c>
      <x:c r="C93" s="28" t="str">
        <x:v>шоколад</x:v>
      </x:c>
      <x:c r="D93" s="28" t="str">
        <x:v>Шоколад, кофе и жареные продукты</x:v>
      </x:c>
      <x:c r="E93" s="28" t="str">
        <x:v>контраст/комплементарность + матричный эффект</x:v>
      </x:c>
      <x:c r="F9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3" s="28" t="str">
        <x:v>сорбет, крем, ганаш, выпечка, джем или соус для десерта</x:v>
      </x:c>
      <x:c r="J93" s="28" t="str">
        <x:v>Высокая</x:v>
      </x:c>
      <x:c r="K93" s="28" t="str">
        <x:v>The Art &amp; Science of Foodpairing; Таблица сочетаний</x:v>
      </x:c>
      <x:c r="L93" s="28" t="str">
        <x:v>The Art &amp; Science of Foodpairing: 62; Таблица сочетаний: 5</x:v>
      </x:c>
    </x:row>
    <x:row r="94" ht="62" customHeight="1">
      <x:c r="A94" s="28" t="str">
        <x:v>BER-0262</x:v>
      </x:c>
      <x:c r="B94" s="28" t="str">
        <x:v>голубика</x:v>
      </x:c>
      <x:c r="C94" s="28" t="str">
        <x:v>яблоко</x:v>
      </x:c>
      <x:c r="D94" s="28" t="str">
        <x:v>Фрукты</x:v>
      </x:c>
      <x:c r="E94" s="28" t="str">
        <x:v>сходство ароматических семейств + комплементарность</x:v>
      </x:c>
      <x:c r="F94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фруктовый, цветочный, цитрусовый; партнёр — зелёный, фруктовый, цветочный. Оба компонента формируют сладко-кислый, мягкий и сладко-кислый контур; сахар, кислота и горечь должны быть выровнены дегустацией. Ягода: нежный аромат легко теряется на фоне сильной сладости.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94" s="28" t="str">
        <x:v>Средняя</x:v>
      </x:c>
      <x:c r="K94" s="28" t="str">
        <x:v>Таблица сочетаний</x:v>
      </x:c>
      <x:c r="L94" s="28" t="str">
        <x:v>Таблица сочетаний: 3</x:v>
      </x:c>
    </x:row>
    <x:row r="95" ht="62" customHeight="1">
      <x:c r="A95" s="28" t="str">
        <x:v>BER-0264</x:v>
      </x:c>
      <x:c r="B95" s="28" t="str">
        <x:v>ежевика</x:v>
      </x:c>
      <x:c r="C95" s="28" t="str">
        <x:v>ананас</x:v>
      </x:c>
      <x:c r="D95" s="28" t="str">
        <x:v>Фрукты</x:v>
      </x:c>
      <x:c r="E95" s="28" t="str">
        <x:v>ароматическое сходство + вкусовой баланс</x:v>
      </x:c>
      <x:c r="F95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зелёный,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95" s="28" t="str">
        <x:v>Средняя</x:v>
      </x:c>
      <x:c r="K95" s="28" t="str">
        <x:v>The Art &amp; Science of Foodpairing</x:v>
      </x:c>
      <x:c r="L95" s="28" t="str">
        <x:v>The Art &amp; Science of Foodpairing: 242</x:v>
      </x:c>
    </x:row>
    <x:row r="96" ht="62" customHeight="1">
      <x:c r="A96" s="28" t="str">
        <x:v>BER-0267</x:v>
      </x:c>
      <x:c r="B96" s="28" t="str">
        <x:v>ежевика</x:v>
      </x:c>
      <x:c r="C96" s="28" t="str">
        <x:v>белый шоколад</x:v>
      </x:c>
      <x:c r="D96" s="28" t="str">
        <x:v>Шоколад, кофе и жареные продукты</x:v>
      </x:c>
      <x:c r="E96" s="28" t="str">
        <x:v>контраст/комплементарность + матричный эффект</x:v>
      </x:c>
      <x:c r="F9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6" s="28" t="str">
        <x:v>сорбет, крем, ганаш, выпечка, джем или соус для десерта</x:v>
      </x:c>
      <x:c r="J96" s="28" t="str">
        <x:v>Высокая</x:v>
      </x:c>
      <x:c r="K96" s="28" t="str">
        <x:v>Тезариус вкусов</x:v>
      </x:c>
      <x:c r="L96" s="28" t="str">
        <x:v>Тезариус вкусов: 880, 923</x:v>
      </x:c>
    </x:row>
    <x:row r="97" ht="62" customHeight="1">
      <x:c r="A97" s="28" t="str">
        <x:v>BER-0272</x:v>
      </x:c>
      <x:c r="B97" s="28" t="str">
        <x:v>ежевика</x:v>
      </x:c>
      <x:c r="C97" s="28" t="str">
        <x:v>груша</x:v>
      </x:c>
      <x:c r="D97" s="28" t="str">
        <x:v>Фрукты</x:v>
      </x:c>
      <x:c r="E97" s="28" t="str">
        <x:v>ароматическое сходство + вкусовой баланс</x:v>
      </x:c>
      <x:c r="F97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зелёный,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97" s="28" t="str">
        <x:v>Высокая</x:v>
      </x:c>
      <x:c r="K97" s="28" t="str">
        <x:v>The Art &amp; Science of Foodpairing; Таблица сочетаний</x:v>
      </x:c>
      <x:c r="L97" s="28" t="str">
        <x:v>The Art &amp; Science of Foodpairing: 351; Таблица сочетаний: 3, 16</x:v>
      </x:c>
    </x:row>
    <x:row r="98" ht="62" customHeight="1">
      <x:c r="A98" s="28" t="str">
        <x:v>BER-0276</x:v>
      </x:c>
      <x:c r="B98" s="28" t="str">
        <x:v>ежевика</x:v>
      </x:c>
      <x:c r="C98" s="28" t="str">
        <x:v>имбирь</x:v>
      </x:c>
      <x:c r="D98" s="28" t="str">
        <x:v>Специи</x:v>
      </x:c>
      <x:c r="E98" s="28" t="str">
        <x:v>сходство ароматических семейств + комплементарность</x:v>
      </x:c>
      <x:c r="F98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8" s="28" t="str">
        <x:v>Пряность дозировать как акцент: она быстро перекрывает тонкие ягодные эфиры.</x:v>
      </x:c>
      <x:c r="I9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98" s="28" t="str">
        <x:v>Средняя</x:v>
      </x:c>
      <x:c r="K98" s="28" t="str">
        <x:v>Таблица сочетаний</x:v>
      </x:c>
      <x:c r="L98" s="28" t="str">
        <x:v>Таблица сочетаний: 2</x:v>
      </x:c>
    </x:row>
    <x:row r="99" ht="62" customHeight="1">
      <x:c r="A99" s="28" t="str">
        <x:v>BER-0277</x:v>
      </x:c>
      <x:c r="B99" s="28" t="str">
        <x:v>ежевика</x:v>
      </x:c>
      <x:c r="C99" s="28" t="str">
        <x:v>киви</x:v>
      </x:c>
      <x:c r="D99" s="28" t="str">
        <x:v>Фрукты</x:v>
      </x:c>
      <x:c r="E99" s="28" t="str">
        <x:v>ароматическое сходство + вкусовой баланс</x:v>
      </x:c>
      <x:c r="F99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зелёный,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99" s="28" t="str">
        <x:v>Средняя</x:v>
      </x:c>
      <x:c r="K99" s="28" t="str">
        <x:v>The Art &amp; Science of Foodpairing</x:v>
      </x:c>
      <x:c r="L99" s="28" t="str">
        <x:v>The Art &amp; Science of Foodpairing: 42, 43</x:v>
      </x:c>
    </x:row>
    <x:row r="100" ht="62" customHeight="1">
      <x:c r="A100" s="28" t="str">
        <x:v>BER-0278</x:v>
      </x:c>
      <x:c r="B100" s="28" t="str">
        <x:v>ежевика</x:v>
      </x:c>
      <x:c r="C100" s="28" t="str">
        <x:v>кленовый сироп</x:v>
      </x:c>
      <x:c r="D100" s="28" t="str">
        <x:v>Подсластители</x:v>
      </x:c>
      <x:c r="E100" s="28" t="str">
        <x:v>контраст/комплементарность + матричный эффект</x:v>
      </x:c>
      <x:c r="F10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карамельный, медовый, сладкий. Оба компонента формируют кисло-сладкий, умеренно терпкий и сладкий контур; сахар, кислота и горечь должны быть выровнены дегустацией. Ягода: пигменты и полифенолы дают цвет и терпкость. Партнёр: вязкая водная матрица снижает летучесть.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00" s="28" t="str">
        <x:v>Средняя</x:v>
      </x:c>
      <x:c r="K100" s="28" t="str">
        <x:v>Таблица сочетаний</x:v>
      </x:c>
      <x:c r="L100" s="28" t="str">
        <x:v>Таблица сочетаний: 2</x:v>
      </x:c>
    </x:row>
    <x:row r="101" ht="62" customHeight="1">
      <x:c r="A101" s="28" t="str">
        <x:v>BER-0279</x:v>
      </x:c>
      <x:c r="B101" s="28" t="str">
        <x:v>ежевика</x:v>
      </x:c>
      <x:c r="C101" s="28" t="str">
        <x:v>клубника</x:v>
      </x:c>
      <x:c r="D101" s="28" t="str">
        <x:v>Ягоды и производные</x:v>
      </x:c>
      <x:c r="E101" s="28" t="str">
        <x:v>ароматическое сходство + вкусовой баланс</x:v>
      </x:c>
      <x:c r="F101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карамельный, сливочный,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высокая доля воды; аромат чувствителен к перегреву.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01" s="28" t="str">
        <x:v>Средняя</x:v>
      </x:c>
      <x:c r="K101" s="28" t="str">
        <x:v>Таблица сочетаний</x:v>
      </x:c>
      <x:c r="L101" s="28" t="str">
        <x:v>Таблица сочетаний: 3</x:v>
      </x:c>
    </x:row>
    <x:row r="102" ht="62" customHeight="1">
      <x:c r="A102" s="28" t="str">
        <x:v>BER-0280</x:v>
      </x:c>
      <x:c r="B102" s="28" t="str">
        <x:v>ежевика</x:v>
      </x:c>
      <x:c r="C102" s="28" t="str">
        <x:v>козий сыр</x:v>
      </x:c>
      <x:c r="D102" s="28" t="str">
        <x:v>Молочные продукты и сыры</x:v>
      </x:c>
      <x:c r="E102" s="28" t="str">
        <x:v>контраст/комплементарность + матричный эффект</x:v>
      </x:c>
      <x:c r="F10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0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02" s="28" t="str">
        <x:v>Высокая кислотность может свернуть молочный белок; смешивать при контролируемой температуре.</x:v>
      </x:c>
      <x:c r="I102" s="28" t="str">
        <x:v>сорбет, крем, ганаш, выпечка, джем или соус для десерта; соус, глазировка, салат, сырная подача или горячее блюдо</x:v>
      </x:c>
      <x:c r="J102" s="28" t="str">
        <x:v>Высокая</x:v>
      </x:c>
      <x:c r="K102" s="28" t="str">
        <x:v>Тезариус вкусов</x:v>
      </x:c>
      <x:c r="L102" s="28" t="str">
        <x:v>Тезариус вкусов: 139, 880</x:v>
      </x:c>
    </x:row>
    <x:row r="103" ht="62" customHeight="1">
      <x:c r="A103" s="28" t="str">
        <x:v>BER-0281</x:v>
      </x:c>
      <x:c r="B103" s="28" t="str">
        <x:v>ежевика</x:v>
      </x:c>
      <x:c r="C103" s="28" t="str">
        <x:v>корица</x:v>
      </x:c>
      <x:c r="D103" s="28" t="str">
        <x:v>Специи</x:v>
      </x:c>
      <x:c r="E103" s="28" t="str">
        <x:v>сходство ароматических семейств + комплементарность</x:v>
      </x:c>
      <x:c r="F103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3" s="28" t="str">
        <x:v>Пряность дозировать как акцент: она быстро перекрывает тонкие ягодные эфиры.</x:v>
      </x:c>
      <x:c r="I10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03" s="28" t="str">
        <x:v>Высокая</x:v>
      </x:c>
      <x:c r="K103" s="28" t="str">
        <x:v>The Art &amp; Science of Foodpairing; Таблица сочетаний</x:v>
      </x:c>
      <x:c r="L103" s="28" t="str">
        <x:v>The Art &amp; Science of Foodpairing: 131; Таблица сочетаний: 2</x:v>
      </x:c>
    </x:row>
    <x:row r="104" ht="62" customHeight="1">
      <x:c r="A104" s="28" t="str">
        <x:v>BER-0284</x:v>
      </x:c>
      <x:c r="B104" s="28" t="str">
        <x:v>ежевика</x:v>
      </x:c>
      <x:c r="C104" s="28" t="str">
        <x:v>малина</x:v>
      </x:c>
      <x:c r="D104" s="28" t="str">
        <x:v>Ягоды и производные</x:v>
      </x:c>
      <x:c r="E104" s="28" t="str">
        <x:v>ароматическое сходство + вкусовой баланс</x:v>
      </x:c>
      <x:c r="F104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древесный, зелёный, фиалковый, фруктовый, цветочный. Оба компонента формируют кисло-сладкий, умеренно терпкий и кисло-сладкий контур; сахар, кислота и горечь должны быть выровнены дегустацией. Ягода: пигменты и полифенолы дают цвет и терпкость. Партнёр: семена добавляют древесность и лёгкую терпкость.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04" s="28" t="str">
        <x:v>Высокая</x:v>
      </x:c>
      <x:c r="K104" s="28" t="str">
        <x:v>Таблица сочетаний; Тезариус вкусов</x:v>
      </x:c>
      <x:c r="L104" s="28" t="str">
        <x:v>Тезариус вкусов: 881, 887; Таблица сочетаний: 3</x:v>
      </x:c>
    </x:row>
    <x:row r="105" ht="62" customHeight="1">
      <x:c r="A105" s="28" t="str">
        <x:v>BER-0285</x:v>
      </x:c>
      <x:c r="B105" s="28" t="str">
        <x:v>ежевика</x:v>
      </x:c>
      <x:c r="C105" s="28" t="str">
        <x:v>манго</x:v>
      </x:c>
      <x:c r="D105" s="28" t="str">
        <x:v>Фрукты</x:v>
      </x:c>
      <x:c r="E105" s="28" t="str">
        <x:v>ароматическое сходство + вкусовой баланс</x:v>
      </x:c>
      <x:c r="F105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зелёный,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05" s="28" t="str">
        <x:v>Средняя</x:v>
      </x:c>
      <x:c r="K105" s="28" t="str">
        <x:v>Таблица сочетаний</x:v>
      </x:c>
      <x:c r="L105" s="28" t="str">
        <x:v>Таблица сочетаний: 2</x:v>
      </x:c>
    </x:row>
    <x:row r="106" ht="62" customHeight="1">
      <x:c r="A106" s="28" t="str">
        <x:v>BER-0287</x:v>
      </x:c>
      <x:c r="B106" s="28" t="str">
        <x:v>ежевика</x:v>
      </x:c>
      <x:c r="C106" s="28" t="str">
        <x:v>миндаль</x:v>
      </x:c>
      <x:c r="D106" s="28" t="str">
        <x:v>Орехи и семена</x:v>
      </x:c>
      <x:c r="E106" s="28" t="str">
        <x:v>контраст/комплементарность + матричный эффект</x:v>
      </x:c>
      <x:c r="F10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6" s="28" t="str">
        <x:v>сорбет, крем, ганаш, выпечка, джем или соус для десерта</x:v>
      </x:c>
      <x:c r="J106" s="28" t="str">
        <x:v>Высокая</x:v>
      </x:c>
      <x:c r="K106" s="28" t="str">
        <x:v>The Art &amp; Science of Foodpairing; Тезариус вкусов</x:v>
      </x:c>
      <x:c r="L106" s="28" t="str">
        <x:v>Тезариус вкусов: 642, 882; The Art &amp; Science of Foodpairing: 347</x:v>
      </x:c>
    </x:row>
    <x:row r="107" ht="62" customHeight="1">
      <x:c r="A107" s="28" t="str">
        <x:v>BER-0293</x:v>
      </x:c>
      <x:c r="B107" s="28" t="str">
        <x:v>ежевика</x:v>
      </x:c>
      <x:c r="C107" s="28" t="str">
        <x:v>перец</x:v>
      </x:c>
      <x:c r="D107" s="28" t="str">
        <x:v>Специи</x:v>
      </x:c>
      <x:c r="E107" s="28" t="str">
        <x:v>сходство ароматических семейств + комплементарность</x:v>
      </x:c>
      <x:c r="F107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7" s="28" t="str">
        <x:v>Пряность дозировать как акцент: она быстро перекрывает тонкие ягодные эфиры.</x:v>
      </x:c>
      <x:c r="I10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07" s="28" t="str">
        <x:v>Средняя</x:v>
      </x:c>
      <x:c r="K107" s="28" t="str">
        <x:v>Таблица сочетаний</x:v>
      </x:c>
      <x:c r="L107" s="28" t="str">
        <x:v>Таблица сочетаний: 16</x:v>
      </x:c>
    </x:row>
    <x:row r="108" ht="62" customHeight="1">
      <x:c r="A108" s="28" t="str">
        <x:v>BER-0294</x:v>
      </x:c>
      <x:c r="B108" s="28" t="str">
        <x:v>ежевика</x:v>
      </x:c>
      <x:c r="C108" s="28" t="str">
        <x:v>персик</x:v>
      </x:c>
      <x:c r="D108" s="28" t="str">
        <x:v>Фрукты</x:v>
      </x:c>
      <x:c r="E108" s="28" t="str">
        <x:v>ароматическое сходство + вкусовой баланс</x:v>
      </x:c>
      <x:c r="F108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зелёный,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08" s="28" t="str">
        <x:v>Высокая</x:v>
      </x:c>
      <x:c r="K108" s="28" t="str">
        <x:v>The Art &amp; Science of Foodpairing; Таблица сочетаний; Тезариус вкусов</x:v>
      </x:c>
      <x:c r="L108" s="28" t="str">
        <x:v>Тезариус вкусов: 750, 882; The Art &amp; Science of Foodpairing: 260; Таблица сочетаний: 2, 15</x:v>
      </x:c>
    </x:row>
    <x:row r="109" ht="62" customHeight="1">
      <x:c r="A109" s="28" t="str">
        <x:v>BER-0300</x:v>
      </x:c>
      <x:c r="B109" s="28" t="str">
        <x:v>ежевика</x:v>
      </x:c>
      <x:c r="C109" s="28" t="str">
        <x:v>фундук</x:v>
      </x:c>
      <x:c r="D109" s="28" t="str">
        <x:v>Орехи и семена</x:v>
      </x:c>
      <x:c r="E109" s="28" t="str">
        <x:v>контраст/комплементарность + матричный эффект</x:v>
      </x:c>
      <x:c r="F10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9" s="28" t="str">
        <x:v>сорбет, крем, ганаш, выпечка, джем или соус для десерта</x:v>
      </x:c>
      <x:c r="J109" s="28" t="str">
        <x:v>Средняя</x:v>
      </x:c>
      <x:c r="K109" s="28" t="str">
        <x:v>Таблица сочетаний</x:v>
      </x:c>
      <x:c r="L109" s="28" t="str">
        <x:v>Таблица сочетаний: 2</x:v>
      </x:c>
    </x:row>
    <x:row r="110" ht="62" customHeight="1">
      <x:c r="A110" s="28" t="str">
        <x:v>BER-0304</x:v>
      </x:c>
      <x:c r="B110" s="28" t="str">
        <x:v>ежевика</x:v>
      </x:c>
      <x:c r="C110" s="28" t="str">
        <x:v>чёрный перец</x:v>
      </x:c>
      <x:c r="D110" s="28" t="str">
        <x:v>Специи</x:v>
      </x:c>
      <x:c r="E110" s="28" t="str">
        <x:v>сходство ароматических семейств + комплементарность</x:v>
      </x:c>
      <x:c r="F110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0" s="28" t="str">
        <x:v>Пряность дозировать как акцент: она быстро перекрывает тонкие ягодные эфиры.</x:v>
      </x:c>
      <x:c r="I11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10" s="28" t="str">
        <x:v>Средняя</x:v>
      </x:c>
      <x:c r="K110" s="28" t="str">
        <x:v>Таблица сочетаний</x:v>
      </x:c>
      <x:c r="L110" s="28" t="str">
        <x:v>Таблица сочетаний: 2</x:v>
      </x:c>
    </x:row>
    <x:row r="111" ht="62" customHeight="1">
      <x:c r="A111" s="28" t="str">
        <x:v>BER-0305</x:v>
      </x:c>
      <x:c r="B111" s="28" t="str">
        <x:v>ежевика</x:v>
      </x:c>
      <x:c r="C111" s="28" t="str">
        <x:v>шоколад</x:v>
      </x:c>
      <x:c r="D111" s="28" t="str">
        <x:v>Шоколад, кофе и жареные продукты</x:v>
      </x:c>
      <x:c r="E111" s="28" t="str">
        <x:v>контраст/комплементарность + матричный эффект</x:v>
      </x:c>
      <x:c r="F11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1" s="28" t="str">
        <x:v>сорбет, крем, ганаш, выпечка, джем или соус для десерта</x:v>
      </x:c>
      <x:c r="J111" s="28" t="str">
        <x:v>Высокая</x:v>
      </x:c>
      <x:c r="K111" s="28" t="str">
        <x:v>The Art &amp; Science of Foodpairing; Таблица сочетаний</x:v>
      </x:c>
      <x:c r="L111" s="28" t="str">
        <x:v>The Art &amp; Science of Foodpairing: 63; Таблица сочетаний: 2</x:v>
      </x:c>
    </x:row>
    <x:row r="112" ht="62" customHeight="1">
      <x:c r="A112" s="28" t="str">
        <x:v>BER-0306</x:v>
      </x:c>
      <x:c r="B112" s="28" t="str">
        <x:v>ежевика</x:v>
      </x:c>
      <x:c r="C112" s="28" t="str">
        <x:v>яблоко</x:v>
      </x:c>
      <x:c r="D112" s="28" t="str">
        <x:v>Фрукты</x:v>
      </x:c>
      <x:c r="E112" s="28" t="str">
        <x:v>ароматическое сходство + вкусовой баланс</x:v>
      </x:c>
      <x:c r="F112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зелёный, фруктовый, цветочный. Оба компонента формируют кисло-сладкий, умеренно терпкий и сладко-кислый контур; сахар, кислота и горечь должны быть выровнены дегустацией. Ягода: пигменты и полифенолы дают цвет и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12" s="28" t="str">
        <x:v>Высокая</x:v>
      </x:c>
      <x:c r="K112" s="28" t="str">
        <x:v>Таблица сочетаний; Тезариус вкусов</x:v>
      </x:c>
      <x:c r="L112" s="28" t="str">
        <x:v>Тезариус вкусов: 712, 882; Таблица сочетаний: 2</x:v>
      </x:c>
    </x:row>
    <x:row r="113" ht="62" customHeight="1">
      <x:c r="A113" s="28" t="str">
        <x:v>BER-0309</x:v>
      </x:c>
      <x:c r="B113" s="28" t="str">
        <x:v>земляника</x:v>
      </x:c>
      <x:c r="C113" s="28" t="str">
        <x:v>груша</x:v>
      </x:c>
      <x:c r="D113" s="28" t="str">
        <x:v>Фрукты</x:v>
      </x:c>
      <x:c r="E113" s="28" t="str">
        <x:v>ароматическое сходство + вкусовой баланс</x:v>
      </x:c>
      <x:c r="F113" s="28" t="str">
        <x:v>Прямой вероятный молекулярный мост: эфиры. Ягодный компонент несёт семейства зелёный, карамельный,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очень летучий аромат; лучше щадящая обработка.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13" s="28" t="str">
        <x:v>Средняя</x:v>
      </x:c>
      <x:c r="K113" s="28" t="str">
        <x:v>The Art &amp; Science of Foodpairing</x:v>
      </x:c>
      <x:c r="L113" s="28" t="str">
        <x:v>The Art &amp; Science of Foodpairing: 350</x:v>
      </x:c>
    </x:row>
    <x:row r="114" ht="62" customHeight="1">
      <x:c r="A114" s="28" t="str">
        <x:v>BER-0311</x:v>
      </x:c>
      <x:c r="B114" s="28" t="str">
        <x:v>земляника</x:v>
      </x:c>
      <x:c r="C114" s="28" t="str">
        <x:v>клубника</x:v>
      </x:c>
      <x:c r="D114" s="28" t="str">
        <x:v>Ягоды и производные</x:v>
      </x:c>
      <x:c r="E114" s="28" t="str">
        <x:v>ароматическое сходство + вкусовой баланс</x:v>
      </x:c>
      <x:c r="F114" s="28" t="str">
        <x:v>Прямой вероятный молекулярный мост: линалоол, мезифуран, фуранеол. Ягодный компонент несёт семейства зелёный, карамельный, фруктовый, цветочный; партнёр — зелёный, карамельный, сливочный,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очень летучий аромат; лучше щадящая обработка. Партнёр: высокая доля воды; аромат чувствителен к перегреву.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14" s="28" t="str">
        <x:v>Средняя</x:v>
      </x:c>
      <x:c r="K114" s="28" t="str">
        <x:v>The Art &amp; Science of Foodpairing</x:v>
      </x:c>
      <x:c r="L114" s="28" t="str">
        <x:v>The Art &amp; Science of Foodpairing: 70</x:v>
      </x:c>
    </x:row>
    <x:row r="115" ht="62" customHeight="1">
      <x:c r="A115" s="28" t="str">
        <x:v>BER-0314</x:v>
      </x:c>
      <x:c r="B115" s="28" t="str">
        <x:v>земляника</x:v>
      </x:c>
      <x:c r="C115" s="28" t="str">
        <x:v>чёрный перец</x:v>
      </x:c>
      <x:c r="D115" s="28" t="str">
        <x:v>Специи</x:v>
      </x:c>
      <x:c r="E115" s="28" t="str">
        <x:v>контраст/комплементарность + матричный эффект</x:v>
      </x:c>
      <x:c r="F11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5" s="28" t="str">
        <x:v>Пряность дозировать как акцент: она быстро перекрывает тонкие ягодные эфиры.</x:v>
      </x:c>
      <x:c r="I11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15" s="28" t="str">
        <x:v>Средняя</x:v>
      </x:c>
      <x:c r="K115" s="28" t="str">
        <x:v>The Art &amp; Science of Foodpairing</x:v>
      </x:c>
      <x:c r="L115" s="28" t="str">
        <x:v>The Art &amp; Science of Foodpairing: 275</x:v>
      </x:c>
    </x:row>
    <x:row r="116" ht="62" customHeight="1">
      <x:c r="A116" s="28" t="str">
        <x:v>BER-0320</x:v>
      </x:c>
      <x:c r="B116" s="28" t="str">
        <x:v>клубника</x:v>
      </x:c>
      <x:c r="C116" s="28" t="str">
        <x:v>coconut drink</x:v>
      </x:c>
      <x:c r="D116" s="28" t="str">
        <x:v>Орехи и семена</x:v>
      </x:c>
      <x:c r="E116" s="28" t="str">
        <x:v>контраст/комплементарность + матричный эффект</x:v>
      </x:c>
      <x:c r="F11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6" s="28" t="str">
        <x:v>сорбет, крем, ганаш, выпечка, джем или соус для десерта</x:v>
      </x:c>
      <x:c r="J116" s="28" t="str">
        <x:v>Средняя</x:v>
      </x:c>
      <x:c r="K116" s="28" t="str">
        <x:v>The Art &amp; Science of Foodpairing</x:v>
      </x:c>
      <x:c r="L116" s="28" t="str">
        <x:v>The Art &amp; Science of Foodpairing: 71</x:v>
      </x:c>
    </x:row>
    <x:row r="117" ht="62" customHeight="1">
      <x:c r="A117" s="28" t="str">
        <x:v>BER-0323</x:v>
      </x:c>
      <x:c r="B117" s="28" t="str">
        <x:v>клубника</x:v>
      </x:c>
      <x:c r="C117" s="28" t="str">
        <x:v>goats' cheese</x:v>
      </x:c>
      <x:c r="D117" s="28" t="str">
        <x:v>Молочные продукты и сыры</x:v>
      </x:c>
      <x:c r="E117" s="28" t="str">
        <x:v>сходство ароматических семейств + комплементарность</x:v>
      </x:c>
      <x:c r="F117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1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17" s="28" t="str">
        <x:v>Высокая кислотность может свернуть молочный белок; смешивать при контролируемой температуре.</x:v>
      </x:c>
      <x:c r="I117" s="28" t="str">
        <x:v>сорбет, крем, ганаш, выпечка, джем или соус для десерта; соус, глазировка, салат, сырная подача или горячее блюдо</x:v>
      </x:c>
      <x:c r="J117" s="28" t="str">
        <x:v>Средняя</x:v>
      </x:c>
      <x:c r="K117" s="28" t="str">
        <x:v>The Art &amp; Science of Foodpairing</x:v>
      </x:c>
      <x:c r="L117" s="28" t="str">
        <x:v>The Art &amp; Science of Foodpairing: 71</x:v>
      </x:c>
    </x:row>
    <x:row r="118" ht="62" customHeight="1">
      <x:c r="A118" s="28" t="str">
        <x:v>BER-0332</x:v>
      </x:c>
      <x:c r="B118" s="28" t="str">
        <x:v>клубника</x:v>
      </x:c>
      <x:c r="C118" s="28" t="str">
        <x:v>parmesan-style cheese</x:v>
      </x:c>
      <x:c r="D118" s="28" t="str">
        <x:v>Молочные продукты и сыры</x:v>
      </x:c>
      <x:c r="E118" s="28" t="str">
        <x:v>сходство ароматических семейств + комплементарность</x:v>
      </x:c>
      <x:c r="F118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1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18" s="28" t="str">
        <x:v>Высокая кислотность может свернуть молочный белок; смешивать при контролируемой температуре.</x:v>
      </x:c>
      <x:c r="I118" s="28" t="str">
        <x:v>сорбет, крем, ганаш, выпечка, джем или соус для десерта; соус, глазировка, салат, сырная подача или горячее блюдо</x:v>
      </x:c>
      <x:c r="J118" s="28" t="str">
        <x:v>Средняя</x:v>
      </x:c>
      <x:c r="K118" s="28" t="str">
        <x:v>The Art &amp; Science of Foodpairing</x:v>
      </x:c>
      <x:c r="L118" s="28" t="str">
        <x:v>The Art &amp; Science of Foodpairing: 70</x:v>
      </x:c>
    </x:row>
    <x:row r="119" ht="62" customHeight="1">
      <x:c r="A119" s="28" t="str">
        <x:v>BER-0338</x:v>
      </x:c>
      <x:c r="B119" s="28" t="str">
        <x:v>клубника</x:v>
      </x:c>
      <x:c r="C119" s="28" t="str">
        <x:v>абрикос</x:v>
      </x:c>
      <x:c r="D119" s="28" t="str">
        <x:v>Фрукты</x:v>
      </x:c>
      <x:c r="E119" s="28" t="str">
        <x:v>сходство ароматических семейств + комплементарность</x:v>
      </x:c>
      <x:c r="F119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19" s="28" t="str">
        <x:v>Средняя</x:v>
      </x:c>
      <x:c r="K119" s="28" t="str">
        <x:v>Таблица сочетаний</x:v>
      </x:c>
      <x:c r="L119" s="28" t="str">
        <x:v>Таблица сочетаний: 2</x:v>
      </x:c>
    </x:row>
    <x:row r="120" ht="62" customHeight="1">
      <x:c r="A120" s="28" t="str">
        <x:v>BER-0341</x:v>
      </x:c>
      <x:c r="B120" s="28" t="str">
        <x:v>клубника</x:v>
      </x:c>
      <x:c r="C120" s="28" t="str">
        <x:v>ананас</x:v>
      </x:c>
      <x:c r="D120" s="28" t="str">
        <x:v>Фрукты</x:v>
      </x:c>
      <x:c r="E120" s="28" t="str">
        <x:v>сходство ароматических семейств + комплементарность</x:v>
      </x:c>
      <x:c r="F120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20" s="28" t="str">
        <x:v>Высокая</x:v>
      </x:c>
      <x:c r="K120" s="28" t="str">
        <x:v>The Art &amp; Science of Foodpairing; Тезариус вкусов</x:v>
      </x:c>
      <x:c r="L120" s="28" t="str">
        <x:v>Тезариус вкусов: 693, 704; The Art &amp; Science of Foodpairing: 70</x:v>
      </x:c>
    </x:row>
    <x:row r="121" ht="62" customHeight="1">
      <x:c r="A121" s="28" t="str">
        <x:v>BER-0342</x:v>
      </x:c>
      <x:c r="B121" s="28" t="str">
        <x:v>клубника</x:v>
      </x:c>
      <x:c r="C121" s="28" t="str">
        <x:v>анис</x:v>
      </x:c>
      <x:c r="D121" s="28" t="str">
        <x:v>Специи</x:v>
      </x:c>
      <x:c r="E121" s="28" t="str">
        <x:v>контраст/комплементарность + матричный эффект</x:v>
      </x:c>
      <x:c r="F12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1" s="28" t="str">
        <x:v>Пряность дозировать как акцент: она быстро перекрывает тонкие ягодные эфиры.</x:v>
      </x:c>
      <x:c r="I12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21" s="28" t="str">
        <x:v>Высокая</x:v>
      </x:c>
      <x:c r="K121" s="28" t="str">
        <x:v>Таблица сочетаний; Тезариус вкусов</x:v>
      </x:c>
      <x:c r="L121" s="28" t="str">
        <x:v>Тезариус вкусов: 483, 693; Таблица сочетаний: 20</x:v>
      </x:c>
    </x:row>
    <x:row r="122" ht="62" customHeight="1">
      <x:c r="A122" s="28" t="str">
        <x:v>BER-0348</x:v>
      </x:c>
      <x:c r="B122" s="28" t="str">
        <x:v>клубника</x:v>
      </x:c>
      <x:c r="C122" s="28" t="str">
        <x:v>банан</x:v>
      </x:c>
      <x:c r="D122" s="28" t="str">
        <x:v>Фрукты</x:v>
      </x:c>
      <x:c r="E122" s="28" t="str">
        <x:v>сходство ароматических семейств + комплементарность</x:v>
      </x:c>
      <x:c r="F122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22" s="28" t="str">
        <x:v>Средняя</x:v>
      </x:c>
      <x:c r="K122" s="28" t="str">
        <x:v>The Art &amp; Science of Foodpairing</x:v>
      </x:c>
      <x:c r="L122" s="28" t="str">
        <x:v>The Art &amp; Science of Foodpairing: 70</x:v>
      </x:c>
    </x:row>
    <x:row r="123" ht="62" customHeight="1">
      <x:c r="A123" s="28" t="str">
        <x:v>BER-0349</x:v>
      </x:c>
      <x:c r="B123" s="28" t="str">
        <x:v>клубника</x:v>
      </x:c>
      <x:c r="C123" s="28" t="str">
        <x:v>банановое пюре</x:v>
      </x:c>
      <x:c r="D123" s="28" t="str">
        <x:v>Фрукты</x:v>
      </x:c>
      <x:c r="E123" s="28" t="str">
        <x:v>сходство ароматических семейств + комплементарность</x:v>
      </x:c>
      <x:c r="F123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23" s="28" t="str">
        <x:v>Средняя</x:v>
      </x:c>
      <x:c r="K123" s="28" t="str">
        <x:v>The Art &amp; Science of Foodpairing</x:v>
      </x:c>
      <x:c r="L123" s="28" t="str">
        <x:v>The Art &amp; Science of Foodpairing: 70</x:v>
      </x:c>
    </x:row>
    <x:row r="124" ht="62" customHeight="1">
      <x:c r="A124" s="28" t="str">
        <x:v>BER-0350</x:v>
      </x:c>
      <x:c r="B124" s="28" t="str">
        <x:v>клубника</x:v>
      </x:c>
      <x:c r="C124" s="28" t="str">
        <x:v>белый шоколад</x:v>
      </x:c>
      <x:c r="D124" s="28" t="str">
        <x:v>Шоколад, кофе и жареные продукты</x:v>
      </x:c>
      <x:c r="E124" s="28" t="str">
        <x:v>сходство ароматических семейств + комплементарность</x:v>
      </x:c>
      <x:c r="F124" s="28" t="str">
        <x:v>Общие ароматические семейства: карамельный;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4" s="28" t="str">
        <x:v>сорбет, крем, ганаш, выпечка, джем или соус для десерта</x:v>
      </x:c>
      <x:c r="J124" s="28" t="str">
        <x:v>Высокая</x:v>
      </x:c>
      <x:c r="K124" s="28" t="str">
        <x:v>Тезариус вкусов</x:v>
      </x:c>
      <x:c r="L124" s="28" t="str">
        <x:v>Тезариус вкусов: 693, 923</x:v>
      </x:c>
    </x:row>
    <x:row r="125" ht="62" customHeight="1">
      <x:c r="A125" s="28" t="str">
        <x:v>BER-0352</x:v>
      </x:c>
      <x:c r="B125" s="28" t="str">
        <x:v>клубника</x:v>
      </x:c>
      <x:c r="C125" s="28" t="str">
        <x:v>бри</x:v>
      </x:c>
      <x:c r="D125" s="28" t="str">
        <x:v>Молочные продукты и сыры</x:v>
      </x:c>
      <x:c r="E125" s="28" t="str">
        <x:v>сходство ароматических семейств + комплементарность</x:v>
      </x:c>
      <x:c r="F125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2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25" s="28" t="str">
        <x:v>Высокая кислотность может свернуть молочный белок; смешивать при контролируемой температуре.</x:v>
      </x:c>
      <x:c r="I125" s="28" t="str">
        <x:v>сорбет, крем, ганаш, выпечка, джем или соус для десерта; соус, глазировка, салат, сырная подача или горячее блюдо</x:v>
      </x:c>
      <x:c r="J125" s="28" t="str">
        <x:v>Средняя</x:v>
      </x:c>
      <x:c r="K125" s="28" t="str">
        <x:v>The Art &amp; Science of Foodpairing</x:v>
      </x:c>
      <x:c r="L125" s="28" t="str">
        <x:v>The Art &amp; Science of Foodpairing: 336</x:v>
      </x:c>
    </x:row>
    <x:row r="126" ht="62" customHeight="1">
      <x:c r="A126" s="28" t="str">
        <x:v>BER-0355</x:v>
      </x:c>
      <x:c r="B126" s="28" t="str">
        <x:v>клубника</x:v>
      </x:c>
      <x:c r="C126" s="28" t="str">
        <x:v>виноград</x:v>
      </x:c>
      <x:c r="D126" s="28" t="str">
        <x:v>Фрукты</x:v>
      </x:c>
      <x:c r="E126" s="28" t="str">
        <x:v>сходство ароматических семейств + комплементарность</x:v>
      </x:c>
      <x:c r="F126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26" s="28" t="str">
        <x:v>Высокая</x:v>
      </x:c>
      <x:c r="K126" s="28" t="str">
        <x:v>Тезариус вкусов</x:v>
      </x:c>
      <x:c r="L126" s="28" t="str">
        <x:v>Тезариус вкусов: 666, 694</x:v>
      </x:c>
    </x:row>
    <x:row r="127" ht="62" customHeight="1">
      <x:c r="A127" s="28" t="str">
        <x:v>BER-0356</x:v>
      </x:c>
      <x:c r="B127" s="28" t="str">
        <x:v>клубника</x:v>
      </x:c>
      <x:c r="C127" s="28" t="str">
        <x:v>гвоздика</x:v>
      </x:c>
      <x:c r="D127" s="28" t="str">
        <x:v>Специи</x:v>
      </x:c>
      <x:c r="E127" s="28" t="str">
        <x:v>контраст/комплементарность + матричный эффект</x:v>
      </x:c>
      <x:c r="F12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7" s="28" t="str">
        <x:v>Пряность дозировать как акцент: она быстро перекрывает тонкие ягодные эфиры.</x:v>
      </x:c>
      <x:c r="I12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27" s="28" t="str">
        <x:v>Средняя</x:v>
      </x:c>
      <x:c r="K127" s="28" t="str">
        <x:v>Таблица сочетаний</x:v>
      </x:c>
      <x:c r="L127" s="28" t="str">
        <x:v>Таблица сочетаний: 20</x:v>
      </x:c>
    </x:row>
    <x:row r="128" ht="62" customHeight="1">
      <x:c r="A128" s="28" t="str">
        <x:v>BER-0358</x:v>
      </x:c>
      <x:c r="B128" s="28" t="str">
        <x:v>клубника</x:v>
      </x:c>
      <x:c r="C128" s="28" t="str">
        <x:v>голубой сыр</x:v>
      </x:c>
      <x:c r="D128" s="28" t="str">
        <x:v>Молочные продукты и сыры</x:v>
      </x:c>
      <x:c r="E128" s="28" t="str">
        <x:v>сходство ароматических семейств + комплементарность</x:v>
      </x:c>
      <x:c r="F128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2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28" s="28" t="str">
        <x:v>Высокая кислотность может свернуть молочный белок; смешивать при контролируемой температуре.</x:v>
      </x:c>
      <x:c r="I128" s="28" t="str">
        <x:v>сорбет, крем, ганаш, выпечка, джем или соус для десерта; соус, глазировка, салат, сырная подача или горячее блюдо</x:v>
      </x:c>
      <x:c r="J128" s="28" t="str">
        <x:v>Средняя</x:v>
      </x:c>
      <x:c r="K128" s="28" t="str">
        <x:v>The Art &amp; Science of Foodpairing</x:v>
      </x:c>
      <x:c r="L128" s="28" t="str">
        <x:v>The Art &amp; Science of Foodpairing: 164, 165</x:v>
      </x:c>
    </x:row>
    <x:row r="129" ht="62" customHeight="1">
      <x:c r="A129" s="28" t="str">
        <x:v>BER-0359</x:v>
      </x:c>
      <x:c r="B129" s="28" t="str">
        <x:v>клубника</x:v>
      </x:c>
      <x:c r="C129" s="28" t="str">
        <x:v>гранат</x:v>
      </x:c>
      <x:c r="D129" s="28" t="str">
        <x:v>Фрукты</x:v>
      </x:c>
      <x:c r="E129" s="28" t="str">
        <x:v>сходство ароматических семейств + комплементарность</x:v>
      </x:c>
      <x:c r="F129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29" s="28" t="str">
        <x:v>Высокая</x:v>
      </x:c>
      <x:c r="K129" s="28" t="str">
        <x:v>The Art &amp; Science of Foodpairing; Таблица сочетаний</x:v>
      </x:c>
      <x:c r="L129" s="28" t="str">
        <x:v>The Art &amp; Science of Foodpairing: 71; Таблица сочетаний: 18</x:v>
      </x:c>
    </x:row>
    <x:row r="130" ht="62" customHeight="1">
      <x:c r="A130" s="28" t="str">
        <x:v>BER-0360</x:v>
      </x:c>
      <x:c r="B130" s="28" t="str">
        <x:v>клубника</x:v>
      </x:c>
      <x:c r="C130" s="28" t="str">
        <x:v>гранатовый сок</x:v>
      </x:c>
      <x:c r="D130" s="28" t="str">
        <x:v>Фрукты</x:v>
      </x:c>
      <x:c r="E130" s="28" t="str">
        <x:v>сходство ароматических семейств + комплементарность</x:v>
      </x:c>
      <x:c r="F130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30" s="28" t="str">
        <x:v>Средняя</x:v>
      </x:c>
      <x:c r="K130" s="28" t="str">
        <x:v>The Art &amp; Science of Foodpairing</x:v>
      </x:c>
      <x:c r="L130" s="28" t="str">
        <x:v>The Art &amp; Science of Foodpairing: 70</x:v>
      </x:c>
    </x:row>
    <x:row r="131" ht="62" customHeight="1">
      <x:c r="A131" s="28" t="str">
        <x:v>BER-0362</x:v>
      </x:c>
      <x:c r="B131" s="28" t="str">
        <x:v>клубника</x:v>
      </x:c>
      <x:c r="C131" s="28" t="str">
        <x:v>грюйер</x:v>
      </x:c>
      <x:c r="D131" s="28" t="str">
        <x:v>Молочные продукты и сыры</x:v>
      </x:c>
      <x:c r="E131" s="28" t="str">
        <x:v>сходство ароматических семейств + комплементарность</x:v>
      </x:c>
      <x:c r="F131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3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31" s="28" t="str">
        <x:v>Высокая кислотность может свернуть молочный белок; смешивать при контролируемой температуре.</x:v>
      </x:c>
      <x:c r="I131" s="28" t="str">
        <x:v>сорбет, крем, ганаш, выпечка, джем или соус для десерта; соус, глазировка, салат, сырная подача или горячее блюдо</x:v>
      </x:c>
      <x:c r="J131" s="28" t="str">
        <x:v>Средняя</x:v>
      </x:c>
      <x:c r="K131" s="28" t="str">
        <x:v>The Art &amp; Science of Foodpairing</x:v>
      </x:c>
      <x:c r="L131" s="28" t="str">
        <x:v>The Art &amp; Science of Foodpairing: 70</x:v>
      </x:c>
    </x:row>
    <x:row r="132" ht="62" customHeight="1">
      <x:c r="A132" s="28" t="str">
        <x:v>BER-0364</x:v>
      </x:c>
      <x:c r="B132" s="28" t="str">
        <x:v>клубника</x:v>
      </x:c>
      <x:c r="C132" s="28" t="str">
        <x:v>дыня</x:v>
      </x:c>
      <x:c r="D132" s="28" t="str">
        <x:v>Фрукты</x:v>
      </x:c>
      <x:c r="E132" s="28" t="str">
        <x:v>сходство ароматических семейств + комплементарность</x:v>
      </x:c>
      <x:c r="F132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32" s="28" t="str">
        <x:v>Высокая</x:v>
      </x:c>
      <x:c r="K132" s="28" t="str">
        <x:v>Тезариус вкусов</x:v>
      </x:c>
      <x:c r="L132" s="28" t="str">
        <x:v>Тезариус вкусов: 694, 739</x:v>
      </x:c>
    </x:row>
    <x:row r="133" ht="62" customHeight="1">
      <x:c r="A133" s="28" t="str">
        <x:v>BER-0365</x:v>
      </x:c>
      <x:c r="B133" s="28" t="str">
        <x:v>клубника</x:v>
      </x:c>
      <x:c r="C133" s="28" t="str">
        <x:v>жареная макадамия</x:v>
      </x:c>
      <x:c r="D133" s="28" t="str">
        <x:v>Орехи и семена</x:v>
      </x:c>
      <x:c r="E133" s="28" t="str">
        <x:v>контраст/комплементарность + матричный эффект</x:v>
      </x:c>
      <x:c r="F13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3" s="28" t="str">
        <x:v>сорбет, крем, ганаш, выпечка, джем или соус для десерта</x:v>
      </x:c>
      <x:c r="J133" s="28" t="str">
        <x:v>Средняя</x:v>
      </x:c>
      <x:c r="K133" s="28" t="str">
        <x:v>The Art &amp; Science of Foodpairing</x:v>
      </x:c>
      <x:c r="L133" s="28" t="str">
        <x:v>The Art &amp; Science of Foodpairing: 70</x:v>
      </x:c>
    </x:row>
    <x:row r="134" ht="62" customHeight="1">
      <x:c r="A134" s="28" t="str">
        <x:v>BER-0371</x:v>
      </x:c>
      <x:c r="B134" s="28" t="str">
        <x:v>клубника</x:v>
      </x:c>
      <x:c r="C134" s="28" t="str">
        <x:v>изюм</x:v>
      </x:c>
      <x:c r="D134" s="28" t="str">
        <x:v>Фрукты</x:v>
      </x:c>
      <x:c r="E134" s="28" t="str">
        <x:v>сходство ароматических семейств + комплементарность</x:v>
      </x:c>
      <x:c r="F134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34" s="28" t="str">
        <x:v>Средняя</x:v>
      </x:c>
      <x:c r="K134" s="28" t="str">
        <x:v>The Art &amp; Science of Foodpairing</x:v>
      </x:c>
      <x:c r="L134" s="28" t="str">
        <x:v>The Art &amp; Science of Foodpairing: 70</x:v>
      </x:c>
    </x:row>
    <x:row r="135" ht="62" customHeight="1">
      <x:c r="A135" s="28" t="str">
        <x:v>BER-0372</x:v>
      </x:c>
      <x:c r="B135" s="28" t="str">
        <x:v>клубника</x:v>
      </x:c>
      <x:c r="C135" s="28" t="str">
        <x:v>имбирь</x:v>
      </x:c>
      <x:c r="D135" s="28" t="str">
        <x:v>Специи</x:v>
      </x:c>
      <x:c r="E135" s="28" t="str">
        <x:v>контраст/комплементарность + матричный эффект</x:v>
      </x:c>
      <x:c r="F13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5" s="28" t="str">
        <x:v>Пряность дозировать как акцент: она быстро перекрывает тонкие ягодные эфиры.</x:v>
      </x:c>
      <x:c r="I13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35" s="28" t="str">
        <x:v>Средняя</x:v>
      </x:c>
      <x:c r="K135" s="28" t="str">
        <x:v>Таблица сочетаний</x:v>
      </x:c>
      <x:c r="L135" s="28" t="str">
        <x:v>Таблица сочетаний: 20</x:v>
      </x:c>
    </x:row>
    <x:row r="136" ht="62" customHeight="1">
      <x:c r="A136" s="28" t="str">
        <x:v>BER-0374</x:v>
      </x:c>
      <x:c r="B136" s="28" t="str">
        <x:v>клубника</x:v>
      </x:c>
      <x:c r="C136" s="28" t="str">
        <x:v>карамель</x:v>
      </x:c>
      <x:c r="D136" s="28" t="str">
        <x:v>Шоколад, кофе и жареные продукты</x:v>
      </x:c>
      <x:c r="E136" s="28" t="str">
        <x:v>сходство ароматических семейств + комплементарность</x:v>
      </x:c>
      <x:c r="F136" s="28" t="str">
        <x:v>Общие ароматические семейства: карамельный;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6" s="28" t="str">
        <x:v>сорбет, крем, ганаш, выпечка, джем или соус для десерта</x:v>
      </x:c>
      <x:c r="J136" s="28" t="str">
        <x:v>Средняя</x:v>
      </x:c>
      <x:c r="K136" s="28" t="str">
        <x:v>Таблица сочетаний</x:v>
      </x:c>
      <x:c r="L136" s="28" t="str">
        <x:v>Таблица сочетаний: 20</x:v>
      </x:c>
    </x:row>
    <x:row r="137" ht="62" customHeight="1">
      <x:c r="A137" s="28" t="str">
        <x:v>BER-0375</x:v>
      </x:c>
      <x:c r="B137" s="28" t="str">
        <x:v>клубника</x:v>
      </x:c>
      <x:c r="C137" s="28" t="str">
        <x:v>кардамон</x:v>
      </x:c>
      <x:c r="D137" s="28" t="str">
        <x:v>Специи</x:v>
      </x:c>
      <x:c r="E137" s="28" t="str">
        <x:v>контраст/комплементарность + матричный эффект</x:v>
      </x:c>
      <x:c r="F13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7" s="28" t="str">
        <x:v>Пряность дозировать как акцент: она быстро перекрывает тонкие ягодные эфиры.</x:v>
      </x:c>
      <x:c r="I13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37" s="28" t="str">
        <x:v>Средняя</x:v>
      </x:c>
      <x:c r="K137" s="28" t="str">
        <x:v>The Art &amp; Science of Foodpairing</x:v>
      </x:c>
      <x:c r="L137" s="28" t="str">
        <x:v>The Art &amp; Science of Foodpairing: 257</x:v>
      </x:c>
    </x:row>
    <x:row r="138" ht="62" customHeight="1">
      <x:c r="A138" s="28" t="str">
        <x:v>BER-0376</x:v>
      </x:c>
      <x:c r="B138" s="28" t="str">
        <x:v>клубника</x:v>
      </x:c>
      <x:c r="C138" s="28" t="str">
        <x:v>картофель фри</x:v>
      </x:c>
      <x:c r="D138" s="28" t="str">
        <x:v>Злаки и выпечка</x:v>
      </x:c>
      <x:c r="E138" s="28" t="str">
        <x:v>контраст/комплементарность + матричный эффект</x:v>
      </x:c>
      <x:c r="F13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зерновой, солодовый. Оба компонента формируют сладко-кислый и крахмалистый, сладковатый контур; сахар, кислота и горечь должны быть выровнены дегустацией. Ягода: высокая доля воды; аромат чувствителен к перегреву. Партнёр: крахмал и сухая пористая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8" s="28" t="str">
        <x:v>сорбет, крем, ганаш, выпечка, джем или соус для десерта</x:v>
      </x:c>
      <x:c r="J138" s="28" t="str">
        <x:v>Средняя</x:v>
      </x:c>
      <x:c r="K138" s="28" t="str">
        <x:v>The Art &amp; Science of Foodpairing</x:v>
      </x:c>
      <x:c r="L138" s="28" t="str">
        <x:v>The Art &amp; Science of Foodpairing: 196</x:v>
      </x:c>
    </x:row>
    <x:row r="139" ht="62" customHeight="1">
      <x:c r="A139" s="28" t="str">
        <x:v>BER-0377</x:v>
      </x:c>
      <x:c r="B139" s="28" t="str">
        <x:v>клубника</x:v>
      </x:c>
      <x:c r="C139" s="28" t="str">
        <x:v>киви</x:v>
      </x:c>
      <x:c r="D139" s="28" t="str">
        <x:v>Фрукты</x:v>
      </x:c>
      <x:c r="E139" s="28" t="str">
        <x:v>сходство ароматических семейств + комплементарность</x:v>
      </x:c>
      <x:c r="F139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39" s="28" t="str">
        <x:v>Высокая</x:v>
      </x:c>
      <x:c r="K139" s="28" t="str">
        <x:v>The Art &amp; Science of Foodpairing; Таблица сочетаний</x:v>
      </x:c>
      <x:c r="L139" s="28" t="str">
        <x:v>The Art &amp; Science of Foodpairing: 42; Таблица сочетаний: 10, 20</x:v>
      </x:c>
    </x:row>
    <x:row r="140" ht="62" customHeight="1">
      <x:c r="A140" s="28" t="str">
        <x:v>BER-0378</x:v>
      </x:c>
      <x:c r="B140" s="28" t="str">
        <x:v>клубника</x:v>
      </x:c>
      <x:c r="C140" s="28" t="str">
        <x:v>кленовый сироп</x:v>
      </x:c>
      <x:c r="D140" s="28" t="str">
        <x:v>Подсластители</x:v>
      </x:c>
      <x:c r="E140" s="28" t="str">
        <x:v>сходство ароматических семейств + комплементарность</x:v>
      </x:c>
      <x:c r="F140" s="28" t="str">
        <x:v>Общие ароматические семейства: карамельный;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карамельный, медовый, сладкий. Оба компонента формируют сладко-кислый и сладкий контур; сахар, кислота и горечь должны быть выровнены дегустацией. Ягода: высокая доля воды; аромат чувствителен к перегреву. Партнёр: вязкая водная матрица снижает летучесть.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40" s="28" t="str">
        <x:v>Средняя</x:v>
      </x:c>
      <x:c r="K140" s="28" t="str">
        <x:v>Таблица сочетаний</x:v>
      </x:c>
      <x:c r="L140" s="28" t="str">
        <x:v>Таблица сочетаний: 20</x:v>
      </x:c>
    </x:row>
    <x:row r="141" ht="62" customHeight="1">
      <x:c r="A141" s="28" t="str">
        <x:v>BER-0379</x:v>
      </x:c>
      <x:c r="B141" s="28" t="str">
        <x:v>клубника</x:v>
      </x:c>
      <x:c r="C141" s="28" t="str">
        <x:v>клубника сорта Elsanta</x:v>
      </x:c>
      <x:c r="D141" s="28" t="str">
        <x:v>Ягоды и производные</x:v>
      </x:c>
      <x:c r="E141" s="28" t="str">
        <x:v>ароматическое сходство + вкусовой баланс</x:v>
      </x:c>
      <x:c r="F141" s="28" t="str">
        <x:v>Прямой вероятный молекулярный мост: линалоол, мезифуран, фуранеол, цис-3-гексеналь, этилбутират. Ягодный компонент несёт семейства зелёный, карамельный, сливочный, фруктовый, цветочный; партнёр — зелёный, карамельный, сливочный,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аромат чувствителен к перегреву.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41" s="28" t="str">
        <x:v>Средняя</x:v>
      </x:c>
      <x:c r="K141" s="28" t="str">
        <x:v>The Art &amp; Science of Foodpairing</x:v>
      </x:c>
      <x:c r="L141" s="28" t="str">
        <x:v>The Art &amp; Science of Foodpairing: 70</x:v>
      </x:c>
    </x:row>
    <x:row r="142" ht="62" customHeight="1">
      <x:c r="A142" s="28" t="str">
        <x:v>BER-0382</x:v>
      </x:c>
      <x:c r="B142" s="28" t="str">
        <x:v>клубника</x:v>
      </x:c>
      <x:c r="C142" s="28" t="str">
        <x:v>корица</x:v>
      </x:c>
      <x:c r="D142" s="28" t="str">
        <x:v>Специи</x:v>
      </x:c>
      <x:c r="E142" s="28" t="str">
        <x:v>контраст/комплементарность + матричный эффект</x:v>
      </x:c>
      <x:c r="F14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2" s="28" t="str">
        <x:v>Пряность дозировать как акцент: она быстро перекрывает тонкие ягодные эфиры.</x:v>
      </x:c>
      <x:c r="I14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42" s="28" t="str">
        <x:v>Высокая</x:v>
      </x:c>
      <x:c r="K142" s="28" t="str">
        <x:v>The Art &amp; Science of Foodpairing; Тезариус вкусов</x:v>
      </x:c>
      <x:c r="L142" s="28" t="str">
        <x:v>Тезариус вкусов: 577, 695; The Art &amp; Science of Foodpairing: 131</x:v>
      </x:c>
    </x:row>
    <x:row r="143" ht="62" customHeight="1">
      <x:c r="A143" s="28" t="str">
        <x:v>BER-0383</x:v>
      </x:c>
      <x:c r="B143" s="28" t="str">
        <x:v>клубника</x:v>
      </x:c>
      <x:c r="C143" s="28" t="str">
        <x:v>кофе</x:v>
      </x:c>
      <x:c r="D143" s="28" t="str">
        <x:v>Шоколад, кофе и жареные продукты</x:v>
      </x:c>
      <x:c r="E143" s="28" t="str">
        <x:v>сходство ароматических семейств + комплементарность</x:v>
      </x:c>
      <x:c r="F143" s="28" t="str">
        <x:v>Общие ароматические семейства: карамельный;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3" s="28" t="str">
        <x:v>сорбет, крем, ганаш, выпечка, джем или соус для десерта</x:v>
      </x:c>
      <x:c r="J143" s="28" t="str">
        <x:v>Средняя</x:v>
      </x:c>
      <x:c r="K143" s="28" t="str">
        <x:v>The Art &amp; Science of Foodpairing</x:v>
      </x:c>
      <x:c r="L143" s="28" t="str">
        <x:v>The Art &amp; Science of Foodpairing: 297</x:v>
      </x:c>
    </x:row>
    <x:row r="144" ht="62" customHeight="1">
      <x:c r="A144" s="28" t="str">
        <x:v>BER-0387</x:v>
      </x:c>
      <x:c r="B144" s="28" t="str">
        <x:v>клубника</x:v>
      </x:c>
      <x:c r="C144" s="28" t="str">
        <x:v>личи</x:v>
      </x:c>
      <x:c r="D144" s="28" t="str">
        <x:v>Фрукты</x:v>
      </x:c>
      <x:c r="E144" s="28" t="str">
        <x:v>сходство ароматических семейств + комплементарность</x:v>
      </x:c>
      <x:c r="F144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44" s="28" t="str">
        <x:v>Высокая</x:v>
      </x:c>
      <x:c r="K144" s="28" t="str">
        <x:v>The Art &amp; Science of Foodpairing; Таблица сочетаний</x:v>
      </x:c>
      <x:c r="L144" s="28" t="str">
        <x:v>The Art &amp; Science of Foodpairing: 70; Таблица сочетаний: 20</x:v>
      </x:c>
    </x:row>
    <x:row r="145" ht="62" customHeight="1">
      <x:c r="A145" s="28" t="str">
        <x:v>BER-0388</x:v>
      </x:c>
      <x:c r="B145" s="28" t="str">
        <x:v>клубника</x:v>
      </x:c>
      <x:c r="C145" s="28" t="str">
        <x:v>макадамия</x:v>
      </x:c>
      <x:c r="D145" s="28" t="str">
        <x:v>Орехи и семена</x:v>
      </x:c>
      <x:c r="E145" s="28" t="str">
        <x:v>контраст/комплементарность + матричный эффект</x:v>
      </x:c>
      <x:c r="F14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5" s="28" t="str">
        <x:v>сорбет, крем, ганаш, выпечка, джем или соус для десерта</x:v>
      </x:c>
      <x:c r="J145" s="28" t="str">
        <x:v>Средняя</x:v>
      </x:c>
      <x:c r="K145" s="28" t="str">
        <x:v>Таблица сочетаний</x:v>
      </x:c>
      <x:c r="L145" s="28" t="str">
        <x:v>Таблица сочетаний: 12</x:v>
      </x:c>
    </x:row>
    <x:row r="146" ht="62" customHeight="1">
      <x:c r="A146" s="28" t="str">
        <x:v>BER-0389</x:v>
      </x:c>
      <x:c r="B146" s="28" t="str">
        <x:v>клубника</x:v>
      </x:c>
      <x:c r="C146" s="28" t="str">
        <x:v>малина</x:v>
      </x:c>
      <x:c r="D146" s="28" t="str">
        <x:v>Ягоды и производные</x:v>
      </x:c>
      <x:c r="E146" s="28" t="str">
        <x:v>ароматическое сходство + вкусовой баланс</x:v>
      </x:c>
      <x:c r="F146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древесный, зелёный, фиалковый, фруктовый, цветочный. Оба компонента формируют сладко-кислый и кисло-сладкий контур; сахар, кислота и горечь должны быть выровнены дегустацией. Ягода: высокая доля воды; аромат чувствителен к перегреву. Партнёр: семена добавляют древесность и лёгкую терпкость.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46" s="28" t="str">
        <x:v>Высокая</x:v>
      </x:c>
      <x:c r="K146" s="28" t="str">
        <x:v>The Art &amp; Science of Foodpairing; Тезариус вкусов</x:v>
      </x:c>
      <x:c r="L146" s="28" t="str">
        <x:v>Тезариус вкусов: 696, 887; The Art &amp; Science of Foodpairing: 71</x:v>
      </x:c>
    </x:row>
    <x:row r="147" ht="62" customHeight="1">
      <x:c r="A147" s="28" t="str">
        <x:v>BER-0390</x:v>
      </x:c>
      <x:c r="B147" s="28" t="str">
        <x:v>клубника</x:v>
      </x:c>
      <x:c r="C147" s="28" t="str">
        <x:v>манго</x:v>
      </x:c>
      <x:c r="D147" s="28" t="str">
        <x:v>Фрукты</x:v>
      </x:c>
      <x:c r="E147" s="28" t="str">
        <x:v>сходство ароматических семейств + комплементарность</x:v>
      </x:c>
      <x:c r="F147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47" s="28" t="str">
        <x:v>Средняя</x:v>
      </x:c>
      <x:c r="K147" s="28" t="str">
        <x:v>Таблица сочетаний</x:v>
      </x:c>
      <x:c r="L147" s="28" t="str">
        <x:v>Таблица сочетаний: 20</x:v>
      </x:c>
    </x:row>
    <x:row r="148" ht="62" customHeight="1">
      <x:c r="A148" s="28" t="str">
        <x:v>BER-0391</x:v>
      </x:c>
      <x:c r="B148" s="28" t="str">
        <x:v>клубника</x:v>
      </x:c>
      <x:c r="C148" s="28" t="str">
        <x:v>манго Alphonso</x:v>
      </x:c>
      <x:c r="D148" s="28" t="str">
        <x:v>Фрукты</x:v>
      </x:c>
      <x:c r="E148" s="28" t="str">
        <x:v>сходство ароматических семейств + комплементарность</x:v>
      </x:c>
      <x:c r="F148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48" s="28" t="str">
        <x:v>Средняя</x:v>
      </x:c>
      <x:c r="K148" s="28" t="str">
        <x:v>The Art &amp; Science of Foodpairing</x:v>
      </x:c>
      <x:c r="L148" s="28" t="str">
        <x:v>The Art &amp; Science of Foodpairing: 70</x:v>
      </x:c>
    </x:row>
    <x:row r="149" ht="62" customHeight="1">
      <x:c r="A149" s="28" t="str">
        <x:v>BER-0395</x:v>
      </x:c>
      <x:c r="B149" s="28" t="str">
        <x:v>клубника</x:v>
      </x:c>
      <x:c r="C149" s="28" t="str">
        <x:v>миндаль</x:v>
      </x:c>
      <x:c r="D149" s="28" t="str">
        <x:v>Орехи и семена</x:v>
      </x:c>
      <x:c r="E149" s="28" t="str">
        <x:v>контраст/комплементарность + матричный эффект</x:v>
      </x:c>
      <x:c r="F14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9" s="28" t="str">
        <x:v>сорбет, крем, ганаш, выпечка, джем или соус для десерта</x:v>
      </x:c>
      <x:c r="J149" s="28" t="str">
        <x:v>Высокая</x:v>
      </x:c>
      <x:c r="K149" s="28" t="str">
        <x:v>The Art &amp; Science of Foodpairing; Таблица сочетаний; Тезариус вкусов</x:v>
      </x:c>
      <x:c r="L149" s="28" t="str">
        <x:v>Тезариус вкусов: 644, 696; The Art &amp; Science of Foodpairing: 71, 347; Таблица сочетаний: 20</x:v>
      </x:c>
    </x:row>
    <x:row r="150" ht="62" customHeight="1">
      <x:c r="A150" s="28" t="str">
        <x:v>BER-0397</x:v>
      </x:c>
      <x:c r="B150" s="28" t="str">
        <x:v>клубника</x:v>
      </x:c>
      <x:c r="C150" s="28" t="str">
        <x:v>мускатный орех</x:v>
      </x:c>
      <x:c r="D150" s="28" t="str">
        <x:v>Орехи и семена</x:v>
      </x:c>
      <x:c r="E150" s="28" t="str">
        <x:v>контраст/комплементарность + матричный эффект</x:v>
      </x:c>
      <x:c r="F15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0" s="28" t="str">
        <x:v>сорбет, крем, ганаш, выпечка, джем или соус для десерта</x:v>
      </x:c>
      <x:c r="J150" s="28" t="str">
        <x:v>Средняя</x:v>
      </x:c>
      <x:c r="K150" s="28" t="str">
        <x:v>The Art &amp; Science of Foodpairing</x:v>
      </x:c>
      <x:c r="L150" s="28" t="str">
        <x:v>The Art &amp; Science of Foodpairing: 71</x:v>
      </x:c>
    </x:row>
    <x:row r="151" ht="62" customHeight="1">
      <x:c r="A151" s="28" t="str">
        <x:v>BER-0398</x:v>
      </x:c>
      <x:c r="B151" s="28" t="str">
        <x:v>клубника</x:v>
      </x:c>
      <x:c r="C151" s="28" t="str">
        <x:v>мускусная дыня</x:v>
      </x:c>
      <x:c r="D151" s="28" t="str">
        <x:v>Фрукты</x:v>
      </x:c>
      <x:c r="E151" s="28" t="str">
        <x:v>сходство ароматических семейств + комплементарность</x:v>
      </x:c>
      <x:c r="F151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51" s="28" t="str">
        <x:v>Средняя</x:v>
      </x:c>
      <x:c r="K151" s="28" t="str">
        <x:v>The Art &amp; Science of Foodpairing</x:v>
      </x:c>
      <x:c r="L151" s="28" t="str">
        <x:v>The Art &amp; Science of Foodpairing: 70</x:v>
      </x:c>
    </x:row>
    <x:row r="152" ht="62" customHeight="1">
      <x:c r="A152" s="28" t="str">
        <x:v>BER-0399</x:v>
      </x:c>
      <x:c r="B152" s="28" t="str">
        <x:v>клубника</x:v>
      </x:c>
      <x:c r="C152" s="28" t="str">
        <x:v>мягкий сыр</x:v>
      </x:c>
      <x:c r="D152" s="28" t="str">
        <x:v>Молочные продукты и сыры</x:v>
      </x:c>
      <x:c r="E152" s="28" t="str">
        <x:v>сходство ароматических семейств + комплементарность</x:v>
      </x:c>
      <x:c r="F152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5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52" s="28" t="str">
        <x:v>Высокая кислотность может свернуть молочный белок; смешивать при контролируемой температуре.</x:v>
      </x:c>
      <x:c r="I152" s="28" t="str">
        <x:v>сорбет, крем, ганаш, выпечка, джем или соус для десерта; соус, глазировка, салат, сырная подача или горячее блюдо</x:v>
      </x:c>
      <x:c r="J152" s="28" t="str">
        <x:v>Высокая</x:v>
      </x:c>
      <x:c r="K152" s="28" t="str">
        <x:v>Тезариус вкусов</x:v>
      </x:c>
      <x:c r="L152" s="28" t="str">
        <x:v>Тезариус вкусов: 185, 696</x:v>
      </x:c>
    </x:row>
    <x:row r="153" ht="62" customHeight="1">
      <x:c r="A153" s="28" t="str">
        <x:v>BER-0410</x:v>
      </x:c>
      <x:c r="B153" s="28" t="str">
        <x:v>клубника</x:v>
      </x:c>
      <x:c r="C153" s="28" t="str">
        <x:v>оливковое масло Cornicabra</x:v>
      </x:c>
      <x:c r="D153" s="28" t="str">
        <x:v>Молочные продукты и сыры</x:v>
      </x:c>
      <x:c r="E153" s="28" t="str">
        <x:v>сходство ароматических семейств + комплементарность</x:v>
      </x:c>
      <x:c r="F153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5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53" s="28" t="str">
        <x:v>Высокая кислотность может свернуть молочный белок; смешивать при контролируемой температуре.</x:v>
      </x:c>
      <x:c r="I153" s="28" t="str">
        <x:v>сорбет, крем, ганаш, выпечка, джем или соус для десерта; соус, глазировка, салат, сырная подача или горячее блюдо</x:v>
      </x:c>
      <x:c r="J153" s="28" t="str">
        <x:v>Средняя</x:v>
      </x:c>
      <x:c r="K153" s="28" t="str">
        <x:v>The Art &amp; Science of Foodpairing</x:v>
      </x:c>
      <x:c r="L153" s="28" t="str">
        <x:v>The Art &amp; Science of Foodpairing: 70</x:v>
      </x:c>
    </x:row>
    <x:row r="154" ht="62" customHeight="1">
      <x:c r="A154" s="28" t="str">
        <x:v>BER-0411</x:v>
      </x:c>
      <x:c r="B154" s="28" t="str">
        <x:v>клубника</x:v>
      </x:c>
      <x:c r="C154" s="28" t="str">
        <x:v>оливковое масло Picholine</x:v>
      </x:c>
      <x:c r="D154" s="28" t="str">
        <x:v>Молочные продукты и сыры</x:v>
      </x:c>
      <x:c r="E154" s="28" t="str">
        <x:v>сходство ароматических семейств + комплементарность</x:v>
      </x:c>
      <x:c r="F154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5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54" s="28" t="str">
        <x:v>Высокая кислотность может свернуть молочный белок; смешивать при контролируемой температуре.</x:v>
      </x:c>
      <x:c r="I154" s="28" t="str">
        <x:v>сорбет, крем, ганаш, выпечка, джем или соус для десерта; соус, глазировка, салат, сырная подача или горячее блюдо</x:v>
      </x:c>
      <x:c r="J154" s="28" t="str">
        <x:v>Средняя</x:v>
      </x:c>
      <x:c r="K154" s="28" t="str">
        <x:v>The Art &amp; Science of Foodpairing</x:v>
      </x:c>
      <x:c r="L154" s="28" t="str">
        <x:v>The Art &amp; Science of Foodpairing: 70</x:v>
      </x:c>
    </x:row>
    <x:row r="155" ht="62" customHeight="1">
      <x:c r="A155" s="28" t="str">
        <x:v>BER-0412</x:v>
      </x:c>
      <x:c r="B155" s="28" t="str">
        <x:v>клубника</x:v>
      </x:c>
      <x:c r="C155" s="28" t="str">
        <x:v>оливковое масло Picual</x:v>
      </x:c>
      <x:c r="D155" s="28" t="str">
        <x:v>Молочные продукты и сыры</x:v>
      </x:c>
      <x:c r="E155" s="28" t="str">
        <x:v>сходство ароматических семейств + комплементарность</x:v>
      </x:c>
      <x:c r="F155" s="28" t="str">
        <x:v>Общие ароматические семейства: сливочный;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5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55" s="28" t="str">
        <x:v>Высокая кислотность может свернуть молочный белок; смешивать при контролируемой температуре.</x:v>
      </x:c>
      <x:c r="I155" s="28" t="str">
        <x:v>сорбет, крем, ганаш, выпечка, джем или соус для десерта; соус, глазировка, салат, сырная подача или горячее блюдо</x:v>
      </x:c>
      <x:c r="J155" s="28" t="str">
        <x:v>Средняя</x:v>
      </x:c>
      <x:c r="K155" s="28" t="str">
        <x:v>The Art &amp; Science of Foodpairing</x:v>
      </x:c>
      <x:c r="L155" s="28" t="str">
        <x:v>The Art &amp; Science of Foodpairing: 70</x:v>
      </x:c>
    </x:row>
    <x:row r="156" ht="62" customHeight="1">
      <x:c r="A156" s="28" t="str">
        <x:v>BER-0417</x:v>
      </x:c>
      <x:c r="B156" s="28" t="str">
        <x:v>клубника</x:v>
      </x:c>
      <x:c r="C156" s="28" t="str">
        <x:v>перец</x:v>
      </x:c>
      <x:c r="D156" s="28" t="str">
        <x:v>Специи</x:v>
      </x:c>
      <x:c r="E156" s="28" t="str">
        <x:v>контраст/комплементарность + матричный эффект</x:v>
      </x:c>
      <x:c r="F15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6" s="28" t="str">
        <x:v>Пряность дозировать как акцент: она быстро перекрывает тонкие ягодные эфиры.</x:v>
      </x:c>
      <x:c r="I15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56" s="28" t="str">
        <x:v>Средняя</x:v>
      </x:c>
      <x:c r="K156" s="28" t="str">
        <x:v>Таблица сочетаний</x:v>
      </x:c>
      <x:c r="L156" s="28" t="str">
        <x:v>Таблица сочетаний: 16</x:v>
      </x:c>
    </x:row>
    <x:row r="157" ht="62" customHeight="1">
      <x:c r="A157" s="28" t="str">
        <x:v>BER-0418</x:v>
      </x:c>
      <x:c r="B157" s="28" t="str">
        <x:v>клубника</x:v>
      </x:c>
      <x:c r="C157" s="28" t="str">
        <x:v>перец чили</x:v>
      </x:c>
      <x:c r="D157" s="28" t="str">
        <x:v>Специи</x:v>
      </x:c>
      <x:c r="E157" s="28" t="str">
        <x:v>контраст/комплементарность + матричный эффект</x:v>
      </x:c>
      <x:c r="F15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7" s="28" t="str">
        <x:v>Пряность дозировать как акцент: она быстро перекрывает тонкие ягодные эфиры.</x:v>
      </x:c>
      <x:c r="I15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57" s="28" t="str">
        <x:v>Средняя</x:v>
      </x:c>
      <x:c r="K157" s="28" t="str">
        <x:v>The Art &amp; Science of Foodpairing</x:v>
      </x:c>
      <x:c r="L157" s="28" t="str">
        <x:v>The Art &amp; Science of Foodpairing: 94</x:v>
      </x:c>
    </x:row>
    <x:row r="158" ht="62" customHeight="1">
      <x:c r="A158" s="28" t="str">
        <x:v>BER-0419</x:v>
      </x:c>
      <x:c r="B158" s="28" t="str">
        <x:v>клубника</x:v>
      </x:c>
      <x:c r="C158" s="28" t="str">
        <x:v>персик</x:v>
      </x:c>
      <x:c r="D158" s="28" t="str">
        <x:v>Фрукты</x:v>
      </x:c>
      <x:c r="E158" s="28" t="str">
        <x:v>сходство ароматических семейств + комплементарность</x:v>
      </x:c>
      <x:c r="F158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58" s="28" t="str">
        <x:v>Высокая</x:v>
      </x:c>
      <x:c r="K158" s="28" t="str">
        <x:v>The Art &amp; Science of Foodpairing; Тезариус вкусов</x:v>
      </x:c>
      <x:c r="L158" s="28" t="str">
        <x:v>Тезариус вкусов: 698, 751; The Art &amp; Science of Foodpairing: 71</x:v>
      </x:c>
    </x:row>
    <x:row r="159" ht="62" customHeight="1">
      <x:c r="A159" s="28" t="str">
        <x:v>BER-0422</x:v>
      </x:c>
      <x:c r="B159" s="28" t="str">
        <x:v>клубника</x:v>
      </x:c>
      <x:c r="C159" s="28" t="str">
        <x:v>приготовленная киноа</x:v>
      </x:c>
      <x:c r="D159" s="28" t="str">
        <x:v>Злаки и выпечка</x:v>
      </x:c>
      <x:c r="E159" s="28" t="str">
        <x:v>контраст/комплементарность + матричный эффект</x:v>
      </x:c>
      <x:c r="F15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зерновой, солодовый. Оба компонента формируют сладко-кислый и крахмалистый, сладковатый контур; сахар, кислота и горечь должны быть выровнены дегустацией. Ягода: высокая доля воды; аромат чувствителен к перегреву. Партнёр: крахмал и сухая пористая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9" s="28" t="str">
        <x:v>сорбет, крем, ганаш, выпечка, джем или соус для десерта</x:v>
      </x:c>
      <x:c r="J159" s="28" t="str">
        <x:v>Средняя</x:v>
      </x:c>
      <x:c r="K159" s="28" t="str">
        <x:v>The Art &amp; Science of Foodpairing</x:v>
      </x:c>
      <x:c r="L159" s="28" t="str">
        <x:v>The Art &amp; Science of Foodpairing: 70, 71</x:v>
      </x:c>
    </x:row>
    <x:row r="160" ht="62" customHeight="1">
      <x:c r="A160" s="28" t="str">
        <x:v>BER-0424</x:v>
      </x:c>
      <x:c r="B160" s="28" t="str">
        <x:v>клубника</x:v>
      </x:c>
      <x:c r="C160" s="28" t="str">
        <x:v>приготовленный дикий рис</x:v>
      </x:c>
      <x:c r="D160" s="28" t="str">
        <x:v>Злаки и выпечка</x:v>
      </x:c>
      <x:c r="E160" s="28" t="str">
        <x:v>контраст/комплементарность + матричный эффект</x:v>
      </x:c>
      <x:c r="F16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зерновой, солодовый. Оба компонента формируют сладко-кислый и крахмалистый, сладковатый контур; сахар, кислота и горечь должны быть выровнены дегустацией. Ягода: высокая доля воды; аромат чувствителен к перегреву. Партнёр: крахмал и сухая пористая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0" s="28" t="str">
        <x:v>сорбет, крем, ганаш, выпечка, джем или соус для десерта</x:v>
      </x:c>
      <x:c r="J160" s="28" t="str">
        <x:v>Средняя</x:v>
      </x:c>
      <x:c r="K160" s="28" t="str">
        <x:v>The Art &amp; Science of Foodpairing</x:v>
      </x:c>
      <x:c r="L160" s="28" t="str">
        <x:v>The Art &amp; Science of Foodpairing: 70</x:v>
      </x:c>
    </x:row>
    <x:row r="161" ht="62" customHeight="1">
      <x:c r="A161" s="28" t="str">
        <x:v>BER-0435</x:v>
      </x:c>
      <x:c r="B161" s="28" t="str">
        <x:v>клубника</x:v>
      </x:c>
      <x:c r="C161" s="28" t="str">
        <x:v>свежий корень имбиря</x:v>
      </x:c>
      <x:c r="D161" s="28" t="str">
        <x:v>Специи</x:v>
      </x:c>
      <x:c r="E161" s="28" t="str">
        <x:v>контраст/комплементарность + матричный эффект</x:v>
      </x:c>
      <x:c r="F16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1" s="28" t="str">
        <x:v>Пряность дозировать как акцент: она быстро перекрывает тонкие ягодные эфиры.</x:v>
      </x:c>
      <x:c r="I16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61" s="28" t="str">
        <x:v>Средняя</x:v>
      </x:c>
      <x:c r="K161" s="28" t="str">
        <x:v>The Art &amp; Science of Foodpairing</x:v>
      </x:c>
      <x:c r="L161" s="28" t="str">
        <x:v>The Art &amp; Science of Foodpairing: 70</x:v>
      </x:c>
    </x:row>
    <x:row r="162" ht="62" customHeight="1">
      <x:c r="A162" s="28" t="str">
        <x:v>BER-0437</x:v>
      </x:c>
      <x:c r="B162" s="28" t="str">
        <x:v>клубника</x:v>
      </x:c>
      <x:c r="C162" s="28" t="str">
        <x:v>семена кардамона</x:v>
      </x:c>
      <x:c r="D162" s="28" t="str">
        <x:v>Специи</x:v>
      </x:c>
      <x:c r="E162" s="28" t="str">
        <x:v>контраст/комплементарность + матричный эффект</x:v>
      </x:c>
      <x:c r="F16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2" s="28" t="str">
        <x:v>Пряность дозировать как акцент: она быстро перекрывает тонкие ягодные эфиры.</x:v>
      </x:c>
      <x:c r="I16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62" s="28" t="str">
        <x:v>Средняя</x:v>
      </x:c>
      <x:c r="K162" s="28" t="str">
        <x:v>The Art &amp; Science of Foodpairing</x:v>
      </x:c>
      <x:c r="L162" s="28" t="str">
        <x:v>The Art &amp; Science of Foodpairing: 71</x:v>
      </x:c>
    </x:row>
    <x:row r="163" ht="62" customHeight="1">
      <x:c r="A163" s="28" t="str">
        <x:v>BER-0439</x:v>
      </x:c>
      <x:c r="B163" s="28" t="str">
        <x:v>клубника</x:v>
      </x:c>
      <x:c r="C163" s="28" t="str">
        <x:v>смородина</x:v>
      </x:c>
      <x:c r="D163" s="28" t="str">
        <x:v>Ягоды и производные</x:v>
      </x:c>
      <x:c r="E163" s="28" t="str">
        <x:v>сходство ароматических семейств + комплементарность</x:v>
      </x:c>
      <x:c r="F163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тёмно-фруктовый, цветочный. Оба компонента формируют сладко-кислый и кисло-сладкий, терпкий контур; сахар, кислота и горечь должны быть выровнены дегустацией. Ягода: высокая доля воды; аромат чувствителен к перегреву. Партнёр: профиль зависит от вида смородины.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63" s="28" t="str">
        <x:v>Средняя</x:v>
      </x:c>
      <x:c r="K163" s="28" t="str">
        <x:v>Таблица сочетаний</x:v>
      </x:c>
      <x:c r="L163" s="28" t="str">
        <x:v>Таблица сочетаний: 20</x:v>
      </x:c>
    </x:row>
    <x:row r="164" ht="62" customHeight="1">
      <x:c r="A164" s="28" t="str">
        <x:v>BER-0450</x:v>
      </x:c>
      <x:c r="B164" s="28" t="str">
        <x:v>клубника</x:v>
      </x:c>
      <x:c r="C164" s="28" t="str">
        <x:v>фундук</x:v>
      </x:c>
      <x:c r="D164" s="28" t="str">
        <x:v>Орехи и семена</x:v>
      </x:c>
      <x:c r="E164" s="28" t="str">
        <x:v>контраст/комплементарность + матричный эффект</x:v>
      </x:c>
      <x:c r="F16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4" s="28" t="str">
        <x:v>сорбет, крем, ганаш, выпечка, джем или соус для десерта</x:v>
      </x:c>
      <x:c r="J164" s="28" t="str">
        <x:v>Высокая</x:v>
      </x:c>
      <x:c r="K164" s="28" t="str">
        <x:v>Таблица сочетаний; Тезариус вкусов</x:v>
      </x:c>
      <x:c r="L164" s="28" t="str">
        <x:v>Тезариус вкусов: 635, 698; Таблица сочетаний: 20</x:v>
      </x:c>
    </x:row>
    <x:row r="165" ht="62" customHeight="1">
      <x:c r="A165" s="28" t="str">
        <x:v>BER-0455</x:v>
      </x:c>
      <x:c r="B165" s="28" t="str">
        <x:v>клубника</x:v>
      </x:c>
      <x:c r="C165" s="28" t="str">
        <x:v>черешня</x:v>
      </x:c>
      <x:c r="D165" s="28" t="str">
        <x:v>Ягоды и производные</x:v>
      </x:c>
      <x:c r="E165" s="28" t="str">
        <x:v>сходство ароматических семейств + комплементарность</x:v>
      </x:c>
      <x:c r="F165" s="28" t="str">
        <x:v>Общие ароматические семейства: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миндальный, сладко-фруктовый, цветочный. Оба компонента формируют сладко-кислый и сладкий, умеренно кислый контур; сахар, кислота и горечь должны быть выровнены дегустацией. Ягода: высокая доля воды; аромат чувствителен к перегреву. Партнёр: нежнее кислой вишни; легко становится приторной.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65" s="28" t="str">
        <x:v>Средняя</x:v>
      </x:c>
      <x:c r="K165" s="28" t="str">
        <x:v>The Art &amp; Science of Foodpairing</x:v>
      </x:c>
      <x:c r="L165" s="28" t="str">
        <x:v>The Art &amp; Science of Foodpairing: 71</x:v>
      </x:c>
    </x:row>
    <x:row r="166" ht="62" customHeight="1">
      <x:c r="A166" s="28" t="str">
        <x:v>BER-0456</x:v>
      </x:c>
      <x:c r="B166" s="28" t="str">
        <x:v>клубника</x:v>
      </x:c>
      <x:c r="C166" s="28" t="str">
        <x:v>чёрная смородина</x:v>
      </x:c>
      <x:c r="D166" s="28" t="str">
        <x:v>Ягоды и производные</x:v>
      </x:c>
      <x:c r="E166" s="28" t="str">
        <x:v>сходство ароматических семейств + комплементарность</x:v>
      </x:c>
      <x:c r="F166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листовой, сернистый, тёмно-фруктовый, цветочный. Оба компонента формируют сладко-кислый и ярко-кислый, терпкий контур; сахар, кислота и горечь должны быть выровнены дегустацией. Ягода: высокая доля воды; аромат чувствителен к перегреву. Партнёр: следовые тиолы чрезвычайно мощные; передозировка даёт «кошачий» тон.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66" s="28" t="str">
        <x:v>Средняя</x:v>
      </x:c>
      <x:c r="K166" s="28" t="str">
        <x:v>Таблица сочетаний</x:v>
      </x:c>
      <x:c r="L166" s="28" t="str">
        <x:v>Таблица сочетаний: 2</x:v>
      </x:c>
    </x:row>
    <x:row r="167" ht="62" customHeight="1">
      <x:c r="A167" s="28" t="str">
        <x:v>BER-0457</x:v>
      </x:c>
      <x:c r="B167" s="28" t="str">
        <x:v>клубника</x:v>
      </x:c>
      <x:c r="C167" s="28" t="str">
        <x:v>чёрный перец</x:v>
      </x:c>
      <x:c r="D167" s="28" t="str">
        <x:v>Специи</x:v>
      </x:c>
      <x:c r="E167" s="28" t="str">
        <x:v>контраст/комплементарность + матричный эффект</x:v>
      </x:c>
      <x:c r="F16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7" s="28" t="str">
        <x:v>Пряность дозировать как акцент: она быстро перекрывает тонкие ягодные эфиры.</x:v>
      </x:c>
      <x:c r="I16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67" s="28" t="str">
        <x:v>Высокая</x:v>
      </x:c>
      <x:c r="K167" s="28" t="str">
        <x:v>The Art &amp; Science of Foodpairing; Таблица сочетаний</x:v>
      </x:c>
      <x:c r="L167" s="28" t="str">
        <x:v>The Art &amp; Science of Foodpairing: 273; Таблица сочетаний: 20</x:v>
      </x:c>
    </x:row>
    <x:row r="168" ht="62" customHeight="1">
      <x:c r="A168" s="28" t="str">
        <x:v>BER-0459</x:v>
      </x:c>
      <x:c r="B168" s="28" t="str">
        <x:v>клубника</x:v>
      </x:c>
      <x:c r="C168" s="28" t="str">
        <x:v>чили ахи мирасоль</x:v>
      </x:c>
      <x:c r="D168" s="28" t="str">
        <x:v>Специи</x:v>
      </x:c>
      <x:c r="E168" s="28" t="str">
        <x:v>контраст/комплементарность + матричный эффект</x:v>
      </x:c>
      <x:c r="F16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8" s="28" t="str">
        <x:v>Пряность дозировать как акцент: она быстро перекрывает тонкие ягодные эфиры.</x:v>
      </x:c>
      <x:c r="I16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68" s="28" t="str">
        <x:v>Средняя</x:v>
      </x:c>
      <x:c r="K168" s="28" t="str">
        <x:v>The Art &amp; Science of Foodpairing</x:v>
      </x:c>
      <x:c r="L168" s="28" t="str">
        <x:v>The Art &amp; Science of Foodpairing: 70</x:v>
      </x:c>
    </x:row>
    <x:row r="169" ht="62" customHeight="1">
      <x:c r="A169" s="28" t="str">
        <x:v>BER-0462</x:v>
      </x:c>
      <x:c r="B169" s="28" t="str">
        <x:v>клубника</x:v>
      </x:c>
      <x:c r="C169" s="28" t="str">
        <x:v>шафран</x:v>
      </x:c>
      <x:c r="D169" s="28" t="str">
        <x:v>Специи</x:v>
      </x:c>
      <x:c r="E169" s="28" t="str">
        <x:v>контраст/комплементарность + матричный эффект</x:v>
      </x:c>
      <x:c r="F16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9" s="28" t="str">
        <x:v>Пряность дозировать как акцент: она быстро перекрывает тонкие ягодные эфиры.</x:v>
      </x:c>
      <x:c r="I16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69" s="28" t="str">
        <x:v>Средняя</x:v>
      </x:c>
      <x:c r="K169" s="28" t="str">
        <x:v>The Art &amp; Science of Foodpairing</x:v>
      </x:c>
      <x:c r="L169" s="28" t="str">
        <x:v>The Art &amp; Science of Foodpairing: 70</x:v>
      </x:c>
    </x:row>
    <x:row r="170" ht="62" customHeight="1">
      <x:c r="A170" s="28" t="str">
        <x:v>BER-0464</x:v>
      </x:c>
      <x:c r="B170" s="28" t="str">
        <x:v>клубника</x:v>
      </x:c>
      <x:c r="C170" s="28" t="str">
        <x:v>шоколад</x:v>
      </x:c>
      <x:c r="D170" s="28" t="str">
        <x:v>Шоколад, кофе и жареные продукты</x:v>
      </x:c>
      <x:c r="E170" s="28" t="str">
        <x:v>сходство ароматических семейств + комплементарность</x:v>
      </x:c>
      <x:c r="F170" s="28" t="str">
        <x:v>Общие ароматические семейства: карамельный;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0" s="28" t="str">
        <x:v>сорбет, крем, ганаш, выпечка, джем или соус для десерта</x:v>
      </x:c>
      <x:c r="J170" s="28" t="str">
        <x:v>Высокая</x:v>
      </x:c>
      <x:c r="K170" s="28" t="str">
        <x:v>Таблица сочетаний; Тезариус вкусов</x:v>
      </x:c>
      <x:c r="L170" s="28" t="str">
        <x:v>Тезариус вкусов: 31, 699; Таблица сочетаний: 5, 20</x:v>
      </x:c>
    </x:row>
    <x:row r="171" ht="62" customHeight="1">
      <x:c r="A171" s="28" t="str">
        <x:v>BER-0466</x:v>
      </x:c>
      <x:c r="B171" s="28" t="str">
        <x:v>клубника</x:v>
      </x:c>
      <x:c r="C171" s="28" t="str">
        <x:v>яблоко</x:v>
      </x:c>
      <x:c r="D171" s="28" t="str">
        <x:v>Фрукты</x:v>
      </x:c>
      <x:c r="E171" s="28" t="str">
        <x:v>сходство ароматических семейств + комплементарность</x:v>
      </x:c>
      <x:c r="F171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71" s="28" t="str">
        <x:v>Средняя</x:v>
      </x:c>
      <x:c r="K171" s="28" t="str">
        <x:v>The Art &amp; Science of Foodpairing</x:v>
      </x:c>
      <x:c r="L171" s="28" t="str">
        <x:v>The Art &amp; Science of Foodpairing: 48, 49</x:v>
      </x:c>
    </x:row>
    <x:row r="172" ht="62" customHeight="1">
      <x:c r="A172" s="28" t="str">
        <x:v>BER-0467</x:v>
      </x:c>
      <x:c r="B172" s="28" t="str">
        <x:v>клубника</x:v>
      </x:c>
      <x:c r="C172" s="28" t="str">
        <x:v>яблоко Pink Lady</x:v>
      </x:c>
      <x:c r="D172" s="28" t="str">
        <x:v>Фрукты</x:v>
      </x:c>
      <x:c r="E172" s="28" t="str">
        <x:v>сходство ароматических семейств + комплементарность</x:v>
      </x:c>
      <x:c r="F172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72" s="28" t="str">
        <x:v>Средняя</x:v>
      </x:c>
      <x:c r="K172" s="28" t="str">
        <x:v>The Art &amp; Science of Foodpairing</x:v>
      </x:c>
      <x:c r="L172" s="28" t="str">
        <x:v>The Art &amp; Science of Foodpairing: 70</x:v>
      </x:c>
    </x:row>
    <x:row r="173" ht="62" customHeight="1">
      <x:c r="A173" s="28" t="str">
        <x:v>BER-0472</x:v>
      </x:c>
      <x:c r="B173" s="28" t="str">
        <x:v>клубника сорта Mara des Bois</x:v>
      </x:c>
      <x:c r="C173" s="28" t="str">
        <x:v>груша</x:v>
      </x:c>
      <x:c r="D173" s="28" t="str">
        <x:v>Фрукты</x:v>
      </x:c>
      <x:c r="E173" s="28" t="str">
        <x:v>сходство ароматических семейств + комплементарность</x:v>
      </x:c>
      <x:c r="F173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высокая доля воды; аромат чувствителен к перегреву.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73" s="28" t="str">
        <x:v>Средняя</x:v>
      </x:c>
      <x:c r="K173" s="28" t="str">
        <x:v>The Art &amp; Science of Foodpairing</x:v>
      </x:c>
      <x:c r="L173" s="28" t="str">
        <x:v>The Art &amp; Science of Foodpairing: 350</x:v>
      </x:c>
    </x:row>
    <x:row r="174" ht="62" customHeight="1">
      <x:c r="A174" s="28" t="str">
        <x:v>BER-0473</x:v>
      </x:c>
      <x:c r="B174" s="28" t="str">
        <x:v>клубника сорта Mara des Bois</x:v>
      </x:c>
      <x:c r="C174" s="28" t="str">
        <x:v>картофель фри</x:v>
      </x:c>
      <x:c r="D174" s="28" t="str">
        <x:v>Злаки и выпечка</x:v>
      </x:c>
      <x:c r="E174" s="28" t="str">
        <x:v>контраст/комплементарность + матричный эффект</x:v>
      </x:c>
      <x:c r="F17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зерновой, солодовый. Оба компонента формируют сладко-кислый и крахмалистый, сладковатый контур; сахар, кислота и горечь должны быть выровнены дегустацией. Ягода: высокая доля воды; аромат чувствителен к перегреву. Партнёр: крахмал и сухая пористая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4" s="28" t="str">
        <x:v>сорбет, крем, ганаш, выпечка, джем или соус для десерта</x:v>
      </x:c>
      <x:c r="J174" s="28" t="str">
        <x:v>Средняя</x:v>
      </x:c>
      <x:c r="K174" s="28" t="str">
        <x:v>The Art &amp; Science of Foodpairing</x:v>
      </x:c>
      <x:c r="L174" s="28" t="str">
        <x:v>The Art &amp; Science of Foodpairing: 197</x:v>
      </x:c>
    </x:row>
    <x:row r="175" ht="62" customHeight="1">
      <x:c r="A175" s="28" t="str">
        <x:v>BER-0477</x:v>
      </x:c>
      <x:c r="B175" s="28" t="str">
        <x:v>клюква</x:v>
      </x:c>
      <x:c r="C175" s="28" t="str">
        <x:v>ананас</x:v>
      </x:c>
      <x:c r="D175" s="28" t="str">
        <x:v>Фрукты</x:v>
      </x:c>
      <x:c r="E175" s="28" t="str">
        <x:v>ароматическое сходство + вкусовой баланс</x:v>
      </x:c>
      <x:c r="F175" s="28" t="str">
        <x:v>Прямой вероятный молекулярный мост: терпены,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очень кислый, терпкий и сладко-кислый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75" s="28" t="str">
        <x:v>Средняя</x:v>
      </x:c>
      <x:c r="K175" s="28" t="str">
        <x:v>The Art &amp; Science of Foodpairing</x:v>
      </x:c>
      <x:c r="L175" s="28" t="str">
        <x:v>The Art &amp; Science of Foodpairing: 243</x:v>
      </x:c>
    </x:row>
    <x:row r="176" ht="62" customHeight="1">
      <x:c r="A176" s="28" t="str">
        <x:v>BER-0479</x:v>
      </x:c>
      <x:c r="B176" s="28" t="str">
        <x:v>клюква</x:v>
      </x:c>
      <x:c r="C176" s="28" t="str">
        <x:v>арбуз</x:v>
      </x:c>
      <x:c r="D176" s="28" t="str">
        <x:v>Фрукты</x:v>
      </x:c>
      <x:c r="E176" s="28" t="str">
        <x:v>ароматическое сходство + вкусовой баланс</x:v>
      </x:c>
      <x:c r="F176" s="28" t="str">
        <x:v>Прямой вероятный молекулярный мост: терпены,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очень кислый, терпкий и сладко-кислый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76" s="28" t="str">
        <x:v>Средняя</x:v>
      </x:c>
      <x:c r="K176" s="28" t="str">
        <x:v>Таблица сочетаний</x:v>
      </x:c>
      <x:c r="L176" s="28" t="str">
        <x:v>Таблица сочетаний: 22</x:v>
      </x:c>
    </x:row>
    <x:row r="177" ht="62" customHeight="1">
      <x:c r="A177" s="28" t="str">
        <x:v>BER-0480</x:v>
      </x:c>
      <x:c r="B177" s="28" t="str">
        <x:v>клюква</x:v>
      </x:c>
      <x:c r="C177" s="28" t="str">
        <x:v>белый шоколад</x:v>
      </x:c>
      <x:c r="D177" s="28" t="str">
        <x:v>Шоколад, кофе и жареные продукты</x:v>
      </x:c>
      <x:c r="E177" s="28" t="str">
        <x:v>контраст/комплементарность + матричный эффект</x:v>
      </x:c>
      <x:c r="F17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7" s="28" t="str">
        <x:v>сорбет, крем, ганаш, выпечка, джем или соус для десерта</x:v>
      </x:c>
      <x:c r="J177" s="28" t="str">
        <x:v>Средняя</x:v>
      </x:c>
      <x:c r="K177" s="28" t="str">
        <x:v>Таблица сочетаний</x:v>
      </x:c>
      <x:c r="L177" s="28" t="str">
        <x:v>Таблица сочетаний: 6</x:v>
      </x:c>
    </x:row>
    <x:row r="178" ht="62" customHeight="1">
      <x:c r="A178" s="28" t="str">
        <x:v>BER-0481</x:v>
      </x:c>
      <x:c r="B178" s="28" t="str">
        <x:v>клюква</x:v>
      </x:c>
      <x:c r="C178" s="28" t="str">
        <x:v>гвоздика</x:v>
      </x:c>
      <x:c r="D178" s="28" t="str">
        <x:v>Специи</x:v>
      </x:c>
      <x:c r="E178" s="28" t="str">
        <x:v>ароматическое сходство + вкусовой баланс</x:v>
      </x:c>
      <x:c r="F178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8" s="28" t="str">
        <x:v>Пряность дозировать как акцент: она быстро перекрывает тонкие ягодные эфиры.</x:v>
      </x:c>
      <x:c r="I17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78" s="28" t="str">
        <x:v>Средняя</x:v>
      </x:c>
      <x:c r="K178" s="28" t="str">
        <x:v>Таблица сочетаний</x:v>
      </x:c>
      <x:c r="L178" s="28" t="str">
        <x:v>Таблица сочетаний: 6</x:v>
      </x:c>
    </x:row>
    <x:row r="179" ht="62" customHeight="1">
      <x:c r="A179" s="28" t="str">
        <x:v>BER-0483</x:v>
      </x:c>
      <x:c r="B179" s="28" t="str">
        <x:v>клюква</x:v>
      </x:c>
      <x:c r="C179" s="28" t="str">
        <x:v>гранат</x:v>
      </x:c>
      <x:c r="D179" s="28" t="str">
        <x:v>Фрукты</x:v>
      </x:c>
      <x:c r="E179" s="28" t="str">
        <x:v>ароматическое сходство + вкусовой баланс</x:v>
      </x:c>
      <x:c r="F179" s="28" t="str">
        <x:v>Прямой вероятный молекулярный мост: терпены,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очень кислый, терпкий и сладко-кислый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79" s="28" t="str">
        <x:v>Средняя</x:v>
      </x:c>
      <x:c r="K179" s="28" t="str">
        <x:v>Таблица сочетаний</x:v>
      </x:c>
      <x:c r="L179" s="28" t="str">
        <x:v>Таблица сочетаний: 17</x:v>
      </x:c>
    </x:row>
    <x:row r="180" ht="62" customHeight="1">
      <x:c r="A180" s="28" t="str">
        <x:v>BER-0484</x:v>
      </x:c>
      <x:c r="B180" s="28" t="str">
        <x:v>клюква</x:v>
      </x:c>
      <x:c r="C180" s="28" t="str">
        <x:v>грецкий орех</x:v>
      </x:c>
      <x:c r="D180" s="28" t="str">
        <x:v>Орехи и семена</x:v>
      </x:c>
      <x:c r="E180" s="28" t="str">
        <x:v>контраст/комплементарность + матричный эффект</x:v>
      </x:c>
      <x:c r="F18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0" s="28" t="str">
        <x:v>сорбет, крем, ганаш, выпечка, джем или соус для десерта</x:v>
      </x:c>
      <x:c r="J180" s="28" t="str">
        <x:v>Средняя</x:v>
      </x:c>
      <x:c r="K180" s="28" t="str">
        <x:v>Таблица сочетаний</x:v>
      </x:c>
      <x:c r="L180" s="28" t="str">
        <x:v>Таблица сочетаний: 6, 22</x:v>
      </x:c>
    </x:row>
    <x:row r="181" ht="62" customHeight="1">
      <x:c r="A181" s="28" t="str">
        <x:v>BER-0485</x:v>
      </x:c>
      <x:c r="B181" s="28" t="str">
        <x:v>клюква</x:v>
      </x:c>
      <x:c r="C181" s="28" t="str">
        <x:v>груша</x:v>
      </x:c>
      <x:c r="D181" s="28" t="str">
        <x:v>Фрукты</x:v>
      </x:c>
      <x:c r="E181" s="28" t="str">
        <x:v>ароматическое сходство + вкусовой баланс</x:v>
      </x:c>
      <x:c r="F181" s="28" t="str">
        <x:v>Прямой вероятный молекулярный мост: терпены,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очень кислый, терпкий и сладко-кислый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81" s="28" t="str">
        <x:v>Высокая</x:v>
      </x:c>
      <x:c r="K181" s="28" t="str">
        <x:v>The Art &amp; Science of Foodpairing; Таблица сочетаний</x:v>
      </x:c>
      <x:c r="L181" s="28" t="str">
        <x:v>The Art &amp; Science of Foodpairing: 351; Таблица сочетаний: 6, 16</x:v>
      </x:c>
    </x:row>
    <x:row r="182" ht="62" customHeight="1">
      <x:c r="A182" s="28" t="str">
        <x:v>BER-0486</x:v>
      </x:c>
      <x:c r="B182" s="28" t="str">
        <x:v>клюква</x:v>
      </x:c>
      <x:c r="C182" s="28" t="str">
        <x:v>имбирь</x:v>
      </x:c>
      <x:c r="D182" s="28" t="str">
        <x:v>Специи</x:v>
      </x:c>
      <x:c r="E182" s="28" t="str">
        <x:v>ароматическое сходство + вкусовой баланс</x:v>
      </x:c>
      <x:c r="F182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2" s="28" t="str">
        <x:v>Пряность дозировать как акцент: она быстро перекрывает тонкие ягодные эфиры.</x:v>
      </x:c>
      <x:c r="I18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82" s="28" t="str">
        <x:v>Средняя</x:v>
      </x:c>
      <x:c r="K182" s="28" t="str">
        <x:v>Таблица сочетаний</x:v>
      </x:c>
      <x:c r="L182" s="28" t="str">
        <x:v>Таблица сочетаний: 6</x:v>
      </x:c>
    </x:row>
    <x:row r="183" ht="62" customHeight="1">
      <x:c r="A183" s="28" t="str">
        <x:v>BER-0487</x:v>
      </x:c>
      <x:c r="B183" s="28" t="str">
        <x:v>клюква</x:v>
      </x:c>
      <x:c r="C183" s="28" t="str">
        <x:v>карамель</x:v>
      </x:c>
      <x:c r="D183" s="28" t="str">
        <x:v>Шоколад, кофе и жареные продукты</x:v>
      </x:c>
      <x:c r="E183" s="28" t="str">
        <x:v>контраст/комплементарность + матричный эффект</x:v>
      </x:c>
      <x:c r="F18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3" s="28" t="str">
        <x:v>сорбет, крем, ганаш, выпечка, джем или соус для десерта</x:v>
      </x:c>
      <x:c r="J183" s="28" t="str">
        <x:v>Средняя</x:v>
      </x:c>
      <x:c r="K183" s="28" t="str">
        <x:v>Таблица сочетаний</x:v>
      </x:c>
      <x:c r="L183" s="28" t="str">
        <x:v>Таблица сочетаний: 3</x:v>
      </x:c>
    </x:row>
    <x:row r="184" ht="62" customHeight="1">
      <x:c r="A184" s="28" t="str">
        <x:v>BER-0488</x:v>
      </x:c>
      <x:c r="B184" s="28" t="str">
        <x:v>клюква</x:v>
      </x:c>
      <x:c r="C184" s="28" t="str">
        <x:v>кардамон</x:v>
      </x:c>
      <x:c r="D184" s="28" t="str">
        <x:v>Специи</x:v>
      </x:c>
      <x:c r="E184" s="28" t="str">
        <x:v>ароматическое сходство + вкусовой баланс</x:v>
      </x:c>
      <x:c r="F184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4" s="28" t="str">
        <x:v>Пряность дозировать как акцент: она быстро перекрывает тонкие ягодные эфиры.</x:v>
      </x:c>
      <x:c r="I18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84" s="28" t="str">
        <x:v>Средняя</x:v>
      </x:c>
      <x:c r="K184" s="28" t="str">
        <x:v>Таблица сочетаний</x:v>
      </x:c>
      <x:c r="L184" s="28" t="str">
        <x:v>Таблица сочетаний: 6</x:v>
      </x:c>
    </x:row>
    <x:row r="185" ht="62" customHeight="1">
      <x:c r="A185" s="28" t="str">
        <x:v>BER-0491</x:v>
      </x:c>
      <x:c r="B185" s="28" t="str">
        <x:v>клюква</x:v>
      </x:c>
      <x:c r="C185" s="28" t="str">
        <x:v>корица</x:v>
      </x:c>
      <x:c r="D185" s="28" t="str">
        <x:v>Специи</x:v>
      </x:c>
      <x:c r="E185" s="28" t="str">
        <x:v>ароматическое сходство + вкусовой баланс</x:v>
      </x:c>
      <x:c r="F185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5" s="28" t="str">
        <x:v>Пряность дозировать как акцент: она быстро перекрывает тонкие ягодные эфиры.</x:v>
      </x:c>
      <x:c r="I18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85" s="28" t="str">
        <x:v>Высокая</x:v>
      </x:c>
      <x:c r="K185" s="28" t="str">
        <x:v>The Art &amp; Science of Foodpairing; Таблица сочетаний</x:v>
      </x:c>
      <x:c r="L185" s="28" t="str">
        <x:v>The Art &amp; Science of Foodpairing: 130, 131; Таблица сочетаний: 6</x:v>
      </x:c>
    </x:row>
    <x:row r="186" ht="62" customHeight="1">
      <x:c r="A186" s="28" t="str">
        <x:v>BER-0496</x:v>
      </x:c>
      <x:c r="B186" s="28" t="str">
        <x:v>клюква</x:v>
      </x:c>
      <x:c r="C186" s="28" t="str">
        <x:v>миндаль</x:v>
      </x:c>
      <x:c r="D186" s="28" t="str">
        <x:v>Орехи и семена</x:v>
      </x:c>
      <x:c r="E186" s="28" t="str">
        <x:v>контраст/комплементарность + матричный эффект</x:v>
      </x:c>
      <x:c r="F18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6" s="28" t="str">
        <x:v>сорбет, крем, ганаш, выпечка, джем или соус для десерта</x:v>
      </x:c>
      <x:c r="J186" s="28" t="str">
        <x:v>Средняя</x:v>
      </x:c>
      <x:c r="K186" s="28" t="str">
        <x:v>Таблица сочетаний</x:v>
      </x:c>
      <x:c r="L186" s="28" t="str">
        <x:v>Таблица сочетаний: 6</x:v>
      </x:c>
    </x:row>
    <x:row r="187" ht="62" customHeight="1">
      <x:c r="A187" s="28" t="str">
        <x:v>BER-0501</x:v>
      </x:c>
      <x:c r="B187" s="28" t="str">
        <x:v>клюква</x:v>
      </x:c>
      <x:c r="C187" s="28" t="str">
        <x:v>перец чили</x:v>
      </x:c>
      <x:c r="D187" s="28" t="str">
        <x:v>Специи</x:v>
      </x:c>
      <x:c r="E187" s="28" t="str">
        <x:v>ароматическое сходство + вкусовой баланс</x:v>
      </x:c>
      <x:c r="F187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7" s="28" t="str">
        <x:v>Пряность дозировать как акцент: она быстро перекрывает тонкие ягодные эфиры.</x:v>
      </x:c>
      <x:c r="I18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87" s="28" t="str">
        <x:v>Средняя</x:v>
      </x:c>
      <x:c r="K187" s="28" t="str">
        <x:v>The Art &amp; Science of Foodpairing</x:v>
      </x:c>
      <x:c r="L187" s="28" t="str">
        <x:v>The Art &amp; Science of Foodpairing: 95</x:v>
      </x:c>
    </x:row>
    <x:row r="188" ht="62" customHeight="1">
      <x:c r="A188" s="28" t="str">
        <x:v>BER-0502</x:v>
      </x:c>
      <x:c r="B188" s="28" t="str">
        <x:v>клюква</x:v>
      </x:c>
      <x:c r="C188" s="28" t="str">
        <x:v>персик</x:v>
      </x:c>
      <x:c r="D188" s="28" t="str">
        <x:v>Фрукты</x:v>
      </x:c>
      <x:c r="E188" s="28" t="str">
        <x:v>ароматическое сходство + вкусовой баланс</x:v>
      </x:c>
      <x:c r="F188" s="28" t="str">
        <x:v>Прямой вероятный молекулярный мост: терпены,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очень кислый, терпкий и сладко-кислый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88" s="28" t="str">
        <x:v>Средняя</x:v>
      </x:c>
      <x:c r="K188" s="28" t="str">
        <x:v>Таблица сочетаний</x:v>
      </x:c>
      <x:c r="L188" s="28" t="str">
        <x:v>Таблица сочетаний: 6</x:v>
      </x:c>
    </x:row>
    <x:row r="189" ht="62" customHeight="1">
      <x:c r="A189" s="28" t="str">
        <x:v>BER-0510</x:v>
      </x:c>
      <x:c r="B189" s="28" t="str">
        <x:v>клюква</x:v>
      </x:c>
      <x:c r="C189" s="28" t="str">
        <x:v>фисташка</x:v>
      </x:c>
      <x:c r="D189" s="28" t="str">
        <x:v>Орехи и семена</x:v>
      </x:c>
      <x:c r="E189" s="28" t="str">
        <x:v>контраст/комплементарность + матричный эффект</x:v>
      </x:c>
      <x:c r="F18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9" s="28" t="str">
        <x:v>сорбет, крем, ганаш, выпечка, джем или соус для десерта</x:v>
      </x:c>
      <x:c r="J189" s="28" t="str">
        <x:v>Средняя</x:v>
      </x:c>
      <x:c r="K189" s="28" t="str">
        <x:v>Таблица сочетаний</x:v>
      </x:c>
      <x:c r="L189" s="28" t="str">
        <x:v>Таблица сочетаний: 6, 17</x:v>
      </x:c>
    </x:row>
    <x:row r="190" ht="62" customHeight="1">
      <x:c r="A190" s="28" t="str">
        <x:v>BER-0511</x:v>
      </x:c>
      <x:c r="B190" s="28" t="str">
        <x:v>клюква</x:v>
      </x:c>
      <x:c r="C190" s="28" t="str">
        <x:v>фундук</x:v>
      </x:c>
      <x:c r="D190" s="28" t="str">
        <x:v>Орехи и семена</x:v>
      </x:c>
      <x:c r="E190" s="28" t="str">
        <x:v>контраст/комплементарность + матричный эффект</x:v>
      </x:c>
      <x:c r="F19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0" s="28" t="str">
        <x:v>сорбет, крем, ганаш, выпечка, джем или соус для десерта</x:v>
      </x:c>
      <x:c r="J190" s="28" t="str">
        <x:v>Высокая</x:v>
      </x:c>
      <x:c r="K190" s="28" t="str">
        <x:v>The Art &amp; Science of Foodpairing; Таблица сочетаний</x:v>
      </x:c>
      <x:c r="L190" s="28" t="str">
        <x:v>The Art &amp; Science of Foodpairing: 332; Таблица сочетаний: 6</x:v>
      </x:c>
    </x:row>
    <x:row r="191" ht="62" customHeight="1">
      <x:c r="A191" s="28" t="str">
        <x:v>BER-0515</x:v>
      </x:c>
      <x:c r="B191" s="28" t="str">
        <x:v>клюква</x:v>
      </x:c>
      <x:c r="C191" s="28" t="str">
        <x:v>шоколад</x:v>
      </x:c>
      <x:c r="D191" s="28" t="str">
        <x:v>Шоколад, кофе и жареные продукты</x:v>
      </x:c>
      <x:c r="E191" s="28" t="str">
        <x:v>контраст/комплементарность + матричный эффект</x:v>
      </x:c>
      <x:c r="F19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1" s="28" t="str">
        <x:v>сорбет, крем, ганаш, выпечка, джем или соус для десерта</x:v>
      </x:c>
      <x:c r="J191" s="28" t="str">
        <x:v>Средняя</x:v>
      </x:c>
      <x:c r="K191" s="28" t="str">
        <x:v>The Art &amp; Science of Foodpairing</x:v>
      </x:c>
      <x:c r="L191" s="28" t="str">
        <x:v>The Art &amp; Science of Foodpairing: 62</x:v>
      </x:c>
    </x:row>
    <x:row r="192" ht="62" customHeight="1">
      <x:c r="A192" s="28" t="str">
        <x:v>BER-0516</x:v>
      </x:c>
      <x:c r="B192" s="28" t="str">
        <x:v>клюква</x:v>
      </x:c>
      <x:c r="C192" s="28" t="str">
        <x:v>яблоко</x:v>
      </x:c>
      <x:c r="D192" s="28" t="str">
        <x:v>Фрукты</x:v>
      </x:c>
      <x:c r="E192" s="28" t="str">
        <x:v>ароматическое сходство + вкусовой баланс</x:v>
      </x:c>
      <x:c r="F192" s="28" t="str">
        <x:v>Прямой вероятный молекулярный мост: терпены, эфиры. Ягодный компонент несёт семейства древесный, зелёный, кислый, красно-фруктовый; партнёр — зелёный, фруктовый, цветочный. Оба компонента формируют очень кислый, терпкий и сладко-кислый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92" s="28" t="str">
        <x:v>Средняя</x:v>
      </x:c>
      <x:c r="K192" s="28" t="str">
        <x:v>Таблица сочетаний</x:v>
      </x:c>
      <x:c r="L192" s="28" t="str">
        <x:v>Таблица сочетаний: 1, 6</x:v>
      </x:c>
    </x:row>
    <x:row r="193" ht="62" customHeight="1">
      <x:c r="A193" s="28" t="str">
        <x:v>BER-0520</x:v>
      </x:c>
      <x:c r="B193" s="28" t="str">
        <x:v>клюквенный сок</x:v>
      </x:c>
      <x:c r="C193" s="28" t="str">
        <x:v>кардамон</x:v>
      </x:c>
      <x:c r="D193" s="28" t="str">
        <x:v>Специи</x:v>
      </x:c>
      <x:c r="E193" s="28" t="str">
        <x:v>контраст/комплементарность + матричный эффект</x:v>
      </x:c>
      <x:c r="F19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3" s="28" t="str">
        <x:v>Пряность дозировать как акцент: она быстро перекрывает тонкие ягодные эфиры.</x:v>
      </x:c>
      <x:c r="I19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93" s="28" t="str">
        <x:v>Средняя</x:v>
      </x:c>
      <x:c r="K193" s="28" t="str">
        <x:v>The Art &amp; Science of Foodpairing</x:v>
      </x:c>
      <x:c r="L193" s="28" t="str">
        <x:v>The Art &amp; Science of Foodpairing: 256</x:v>
      </x:c>
    </x:row>
    <x:row r="194" ht="62" customHeight="1">
      <x:c r="A194" s="28" t="str">
        <x:v>BER-0521</x:v>
      </x:c>
      <x:c r="B194" s="28" t="str">
        <x:v>красная смородина</x:v>
      </x:c>
      <x:c r="C194" s="28" t="str">
        <x:v>чёрный перец</x:v>
      </x:c>
      <x:c r="D194" s="28" t="str">
        <x:v>Специи</x:v>
      </x:c>
      <x:c r="E194" s="28" t="str">
        <x:v>ароматическое сходство + вкусовой баланс</x:v>
      </x:c>
      <x:c r="F194" s="28" t="str">
        <x:v>Прямой вероятный молекулярный мост: терпены. Ягодный компонент несёт семейства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4" s="28" t="str">
        <x:v>Пряность дозировать как акцент: она быстро перекрывает тонкие ягодные эфиры.</x:v>
      </x:c>
      <x:c r="I19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94" s="28" t="str">
        <x:v>Средняя</x:v>
      </x:c>
      <x:c r="K194" s="28" t="str">
        <x:v>The Art &amp; Science of Foodpairing</x:v>
      </x:c>
      <x:c r="L194" s="28" t="str">
        <x:v>The Art &amp; Science of Foodpairing: 275</x:v>
      </x:c>
    </x:row>
    <x:row r="195" ht="62" customHeight="1">
      <x:c r="A195" s="28" t="str">
        <x:v>BER-0522</x:v>
      </x:c>
      <x:c r="B195" s="28" t="str">
        <x:v>крыжовник</x:v>
      </x:c>
      <x:c r="C195" s="28" t="str">
        <x:v>белый шоколад</x:v>
      </x:c>
      <x:c r="D195" s="28" t="str">
        <x:v>Шоколад, кофе и жареные продукты</x:v>
      </x:c>
      <x:c r="E195" s="28" t="str">
        <x:v>контраст/комплементарность + матричный эффект</x:v>
      </x:c>
      <x:c r="F19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кислый, травянистый, тропический;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5" s="28" t="str">
        <x:v>сорбет, крем, ганаш, выпечка, джем или соус для десерта</x:v>
      </x:c>
      <x:c r="J195" s="28" t="str">
        <x:v>Средняя</x:v>
      </x:c>
      <x:c r="K195" s="28" t="str">
        <x:v>Таблица сочетаний</x:v>
      </x:c>
      <x:c r="L195" s="28" t="str">
        <x:v>Таблица сочетаний: 8</x:v>
      </x:c>
    </x:row>
    <x:row r="196" ht="62" customHeight="1">
      <x:c r="A196" s="28" t="str">
        <x:v>BER-0523</x:v>
      </x:c>
      <x:c r="B196" s="28" t="str">
        <x:v>крыжовник</x:v>
      </x:c>
      <x:c r="C196" s="28" t="str">
        <x:v>имбирь</x:v>
      </x:c>
      <x:c r="D196" s="28" t="str">
        <x:v>Специи</x:v>
      </x:c>
      <x:c r="E196" s="28" t="str">
        <x:v>контраст/комплементарность + матричный эффект</x:v>
      </x:c>
      <x:c r="F19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кислый, травянистый, тропический;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6" s="28" t="str">
        <x:v>Пряность дозировать как акцент: она быстро перекрывает тонкие ягодные эфиры.</x:v>
      </x:c>
      <x:c r="I19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96" s="28" t="str">
        <x:v>Средняя</x:v>
      </x:c>
      <x:c r="K196" s="28" t="str">
        <x:v>Таблица сочетаний</x:v>
      </x:c>
      <x:c r="L196" s="28" t="str">
        <x:v>Таблица сочетаний: 8</x:v>
      </x:c>
    </x:row>
    <x:row r="197" ht="62" customHeight="1">
      <x:c r="A197" s="28" t="str">
        <x:v>BER-0529</x:v>
      </x:c>
      <x:c r="B197" s="28" t="str">
        <x:v>крыжовник</x:v>
      </x:c>
      <x:c r="C197" s="28" t="str">
        <x:v>оливковое масло</x:v>
      </x:c>
      <x:c r="D197" s="28" t="str">
        <x:v>Молочные продукты и сыры</x:v>
      </x:c>
      <x:c r="E197" s="28" t="str">
        <x:v>контраст/комплементарность + матричный эффект</x:v>
      </x:c>
      <x:c r="F19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кислый, травянистый, тропический;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19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197" s="28" t="str">
        <x:v>Высокая кислотность может свернуть молочный белок; смешивать при контролируемой температуре.</x:v>
      </x:c>
      <x:c r="I197" s="28" t="str">
        <x:v>сорбет, крем, ганаш, выпечка, джем или соус для десерта; соус, глазировка, салат, сырная подача или горячее блюдо</x:v>
      </x:c>
      <x:c r="J197" s="28" t="str">
        <x:v>Средняя</x:v>
      </x:c>
      <x:c r="K197" s="28" t="str">
        <x:v>The Art &amp; Science of Foodpairing</x:v>
      </x:c>
      <x:c r="L197" s="28" t="str">
        <x:v>The Art &amp; Science of Foodpairing: 173</x:v>
      </x:c>
    </x:row>
    <x:row r="198" ht="62" customHeight="1">
      <x:c r="A198" s="28" t="str">
        <x:v>BER-0532</x:v>
      </x:c>
      <x:c r="B198" s="28" t="str">
        <x:v>крыжовник</x:v>
      </x:c>
      <x:c r="C198" s="28" t="str">
        <x:v>чёрный перец</x:v>
      </x:c>
      <x:c r="D198" s="28" t="str">
        <x:v>Специи</x:v>
      </x:c>
      <x:c r="E198" s="28" t="str">
        <x:v>контраст/комплементарность + матричный эффект</x:v>
      </x:c>
      <x:c r="F19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кислый, травянистый, тропический;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8" s="28" t="str">
        <x:v>Пряность дозировать как акцент: она быстро перекрывает тонкие ягодные эфиры.</x:v>
      </x:c>
      <x:c r="I19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98" s="28" t="str">
        <x:v>Средняя</x:v>
      </x:c>
      <x:c r="K198" s="28" t="str">
        <x:v>Таблица сочетаний</x:v>
      </x:c>
      <x:c r="L198" s="28" t="str">
        <x:v>Таблица сочетаний: 8</x:v>
      </x:c>
    </x:row>
    <x:row r="199" ht="62" customHeight="1">
      <x:c r="A199" s="28" t="str">
        <x:v>BER-0534</x:v>
      </x:c>
      <x:c r="B199" s="28" t="str">
        <x:v>крыжовник</x:v>
      </x:c>
      <x:c r="C199" s="28" t="str">
        <x:v>яблоко</x:v>
      </x:c>
      <x:c r="D199" s="28" t="str">
        <x:v>Фрукты</x:v>
      </x:c>
      <x:c r="E199" s="28" t="str">
        <x:v>ароматическое сходство + вкусовой баланс</x:v>
      </x:c>
      <x:c r="F199" s="28" t="str">
        <x:v>Прямой вероятный молекулярный мост: эфиры. Ягодный компонент несёт семейства зелёный, кислый, травянистый, тропический; партнёр — зелёный, фруктовый, цветочный. Оба компонента формируют ярко-кислый и сладко-кислый контур; сахар, кислота и горечь должны быть выровнены дегустацией. Ягода: незрелый плод даёт более травянистый профиль.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199" s="28" t="str">
        <x:v>Средняя</x:v>
      </x:c>
      <x:c r="K199" s="28" t="str">
        <x:v>The Art &amp; Science of Foodpairing</x:v>
      </x:c>
      <x:c r="L199" s="28" t="str">
        <x:v>The Art &amp; Science of Foodpairing: 47</x:v>
      </x:c>
    </x:row>
    <x:row r="200" ht="62" customHeight="1">
      <x:c r="A200" s="28" t="str">
        <x:v>BER-0536</x:v>
      </x:c>
      <x:c r="B200" s="28" t="str">
        <x:v>лист чёрной смородины</x:v>
      </x:c>
      <x:c r="C200" s="28" t="str">
        <x:v>кардамон</x:v>
      </x:c>
      <x:c r="D200" s="28" t="str">
        <x:v>Специи</x:v>
      </x:c>
      <x:c r="E200" s="28" t="str">
        <x:v>контраст/комплементарность + матричный эффект</x:v>
      </x:c>
      <x:c r="F20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0" s="28" t="str">
        <x:v>Пряность дозировать как акцент: она быстро перекрывает тонкие ягодные эфиры.</x:v>
      </x:c>
      <x:c r="I20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00" s="28" t="str">
        <x:v>Средняя</x:v>
      </x:c>
      <x:c r="K200" s="28" t="str">
        <x:v>The Art &amp; Science of Foodpairing</x:v>
      </x:c>
      <x:c r="L200" s="28" t="str">
        <x:v>The Art &amp; Science of Foodpairing: 256</x:v>
      </x:c>
    </x:row>
    <x:row r="201" ht="62" customHeight="1">
      <x:c r="A201" s="28" t="str">
        <x:v>BER-0537</x:v>
      </x:c>
      <x:c r="B201" s="28" t="str">
        <x:v>логанова ягода</x:v>
      </x:c>
      <x:c r="C201" s="28" t="str">
        <x:v>арбуз</x:v>
      </x:c>
      <x:c r="D201" s="28" t="str">
        <x:v>Фрукты</x:v>
      </x:c>
      <x:c r="E201" s="28" t="str">
        <x:v>контраст/комплементарность + матричный эффект</x:v>
      </x:c>
      <x:c r="F20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фруктовый, цветочный. Оба компонента формируют зависит от ингредиента и сладко-кислый контур; сахар, кислота и горечь должны быть выровнены дегустацией. Ягода: механизм зависит от конкретного продукта.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01" s="28" t="str">
        <x:v>Средняя</x:v>
      </x:c>
      <x:c r="K201" s="28" t="str">
        <x:v>The Art &amp; Science of Foodpairing</x:v>
      </x:c>
      <x:c r="L201" s="28" t="str">
        <x:v>The Art &amp; Science of Foodpairing: 79</x:v>
      </x:c>
    </x:row>
    <x:row r="202" ht="62" customHeight="1">
      <x:c r="A202" s="28" t="str">
        <x:v>BER-0538</x:v>
      </x:c>
      <x:c r="B202" s="28" t="str">
        <x:v>логанова ягода</x:v>
      </x:c>
      <x:c r="C202" s="28" t="str">
        <x:v>козий сыр</x:v>
      </x:c>
      <x:c r="D202" s="28" t="str">
        <x:v>Молочные продукты и сыры</x:v>
      </x:c>
      <x:c r="E202" s="28" t="str">
        <x:v>контраст/комплементарность + матричный эффект</x:v>
      </x:c>
      <x:c r="F20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0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02" s="28" t="str">
        <x:v>Высокая кислотность может свернуть молочный белок; смешивать при контролируемой температуре.</x:v>
      </x:c>
      <x:c r="I202" s="28" t="str">
        <x:v>сорбет, крем, ганаш, выпечка, джем или соус для десерта; соус, глазировка, салат, сырная подача или горячее блюдо</x:v>
      </x:c>
      <x:c r="J202" s="28" t="str">
        <x:v>Средняя</x:v>
      </x:c>
      <x:c r="K202" s="28" t="str">
        <x:v>The Art &amp; Science of Foodpairing</x:v>
      </x:c>
      <x:c r="L202" s="28" t="str">
        <x:v>The Art &amp; Science of Foodpairing: 200</x:v>
      </x:c>
    </x:row>
    <x:row r="203" ht="62" customHeight="1">
      <x:c r="A203" s="28" t="str">
        <x:v>BER-0540</x:v>
      </x:c>
      <x:c r="B203" s="28" t="str">
        <x:v>малина</x:v>
      </x:c>
      <x:c r="C203" s="28" t="str">
        <x:v>абрикос</x:v>
      </x:c>
      <x:c r="D203" s="28" t="str">
        <x:v>Фрукты</x:v>
      </x:c>
      <x:c r="E203" s="28" t="str">
        <x:v>сходство ароматических семейств + комплементарность</x:v>
      </x:c>
      <x:c r="F203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03" s="28" t="str">
        <x:v>Высокая</x:v>
      </x:c>
      <x:c r="K203" s="28" t="str">
        <x:v>Таблица сочетаний; Тезариус вкусов</x:v>
      </x:c>
      <x:c r="L203" s="28" t="str">
        <x:v>Тезариус вкусов: 743, 884; Таблица сочетаний: 2, 19</x:v>
      </x:c>
    </x:row>
    <x:row r="204" ht="62" customHeight="1">
      <x:c r="A204" s="28" t="str">
        <x:v>BER-0542</x:v>
      </x:c>
      <x:c r="B204" s="28" t="str">
        <x:v>малина</x:v>
      </x:c>
      <x:c r="C204" s="28" t="str">
        <x:v>ананас</x:v>
      </x:c>
      <x:c r="D204" s="28" t="str">
        <x:v>Фрукты</x:v>
      </x:c>
      <x:c r="E204" s="28" t="str">
        <x:v>сходство ароматических семейств + комплементарность</x:v>
      </x:c>
      <x:c r="F204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04" s="28" t="str">
        <x:v>Высокая</x:v>
      </x:c>
      <x:c r="K204" s="28" t="str">
        <x:v>The Art &amp; Science of Foodpairing; Таблица сочетаний; Тезариус вкусов</x:v>
      </x:c>
      <x:c r="L204" s="28" t="str">
        <x:v>Тезариус вкусов: 705, 885; The Art &amp; Science of Foodpairing: 243; Таблица сочетаний: 19</x:v>
      </x:c>
    </x:row>
    <x:row r="205" ht="62" customHeight="1">
      <x:c r="A205" s="28" t="str">
        <x:v>BER-0544</x:v>
      </x:c>
      <x:c r="B205" s="28" t="str">
        <x:v>малина</x:v>
      </x:c>
      <x:c r="C205" s="28" t="str">
        <x:v>банан</x:v>
      </x:c>
      <x:c r="D205" s="28" t="str">
        <x:v>Фрукты</x:v>
      </x:c>
      <x:c r="E205" s="28" t="str">
        <x:v>сходство ароматических семейств + комплементарность</x:v>
      </x:c>
      <x:c r="F205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05" s="28" t="str">
        <x:v>Средняя</x:v>
      </x:c>
      <x:c r="K205" s="28" t="str">
        <x:v>The Art &amp; Science of Foodpairing</x:v>
      </x:c>
      <x:c r="L205" s="28" t="str">
        <x:v>The Art &amp; Science of Foodpairing: 343</x:v>
      </x:c>
    </x:row>
    <x:row r="206" ht="62" customHeight="1">
      <x:c r="A206" s="28" t="str">
        <x:v>BER-0545</x:v>
      </x:c>
      <x:c r="B206" s="28" t="str">
        <x:v>малина</x:v>
      </x:c>
      <x:c r="C206" s="28" t="str">
        <x:v>белый шоколад</x:v>
      </x:c>
      <x:c r="D206" s="28" t="str">
        <x:v>Шоколад, кофе и жареные продукты</x:v>
      </x:c>
      <x:c r="E206" s="28" t="str">
        <x:v>контраст/комплементарность + матричный эффект</x:v>
      </x:c>
      <x:c r="F20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6" s="28" t="str">
        <x:v>сорбет, крем, ганаш, выпечка, джем или соус для десерта</x:v>
      </x:c>
      <x:c r="J206" s="28" t="str">
        <x:v>Высокая</x:v>
      </x:c>
      <x:c r="K206" s="28" t="str">
        <x:v>Тезариус вкусов</x:v>
      </x:c>
      <x:c r="L206" s="28" t="str">
        <x:v>Тезариус вкусов: 886, 925</x:v>
      </x:c>
    </x:row>
    <x:row r="207" ht="62" customHeight="1">
      <x:c r="A207" s="28" t="str">
        <x:v>BER-0546</x:v>
      </x:c>
      <x:c r="B207" s="28" t="str">
        <x:v>малина</x:v>
      </x:c>
      <x:c r="C207" s="28" t="str">
        <x:v>бри</x:v>
      </x:c>
      <x:c r="D207" s="28" t="str">
        <x:v>Молочные продукты и сыры</x:v>
      </x:c>
      <x:c r="E207" s="28" t="str">
        <x:v>контраст/комплементарность + матричный эффект</x:v>
      </x:c>
      <x:c r="F20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0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07" s="28" t="str">
        <x:v>Высокая кислотность может свернуть молочный белок; смешивать при контролируемой температуре.</x:v>
      </x:c>
      <x:c r="I207" s="28" t="str">
        <x:v>сорбет, крем, ганаш, выпечка, джем или соус для десерта; соус, глазировка, салат, сырная подача или горячее блюдо</x:v>
      </x:c>
      <x:c r="J207" s="28" t="str">
        <x:v>Средняя</x:v>
      </x:c>
      <x:c r="K207" s="28" t="str">
        <x:v>The Art &amp; Science of Foodpairing</x:v>
      </x:c>
      <x:c r="L207" s="28" t="str">
        <x:v>The Art &amp; Science of Foodpairing: 336</x:v>
      </x:c>
    </x:row>
    <x:row r="208" ht="62" customHeight="1">
      <x:c r="A208" s="28" t="str">
        <x:v>BER-0549</x:v>
      </x:c>
      <x:c r="B208" s="28" t="str">
        <x:v>малина</x:v>
      </x:c>
      <x:c r="C208" s="28" t="str">
        <x:v>голубой сыр</x:v>
      </x:c>
      <x:c r="D208" s="28" t="str">
        <x:v>Молочные продукты и сыры</x:v>
      </x:c>
      <x:c r="E208" s="28" t="str">
        <x:v>контраст/комплементарность + матричный эффект</x:v>
      </x:c>
      <x:c r="F20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0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08" s="28" t="str">
        <x:v>Высокая кислотность может свернуть молочный белок; смешивать при контролируемой температуре.</x:v>
      </x:c>
      <x:c r="I208" s="28" t="str">
        <x:v>сорбет, крем, ганаш, выпечка, джем или соус для десерта; соус, глазировка, салат, сырная подача или горячее блюдо</x:v>
      </x:c>
      <x:c r="J208" s="28" t="str">
        <x:v>Средняя</x:v>
      </x:c>
      <x:c r="K208" s="28" t="str">
        <x:v>The Art &amp; Science of Foodpairing</x:v>
      </x:c>
      <x:c r="L208" s="28" t="str">
        <x:v>The Art &amp; Science of Foodpairing: 165</x:v>
      </x:c>
    </x:row>
    <x:row r="209" ht="62" customHeight="1">
      <x:c r="A209" s="28" t="str">
        <x:v>BER-0550</x:v>
      </x:c>
      <x:c r="B209" s="28" t="str">
        <x:v>малина</x:v>
      </x:c>
      <x:c r="C209" s="28" t="str">
        <x:v>гранат</x:v>
      </x:c>
      <x:c r="D209" s="28" t="str">
        <x:v>Фрукты</x:v>
      </x:c>
      <x:c r="E209" s="28" t="str">
        <x:v>сходство ароматических семейств + комплементарность</x:v>
      </x:c>
      <x:c r="F209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9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09" s="28" t="str">
        <x:v>Средняя</x:v>
      </x:c>
      <x:c r="K209" s="28" t="str">
        <x:v>Таблица сочетаний</x:v>
      </x:c>
      <x:c r="L209" s="28" t="str">
        <x:v>Таблица сочетаний: 17</x:v>
      </x:c>
    </x:row>
    <x:row r="210" ht="62" customHeight="1">
      <x:c r="A210" s="28" t="str">
        <x:v>BER-0554</x:v>
      </x:c>
      <x:c r="B210" s="28" t="str">
        <x:v>малина</x:v>
      </x:c>
      <x:c r="C210" s="28" t="str">
        <x:v>имбирь</x:v>
      </x:c>
      <x:c r="D210" s="28" t="str">
        <x:v>Специи</x:v>
      </x:c>
      <x:c r="E210" s="28" t="str">
        <x:v>сходство ароматических семейств + комплементарность</x:v>
      </x:c>
      <x:c r="F210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0" s="28" t="str">
        <x:v>Пряность дозировать как акцент: она быстро перекрывает тонкие ягодные эфиры.</x:v>
      </x:c>
      <x:c r="I21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10" s="28" t="str">
        <x:v>Высокая</x:v>
      </x:c>
      <x:c r="K210" s="28" t="str">
        <x:v>The Art &amp; Science of Foodpairing; Таблица сочетаний</x:v>
      </x:c>
      <x:c r="L210" s="28" t="str">
        <x:v>The Art &amp; Science of Foodpairing: 142; Таблица сочетаний: 8, 19</x:v>
      </x:c>
    </x:row>
    <x:row r="211" ht="62" customHeight="1">
      <x:c r="A211" s="28" t="str">
        <x:v>BER-0555</x:v>
      </x:c>
      <x:c r="B211" s="28" t="str">
        <x:v>малина</x:v>
      </x:c>
      <x:c r="C211" s="28" t="str">
        <x:v>инжир</x:v>
      </x:c>
      <x:c r="D211" s="28" t="str">
        <x:v>Фрукты</x:v>
      </x:c>
      <x:c r="E211" s="28" t="str">
        <x:v>сходство ароматических семейств + комплементарность</x:v>
      </x:c>
      <x:c r="F211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11" s="28" t="str">
        <x:v>Высокая</x:v>
      </x:c>
      <x:c r="K211" s="28" t="str">
        <x:v>Тезариус вкусов</x:v>
      </x:c>
      <x:c r="L211" s="28" t="str">
        <x:v>Тезариус вкусов: 887, 894</x:v>
      </x:c>
    </x:row>
    <x:row r="212" ht="62" customHeight="1">
      <x:c r="A212" s="28" t="str">
        <x:v>BER-0556</x:v>
      </x:c>
      <x:c r="B212" s="28" t="str">
        <x:v>малина</x:v>
      </x:c>
      <x:c r="C212" s="28" t="str">
        <x:v>козий сыр</x:v>
      </x:c>
      <x:c r="D212" s="28" t="str">
        <x:v>Молочные продукты и сыры</x:v>
      </x:c>
      <x:c r="E212" s="28" t="str">
        <x:v>контраст/комплементарность + матричный эффект</x:v>
      </x:c>
      <x:c r="F21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1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12" s="28" t="str">
        <x:v>Высокая кислотность может свернуть молочный белок; смешивать при контролируемой температуре.</x:v>
      </x:c>
      <x:c r="I212" s="28" t="str">
        <x:v>сорбет, крем, ганаш, выпечка, джем или соус для десерта; соус, глазировка, салат, сырная подача или горячее блюдо</x:v>
      </x:c>
      <x:c r="J212" s="28" t="str">
        <x:v>Высокая</x:v>
      </x:c>
      <x:c r="K212" s="28" t="str">
        <x:v>The Art &amp; Science of Foodpairing; Тезариус вкусов</x:v>
      </x:c>
      <x:c r="L212" s="28" t="str">
        <x:v>Тезариус вкусов: 141, 887; The Art &amp; Science of Foodpairing: 201</x:v>
      </x:c>
    </x:row>
    <x:row r="213" ht="62" customHeight="1">
      <x:c r="A213" s="28" t="str">
        <x:v>BER-0559</x:v>
      </x:c>
      <x:c r="B213" s="28" t="str">
        <x:v>малина</x:v>
      </x:c>
      <x:c r="C213" s="28" t="str">
        <x:v>корица</x:v>
      </x:c>
      <x:c r="D213" s="28" t="str">
        <x:v>Специи</x:v>
      </x:c>
      <x:c r="E213" s="28" t="str">
        <x:v>сходство ароматических семейств + комплементарность</x:v>
      </x:c>
      <x:c r="F213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3" s="28" t="str">
        <x:v>Пряность дозировать как акцент: она быстро перекрывает тонкие ягодные эфиры.</x:v>
      </x:c>
      <x:c r="I21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13" s="28" t="str">
        <x:v>Высокая</x:v>
      </x:c>
      <x:c r="K213" s="28" t="str">
        <x:v>The Art &amp; Science of Foodpairing; Таблица сочетаний</x:v>
      </x:c>
      <x:c r="L213" s="28" t="str">
        <x:v>The Art &amp; Science of Foodpairing: 130; Таблица сочетаний: 19</x:v>
      </x:c>
    </x:row>
    <x:row r="214" ht="62" customHeight="1">
      <x:c r="A214" s="28" t="str">
        <x:v>BER-0564</x:v>
      </x:c>
      <x:c r="B214" s="28" t="str">
        <x:v>малина</x:v>
      </x:c>
      <x:c r="C214" s="28" t="str">
        <x:v>манго</x:v>
      </x:c>
      <x:c r="D214" s="28" t="str">
        <x:v>Фрукты</x:v>
      </x:c>
      <x:c r="E214" s="28" t="str">
        <x:v>сходство ароматических семейств + комплементарность</x:v>
      </x:c>
      <x:c r="F214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14" s="28" t="str">
        <x:v>Средняя</x:v>
      </x:c>
      <x:c r="K214" s="28" t="str">
        <x:v>The Art &amp; Science of Foodpairing</x:v>
      </x:c>
      <x:c r="L214" s="28" t="str">
        <x:v>The Art &amp; Science of Foodpairing: 312</x:v>
      </x:c>
    </x:row>
    <x:row r="215" ht="62" customHeight="1">
      <x:c r="A215" s="28" t="str">
        <x:v>BER-0567</x:v>
      </x:c>
      <x:c r="B215" s="28" t="str">
        <x:v>малина</x:v>
      </x:c>
      <x:c r="C215" s="28" t="str">
        <x:v>миндаль</x:v>
      </x:c>
      <x:c r="D215" s="28" t="str">
        <x:v>Орехи и семена</x:v>
      </x:c>
      <x:c r="E215" s="28" t="str">
        <x:v>контраст/комплементарность + матричный эффект</x:v>
      </x:c>
      <x:c r="F21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5" s="28" t="str">
        <x:v>сорбет, крем, ганаш, выпечка, джем или соус для десерта</x:v>
      </x:c>
      <x:c r="J215" s="28" t="str">
        <x:v>Высокая</x:v>
      </x:c>
      <x:c r="K215" s="28" t="str">
        <x:v>Тезариус вкусов</x:v>
      </x:c>
      <x:c r="L215" s="28" t="str">
        <x:v>Тезариус вкусов: 646, 888</x:v>
      </x:c>
    </x:row>
    <x:row r="216" ht="62" customHeight="1">
      <x:c r="A216" s="28" t="str">
        <x:v>BER-0572</x:v>
      </x:c>
      <x:c r="B216" s="28" t="str">
        <x:v>малина</x:v>
      </x:c>
      <x:c r="C216" s="28" t="str">
        <x:v>персик</x:v>
      </x:c>
      <x:c r="D216" s="28" t="str">
        <x:v>Фрукты</x:v>
      </x:c>
      <x:c r="E216" s="28" t="str">
        <x:v>сходство ароматических семейств + комплементарность</x:v>
      </x:c>
      <x:c r="F216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16" s="28" t="str">
        <x:v>Высокая</x:v>
      </x:c>
      <x:c r="K216" s="28" t="str">
        <x:v>The Art &amp; Science of Foodpairing; Таблица сочетаний; Тезариус вкусов</x:v>
      </x:c>
      <x:c r="L216" s="28" t="str">
        <x:v>Тезариус вкусов: 751, 889; The Art &amp; Science of Foodpairing: 261; Таблица сочетаний: 19</x:v>
      </x:c>
    </x:row>
    <x:row r="217" ht="62" customHeight="1">
      <x:c r="A217" s="28" t="str">
        <x:v>BER-0581</x:v>
      </x:c>
      <x:c r="B217" s="28" t="str">
        <x:v>малина</x:v>
      </x:c>
      <x:c r="C217" s="28" t="str">
        <x:v>фундук</x:v>
      </x:c>
      <x:c r="D217" s="28" t="str">
        <x:v>Орехи и семена</x:v>
      </x:c>
      <x:c r="E217" s="28" t="str">
        <x:v>контраст/комплементарность + матричный эффект</x:v>
      </x:c>
      <x:c r="F21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7" s="28" t="str">
        <x:v>сорбет, крем, ганаш, выпечка, джем или соус для десерта</x:v>
      </x:c>
      <x:c r="J217" s="28" t="str">
        <x:v>Высокая</x:v>
      </x:c>
      <x:c r="K217" s="28" t="str">
        <x:v>Тезариус вкусов</x:v>
      </x:c>
      <x:c r="L217" s="28" t="str">
        <x:v>Тезариус вкусов: 635, 889</x:v>
      </x:c>
    </x:row>
    <x:row r="218" ht="62" customHeight="1">
      <x:c r="A218" s="28" t="str">
        <x:v>BER-0583</x:v>
      </x:c>
      <x:c r="B218" s="28" t="str">
        <x:v>малина</x:v>
      </x:c>
      <x:c r="C218" s="28" t="str">
        <x:v>чёрная смородина</x:v>
      </x:c>
      <x:c r="D218" s="28" t="str">
        <x:v>Ягоды и производные</x:v>
      </x:c>
      <x:c r="E218" s="28" t="str">
        <x:v>сходство ароматических семейств + комплементарность</x:v>
      </x:c>
      <x:c r="F218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листовой, сернистый, тёмно-фруктовый, цветочный. Оба компонента формируют кисло-сладкий и ярко-кислый, терпкий контур; сахар, кислота и горечь должны быть выровнены дегустацией. Ягода: семена добавляют древесность и лёгкую терпкость. Партнёр: следовые тиолы чрезвычайно мощные; передозировка даёт «кошачий» тон.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18" s="28" t="str">
        <x:v>Средняя</x:v>
      </x:c>
      <x:c r="K218" s="28" t="str">
        <x:v>Таблица сочетаний</x:v>
      </x:c>
      <x:c r="L218" s="28" t="str">
        <x:v>Таблица сочетаний: 2</x:v>
      </x:c>
    </x:row>
    <x:row r="219" ht="62" customHeight="1">
      <x:c r="A219" s="28" t="str">
        <x:v>BER-0585</x:v>
      </x:c>
      <x:c r="B219" s="28" t="str">
        <x:v>малина</x:v>
      </x:c>
      <x:c r="C219" s="28" t="str">
        <x:v>шоколад</x:v>
      </x:c>
      <x:c r="D219" s="28" t="str">
        <x:v>Шоколад, кофе и жареные продукты</x:v>
      </x:c>
      <x:c r="E219" s="28" t="str">
        <x:v>контраст/комплементарность + матричный эффект</x:v>
      </x:c>
      <x:c r="F21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9" s="28" t="str">
        <x:v>сорбет, крем, ганаш, выпечка, джем или соус для десерта</x:v>
      </x:c>
      <x:c r="J219" s="28" t="str">
        <x:v>Высокая</x:v>
      </x:c>
      <x:c r="K219" s="28" t="str">
        <x:v>Таблица сочетаний; Тезариус вкусов</x:v>
      </x:c>
      <x:c r="L219" s="28" t="str">
        <x:v>Тезариус вкусов: 33, 890; Таблица сочетаний: 5</x:v>
      </x:c>
    </x:row>
    <x:row r="220" ht="62" customHeight="1">
      <x:c r="A220" s="28" t="str">
        <x:v>BER-0586</x:v>
      </x:c>
      <x:c r="B220" s="28" t="str">
        <x:v>малина</x:v>
      </x:c>
      <x:c r="C220" s="28" t="str">
        <x:v>яблоко</x:v>
      </x:c>
      <x:c r="D220" s="28" t="str">
        <x:v>Фрукты</x:v>
      </x:c>
      <x:c r="E220" s="28" t="str">
        <x:v>сходство ароматических семейств + комплементарность</x:v>
      </x:c>
      <x:c r="F220" s="28" t="str">
        <x:v>Общие ароматические семейства: зелёный, фруктовый, цветочный;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фруктовый, цветочный. Оба компонента формируют кисло-сладкий и сладко-кислый контур; сахар, кислота и горечь должны быть выровнены дегустацией. Ягода: семена добавляют древесность и лёгкую терпкость.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20" s="28" t="str">
        <x:v>Средняя</x:v>
      </x:c>
      <x:c r="K220" s="28" t="str">
        <x:v>Таблица сочетаний</x:v>
      </x:c>
      <x:c r="L220" s="28" t="str">
        <x:v>Таблица сочетаний: 1, 19</x:v>
      </x:c>
    </x:row>
    <x:row r="221" ht="62" customHeight="1">
      <x:c r="A221" s="28" t="str">
        <x:v>BER-0589</x:v>
      </x:c>
      <x:c r="B221" s="28" t="str">
        <x:v>малина сорта Meeker</x:v>
      </x:c>
      <x:c r="C221" s="28" t="str">
        <x:v>кардамон</x:v>
      </x:c>
      <x:c r="D221" s="28" t="str">
        <x:v>Специи</x:v>
      </x:c>
      <x:c r="E221" s="28" t="str">
        <x:v>сходство ароматических семейств + комплементарность</x:v>
      </x:c>
      <x:c r="F221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1" s="28" t="str">
        <x:v>Пряность дозировать как акцент: она быстро перекрывает тонкие ягодные эфиры.</x:v>
      </x:c>
      <x:c r="I22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21" s="28" t="str">
        <x:v>Средняя</x:v>
      </x:c>
      <x:c r="K221" s="28" t="str">
        <x:v>The Art &amp; Science of Foodpairing</x:v>
      </x:c>
      <x:c r="L221" s="28" t="str">
        <x:v>The Art &amp; Science of Foodpairing: 256</x:v>
      </x:c>
    </x:row>
    <x:row r="222" ht="62" customHeight="1">
      <x:c r="A222" s="28" t="str">
        <x:v>BER-0592</x:v>
      </x:c>
      <x:c r="B222" s="28" t="str">
        <x:v>малиновый сок</x:v>
      </x:c>
      <x:c r="C222" s="28" t="str">
        <x:v>бри</x:v>
      </x:c>
      <x:c r="D222" s="28" t="str">
        <x:v>Молочные продукты и сыры</x:v>
      </x:c>
      <x:c r="E222" s="28" t="str">
        <x:v>контраст/комплементарность + матричный эффект</x:v>
      </x:c>
      <x:c r="F22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2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22" s="28" t="str">
        <x:v>Высокая кислотность может свернуть молочный белок; смешивать при контролируемой температуре.</x:v>
      </x:c>
      <x:c r="I222" s="28" t="str">
        <x:v>сорбет, крем, ганаш, выпечка, джем или соус для десерта; соус, глазировка, салат, сырная подача или горячее блюдо</x:v>
      </x:c>
      <x:c r="J222" s="28" t="str">
        <x:v>Средняя</x:v>
      </x:c>
      <x:c r="K222" s="28" t="str">
        <x:v>The Art &amp; Science of Foodpairing</x:v>
      </x:c>
      <x:c r="L222" s="28" t="str">
        <x:v>The Art &amp; Science of Foodpairing: 336</x:v>
      </x:c>
    </x:row>
    <x:row r="223" ht="62" customHeight="1">
      <x:c r="A223" s="28" t="str">
        <x:v>BER-0593</x:v>
      </x:c>
      <x:c r="B223" s="28" t="str">
        <x:v>морошка</x:v>
      </x:c>
      <x:c r="C223" s="28" t="str">
        <x:v>ананас</x:v>
      </x:c>
      <x:c r="D223" s="28" t="str">
        <x:v>Фрукты</x:v>
      </x:c>
      <x:c r="E223" s="28" t="str">
        <x:v>ароматическое сходство + вкусовой баланс</x:v>
      </x:c>
      <x:c r="F223" s="28" t="str">
        <x:v>Прямой вероятный молекулярный мост: лактоны, эфиры. Ягодный компонент несёт семейства абрикосовый, лактонный, медовый,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аромат хорошо поддерживается сливочными и древесными матрицами.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23" s="28" t="str">
        <x:v>Средняя</x:v>
      </x:c>
      <x:c r="K223" s="28" t="str">
        <x:v>Таблица сочетаний</x:v>
      </x:c>
      <x:c r="L223" s="28" t="str">
        <x:v>Таблица сочетаний: 5</x:v>
      </x:c>
    </x:row>
    <x:row r="224" ht="62" customHeight="1">
      <x:c r="A224" s="28" t="str">
        <x:v>BER-0596</x:v>
      </x:c>
      <x:c r="B224" s="28" t="str">
        <x:v>морошка</x:v>
      </x:c>
      <x:c r="C224" s="28" t="str">
        <x:v>корица</x:v>
      </x:c>
      <x:c r="D224" s="28" t="str">
        <x:v>Специи</x:v>
      </x:c>
      <x:c r="E224" s="28" t="str">
        <x:v>контраст/комплементарность + матричный эффект</x:v>
      </x:c>
      <x:c r="F22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абрикосовый, лактонный, медовый,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4" s="28" t="str">
        <x:v>Пряность дозировать как акцент: она быстро перекрывает тонкие ягодные эфиры.</x:v>
      </x:c>
      <x:c r="I22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24" s="28" t="str">
        <x:v>Средняя</x:v>
      </x:c>
      <x:c r="K224" s="28" t="str">
        <x:v>Таблица сочетаний</x:v>
      </x:c>
      <x:c r="L224" s="28" t="str">
        <x:v>Таблица сочетаний: 5</x:v>
      </x:c>
    </x:row>
    <x:row r="225" ht="62" customHeight="1">
      <x:c r="A225" s="28" t="str">
        <x:v>BER-0598</x:v>
      </x:c>
      <x:c r="B225" s="28" t="str">
        <x:v>морошка</x:v>
      </x:c>
      <x:c r="C225" s="28" t="str">
        <x:v>манго</x:v>
      </x:c>
      <x:c r="D225" s="28" t="str">
        <x:v>Фрукты</x:v>
      </x:c>
      <x:c r="E225" s="28" t="str">
        <x:v>ароматическое сходство + вкусовой баланс</x:v>
      </x:c>
      <x:c r="F225" s="28" t="str">
        <x:v>Прямой вероятный молекулярный мост: лактоны, эфиры. Ягодный компонент несёт семейства абрикосовый, лактонный, медовый,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аромат хорошо поддерживается сливочными и древесными матрицами.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25" s="28" t="str">
        <x:v>Средняя</x:v>
      </x:c>
      <x:c r="K225" s="28" t="str">
        <x:v>The Art &amp; Science of Foodpairing</x:v>
      </x:c>
      <x:c r="L225" s="28" t="str">
        <x:v>The Art &amp; Science of Foodpairing: 312</x:v>
      </x:c>
    </x:row>
    <x:row r="226" ht="62" customHeight="1">
      <x:c r="A226" s="28" t="str">
        <x:v>BER-0600</x:v>
      </x:c>
      <x:c r="B226" s="28" t="str">
        <x:v>морошка</x:v>
      </x:c>
      <x:c r="C226" s="28" t="str">
        <x:v>сливки</x:v>
      </x:c>
      <x:c r="D226" s="28" t="str">
        <x:v>Молочные продукты и сыры</x:v>
      </x:c>
      <x:c r="E226" s="28" t="str">
        <x:v>ароматическое сходство + вкусовой баланс</x:v>
      </x:c>
      <x:c r="F226" s="28" t="str">
        <x:v>Прямой вероятный молекулярный мост: лактоны. Ягодный компонент несёт семейства абрикосовый, лактонный, медовый,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2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26" s="28" t="str">
        <x:v>Высокая кислотность может свернуть молочный белок; смешивать при контролируемой температуре.</x:v>
      </x:c>
      <x:c r="I226" s="28" t="str">
        <x:v>сорбет, крем, ганаш, выпечка, джем или соус для десерта; соус, глазировка, салат, сырная подача или горячее блюдо</x:v>
      </x:c>
      <x:c r="J226" s="28" t="str">
        <x:v>Средняя</x:v>
      </x:c>
      <x:c r="K226" s="28" t="str">
        <x:v>Таблица сочетаний</x:v>
      </x:c>
      <x:c r="L226" s="28" t="str">
        <x:v>Таблица сочетаний: 5</x:v>
      </x:c>
    </x:row>
    <x:row r="227" ht="62" customHeight="1">
      <x:c r="A227" s="28" t="str">
        <x:v>BER-0602</x:v>
      </x:c>
      <x:c r="B227" s="28" t="str">
        <x:v>морошка</x:v>
      </x:c>
      <x:c r="C227" s="28" t="str">
        <x:v>фисташка</x:v>
      </x:c>
      <x:c r="D227" s="28" t="str">
        <x:v>Орехи и семена</x:v>
      </x:c>
      <x:c r="E227" s="28" t="str">
        <x:v>контраст/комплементарность + матричный эффект</x:v>
      </x:c>
      <x:c r="F22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абрикосовый, лактонный, медовый,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7" s="28" t="str">
        <x:v>сорбет, крем, ганаш, выпечка, джем или соус для десерта</x:v>
      </x:c>
      <x:c r="J227" s="28" t="str">
        <x:v>Средняя</x:v>
      </x:c>
      <x:c r="K227" s="28" t="str">
        <x:v>Таблица сочетаний</x:v>
      </x:c>
      <x:c r="L227" s="28" t="str">
        <x:v>Таблица сочетаний: 5</x:v>
      </x:c>
    </x:row>
    <x:row r="228" ht="62" customHeight="1">
      <x:c r="A228" s="28" t="str">
        <x:v>BER-0605</x:v>
      </x:c>
      <x:c r="B228" s="28" t="str">
        <x:v>облепиха</x:v>
      </x:c>
      <x:c r="C228" s="28" t="str">
        <x:v>козий сыр</x:v>
      </x:c>
      <x:c r="D228" s="28" t="str">
        <x:v>Молочные продукты и сыры</x:v>
      </x:c>
      <x:c r="E228" s="28" t="str">
        <x:v>контраст/комплементарность + матричный эффект</x:v>
      </x:c>
      <x:c r="F22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жирный, тропический, фруктовый, цитрусовый;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2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28" s="28" t="str">
        <x:v>Высокая кислотность может свернуть молочный белок; смешивать при контролируемой температуре.</x:v>
      </x:c>
      <x:c r="I228" s="28" t="str">
        <x:v>сорбет, крем, ганаш, выпечка, джем или соус для десерта; соус, глазировка, салат, сырная подача или горячее блюдо</x:v>
      </x:c>
      <x:c r="J228" s="28" t="str">
        <x:v>Средняя</x:v>
      </x:c>
      <x:c r="K228" s="28" t="str">
        <x:v>The Art &amp; Science of Foodpairing</x:v>
      </x:c>
      <x:c r="L228" s="28" t="str">
        <x:v>The Art &amp; Science of Foodpairing: 200</x:v>
      </x:c>
    </x:row>
    <x:row r="229" ht="62" customHeight="1">
      <x:c r="A229" s="28" t="str">
        <x:v>BER-0607</x:v>
      </x:c>
      <x:c r="B229" s="28" t="str">
        <x:v>облепиха</x:v>
      </x:c>
      <x:c r="C229" s="28" t="str">
        <x:v>миндаль</x:v>
      </x:c>
      <x:c r="D229" s="28" t="str">
        <x:v>Орехи и семена</x:v>
      </x:c>
      <x:c r="E229" s="28" t="str">
        <x:v>контраст/комплементарность + матричный эффект</x:v>
      </x:c>
      <x:c r="F22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жирный, тропический, фруктовый, цитрусовый;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9" s="28" t="str">
        <x:v>сорбет, крем, ганаш, выпечка, джем или соус для десерта</x:v>
      </x:c>
      <x:c r="J229" s="28" t="str">
        <x:v>Средняя</x:v>
      </x:c>
      <x:c r="K229" s="28" t="str">
        <x:v>The Art &amp; Science of Foodpairing</x:v>
      </x:c>
      <x:c r="L229" s="28" t="str">
        <x:v>The Art &amp; Science of Foodpairing: 347</x:v>
      </x:c>
    </x:row>
    <x:row r="230" ht="62" customHeight="1">
      <x:c r="A230" s="28" t="str">
        <x:v>BER-0608</x:v>
      </x:c>
      <x:c r="B230" s="28" t="str">
        <x:v>облепиха</x:v>
      </x:c>
      <x:c r="C230" s="28" t="str">
        <x:v>яблоко</x:v>
      </x:c>
      <x:c r="D230" s="28" t="str">
        <x:v>Фрукты</x:v>
      </x:c>
      <x:c r="E230" s="28" t="str">
        <x:v>ароматическое сходство + вкусовой баланс</x:v>
      </x:c>
      <x:c r="F230" s="28" t="str">
        <x:v>Прямой вероятный молекулярный мост: терпены, эфиры. Ягодный компонент несёт семейства жирный, тропический, фруктовый, цитрусовый; партнёр — зелёный, фруктовый, цветочный. Оба компонента формируют очень кислый, маслянистый и сладко-кислый контур; сахар, кислота и горечь должны быть выровнены дегустацией. Ягода: собственное масло меняет высвобождение ароматов.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0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30" s="28" t="str">
        <x:v>Средняя</x:v>
      </x:c>
      <x:c r="K230" s="28" t="str">
        <x:v>The Art &amp; Science of Foodpairing</x:v>
      </x:c>
      <x:c r="L230" s="28" t="str">
        <x:v>The Art &amp; Science of Foodpairing: 47</x:v>
      </x:c>
    </x:row>
    <x:row r="231" ht="62" customHeight="1">
      <x:c r="A231" s="28" t="str">
        <x:v>BER-0609</x:v>
      </x:c>
      <x:c r="B231" s="28" t="str">
        <x:v>смородина</x:v>
      </x:c>
      <x:c r="C231" s="28" t="str">
        <x:v>груша</x:v>
      </x:c>
      <x:c r="D231" s="28" t="str">
        <x:v>Фрукты</x:v>
      </x:c>
      <x:c r="E231" s="28" t="str">
        <x:v>ароматическое сходство + вкусовой баланс</x:v>
      </x:c>
      <x:c r="F231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профиль зависит от вида смородины.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31" s="28" t="str">
        <x:v>Средняя</x:v>
      </x:c>
      <x:c r="K231" s="28" t="str">
        <x:v>Таблица сочетаний</x:v>
      </x:c>
      <x:c r="L231" s="28" t="str">
        <x:v>Таблица сочетаний: 16</x:v>
      </x:c>
    </x:row>
    <x:row r="232" ht="62" customHeight="1">
      <x:c r="A232" s="28" t="str">
        <x:v>BER-0611</x:v>
      </x:c>
      <x:c r="B232" s="28" t="str">
        <x:v>смородина</x:v>
      </x:c>
      <x:c r="C232" s="28" t="str">
        <x:v>персик</x:v>
      </x:c>
      <x:c r="D232" s="28" t="str">
        <x:v>Фрукты</x:v>
      </x:c>
      <x:c r="E232" s="28" t="str">
        <x:v>ароматическое сходство + вкусовой баланс</x:v>
      </x:c>
      <x:c r="F232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профиль зависит от вида смородины.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32" s="28" t="str">
        <x:v>Средняя</x:v>
      </x:c>
      <x:c r="K232" s="28" t="str">
        <x:v>Таблица сочетаний</x:v>
      </x:c>
      <x:c r="L232" s="28" t="str">
        <x:v>Таблица сочетаний: 15</x:v>
      </x:c>
    </x:row>
    <x:row r="233" ht="62" customHeight="1">
      <x:c r="A233" s="28" t="str">
        <x:v>BER-0614</x:v>
      </x:c>
      <x:c r="B233" s="28" t="str">
        <x:v>смородина</x:v>
      </x:c>
      <x:c r="C233" s="28" t="str">
        <x:v>яблоко</x:v>
      </x:c>
      <x:c r="D233" s="28" t="str">
        <x:v>Фрукты</x:v>
      </x:c>
      <x:c r="E233" s="28" t="str">
        <x:v>ароматическое сходство + вкусовой баланс</x:v>
      </x:c>
      <x:c r="F233" s="28" t="str">
        <x:v>Прямой вероятный молекулярный мост: терпены, эфиры. Ягодный компонент несёт семейства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профиль зависит от вида смородины.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33" s="28" t="str">
        <x:v>Средняя</x:v>
      </x:c>
      <x:c r="K233" s="28" t="str">
        <x:v>Таблица сочетаний</x:v>
      </x:c>
      <x:c r="L233" s="28" t="str">
        <x:v>Таблица сочетаний: 1</x:v>
      </x:c>
    </x:row>
    <x:row r="234" ht="62" customHeight="1">
      <x:c r="A234" s="28" t="str">
        <x:v>BER-0615</x:v>
      </x:c>
      <x:c r="B234" s="28" t="str">
        <x:v>сок чёрной смородины</x:v>
      </x:c>
      <x:c r="C234" s="28" t="str">
        <x:v>козий сыр</x:v>
      </x:c>
      <x:c r="D234" s="28" t="str">
        <x:v>Молочные продукты и сыры</x:v>
      </x:c>
      <x:c r="E234" s="28" t="str">
        <x:v>контраст/комплементарность + матричный эффект</x:v>
      </x:c>
      <x:c r="F23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3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34" s="28" t="str">
        <x:v>Высокая кислотность может свернуть молочный белок; смешивать при контролируемой температуре.</x:v>
      </x:c>
      <x:c r="I234" s="28" t="str">
        <x:v>сорбет, крем, ганаш, выпечка, джем или соус для десерта; соус, глазировка, салат, сырная подача или горячее блюдо</x:v>
      </x:c>
      <x:c r="J234" s="28" t="str">
        <x:v>Средняя</x:v>
      </x:c>
      <x:c r="K234" s="28" t="str">
        <x:v>The Art &amp; Science of Foodpairing</x:v>
      </x:c>
      <x:c r="L234" s="28" t="str">
        <x:v>The Art &amp; Science of Foodpairing: 200</x:v>
      </x:c>
    </x:row>
    <x:row r="235" ht="62" customHeight="1">
      <x:c r="A235" s="28" t="str">
        <x:v>BER-0618</x:v>
      </x:c>
      <x:c r="B235" s="28" t="str">
        <x:v>черешня</x:v>
      </x:c>
      <x:c r="C235" s="28" t="str">
        <x:v>ананас</x:v>
      </x:c>
      <x:c r="D235" s="28" t="str">
        <x:v>Фрукты</x:v>
      </x:c>
      <x:c r="E235" s="28" t="str">
        <x:v>ароматическое сходство + вкусовой баланс</x:v>
      </x:c>
      <x:c r="F235" s="28" t="str">
        <x:v>Прямой вероятный молекулярный мост: эфиры. Ягодный компонент несёт семейства миндальный, сладко-фруктовый, цветочный; партнёр — зелёный, фруктовый, цветочный. Оба компонента формируют сладкий, умеренно кислый и сладко-кислый контур; сахар, кислота и горечь должны быть выровнены дегустацией. Ягода: нежнее кислой вишни; легко становится приторной.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5" s="28" t="str">
        <x:v>Не использовать повреждённые косточки без валидированной технологии: они содержат цианогенные гликозиды.</x:v>
      </x:c>
      <x:c r="I23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35" s="28" t="str">
        <x:v>Средняя</x:v>
      </x:c>
      <x:c r="K235" s="28" t="str">
        <x:v>The Art &amp; Science of Foodpairing</x:v>
      </x:c>
      <x:c r="L235" s="28" t="str">
        <x:v>The Art &amp; Science of Foodpairing: 243</x:v>
      </x:c>
    </x:row>
    <x:row r="236" ht="62" customHeight="1">
      <x:c r="A236" s="28" t="str">
        <x:v>BER-0621</x:v>
      </x:c>
      <x:c r="B236" s="28" t="str">
        <x:v>черешня</x:v>
      </x:c>
      <x:c r="C236" s="28" t="str">
        <x:v>голубой сыр</x:v>
      </x:c>
      <x:c r="D236" s="28" t="str">
        <x:v>Молочные продукты и сыры</x:v>
      </x:c>
      <x:c r="E236" s="28" t="str">
        <x:v>контраст/комплементарность + матричный эффект</x:v>
      </x:c>
      <x:c r="F23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3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36" s="28" t="str">
        <x:v>Не использовать повреждённые косточки без валидированной технологии: они содержат цианогенные гликозиды. Высокая кислотность может свернуть молочный белок; смешивать при контролируемой температуре.</x:v>
      </x:c>
      <x:c r="I236" s="28" t="str">
        <x:v>сорбет, крем, ганаш, выпечка, джем или соус для десерта; соус, глазировка, салат, сырная подача или горячее блюдо</x:v>
      </x:c>
      <x:c r="J236" s="28" t="str">
        <x:v>Средняя</x:v>
      </x:c>
      <x:c r="K236" s="28" t="str">
        <x:v>The Art &amp; Science of Foodpairing</x:v>
      </x:c>
      <x:c r="L236" s="28" t="str">
        <x:v>The Art &amp; Science of Foodpairing: 164</x:v>
      </x:c>
    </x:row>
    <x:row r="237" ht="62" customHeight="1">
      <x:c r="A237" s="28" t="str">
        <x:v>BER-0623</x:v>
      </x:c>
      <x:c r="B237" s="28" t="str">
        <x:v>черешня</x:v>
      </x:c>
      <x:c r="C237" s="28" t="str">
        <x:v>имбирь</x:v>
      </x:c>
      <x:c r="D237" s="28" t="str">
        <x:v>Специи</x:v>
      </x:c>
      <x:c r="E237" s="28" t="str">
        <x:v>контраст/комплементарность + матричный эффект</x:v>
      </x:c>
      <x:c r="F23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7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23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37" s="28" t="str">
        <x:v>Средняя</x:v>
      </x:c>
      <x:c r="K237" s="28" t="str">
        <x:v>The Art &amp; Science of Foodpairing</x:v>
      </x:c>
      <x:c r="L237" s="28" t="str">
        <x:v>The Art &amp; Science of Foodpairing: 142</x:v>
      </x:c>
    </x:row>
    <x:row r="238" ht="62" customHeight="1">
      <x:c r="A238" s="28" t="str">
        <x:v>BER-0624</x:v>
      </x:c>
      <x:c r="B238" s="28" t="str">
        <x:v>черешня</x:v>
      </x:c>
      <x:c r="C238" s="28" t="str">
        <x:v>картофель фри</x:v>
      </x:c>
      <x:c r="D238" s="28" t="str">
        <x:v>Злаки и выпечка</x:v>
      </x:c>
      <x:c r="E238" s="28" t="str">
        <x:v>контраст/комплементарность + матричный эффект</x:v>
      </x:c>
      <x:c r="F23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жареный, зерновой, солодовый. Оба компонента формируют сладкий, умеренно кислый и крахмалистый, сладковатый контур; сахар, кислота и горечь должны быть выровнены дегустацией. Ягода: нежнее кислой вишни; легко становится приторной. Партнёр: крахмал и сухая пористая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8" s="28" t="str">
        <x:v>Не использовать повреждённые косточки без валидированной технологии: они содержат цианогенные гликозиды.</x:v>
      </x:c>
      <x:c r="I238" s="28" t="str">
        <x:v>сорбет, крем, ганаш, выпечка, джем или соус для десерта</x:v>
      </x:c>
      <x:c r="J238" s="28" t="str">
        <x:v>Средняя</x:v>
      </x:c>
      <x:c r="K238" s="28" t="str">
        <x:v>The Art &amp; Science of Foodpairing</x:v>
      </x:c>
      <x:c r="L238" s="28" t="str">
        <x:v>The Art &amp; Science of Foodpairing: 197</x:v>
      </x:c>
    </x:row>
    <x:row r="239" ht="62" customHeight="1">
      <x:c r="A239" s="28" t="str">
        <x:v>BER-0625</x:v>
      </x:c>
      <x:c r="B239" s="28" t="str">
        <x:v>черешня</x:v>
      </x:c>
      <x:c r="C239" s="28" t="str">
        <x:v>кофе</x:v>
      </x:c>
      <x:c r="D239" s="28" t="str">
        <x:v>Шоколад, кофе и жареные продукты</x:v>
      </x:c>
      <x:c r="E239" s="28" t="str">
        <x:v>контраст/комплементарность + матричный эффект</x:v>
      </x:c>
      <x:c r="F23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9" s="28" t="str">
        <x:v>Не использовать повреждённые косточки без валидированной технологии: они содержат цианогенные гликозиды.</x:v>
      </x:c>
      <x:c r="I239" s="28" t="str">
        <x:v>сорбет, крем, ганаш, выпечка, джем или соус для десерта</x:v>
      </x:c>
      <x:c r="J239" s="28" t="str">
        <x:v>Средняя</x:v>
      </x:c>
      <x:c r="K239" s="28" t="str">
        <x:v>The Art &amp; Science of Foodpairing</x:v>
      </x:c>
      <x:c r="L239" s="28" t="str">
        <x:v>The Art &amp; Science of Foodpairing: 297</x:v>
      </x:c>
    </x:row>
    <x:row r="240" ht="62" customHeight="1">
      <x:c r="A240" s="28" t="str">
        <x:v>BER-0630</x:v>
      </x:c>
      <x:c r="B240" s="28" t="str">
        <x:v>черешня</x:v>
      </x:c>
      <x:c r="C240" s="28" t="str">
        <x:v>оливковое масло</x:v>
      </x:c>
      <x:c r="D240" s="28" t="str">
        <x:v>Молочные продукты и сыры</x:v>
      </x:c>
      <x:c r="E240" s="28" t="str">
        <x:v>контраст/комплементарность + матричный эффект</x:v>
      </x:c>
      <x:c r="F24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4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40" s="28" t="str">
        <x:v>Не использовать повреждённые косточки без валидированной технологии: они содержат цианогенные гликозиды. Высокая кислотность может свернуть молочный белок; смешивать при контролируемой температуре.</x:v>
      </x:c>
      <x:c r="I240" s="28" t="str">
        <x:v>сорбет, крем, ганаш, выпечка, джем или соус для десерта; соус, глазировка, салат, сырная подача или горячее блюдо</x:v>
      </x:c>
      <x:c r="J240" s="28" t="str">
        <x:v>Средняя</x:v>
      </x:c>
      <x:c r="K240" s="28" t="str">
        <x:v>The Art &amp; Science of Foodpairing</x:v>
      </x:c>
      <x:c r="L240" s="28" t="str">
        <x:v>The Art &amp; Science of Foodpairing: 172</x:v>
      </x:c>
    </x:row>
    <x:row r="241" ht="62" customHeight="1">
      <x:c r="A241" s="28" t="str">
        <x:v>BER-0631</x:v>
      </x:c>
      <x:c r="B241" s="28" t="str">
        <x:v>черешня</x:v>
      </x:c>
      <x:c r="C241" s="28" t="str">
        <x:v>перец чили</x:v>
      </x:c>
      <x:c r="D241" s="28" t="str">
        <x:v>Специи</x:v>
      </x:c>
      <x:c r="E241" s="28" t="str">
        <x:v>контраст/комплементарность + матричный эффект</x:v>
      </x:c>
      <x:c r="F24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1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24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41" s="28" t="str">
        <x:v>Средняя</x:v>
      </x:c>
      <x:c r="K241" s="28" t="str">
        <x:v>The Art &amp; Science of Foodpairing</x:v>
      </x:c>
      <x:c r="L241" s="28" t="str">
        <x:v>The Art &amp; Science of Foodpairing: 95</x:v>
      </x:c>
    </x:row>
    <x:row r="242" ht="62" customHeight="1">
      <x:c r="A242" s="28" t="str">
        <x:v>BER-0632</x:v>
      </x:c>
      <x:c r="B242" s="28" t="str">
        <x:v>черешня</x:v>
      </x:c>
      <x:c r="C242" s="28" t="str">
        <x:v>персик</x:v>
      </x:c>
      <x:c r="D242" s="28" t="str">
        <x:v>Фрукты</x:v>
      </x:c>
      <x:c r="E242" s="28" t="str">
        <x:v>ароматическое сходство + вкусовой баланс</x:v>
      </x:c>
      <x:c r="F242" s="28" t="str">
        <x:v>Прямой вероятный молекулярный мост: эфиры. Ягодный компонент несёт семейства миндальный, сладко-фруктовый, цветочный; партнёр — зелёный, фруктовый, цветочный. Оба компонента формируют сладкий, умеренно кислый и сладко-кислый контур; сахар, кислота и горечь должны быть выровнены дегустацией. Ягода: нежнее кислой вишни; легко становится приторной.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2" s="28" t="str">
        <x:v>Не использовать повреждённые косточки без валидированной технологии: они содержат цианогенные гликозиды.</x:v>
      </x:c>
      <x:c r="I242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42" s="28" t="str">
        <x:v>Средняя</x:v>
      </x:c>
      <x:c r="K242" s="28" t="str">
        <x:v>The Art &amp; Science of Foodpairing</x:v>
      </x:c>
      <x:c r="L242" s="28" t="str">
        <x:v>The Art &amp; Science of Foodpairing: 260, 261</x:v>
      </x:c>
    </x:row>
    <x:row r="243" ht="62" customHeight="1">
      <x:c r="A243" s="28" t="str">
        <x:v>BER-0638</x:v>
      </x:c>
      <x:c r="B243" s="28" t="str">
        <x:v>чёрная смородина</x:v>
      </x:c>
      <x:c r="C243" s="28" t="str">
        <x:v>ананас</x:v>
      </x:c>
      <x:c r="D243" s="28" t="str">
        <x:v>Фрукты</x:v>
      </x:c>
      <x:c r="E243" s="28" t="str">
        <x:v>ароматическое сходство + вкусовой баланс</x:v>
      </x:c>
      <x:c r="F243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фруктовый, цветочный. Оба компонента формируют ярко-кислый, терпкий и сладко-кислый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3" s="28" t="str">
        <x:v>Тиольный профиль чёрной смородины легко доминирует и при избытке становится сернисто-«кошачьим».</x:v>
      </x:c>
      <x:c r="I24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43" s="28" t="str">
        <x:v>Средняя</x:v>
      </x:c>
      <x:c r="K243" s="28" t="str">
        <x:v>The Art &amp; Science of Foodpairing</x:v>
      </x:c>
      <x:c r="L243" s="28" t="str">
        <x:v>The Art &amp; Science of Foodpairing: 243</x:v>
      </x:c>
    </x:row>
    <x:row r="244" ht="62" customHeight="1">
      <x:c r="A244" s="28" t="str">
        <x:v>BER-0639</x:v>
      </x:c>
      <x:c r="B244" s="28" t="str">
        <x:v>чёрная смородина</x:v>
      </x:c>
      <x:c r="C244" s="28" t="str">
        <x:v>анис</x:v>
      </x:c>
      <x:c r="D244" s="28" t="str">
        <x:v>Специи</x:v>
      </x:c>
      <x:c r="E244" s="28" t="str">
        <x:v>ароматическое сходство + вкусовой баланс</x:v>
      </x:c>
      <x:c r="F244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4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I24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44" s="28" t="str">
        <x:v>Высокая</x:v>
      </x:c>
      <x:c r="K244" s="28" t="str">
        <x:v>Тезариус вкусов</x:v>
      </x:c>
      <x:c r="L244" s="28" t="str">
        <x:v>Тезариус вкусов: 488, 873</x:v>
      </x:c>
    </x:row>
    <x:row r="245" ht="62" customHeight="1">
      <x:c r="A245" s="28" t="str">
        <x:v>BER-0642</x:v>
      </x:c>
      <x:c r="B245" s="28" t="str">
        <x:v>чёрная смородина</x:v>
      </x:c>
      <x:c r="C245" s="28" t="str">
        <x:v>голубой сыр</x:v>
      </x:c>
      <x:c r="D245" s="28" t="str">
        <x:v>Молочные продукты и сыры</x:v>
      </x:c>
      <x:c r="E245" s="28" t="str">
        <x:v>контраст/комплементарность + матричный эффект</x:v>
      </x:c>
      <x:c r="F24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4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45" s="28" t="str">
        <x:v>Тиольный профиль чёрной смородины легко доминирует и при избытке становится сернисто-«кошачьим». Высокая кислотность может свернуть молочный белок; смешивать при контролируемой температуре.</x:v>
      </x:c>
      <x:c r="I245" s="28" t="str">
        <x:v>сорбет, крем, ганаш, выпечка, джем или соус для десерта; соус, глазировка, салат, сырная подача или горячее блюдо</x:v>
      </x:c>
      <x:c r="J245" s="28" t="str">
        <x:v>Средняя</x:v>
      </x:c>
      <x:c r="K245" s="28" t="str">
        <x:v>The Art &amp; Science of Foodpairing</x:v>
      </x:c>
      <x:c r="L245" s="28" t="str">
        <x:v>The Art &amp; Science of Foodpairing: 164</x:v>
      </x:c>
    </x:row>
    <x:row r="246" ht="62" customHeight="1">
      <x:c r="A246" s="28" t="str">
        <x:v>BER-0644</x:v>
      </x:c>
      <x:c r="B246" s="28" t="str">
        <x:v>чёрная смородина</x:v>
      </x:c>
      <x:c r="C246" s="28" t="str">
        <x:v>груша</x:v>
      </x:c>
      <x:c r="D246" s="28" t="str">
        <x:v>Фрукты</x:v>
      </x:c>
      <x:c r="E246" s="28" t="str">
        <x:v>ароматическое сходство + вкусовой баланс</x:v>
      </x:c>
      <x:c r="F246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фруктовый, цветочный. Оба компонента формируют ярко-кислый, терпкий и сладко-кислый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6" s="28" t="str">
        <x:v>Тиольный профиль чёрной смородины легко доминирует и при избытке становится сернисто-«кошачьим».</x:v>
      </x:c>
      <x:c r="I24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46" s="28" t="str">
        <x:v>Средняя</x:v>
      </x:c>
      <x:c r="K246" s="28" t="str">
        <x:v>Таблица сочетаний</x:v>
      </x:c>
      <x:c r="L246" s="28" t="str">
        <x:v>Таблица сочетаний: 2</x:v>
      </x:c>
    </x:row>
    <x:row r="247" ht="62" customHeight="1">
      <x:c r="A247" s="28" t="str">
        <x:v>BER-0647</x:v>
      </x:c>
      <x:c r="B247" s="28" t="str">
        <x:v>чёрная смородина</x:v>
      </x:c>
      <x:c r="C247" s="28" t="str">
        <x:v>имбирь</x:v>
      </x:c>
      <x:c r="D247" s="28" t="str">
        <x:v>Специи</x:v>
      </x:c>
      <x:c r="E247" s="28" t="str">
        <x:v>ароматическое сходство + вкусовой баланс</x:v>
      </x:c>
      <x:c r="F247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7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I24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47" s="28" t="str">
        <x:v>Средняя</x:v>
      </x:c>
      <x:c r="K247" s="28" t="str">
        <x:v>Таблица сочетаний</x:v>
      </x:c>
      <x:c r="L247" s="28" t="str">
        <x:v>Таблица сочетаний: 2</x:v>
      </x:c>
    </x:row>
    <x:row r="248" ht="62" customHeight="1">
      <x:c r="A248" s="28" t="str">
        <x:v>BER-0648</x:v>
      </x:c>
      <x:c r="B248" s="28" t="str">
        <x:v>чёрная смородина</x:v>
      </x:c>
      <x:c r="C248" s="28" t="str">
        <x:v>инжир</x:v>
      </x:c>
      <x:c r="D248" s="28" t="str">
        <x:v>Фрукты</x:v>
      </x:c>
      <x:c r="E248" s="28" t="str">
        <x:v>ароматическое сходство + вкусовой баланс</x:v>
      </x:c>
      <x:c r="F248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фруктовый, цветочный. Оба компонента формируют ярко-кислый, терпкий и сладко-кислый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8" s="28" t="str">
        <x:v>Тиольный профиль чёрной смородины легко доминирует и при избытке становится сернисто-«кошачьим».</x:v>
      </x:c>
      <x:c r="I24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48" s="28" t="str">
        <x:v>Средняя</x:v>
      </x:c>
      <x:c r="K248" s="28" t="str">
        <x:v>Таблица сочетаний</x:v>
      </x:c>
      <x:c r="L248" s="28" t="str">
        <x:v>Таблица сочетаний: 2</x:v>
      </x:c>
    </x:row>
    <x:row r="249" ht="62" customHeight="1">
      <x:c r="A249" s="28" t="str">
        <x:v>BER-0649</x:v>
      </x:c>
      <x:c r="B249" s="28" t="str">
        <x:v>чёрная смородина</x:v>
      </x:c>
      <x:c r="C249" s="28" t="str">
        <x:v>кофе</x:v>
      </x:c>
      <x:c r="D249" s="28" t="str">
        <x:v>Шоколад, кофе и жареные продукты</x:v>
      </x:c>
      <x:c r="E249" s="28" t="str">
        <x:v>контраст/комплементарность + матричный эффект</x:v>
      </x:c>
      <x:c r="F24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9" s="28" t="str">
        <x:v>Тиольный профиль чёрной смородины легко доминирует и при избытке становится сернисто-«кошачьим».</x:v>
      </x:c>
      <x:c r="I249" s="28" t="str">
        <x:v>сорбет, крем, ганаш, выпечка, джем или соус для десерта</x:v>
      </x:c>
      <x:c r="J249" s="28" t="str">
        <x:v>Высокая</x:v>
      </x:c>
      <x:c r="K249" s="28" t="str">
        <x:v>Тезариус вкусов</x:v>
      </x:c>
      <x:c r="L249" s="28" t="str">
        <x:v>Тезариус вкусов: 48, 877</x:v>
      </x:c>
    </x:row>
    <x:row r="250" ht="62" customHeight="1">
      <x:c r="A250" s="28" t="str">
        <x:v>BER-0650</x:v>
      </x:c>
      <x:c r="B250" s="28" t="str">
        <x:v>чёрная смородина</x:v>
      </x:c>
      <x:c r="C250" s="28" t="str">
        <x:v>красный сладкий перец</x:v>
      </x:c>
      <x:c r="D250" s="28" t="str">
        <x:v>Специи</x:v>
      </x:c>
      <x:c r="E250" s="28" t="str">
        <x:v>ароматическое сходство + вкусовой баланс</x:v>
      </x:c>
      <x:c r="F250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0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I25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50" s="28" t="str">
        <x:v>Средняя</x:v>
      </x:c>
      <x:c r="K250" s="28" t="str">
        <x:v>The Art &amp; Science of Foodpairing</x:v>
      </x:c>
      <x:c r="L250" s="28" t="str">
        <x:v>The Art &amp; Science of Foodpairing: 109</x:v>
      </x:c>
    </x:row>
    <x:row r="251" ht="62" customHeight="1">
      <x:c r="A251" s="28" t="str">
        <x:v>BER-0653</x:v>
      </x:c>
      <x:c r="B251" s="28" t="str">
        <x:v>чёрная смородина</x:v>
      </x:c>
      <x:c r="C251" s="28" t="str">
        <x:v>миндаль</x:v>
      </x:c>
      <x:c r="D251" s="28" t="str">
        <x:v>Орехи и семена</x:v>
      </x:c>
      <x:c r="E251" s="28" t="str">
        <x:v>контраст/комплементарность + матричный эффект</x:v>
      </x:c>
      <x:c r="F25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1" s="28" t="str">
        <x:v>Тиольный профиль чёрной смородины легко доминирует и при избытке становится сернисто-«кошачьим».</x:v>
      </x:c>
      <x:c r="I251" s="28" t="str">
        <x:v>сорбет, крем, ганаш, выпечка, джем или соус для десерта</x:v>
      </x:c>
      <x:c r="J251" s="28" t="str">
        <x:v>Высокая</x:v>
      </x:c>
      <x:c r="K251" s="28" t="str">
        <x:v>Таблица сочетаний; Тезариус вкусов</x:v>
      </x:c>
      <x:c r="L251" s="28" t="str">
        <x:v>Тезариус вкусов: 649, 877; Таблица сочетаний: 2</x:v>
      </x:c>
    </x:row>
    <x:row r="252" ht="62" customHeight="1">
      <x:c r="A252" s="28" t="str">
        <x:v>BER-0656</x:v>
      </x:c>
      <x:c r="B252" s="28" t="str">
        <x:v>чёрная смородина</x:v>
      </x:c>
      <x:c r="C252" s="28" t="str">
        <x:v>мягкий сыр</x:v>
      </x:c>
      <x:c r="D252" s="28" t="str">
        <x:v>Молочные продукты и сыры</x:v>
      </x:c>
      <x:c r="E252" s="28" t="str">
        <x:v>контраст/комплементарность + матричный эффект</x:v>
      </x:c>
      <x:c r="F25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5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52" s="28" t="str">
        <x:v>Тиольный профиль чёрной смородины легко доминирует и при избытке становится сернисто-«кошачьим». Высокая кислотность может свернуть молочный белок; смешивать при контролируемой температуре.</x:v>
      </x:c>
      <x:c r="I252" s="28" t="str">
        <x:v>сорбет, крем, ганаш, выпечка, джем или соус для десерта; соус, глазировка, салат, сырная подача или горячее блюдо</x:v>
      </x:c>
      <x:c r="J252" s="28" t="str">
        <x:v>Высокая</x:v>
      </x:c>
      <x:c r="K252" s="28" t="str">
        <x:v>Тезариус вкусов</x:v>
      </x:c>
      <x:c r="L252" s="28" t="str">
        <x:v>Тезариус вкусов: 188, 878</x:v>
      </x:c>
    </x:row>
    <x:row r="253" ht="62" customHeight="1">
      <x:c r="A253" s="28" t="str">
        <x:v>BER-0659</x:v>
      </x:c>
      <x:c r="B253" s="28" t="str">
        <x:v>чёрная смородина</x:v>
      </x:c>
      <x:c r="C253" s="28" t="str">
        <x:v>перец</x:v>
      </x:c>
      <x:c r="D253" s="28" t="str">
        <x:v>Специи</x:v>
      </x:c>
      <x:c r="E253" s="28" t="str">
        <x:v>ароматическое сходство + вкусовой баланс</x:v>
      </x:c>
      <x:c r="F253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3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I25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53" s="28" t="str">
        <x:v>Средняя</x:v>
      </x:c>
      <x:c r="K253" s="28" t="str">
        <x:v>Таблица сочетаний</x:v>
      </x:c>
      <x:c r="L253" s="28" t="str">
        <x:v>Таблица сочетаний: 2</x:v>
      </x:c>
    </x:row>
    <x:row r="254" ht="62" customHeight="1">
      <x:c r="A254" s="28" t="str">
        <x:v>BER-0660</x:v>
      </x:c>
      <x:c r="B254" s="28" t="str">
        <x:v>чёрная смородина</x:v>
      </x:c>
      <x:c r="C254" s="28" t="str">
        <x:v>персик</x:v>
      </x:c>
      <x:c r="D254" s="28" t="str">
        <x:v>Фрукты</x:v>
      </x:c>
      <x:c r="E254" s="28" t="str">
        <x:v>ароматическое сходство + вкусовой баланс</x:v>
      </x:c>
      <x:c r="F254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фруктовый, цветочный. Оба компонента формируют ярко-кислый, терпкий и сладко-кислый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4" s="28" t="str">
        <x:v>Тиольный профиль чёрной смородины легко доминирует и при избытке становится сернисто-«кошачьим».</x:v>
      </x:c>
      <x:c r="I254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54" s="28" t="str">
        <x:v>Средняя</x:v>
      </x:c>
      <x:c r="K254" s="28" t="str">
        <x:v>Таблица сочетаний</x:v>
      </x:c>
      <x:c r="L254" s="28" t="str">
        <x:v>Таблица сочетаний: 2</x:v>
      </x:c>
    </x:row>
    <x:row r="255" ht="62" customHeight="1">
      <x:c r="A255" s="28" t="str">
        <x:v>BER-0670</x:v>
      </x:c>
      <x:c r="B255" s="28" t="str">
        <x:v>чёрная смородина</x:v>
      </x:c>
      <x:c r="C255" s="28" t="str">
        <x:v>чёрный перец</x:v>
      </x:c>
      <x:c r="D255" s="28" t="str">
        <x:v>Специи</x:v>
      </x:c>
      <x:c r="E255" s="28" t="str">
        <x:v>ароматическое сходство + вкусовой баланс</x:v>
      </x:c>
      <x:c r="F255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5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I25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55" s="28" t="str">
        <x:v>Средняя</x:v>
      </x:c>
      <x:c r="K255" s="28" t="str">
        <x:v>The Art &amp; Science of Foodpairing</x:v>
      </x:c>
      <x:c r="L255" s="28" t="str">
        <x:v>The Art &amp; Science of Foodpairing: 273</x:v>
      </x:c>
    </x:row>
    <x:row r="256" ht="62" customHeight="1">
      <x:c r="A256" s="28" t="str">
        <x:v>BER-0672</x:v>
      </x:c>
      <x:c r="B256" s="28" t="str">
        <x:v>чёрная смородина</x:v>
      </x:c>
      <x:c r="C256" s="28" t="str">
        <x:v>шоколад</x:v>
      </x:c>
      <x:c r="D256" s="28" t="str">
        <x:v>Шоколад, кофе и жареные продукты</x:v>
      </x:c>
      <x:c r="E256" s="28" t="str">
        <x:v>контраст/комплементарность + матричный эффект</x:v>
      </x:c>
      <x:c r="F25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6" s="28" t="str">
        <x:v>Тиольный профиль чёрной смородины легко доминирует и при избытке становится сернисто-«кошачьим».</x:v>
      </x:c>
      <x:c r="I256" s="28" t="str">
        <x:v>сорбет, крем, ганаш, выпечка, джем или соус для десерта</x:v>
      </x:c>
      <x:c r="J256" s="28" t="str">
        <x:v>Высокая</x:v>
      </x:c>
      <x:c r="K256" s="28" t="str">
        <x:v>Тезариус вкусов</x:v>
      </x:c>
      <x:c r="L256" s="28" t="str">
        <x:v>Тезариус вкусов: 37, 878</x:v>
      </x:c>
    </x:row>
    <x:row r="257" ht="62" customHeight="1">
      <x:c r="A257" s="28" t="str">
        <x:v>BER-0673</x:v>
      </x:c>
      <x:c r="B257" s="28" t="str">
        <x:v>чёрная смородина</x:v>
      </x:c>
      <x:c r="C257" s="28" t="str">
        <x:v>яблоко</x:v>
      </x:c>
      <x:c r="D257" s="28" t="str">
        <x:v>Фрукты</x:v>
      </x:c>
      <x:c r="E257" s="28" t="str">
        <x:v>ароматическое сходство + вкусовой баланс</x:v>
      </x:c>
      <x:c r="F257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фруктовый, цветочный. Оба компонента формируют ярко-кислый, терпкий и сладко-кислый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7" s="28" t="str">
        <x:v>Тиольный профиль чёрной смородины легко доминирует и при избытке становится сернисто-«кошачьим».</x:v>
      </x:c>
      <x:c r="I257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57" s="28" t="str">
        <x:v>Высокая</x:v>
      </x:c>
      <x:c r="K257" s="28" t="str">
        <x:v>The Art &amp; Science of Foodpairing; Таблица сочетаний</x:v>
      </x:c>
      <x:c r="L257" s="28" t="str">
        <x:v>The Art &amp; Science of Foodpairing: 49; Таблица сочетаний: 2</x:v>
      </x:c>
    </x:row>
    <x:row r="258" ht="62" customHeight="1">
      <x:c r="A258" s="28" t="str">
        <x:v>BER-0674</x:v>
      </x:c>
      <x:c r="B258" s="28" t="str">
        <x:v>черника</x:v>
      </x:c>
      <x:c r="C258" s="28" t="str">
        <x:v>арбуз</x:v>
      </x:c>
      <x:c r="D258" s="28" t="str">
        <x:v>Фрукты</x:v>
      </x:c>
      <x:c r="E258" s="28" t="str">
        <x:v>ароматическое сходство + вкусовой баланс</x:v>
      </x:c>
      <x:c r="F258" s="28" t="str">
        <x:v>Прямой вероятный молекулярный мост: терпены, эфиры. Ягодный компонент несёт семейства древесный,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антоцианы отвечают за цвет, но не за основной запах.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5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58" s="28" t="str">
        <x:v>Средняя</x:v>
      </x:c>
      <x:c r="K258" s="28" t="str">
        <x:v>The Art &amp; Science of Foodpairing</x:v>
      </x:c>
      <x:c r="L258" s="28" t="str">
        <x:v>The Art &amp; Science of Foodpairing: 79</x:v>
      </x:c>
    </x:row>
    <x:row r="259" ht="62" customHeight="1">
      <x:c r="A259" s="28" t="str">
        <x:v>BER-0676</x:v>
      </x:c>
      <x:c r="B259" s="28" t="str">
        <x:v>черника</x:v>
      </x:c>
      <x:c r="C259" s="28" t="str">
        <x:v>голубой сыр</x:v>
      </x:c>
      <x:c r="D259" s="28" t="str">
        <x:v>Молочные продукты и сыры</x:v>
      </x:c>
      <x:c r="E259" s="28" t="str">
        <x:v>контраст/комплементарность + матричный эффект</x:v>
      </x:c>
      <x:c r="F25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тёмно-фруктовый, цветочный; партнёр — масляный, молочный, сливочный, сырный. Кислотность и терпкость ягод режут ощущение жира и сладости; жирный, кислый/солёный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G25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Добавлять кислотный компонент следует постепенно, чтобы не вызвать нежелательное свёртывание белка.</x:v>
      </x:c>
      <x:c r="H259" s="28" t="str">
        <x:v>Высокая кислотность может свернуть молочный белок; смешивать при контролируемой температуре.</x:v>
      </x:c>
      <x:c r="I259" s="28" t="str">
        <x:v>сорбет, крем, ганаш, выпечка, джем или соус для десерта; соус, глазировка, салат, сырная подача или горячее блюдо</x:v>
      </x:c>
      <x:c r="J259" s="28" t="str">
        <x:v>Высокая</x:v>
      </x:c>
      <x:c r="K259" s="28" t="str">
        <x:v>The Art &amp; Science of Foodpairing; Тезариус вкусов</x:v>
      </x:c>
      <x:c r="L259" s="28" t="str">
        <x:v>Тезариус вкусов: 162, 904; The Art &amp; Science of Foodpairing: 165</x:v>
      </x:c>
    </x:row>
    <x:row r="260" ht="62" customHeight="1">
      <x:c r="A260" s="28" t="str">
        <x:v>BER-0678</x:v>
      </x:c>
      <x:c r="B260" s="28" t="str">
        <x:v>черника</x:v>
      </x:c>
      <x:c r="C260" s="28" t="str">
        <x:v>корица</x:v>
      </x:c>
      <x:c r="D260" s="28" t="str">
        <x:v>Специи</x:v>
      </x:c>
      <x:c r="E260" s="28" t="str">
        <x:v>ароматическое сходство + вкусовой баланс</x:v>
      </x:c>
      <x:c r="F260" s="28" t="str">
        <x:v>Прямой вероятный молекулярный мост: терпены. Ягодный компонент несёт семейства древесный,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0" s="28" t="str">
        <x:v>Пряность дозировать как акцент: она быстро перекрывает тонкие ягодные эфиры.</x:v>
      </x:c>
      <x:c r="I26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60" s="28" t="str">
        <x:v>Высокая</x:v>
      </x:c>
      <x:c r="K260" s="28" t="str">
        <x:v>Тезариус вкусов</x:v>
      </x:c>
      <x:c r="L260" s="28" t="str">
        <x:v>Тезариус вкусов: 580, 905</x:v>
      </x:c>
    </x:row>
    <x:row r="261" ht="62" customHeight="1">
      <x:c r="A261" s="28" t="str">
        <x:v>BER-0680</x:v>
      </x:c>
      <x:c r="B261" s="28" t="str">
        <x:v>черника</x:v>
      </x:c>
      <x:c r="C261" s="28" t="str">
        <x:v>манго</x:v>
      </x:c>
      <x:c r="D261" s="28" t="str">
        <x:v>Фрукты</x:v>
      </x:c>
      <x:c r="E261" s="28" t="str">
        <x:v>ароматическое сходство + вкусовой баланс</x:v>
      </x:c>
      <x:c r="F261" s="28" t="str">
        <x:v>Прямой вероятный молекулярный мост: терпены, эфиры. Ягодный компонент несёт семейства древесный,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антоцианы отвечают за цвет, но не за основной запах.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61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61" s="28" t="str">
        <x:v>Средняя</x:v>
      </x:c>
      <x:c r="K261" s="28" t="str">
        <x:v>The Art &amp; Science of Foodpairing</x:v>
      </x:c>
      <x:c r="L261" s="28" t="str">
        <x:v>The Art &amp; Science of Foodpairing: 313</x:v>
      </x:c>
    </x:row>
    <x:row r="262" ht="62" customHeight="1">
      <x:c r="A262" s="28" t="str">
        <x:v>BER-0681</x:v>
      </x:c>
      <x:c r="B262" s="28" t="str">
        <x:v>черника</x:v>
      </x:c>
      <x:c r="C262" s="28" t="str">
        <x:v>миндаль</x:v>
      </x:c>
      <x:c r="D262" s="28" t="str">
        <x:v>Орехи и семена</x:v>
      </x:c>
      <x:c r="E262" s="28" t="str">
        <x:v>контраст/комплементарность + матричный эффект</x:v>
      </x:c>
      <x:c r="F26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тёмно-фруктовый, цветочный;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62" s="28" t="str">
        <x:v>сорбет, крем, ганаш, выпечка, джем или соус для десерта</x:v>
      </x:c>
      <x:c r="J262" s="28" t="str">
        <x:v>Высокая</x:v>
      </x:c>
      <x:c r="K262" s="28" t="str">
        <x:v>Тезариус вкусов</x:v>
      </x:c>
      <x:c r="L262" s="28" t="str">
        <x:v>Тезариус вкусов: 649, 905</x:v>
      </x:c>
    </x:row>
    <x:row r="263" ht="62" customHeight="1">
      <x:c r="A263" s="28" t="str">
        <x:v>BER-0683</x:v>
      </x:c>
      <x:c r="B263" s="28" t="str">
        <x:v>черника</x:v>
      </x:c>
      <x:c r="C263" s="28" t="str">
        <x:v>персик</x:v>
      </x:c>
      <x:c r="D263" s="28" t="str">
        <x:v>Фрукты</x:v>
      </x:c>
      <x:c r="E263" s="28" t="str">
        <x:v>ароматическое сходство + вкусовой баланс</x:v>
      </x:c>
      <x:c r="F263" s="28" t="str">
        <x:v>Прямой вероятный молекулярный мост: терпены, эфиры. Ягодный компонент несёт семейства древесный,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антоцианы отвечают за цвет, но не за основной запах.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63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63" s="28" t="str">
        <x:v>Высокая</x:v>
      </x:c>
      <x:c r="K263" s="28" t="str">
        <x:v>Тезариус вкусов</x:v>
      </x:c>
      <x:c r="L263" s="28" t="str">
        <x:v>Тезариус вкусов: 751, 905</x:v>
      </x:c>
    </x:row>
    <x:row r="264" ht="62" customHeight="1">
      <x:c r="A264" s="28" t="str">
        <x:v>BER-0685</x:v>
      </x:c>
      <x:c r="B264" s="28" t="str">
        <x:v>черника</x:v>
      </x:c>
      <x:c r="C264" s="28" t="str">
        <x:v>шоколад</x:v>
      </x:c>
      <x:c r="D264" s="28" t="str">
        <x:v>Шоколад, кофе и жареные продукты</x:v>
      </x:c>
      <x:c r="E264" s="28" t="str">
        <x:v>контраст/комплементарность + матричный эффект</x:v>
      </x:c>
      <x:c r="F26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тёмно-фруктовый, цветочный;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64" s="28" t="str">
        <x:v>сорбет, крем, ганаш, выпечка, джем или соус для десерта</x:v>
      </x:c>
      <x:c r="J264" s="28" t="str">
        <x:v>Средняя</x:v>
      </x:c>
      <x:c r="K264" s="28" t="str">
        <x:v>The Art &amp; Science of Foodpairing</x:v>
      </x:c>
      <x:c r="L264" s="28" t="str">
        <x:v>The Art &amp; Science of Foodpairing: 63</x:v>
      </x:c>
    </x:row>
    <x:row r="265" ht="62" customHeight="1">
      <x:c r="A265" s="28" t="str">
        <x:v>BER-0686</x:v>
      </x:c>
      <x:c r="B265" s="28" t="str">
        <x:v>черника</x:v>
      </x:c>
      <x:c r="C265" s="28" t="str">
        <x:v>яблоко</x:v>
      </x:c>
      <x:c r="D265" s="28" t="str">
        <x:v>Фрукты</x:v>
      </x:c>
      <x:c r="E265" s="28" t="str">
        <x:v>ароматическое сходство + вкусовой баланс</x:v>
      </x:c>
      <x:c r="F265" s="28" t="str">
        <x:v>Прямой вероятный молекулярный мост: терпены, эфиры. Ягодный компонент несёт семейства древесный, зелёный, тёмно-фруктовый, цветочный; партнёр — зелёный, фруктовый, цветочный. Оба компонента формируют кисло-сладкий, терпкий и сладко-кислый контур; сахар, кислота и горечь должны быть выровнены дегустацией. Ягода: антоцианы отвечают за цвет, но не за основной запах.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6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65" s="28" t="str">
        <x:v>Высокая</x:v>
      </x:c>
      <x:c r="K265" s="28" t="str">
        <x:v>Тезариус вкусов</x:v>
      </x:c>
      <x:c r="L265" s="28" t="str">
        <x:v>Тезариус вкусов: 719, 905</x:v>
      </x:c>
    </x:row>
    <x:row r="266" ht="62" customHeight="1">
      <x:c r="A266" s="28" t="str">
        <x:v>BER-0687</x:v>
      </x:c>
      <x:c r="B266" s="28" t="str">
        <x:v>шелковица</x:v>
      </x:c>
      <x:c r="C266" s="28" t="str">
        <x:v>банан</x:v>
      </x:c>
      <x:c r="D266" s="28" t="str">
        <x:v>Фрукты</x:v>
      </x:c>
      <x:c r="E266" s="28" t="str">
        <x:v>ароматическое сходство + вкусовой баланс</x:v>
      </x:c>
      <x:c r="F266" s="28" t="str">
        <x:v>Прямой вероятный молекулярный мост: терпены, эфиры. Ягодный компонент несёт семейства джемовый,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мягкий аромат нуждается в кислотной опоре.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66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66" s="28" t="str">
        <x:v>Средняя</x:v>
      </x:c>
      <x:c r="K266" s="28" t="str">
        <x:v>The Art &amp; Science of Foodpairing</x:v>
      </x:c>
      <x:c r="L266" s="28" t="str">
        <x:v>The Art &amp; Science of Foodpairing: 342</x:v>
      </x:c>
    </x:row>
    <x:row r="267" ht="62" customHeight="1">
      <x:c r="A267" s="28" t="str">
        <x:v>BER-0695</x:v>
      </x:c>
      <x:c r="B267" s="28" t="str">
        <x:v>шелковица</x:v>
      </x:c>
      <x:c r="C267" s="28" t="str">
        <x:v>чёрный перец</x:v>
      </x:c>
      <x:c r="D267" s="28" t="str">
        <x:v>Специи</x:v>
      </x:c>
      <x:c r="E267" s="28" t="str">
        <x:v>ароматическое сходство + вкусовой баланс</x:v>
      </x:c>
      <x:c r="F267" s="28" t="str">
        <x:v>Прямой вероятный молекулярный мост: терпены. Ягодный компонент несёт семейства джемовый,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7" s="28" t="str">
        <x:v>Пряность дозировать как акцент: она быстро перекрывает тонкие ягодные эфиры.</x:v>
      </x:c>
      <x:c r="I26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67" s="28" t="str">
        <x:v>Средняя</x:v>
      </x:c>
      <x:c r="K267" s="28" t="str">
        <x:v>Таблица сочетаний</x:v>
      </x:c>
      <x:c r="L267" s="28" t="str">
        <x:v>Таблица сочетаний: 13</x:v>
      </x:c>
    </x:row>
    <x:row r="268" ht="62" customHeight="1">
      <x:c r="A268" s="28" t="str">
        <x:v>BER-0696</x:v>
      </x:c>
      <x:c r="B268" s="28" t="str">
        <x:v>шелковица</x:v>
      </x:c>
      <x:c r="C268" s="28" t="str">
        <x:v>яблоко</x:v>
      </x:c>
      <x:c r="D268" s="28" t="str">
        <x:v>Фрукты</x:v>
      </x:c>
      <x:c r="E268" s="28" t="str">
        <x:v>ароматическое сходство + вкусовой баланс</x:v>
      </x:c>
      <x:c r="F268" s="28" t="str">
        <x:v>Прямой вероятный молекулярный мост: терпены, эфиры. Ягодный компонент несёт семейства джемовый, фруктовый, цветочный; партнёр — зелёный, фруктовый, цветочный. Оба компонента формируют сладко-кислый и сладко-кислый контур; сахар, кислота и горечь должны быть выровнены дегустацией. Ягода: мягкий аромат нуждается в кислотной опоре.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68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68" s="28" t="str">
        <x:v>Средняя</x:v>
      </x:c>
      <x:c r="K268" s="28" t="str">
        <x:v>Таблица сочетаний</x:v>
      </x:c>
      <x:c r="L268" s="28" t="str">
        <x:v>Таблица сочетаний: 13</x:v>
      </x:c>
    </x:row>
    <x:row r="269" ht="62" customHeight="1">
      <x:c r="A269" s="28" t="str">
        <x:v>BER-0698</x:v>
      </x:c>
      <x:c r="B269" s="28" t="str">
        <x:v>ягоды асаи</x:v>
      </x:c>
      <x:c r="C269" s="28" t="str">
        <x:v>имбирь</x:v>
      </x:c>
      <x:c r="D269" s="28" t="str">
        <x:v>Специи</x:v>
      </x:c>
      <x:c r="E269" s="28" t="str">
        <x:v>контраст/комплементарность + матричный эффект</x:v>
      </x:c>
      <x:c r="F26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9" s="28" t="str">
        <x:v>Пряность дозировать как акцент: она быстро перекрывает тонкие ягодные эфиры.</x:v>
      </x:c>
      <x:c r="I26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69" s="28" t="str">
        <x:v>Средняя</x:v>
      </x:c>
      <x:c r="K269" s="28" t="str">
        <x:v>The Art &amp; Science of Foodpairing</x:v>
      </x:c>
      <x:c r="L269" s="28" t="str">
        <x:v>The Art &amp; Science of Foodpairing: 142</x:v>
      </x:c>
    </x:row>
    <x:row r="270" ht="62" customHeight="1">
      <x:c r="A270" s="28" t="str">
        <x:v>BER-0700</x:v>
      </x:c>
      <x:c r="B270" s="28" t="str">
        <x:v>ягоды асаи</x:v>
      </x:c>
      <x:c r="C270" s="28" t="str">
        <x:v>кунжут</x:v>
      </x:c>
      <x:c r="D270" s="28" t="str">
        <x:v>Орехи и семена</x:v>
      </x:c>
      <x:c r="E270" s="28" t="str">
        <x:v>контраст/комплементарность + матричный эффект</x:v>
      </x:c>
      <x:c r="F27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70" s="28" t="str">
        <x:v>сорбет, крем, ганаш, выпечка, джем или соус для десерта</x:v>
      </x:c>
      <x:c r="J270" s="28" t="str">
        <x:v>Средняя</x:v>
      </x:c>
      <x:c r="K270" s="28" t="str">
        <x:v>The Art &amp; Science of Foodpairing</x:v>
      </x:c>
      <x:c r="L270" s="28" t="str">
        <x:v>The Art &amp; Science of Foodpairing: 308</x:v>
      </x:c>
    </x:row>
    <x:row r="271" ht="62" customHeight="1">
      <x:c r="A271" s="28" t="str">
        <x:v>BER-0709</x:v>
      </x:c>
      <x:c r="B271" s="28" t="str">
        <x:v>ягоды годжи</x:v>
      </x:c>
      <x:c r="C271" s="28" t="str">
        <x:v>грецкий орех</x:v>
      </x:c>
      <x:c r="D271" s="28" t="str">
        <x:v>Орехи и семена</x:v>
      </x:c>
      <x:c r="E271" s="28" t="str">
        <x:v>контраст/комплементарность + матричный эффект</x:v>
      </x:c>
      <x:c r="F27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71" s="28" t="str">
        <x:v>сорбет, крем, ганаш, выпечка, джем или соус для десерта</x:v>
      </x:c>
      <x:c r="J271" s="28" t="str">
        <x:v>Средняя</x:v>
      </x:c>
      <x:c r="K271" s="28" t="str">
        <x:v>Таблица сочетаний</x:v>
      </x:c>
      <x:c r="L271" s="28" t="str">
        <x:v>Таблица сочетаний: 8</x:v>
      </x:c>
    </x:row>
    <x:row r="272" ht="62" customHeight="1">
      <x:c r="A272" s="28" t="str">
        <x:v>BER-0710</x:v>
      </x:c>
      <x:c r="B272" s="28" t="str">
        <x:v>ягоды годжи</x:v>
      </x:c>
      <x:c r="C272" s="28" t="str">
        <x:v>кешью</x:v>
      </x:c>
      <x:c r="D272" s="28" t="str">
        <x:v>Орехи и семена</x:v>
      </x:c>
      <x:c r="E272" s="28" t="str">
        <x:v>контраст/комплементарность + матричный эффект</x:v>
      </x:c>
      <x:c r="F27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72" s="28" t="str">
        <x:v>сорбет, крем, ганаш, выпечка, джем или соус для десерта</x:v>
      </x:c>
      <x:c r="J272" s="28" t="str">
        <x:v>Средняя</x:v>
      </x:c>
      <x:c r="K272" s="28" t="str">
        <x:v>Таблица сочетаний</x:v>
      </x:c>
      <x:c r="L272" s="28" t="str">
        <x:v>Таблица сочетаний: 8</x:v>
      </x:c>
    </x:row>
    <x:row r="273" ht="62" customHeight="1">
      <x:c r="A273" s="28" t="str">
        <x:v>BER-0711</x:v>
      </x:c>
      <x:c r="B273" s="28" t="str">
        <x:v>ягоды годжи</x:v>
      </x:c>
      <x:c r="C273" s="28" t="str">
        <x:v>корица</x:v>
      </x:c>
      <x:c r="D273" s="28" t="str">
        <x:v>Специи</x:v>
      </x:c>
      <x:c r="E273" s="28" t="str">
        <x:v>контраст/комплементарность + матричный эффект</x:v>
      </x:c>
      <x:c r="F27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3" s="28" t="str">
        <x:v>Пряность дозировать как акцент: она быстро перекрывает тонкие ягодные эфиры.</x:v>
      </x:c>
      <x:c r="I27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73" s="28" t="str">
        <x:v>Средняя</x:v>
      </x:c>
      <x:c r="K273" s="28" t="str">
        <x:v>Таблица сочетаний</x:v>
      </x:c>
      <x:c r="L273" s="28" t="str">
        <x:v>Таблица сочетаний: 8</x:v>
      </x:c>
    </x:row>
    <x:row r="274" ht="62" customHeight="1">
      <x:c r="A274" s="28" t="str">
        <x:v>BER-0712</x:v>
      </x:c>
      <x:c r="B274" s="28" t="str">
        <x:v>ягоды годжи</x:v>
      </x:c>
      <x:c r="C274" s="28" t="str">
        <x:v>кофе</x:v>
      </x:c>
      <x:c r="D274" s="28" t="str">
        <x:v>Шоколад, кофе и жареные продукты</x:v>
      </x:c>
      <x:c r="E274" s="28" t="str">
        <x:v>контраст/комплементарность + матричный эффект</x:v>
      </x:c>
      <x:c r="F27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74" s="28" t="str">
        <x:v>сорбет, крем, ганаш, выпечка, джем или соус для десерта</x:v>
      </x:c>
      <x:c r="J274" s="28" t="str">
        <x:v>Средняя</x:v>
      </x:c>
      <x:c r="K274" s="28" t="str">
        <x:v>Таблица сочетаний</x:v>
      </x:c>
      <x:c r="L274" s="28" t="str">
        <x:v>Таблица сочетаний: 8</x:v>
      </x:c>
    </x:row>
    <x:row r="275" ht="62" customHeight="1">
      <x:c r="A275" s="28" t="str">
        <x:v>BER-0713</x:v>
      </x:c>
      <x:c r="B275" s="28" t="str">
        <x:v>ягоды годжи</x:v>
      </x:c>
      <x:c r="C275" s="28" t="str">
        <x:v>личи</x:v>
      </x:c>
      <x:c r="D275" s="28" t="str">
        <x:v>Фрукты</x:v>
      </x:c>
      <x:c r="E275" s="28" t="str">
        <x:v>контраст/комплементарность + матричный эффект</x:v>
      </x:c>
      <x:c r="F27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фруктовый, цветочный. Оба компонента формируют зависит от ингредиента и сладко-кислый контур; сахар, кислота и горечь должны быть выровнены дегустацией. Ягода: механизм зависит от конкретного продукта. Партнёр: водная фруктовая матрица.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75" s="28" t="str">
        <x:v>кордиал, лимонад, чай, коктейль, настой или ферментированный напиток; сорбет, крем, ганаш, выпечка, джем или соус для десерта</x:v>
      </x:c>
      <x:c r="J275" s="28" t="str">
        <x:v>Средняя</x:v>
      </x:c>
      <x:c r="K275" s="28" t="str">
        <x:v>Таблица сочетаний</x:v>
      </x:c>
      <x:c r="L275" s="28" t="str">
        <x:v>Таблица сочетаний: 12</x:v>
      </x:c>
    </x:row>
    <x:row r="276" ht="62" customHeight="1">
      <x:c r="A276" s="28" t="str">
        <x:v>BER-0717</x:v>
      </x:c>
      <x:c r="B276" s="28" t="str">
        <x:v>ягоды годжи</x:v>
      </x:c>
      <x:c r="C276" s="28" t="str">
        <x:v>фундук</x:v>
      </x:c>
      <x:c r="D276" s="28" t="str">
        <x:v>Орехи и семена</x:v>
      </x:c>
      <x:c r="E276" s="28" t="str">
        <x:v>контраст/комплементарность + матричный эффект</x:v>
      </x:c>
      <x:c r="F27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жареный, миндальный, ореховый. Кислотность и терпкость ягод режут ощущение жира и сладости; сладковатый,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76" s="28" t="str">
        <x:v>сорбет, крем, ганаш, выпечка, джем или соус для десерта</x:v>
      </x:c>
      <x:c r="J276" s="28" t="str">
        <x:v>Средняя</x:v>
      </x:c>
      <x:c r="K276" s="28" t="str">
        <x:v>Таблица сочетаний</x:v>
      </x:c>
      <x:c r="L276" s="28" t="str">
        <x:v>Таблица сочетаний: 8</x:v>
      </x:c>
    </x:row>
    <x:row r="277" ht="62" customHeight="1">
      <x:c r="A277" s="28" t="str">
        <x:v>BER-0718</x:v>
      </x:c>
      <x:c r="B277" s="28" t="str">
        <x:v>ягоды годжи</x:v>
      </x:c>
      <x:c r="C277" s="28" t="str">
        <x:v>шоколад</x:v>
      </x:c>
      <x:c r="D277" s="28" t="str">
        <x:v>Шоколад, кофе и жареные продукты</x:v>
      </x:c>
      <x:c r="E277" s="28" t="str">
        <x:v>контраст/комплементарность + матричный эффект</x:v>
      </x:c>
      <x:c r="F27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горький, жареный, карамельный, ореховый. Кислотность и терпкость ягод режут ощущение жира и сладости; горько-сладкий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77" s="28" t="str">
        <x:v>сорбет, крем, ганаш, выпечка, джем или соус для десерта</x:v>
      </x:c>
      <x:c r="J277" s="28" t="str">
        <x:v>Средняя</x:v>
      </x:c>
      <x:c r="K277" s="28" t="str">
        <x:v>Таблица сочетаний</x:v>
      </x:c>
      <x:c r="L277" s="28" t="str">
        <x:v>Таблица сочетаний: 8</x:v>
      </x:c>
    </x:row>
  </x:sheetData>
  <x:conditionalFormatting sqref="J2:J277">
    <x:cfRule type="expression" dxfId="6" priority="1">
      <x:formula>J2="Высокая"</x:formula>
    </x:cfRule>
    <x:cfRule type="expression" dxfId="7" priority="2">
      <x:formula>J2="Средняя"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28b076bf1e4b8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29" hidden="0" customWidth="1"/>
    <x:col min="4" max="4" width="24" hidden="0" customWidth="1"/>
    <x:col min="5" max="5" width="34" hidden="0" customWidth="1"/>
    <x:col min="6" max="6" width="60" hidden="0" customWidth="1"/>
    <x:col min="7" max="7" width="48" hidden="0" customWidth="1"/>
    <x:col min="8" max="8" width="48" hidden="0" customWidth="1"/>
    <x:col min="9" max="9" width="44" hidden="0" customWidth="1"/>
    <x:col min="10" max="10" width="22" hidden="0" customWidth="1"/>
    <x:col min="11" max="11" width="36" hidden="0" customWidth="1"/>
    <x:col min="12" max="12" width="42" hidden="0" customWidth="1"/>
  </x:cols>
  <x:sheetData>
    <x:row r="1" ht="42" customHeight="1">
      <x:c r="A1" s="20" t="str">
        <x:v>ID</x:v>
      </x:c>
      <x:c r="B1" s="20" t="str">
        <x:v>Ягода / производное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Подробное 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Практическое 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2" customHeight="1">
      <x:c r="A2" s="28" t="str">
        <x:v>BER-0003</x:v>
      </x:c>
      <x:c r="B2" s="28" t="str">
        <x:v>барбарис</x:v>
      </x:c>
      <x:c r="C2" s="28" t="str">
        <x:v>соевый соус</x:v>
      </x:c>
      <x:c r="D2" s="28" t="str">
        <x:v>Ферментированные продукты, соусы и уксусы</x:v>
      </x:c>
      <x:c r="E2" s="28" t="str">
        <x:v>ароматическое сходство + вкусовой баланс</x:v>
      </x:c>
      <x:c r="F2" s="28" t="str">
        <x:v>Прямой вероятный молекулярный мост: эфиры. Ягодный компонент несёт семейства кислый, красно-фруктовый, цветочный; партнёр — кислый, умами, ферментированный. Оба компонента формируют очень кислый и кислый/солёный/умами контур; сахар, кислота и горечь должны быть выровнены дегустацией. Ягода: лучше работает как кислотный акцент.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" s="28" t="str">
        <x:v>соус, глазировка, салат, сырная подача или горячее блюдо; маринад, гастрик, чатни, кетчуп или редукция</x:v>
      </x:c>
      <x:c r="J2" s="28" t="str">
        <x:v>Средняя</x:v>
      </x:c>
      <x:c r="K2" s="28" t="str">
        <x:v>The Art &amp; Science of Foodpairing</x:v>
      </x:c>
      <x:c r="L2" s="28" t="str">
        <x:v>The Art &amp; Science of Foodpairing: 300</x:v>
      </x:c>
    </x:row>
    <x:row r="3" ht="62" customHeight="1">
      <x:c r="A3" s="28" t="str">
        <x:v>BER-0006</x:v>
      </x:c>
      <x:c r="B3" s="28" t="str">
        <x:v>бойзенова ягода</x:v>
      </x:c>
      <x:c r="C3" s="28" t="str">
        <x:v>базилик</x:v>
      </x:c>
      <x:c r="D3" s="28" t="str">
        <x:v>Травы и цветы</x:v>
      </x:c>
      <x:c r="E3" s="28" t="str">
        <x:v>контраст/комплементарность + матричный эффект</x:v>
      </x:c>
      <x:c r="F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3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3" s="28" t="str">
        <x:v>Средняя</x:v>
      </x:c>
      <x:c r="K3" s="28" t="str">
        <x:v>The Art &amp; Science of Foodpairing</x:v>
      </x:c>
      <x:c r="L3" s="28" t="str">
        <x:v>The Art &amp; Science of Foodpairing: 74</x:v>
      </x:c>
    </x:row>
    <x:row r="4" ht="62" customHeight="1">
      <x:c r="A4" s="28" t="str">
        <x:v>BER-0010</x:v>
      </x:c>
      <x:c r="B4" s="28" t="str">
        <x:v>бузина</x:v>
      </x:c>
      <x:c r="C4" s="28" t="str">
        <x:v>апельсин</x:v>
      </x:c>
      <x:c r="D4" s="28" t="str">
        <x:v>Цитрусовые</x:v>
      </x:c>
      <x:c r="E4" s="28" t="str">
        <x:v>сходство ароматических семейств + комплементарность</x:v>
      </x:c>
      <x:c r="F4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4" s="28" t="str">
        <x:v>кордиал, лимонад, чай, коктейль, настой или ферментированный напиток; маринад, гастрик, чатни, кетчуп или редукция</x:v>
      </x:c>
      <x:c r="J4" s="28" t="str">
        <x:v>Средняя</x:v>
      </x:c>
      <x:c r="K4" s="28" t="str">
        <x:v>Таблица сочетаний</x:v>
      </x:c>
      <x:c r="L4" s="28" t="str">
        <x:v>Таблица сочетаний: 7</x:v>
      </x:c>
    </x:row>
    <x:row r="5" ht="62" customHeight="1">
      <x:c r="A5" s="28" t="str">
        <x:v>BER-0011</x:v>
      </x:c>
      <x:c r="B5" s="28" t="str">
        <x:v>бузина</x:v>
      </x:c>
      <x:c r="C5" s="28" t="str">
        <x:v>базилик</x:v>
      </x:c>
      <x:c r="D5" s="28" t="str">
        <x:v>Травы и цветы</x:v>
      </x:c>
      <x:c r="E5" s="28" t="str">
        <x:v>ароматическое сходство + вкусовой баланс</x:v>
      </x:c>
      <x:c r="F5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5" s="28" t="str">
        <x:v>Высокая</x:v>
      </x:c>
      <x:c r="K5" s="28" t="str">
        <x:v>The Art &amp; Science of Foodpairing; Таблица сочетаний</x:v>
      </x:c>
      <x:c r="L5" s="28" t="str">
        <x:v>The Art &amp; Science of Foodpairing: 74; Таблица сочетаний: 7</x:v>
      </x:c>
    </x:row>
    <x:row r="6" ht="62" customHeight="1">
      <x:c r="A6" s="28" t="str">
        <x:v>BER-0013</x:v>
      </x:c>
      <x:c r="B6" s="28" t="str">
        <x:v>бузина</x:v>
      </x:c>
      <x:c r="C6" s="28" t="str">
        <x:v>гвоздика</x:v>
      </x:c>
      <x:c r="D6" s="28" t="str">
        <x:v>Специи</x:v>
      </x:c>
      <x:c r="E6" s="28" t="str">
        <x:v>ароматическое сходство + вкусовой баланс</x:v>
      </x:c>
      <x:c r="F6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" s="28" t="str">
        <x:v>Пряность дозировать как акцент: она быстро перекрывает тонкие ягодные эфиры.</x:v>
      </x:c>
      <x:c r="I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6" s="28" t="str">
        <x:v>Средняя</x:v>
      </x:c>
      <x:c r="K6" s="28" t="str">
        <x:v>Таблица сочетаний</x:v>
      </x:c>
      <x:c r="L6" s="28" t="str">
        <x:v>Таблица сочетаний: 7</x:v>
      </x:c>
    </x:row>
    <x:row r="7" ht="62" customHeight="1">
      <x:c r="A7" s="28" t="str">
        <x:v>BER-0015</x:v>
      </x:c>
      <x:c r="B7" s="28" t="str">
        <x:v>бузина</x:v>
      </x:c>
      <x:c r="C7" s="28" t="str">
        <x:v>грейпфрут</x:v>
      </x:c>
      <x:c r="D7" s="28" t="str">
        <x:v>Цитрусовые</x:v>
      </x:c>
      <x:c r="E7" s="28" t="str">
        <x:v>сходство ароматических семейств + комплементарность</x:v>
      </x:c>
      <x:c r="F7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" s="28" t="str">
        <x:v>кордиал, лимонад, чай, коктейль, настой или ферментированный напиток; маринад, гастрик, чатни, кетчуп или редукция</x:v>
      </x:c>
      <x:c r="J7" s="28" t="str">
        <x:v>Средняя</x:v>
      </x:c>
      <x:c r="K7" s="28" t="str">
        <x:v>Таблица сочетаний</x:v>
      </x:c>
      <x:c r="L7" s="28" t="str">
        <x:v>Таблица сочетаний: 8</x:v>
      </x:c>
    </x:row>
    <x:row r="8" ht="62" customHeight="1">
      <x:c r="A8" s="28" t="str">
        <x:v>BER-0018</x:v>
      </x:c>
      <x:c r="B8" s="28" t="str">
        <x:v>бузина</x:v>
      </x:c>
      <x:c r="C8" s="28" t="str">
        <x:v>жасмин</x:v>
      </x:c>
      <x:c r="D8" s="28" t="str">
        <x:v>Травы и цветы</x:v>
      </x:c>
      <x:c r="E8" s="28" t="str">
        <x:v>ароматическое сходство + вкусовой баланс</x:v>
      </x:c>
      <x:c r="F8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8" s="28" t="str">
        <x:v>Средняя</x:v>
      </x:c>
      <x:c r="K8" s="28" t="str">
        <x:v>Таблица сочетаний</x:v>
      </x:c>
      <x:c r="L8" s="28" t="str">
        <x:v>Таблица сочетаний: 10</x:v>
      </x:c>
    </x:row>
    <x:row r="9" ht="62" customHeight="1">
      <x:c r="A9" s="28" t="str">
        <x:v>BER-0019</x:v>
      </x:c>
      <x:c r="B9" s="28" t="str">
        <x:v>бузина</x:v>
      </x:c>
      <x:c r="C9" s="28" t="str">
        <x:v>имбирь</x:v>
      </x:c>
      <x:c r="D9" s="28" t="str">
        <x:v>Специи</x:v>
      </x:c>
      <x:c r="E9" s="28" t="str">
        <x:v>ароматическое сходство + вкусовой баланс</x:v>
      </x:c>
      <x:c r="F9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" s="28" t="str">
        <x:v>Пряность дозировать как акцент: она быстро перекрывает тонкие ягодные эфиры.</x:v>
      </x:c>
      <x:c r="I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9" s="28" t="str">
        <x:v>Средняя</x:v>
      </x:c>
      <x:c r="K9" s="28" t="str">
        <x:v>Таблица сочетаний</x:v>
      </x:c>
      <x:c r="L9" s="28" t="str">
        <x:v>Таблица сочетаний: 7</x:v>
      </x:c>
    </x:row>
    <x:row r="10" ht="62" customHeight="1">
      <x:c r="A10" s="28" t="str">
        <x:v>BER-0023</x:v>
      </x:c>
      <x:c r="B10" s="28" t="str">
        <x:v>бузина</x:v>
      </x:c>
      <x:c r="C10" s="28" t="str">
        <x:v>корица</x:v>
      </x:c>
      <x:c r="D10" s="28" t="str">
        <x:v>Специи</x:v>
      </x:c>
      <x:c r="E10" s="28" t="str">
        <x:v>ароматическое сходство + вкусовой баланс</x:v>
      </x:c>
      <x:c r="F10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" s="28" t="str">
        <x:v>Пряность дозировать как акцент: она быстро перекрывает тонкие ягодные эфиры.</x:v>
      </x:c>
      <x:c r="I1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0" s="28" t="str">
        <x:v>Средняя</x:v>
      </x:c>
      <x:c r="K10" s="28" t="str">
        <x:v>Таблица сочетаний</x:v>
      </x:c>
      <x:c r="L10" s="28" t="str">
        <x:v>Таблица сочетаний: 7</x:v>
      </x:c>
    </x:row>
    <x:row r="11" ht="62" customHeight="1">
      <x:c r="A11" s="28" t="str">
        <x:v>BER-0025</x:v>
      </x:c>
      <x:c r="B11" s="28" t="str">
        <x:v>бузина</x:v>
      </x:c>
      <x:c r="C11" s="28" t="str">
        <x:v>лимон</x:v>
      </x:c>
      <x:c r="D11" s="28" t="str">
        <x:v>Цитрусовые</x:v>
      </x:c>
      <x:c r="E11" s="28" t="str">
        <x:v>сходство ароматических семейств + комплементарность</x:v>
      </x:c>
      <x:c r="F11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" s="28" t="str">
        <x:v>кордиал, лимонад, чай, коктейль, настой или ферментированный напиток; маринад, гастрик, чатни, кетчуп или редукция</x:v>
      </x:c>
      <x:c r="J11" s="28" t="str">
        <x:v>Средняя</x:v>
      </x:c>
      <x:c r="K11" s="28" t="str">
        <x:v>Таблица сочетаний</x:v>
      </x:c>
      <x:c r="L11" s="28" t="str">
        <x:v>Таблица сочетаний: 7</x:v>
      </x:c>
    </x:row>
    <x:row r="12" ht="62" customHeight="1">
      <x:c r="A12" s="28" t="str">
        <x:v>BER-0026</x:v>
      </x:c>
      <x:c r="B12" s="28" t="str">
        <x:v>бузина</x:v>
      </x:c>
      <x:c r="C12" s="28" t="str">
        <x:v>лимон и лайм</x:v>
      </x:c>
      <x:c r="D12" s="28" t="str">
        <x:v>Цитрусовые</x:v>
      </x:c>
      <x:c r="E12" s="28" t="str">
        <x:v>сходство ароматических семейств + комплементарность</x:v>
      </x:c>
      <x:c r="F12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" s="28" t="str">
        <x:v>кордиал, лимонад, чай, коктейль, настой или ферментированный напиток; маринад, гастрик, чатни, кетчуп или редукция</x:v>
      </x:c>
      <x:c r="J12" s="28" t="str">
        <x:v>Средняя</x:v>
      </x:c>
      <x:c r="K12" s="28" t="str">
        <x:v>The Art &amp; Science of Foodpairing</x:v>
      </x:c>
      <x:c r="L12" s="28" t="str">
        <x:v>The Art &amp; Science of Foodpairing: 88</x:v>
      </x:c>
    </x:row>
    <x:row r="13" ht="62" customHeight="1">
      <x:c r="A13" s="28" t="str">
        <x:v>BER-0029</x:v>
      </x:c>
      <x:c r="B13" s="28" t="str">
        <x:v>бузина</x:v>
      </x:c>
      <x:c r="C13" s="28" t="str">
        <x:v>мандарин</x:v>
      </x:c>
      <x:c r="D13" s="28" t="str">
        <x:v>Цитрусовые</x:v>
      </x:c>
      <x:c r="E13" s="28" t="str">
        <x:v>сходство ароматических семейств + комплементарность</x:v>
      </x:c>
      <x:c r="F13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" s="28" t="str">
        <x:v>кордиал, лимонад, чай, коктейль, настой или ферментированный напиток; маринад, гастрик, чатни, кетчуп или редукция</x:v>
      </x:c>
      <x:c r="J13" s="28" t="str">
        <x:v>Средняя</x:v>
      </x:c>
      <x:c r="K13" s="28" t="str">
        <x:v>Таблица сочетаний</x:v>
      </x:c>
      <x:c r="L13" s="28" t="str">
        <x:v>Таблица сочетаний: 7</x:v>
      </x:c>
    </x:row>
    <x:row r="14" ht="62" customHeight="1">
      <x:c r="A14" s="28" t="str">
        <x:v>BER-0033</x:v>
      </x:c>
      <x:c r="B14" s="28" t="str">
        <x:v>бузина</x:v>
      </x:c>
      <x:c r="C14" s="28" t="str">
        <x:v>мята</x:v>
      </x:c>
      <x:c r="D14" s="28" t="str">
        <x:v>Травы и цветы</x:v>
      </x:c>
      <x:c r="E14" s="28" t="str">
        <x:v>ароматическое сходство + вкусовой баланс</x:v>
      </x:c>
      <x:c r="F14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4" s="28" t="str">
        <x:v>Средняя</x:v>
      </x:c>
      <x:c r="K14" s="28" t="str">
        <x:v>Таблица сочетаний</x:v>
      </x:c>
      <x:c r="L14" s="28" t="str">
        <x:v>Таблица сочетаний: 7</x:v>
      </x:c>
    </x:row>
    <x:row r="15" ht="62" customHeight="1">
      <x:c r="A15" s="28" t="str">
        <x:v>BER-0034</x:v>
      </x:c>
      <x:c r="B15" s="28" t="str">
        <x:v>бузина</x:v>
      </x:c>
      <x:c r="C15" s="28" t="str">
        <x:v>огурец</x:v>
      </x:c>
      <x:c r="D15" s="28" t="str">
        <x:v>Овощи и грибы</x:v>
      </x:c>
      <x:c r="E15" s="28" t="str">
        <x:v>сходство ароматических семейств + комплементарность</x:v>
      </x:c>
      <x:c r="F15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тёмно-фруктовый, цветочный; партнёр — зелёный, землистый, сернистый. Оба компонента формируют кисло-сладкий, терпкий и растительный, иногда умами контур; сахар, кислота и горечь должны быть выровнены дегустацией. Ягода: ягоды обычно требуют термообработки; цветы и ягоды имеют разные профили.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" s="28" t="str">
        <x:v>соус, глазировка, салат, сырная подача или горячее блюдо; маринад, гастрик, чатни, кетчуп или редукция</x:v>
      </x:c>
      <x:c r="J15" s="28" t="str">
        <x:v>Средняя</x:v>
      </x:c>
      <x:c r="K15" s="28" t="str">
        <x:v>Таблица сочетаний</x:v>
      </x:c>
      <x:c r="L15" s="28" t="str">
        <x:v>Таблица сочетаний: 7</x:v>
      </x:c>
    </x:row>
    <x:row r="16" ht="62" customHeight="1">
      <x:c r="A16" s="28" t="str">
        <x:v>BER-0035</x:v>
      </x:c>
      <x:c r="B16" s="28" t="str">
        <x:v>бузина</x:v>
      </x:c>
      <x:c r="C16" s="28" t="str">
        <x:v>пармиджано-реджано</x:v>
      </x:c>
      <x:c r="D16" s="28" t="str">
        <x:v>Рыба и морепродукты</x:v>
      </x:c>
      <x:c r="E16" s="28" t="str">
        <x:v>ароматическое сходство + вкусовой баланс</x:v>
      </x:c>
      <x:c r="F16" s="28" t="str">
        <x:v>Прямой вероятный молекулярный мост: альдегиды. Ягодный компонент несёт семейства зелёный, тёмно-фруктовый,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" s="28" t="str">
        <x:v>соус, глазировка, салат, сырная подача или горячее блюдо; маринад, гастрик, чатни, кетчуп или редукция</x:v>
      </x:c>
      <x:c r="J16" s="28" t="str">
        <x:v>Средняя</x:v>
      </x:c>
      <x:c r="K16" s="28" t="str">
        <x:v>The Art &amp; Science of Foodpairing</x:v>
      </x:c>
      <x:c r="L16" s="28" t="str">
        <x:v>The Art &amp; Science of Foodpairing: 283</x:v>
      </x:c>
    </x:row>
    <x:row r="17" ht="62" customHeight="1">
      <x:c r="A17" s="28" t="str">
        <x:v>BER-0036</x:v>
      </x:c>
      <x:c r="B17" s="28" t="str">
        <x:v>бузина</x:v>
      </x:c>
      <x:c r="C17" s="28" t="str">
        <x:v>перец чили</x:v>
      </x:c>
      <x:c r="D17" s="28" t="str">
        <x:v>Специи</x:v>
      </x:c>
      <x:c r="E17" s="28" t="str">
        <x:v>ароматическое сходство + вкусовой баланс</x:v>
      </x:c>
      <x:c r="F17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" s="28" t="str">
        <x:v>Пряность дозировать как акцент: она быстро перекрывает тонкие ягодные эфиры.</x:v>
      </x:c>
      <x:c r="I1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7" s="28" t="str">
        <x:v>Средняя</x:v>
      </x:c>
      <x:c r="K17" s="28" t="str">
        <x:v>The Art &amp; Science of Foodpairing</x:v>
      </x:c>
      <x:c r="L17" s="28" t="str">
        <x:v>The Art &amp; Science of Foodpairing: 95</x:v>
      </x:c>
    </x:row>
    <x:row r="18" ht="62" customHeight="1">
      <x:c r="A18" s="28" t="str">
        <x:v>BER-0039</x:v>
      </x:c>
      <x:c r="B18" s="28" t="str">
        <x:v>бузина</x:v>
      </x:c>
      <x:c r="C18" s="28" t="str">
        <x:v>розмарин</x:v>
      </x:c>
      <x:c r="D18" s="28" t="str">
        <x:v>Травы и цветы</x:v>
      </x:c>
      <x:c r="E18" s="28" t="str">
        <x:v>ароматическое сходство + вкусовой баланс</x:v>
      </x:c>
      <x:c r="F18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8" s="28" t="str">
        <x:v>Средняя</x:v>
      </x:c>
      <x:c r="K18" s="28" t="str">
        <x:v>Таблица сочетаний</x:v>
      </x:c>
      <x:c r="L18" s="28" t="str">
        <x:v>Таблица сочетаний: 7, 8</x:v>
      </x:c>
    </x:row>
    <x:row r="19" ht="62" customHeight="1">
      <x:c r="A19" s="28" t="str">
        <x:v>BER-0041</x:v>
      </x:c>
      <x:c r="B19" s="28" t="str">
        <x:v>бузина</x:v>
      </x:c>
      <x:c r="C19" s="28" t="str">
        <x:v>тимьян</x:v>
      </x:c>
      <x:c r="D19" s="28" t="str">
        <x:v>Травы и цветы</x:v>
      </x:c>
      <x:c r="E19" s="28" t="str">
        <x:v>ароматическое сходство + вкусовой баланс</x:v>
      </x:c>
      <x:c r="F19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9" s="28" t="str">
        <x:v>Средняя</x:v>
      </x:c>
      <x:c r="K19" s="28" t="str">
        <x:v>Таблица сочетаний</x:v>
      </x:c>
      <x:c r="L19" s="28" t="str">
        <x:v>Таблица сочетаний: 8</x:v>
      </x:c>
    </x:row>
    <x:row r="20" ht="62" customHeight="1">
      <x:c r="A20" s="28" t="str">
        <x:v>BER-0042</x:v>
      </x:c>
      <x:c r="B20" s="28" t="str">
        <x:v>бузина</x:v>
      </x:c>
      <x:c r="C20" s="28" t="str">
        <x:v>фиалка</x:v>
      </x:c>
      <x:c r="D20" s="28" t="str">
        <x:v>Травы и цветы</x:v>
      </x:c>
      <x:c r="E20" s="28" t="str">
        <x:v>ароматическое сходство + вкусовой баланс</x:v>
      </x:c>
      <x:c r="F20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0" s="28" t="str">
        <x:v>Средняя</x:v>
      </x:c>
      <x:c r="K20" s="28" t="str">
        <x:v>Таблица сочетаний</x:v>
      </x:c>
      <x:c r="L20" s="28" t="str">
        <x:v>Таблица сочетаний: 21</x:v>
      </x:c>
    </x:row>
    <x:row r="21" ht="62" customHeight="1">
      <x:c r="A21" s="28" t="str">
        <x:v>BER-0044</x:v>
      </x:c>
      <x:c r="B21" s="28" t="str">
        <x:v>бузина</x:v>
      </x:c>
      <x:c r="C21" s="28" t="str">
        <x:v>чёрный перец</x:v>
      </x:c>
      <x:c r="D21" s="28" t="str">
        <x:v>Специи</x:v>
      </x:c>
      <x:c r="E21" s="28" t="str">
        <x:v>ароматическое сходство + вкусовой баланс</x:v>
      </x:c>
      <x:c r="F21" s="28" t="str">
        <x:v>Прямой вероятный молекулярный мост: терпены. Ягодный компонент несёт семейства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" s="28" t="str">
        <x:v>Пряность дозировать как акцент: она быстро перекрывает тонкие ягодные эфиры.</x:v>
      </x:c>
      <x:c r="I2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1" s="28" t="str">
        <x:v>Средняя</x:v>
      </x:c>
      <x:c r="K21" s="28" t="str">
        <x:v>Таблица сочетаний</x:v>
      </x:c>
      <x:c r="L21" s="28" t="str">
        <x:v>Таблица сочетаний: 7</x:v>
      </x:c>
    </x:row>
    <x:row r="22" ht="62" customHeight="1">
      <x:c r="A22" s="28" t="str">
        <x:v>BER-0045</x:v>
      </x:c>
      <x:c r="B22" s="28" t="str">
        <x:v>бузина</x:v>
      </x:c>
      <x:c r="C22" s="28" t="str">
        <x:v>шалфей</x:v>
      </x:c>
      <x:c r="D22" s="28" t="str">
        <x:v>Травы и цветы</x:v>
      </x:c>
      <x:c r="E22" s="28" t="str">
        <x:v>ароматическое сходство + вкусовой баланс</x:v>
      </x:c>
      <x:c r="F22" s="28" t="str">
        <x:v>Прямой вероятный молекулярный мост: терпены. Ягодный компонент несёт семейства зелёный,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2" s="28" t="str">
        <x:v>Средняя</x:v>
      </x:c>
      <x:c r="K22" s="28" t="str">
        <x:v>Таблица сочетаний</x:v>
      </x:c>
      <x:c r="L22" s="28" t="str">
        <x:v>Таблица сочетаний: 7</x:v>
      </x:c>
    </x:row>
    <x:row r="23" ht="62" customHeight="1">
      <x:c r="A23" s="28" t="str">
        <x:v>BER-0050</x:v>
      </x:c>
      <x:c r="B23" s="28" t="str">
        <x:v>бузиновый сок</x:v>
      </x:c>
      <x:c r="C23" s="28" t="str">
        <x:v>морковь</x:v>
      </x:c>
      <x:c r="D23" s="28" t="str">
        <x:v>Овощи и грибы</x:v>
      </x:c>
      <x:c r="E23" s="28" t="str">
        <x:v>контраст/комплементарность + матричный эффект</x:v>
      </x:c>
      <x:c r="F2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землистый, сернистый. Оба компонента формируют зависит от ингредиента и растительный, иногда умами контур; сахар, кислота и горечь должны быть выровнены дегустацией. Ягода: механизм зависит от конкретного продукта.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" s="28" t="str">
        <x:v>соус, глазировка, салат, сырная подача или горячее блюдо; маринад, гастрик, чатни, кетчуп или редукция</x:v>
      </x:c>
      <x:c r="J23" s="28" t="str">
        <x:v>Средняя</x:v>
      </x:c>
      <x:c r="K23" s="28" t="str">
        <x:v>The Art &amp; Science of Foodpairing</x:v>
      </x:c>
      <x:c r="L23" s="28" t="str">
        <x:v>The Art &amp; Science of Foodpairing: 232</x:v>
      </x:c>
    </x:row>
    <x:row r="24" ht="62" customHeight="1">
      <x:c r="A24" s="28" t="str">
        <x:v>BER-0051</x:v>
      </x:c>
      <x:c r="B24" s="28" t="str">
        <x:v>бузиновый сок</x:v>
      </x:c>
      <x:c r="C24" s="28" t="str">
        <x:v>трюфель</x:v>
      </x:c>
      <x:c r="D24" s="28" t="str">
        <x:v>Овощи и грибы</x:v>
      </x:c>
      <x:c r="E24" s="28" t="str">
        <x:v>контраст/комплементарность + матричный эффект</x:v>
      </x:c>
      <x:c r="F2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землистый, сернистый. Оба компонента формируют зависит от ингредиента и растительный, иногда умами контур; сахар, кислота и горечь должны быть выровнены дегустацией. Ягода: механизм зависит от конкретного продукта.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4" s="28" t="str">
        <x:v>соус, глазировка, салат, сырная подача или горячее блюдо; маринад, гастрик, чатни, кетчуп или редукция</x:v>
      </x:c>
      <x:c r="J24" s="28" t="str">
        <x:v>Средняя</x:v>
      </x:c>
      <x:c r="K24" s="28" t="str">
        <x:v>The Art &amp; Science of Foodpairing</x:v>
      </x:c>
      <x:c r="L24" s="28" t="str">
        <x:v>The Art &amp; Science of Foodpairing: 192</x:v>
      </x:c>
    </x:row>
    <x:row r="25" ht="62" customHeight="1">
      <x:c r="A25" s="28" t="str">
        <x:v>BER-0059</x:v>
      </x:c>
      <x:c r="B25" s="28" t="str">
        <x:v>вишня</x:v>
      </x:c>
      <x:c r="C25" s="28" t="str">
        <x:v>апельсин</x:v>
      </x:c>
      <x:c r="D25" s="28" t="str">
        <x:v>Цитрусовые</x:v>
      </x:c>
      <x:c r="E25" s="28" t="str">
        <x:v>ароматическое сходство + вкусовой баланс</x:v>
      </x:c>
      <x:c r="F25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цветочный, цитрусовый. Оба компонента формируют сладко-кислый, иногда терпкий и кислый, свежий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" s="28" t="str">
        <x:v>Не использовать повреждённые косточки без валидированной технологии: они содержат цианогенные гликозиды.</x:v>
      </x:c>
      <x:c r="I25" s="28" t="str">
        <x:v>кордиал, лимонад, чай, коктейль, настой или ферментированный напиток; маринад, гастрик, чатни, кетчуп или редукция</x:v>
      </x:c>
      <x:c r="J25" s="28" t="str">
        <x:v>Средняя</x:v>
      </x:c>
      <x:c r="K25" s="28" t="str">
        <x:v>Таблица сочетаний</x:v>
      </x:c>
      <x:c r="L25" s="28" t="str">
        <x:v>Таблица сочетаний: 14</x:v>
      </x:c>
    </x:row>
    <x:row r="26" ht="62" customHeight="1">
      <x:c r="A26" s="28" t="str">
        <x:v>BER-0060</x:v>
      </x:c>
      <x:c r="B26" s="28" t="str">
        <x:v>вишня</x:v>
      </x:c>
      <x:c r="C26" s="28" t="str">
        <x:v>артишок</x:v>
      </x:c>
      <x:c r="D26" s="28" t="str">
        <x:v>Овощи и грибы</x:v>
      </x:c>
      <x:c r="E26" s="28" t="str">
        <x:v>контраст/комплементарность + матричный эффект</x:v>
      </x:c>
      <x:c r="F2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зелёный, землистый, сернистый. Оба компонента формируют сладко-кислый, иногда терпкий и растительный, иногда умами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6" s="28" t="str">
        <x:v>Не использовать повреждённые косточки без валидированной технологии: они содержат цианогенные гликозиды.</x:v>
      </x:c>
      <x:c r="I26" s="28" t="str">
        <x:v>соус, глазировка, салат, сырная подача или горячее блюдо; маринад, гастрик, чатни, кетчуп или редукция</x:v>
      </x:c>
      <x:c r="J26" s="28" t="str">
        <x:v>Средняя</x:v>
      </x:c>
      <x:c r="K26" s="28" t="str">
        <x:v>The Art &amp; Science of Foodpairing</x:v>
      </x:c>
      <x:c r="L26" s="28" t="str">
        <x:v>The Art &amp; Science of Foodpairing: 329</x:v>
      </x:c>
    </x:row>
    <x:row r="27" ht="62" customHeight="1">
      <x:c r="A27" s="28" t="str">
        <x:v>BER-0061</x:v>
      </x:c>
      <x:c r="B27" s="28" t="str">
        <x:v>вишня</x:v>
      </x:c>
      <x:c r="C27" s="28" t="str">
        <x:v>базилик</x:v>
      </x:c>
      <x:c r="D27" s="28" t="str">
        <x:v>Травы и цветы</x:v>
      </x:c>
      <x:c r="E27" s="28" t="str">
        <x:v>ароматическое сходство + вкусовой баланс</x:v>
      </x:c>
      <x:c r="F27" s="28" t="str">
        <x:v>Прямой вероятный молекулярный мост: линалоол, эвгенол. Ягодный компонент несёт семейства миндальный, пряный,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" s="28" t="str">
        <x:v>Не использовать повреждённые косточки без валидированной технологии: они содержат цианогенные гликозиды.</x:v>
      </x:c>
      <x:c r="I2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7" s="28" t="str">
        <x:v>Средняя</x:v>
      </x:c>
      <x:c r="K27" s="28" t="str">
        <x:v>The Art &amp; Science of Foodpairing</x:v>
      </x:c>
      <x:c r="L27" s="28" t="str">
        <x:v>The Art &amp; Science of Foodpairing: 74</x:v>
      </x:c>
    </x:row>
    <x:row r="28" ht="62" customHeight="1">
      <x:c r="A28" s="28" t="str">
        <x:v>BER-0062</x:v>
      </x:c>
      <x:c r="B28" s="28" t="str">
        <x:v>вишня</x:v>
      </x:c>
      <x:c r="C28" s="28" t="str">
        <x:v>бальзамический уксус</x:v>
      </x:c>
      <x:c r="D28" s="28" t="str">
        <x:v>Ферментированные продукты, соусы и уксусы</x:v>
      </x:c>
      <x:c r="E28" s="28" t="str">
        <x:v>контраст/комплементарность + матричный эффект</x:v>
      </x:c>
      <x:c r="F2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кислый, умами, ферментированный. Оба компонента формируют сладко-кислый, иногда терпкий и кислый/солёный/умами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8" s="28" t="str">
        <x:v>Не использовать повреждённые косточки без валидированной технологии: они содержат цианогенные гликозиды.</x:v>
      </x:c>
      <x:c r="I28" s="28" t="str">
        <x:v>соус, глазировка, салат, сырная подача или горячее блюдо; маринад, гастрик, чатни, кетчуп или редукция</x:v>
      </x:c>
      <x:c r="J28" s="28" t="str">
        <x:v>Средняя</x:v>
      </x:c>
      <x:c r="K28" s="28" t="str">
        <x:v>The Art &amp; Science of Foodpairing</x:v>
      </x:c>
      <x:c r="L28" s="28" t="str">
        <x:v>The Art &amp; Science of Foodpairing: 317</x:v>
      </x:c>
    </x:row>
    <x:row r="29" ht="62" customHeight="1">
      <x:c r="A29" s="28" t="str">
        <x:v>BER-0064</x:v>
      </x:c>
      <x:c r="B29" s="28" t="str">
        <x:v>вишня</x:v>
      </x:c>
      <x:c r="C29" s="28" t="str">
        <x:v>баранина</x:v>
      </x:c>
      <x:c r="D29" s="28" t="str">
        <x:v>Мясо и птица</x:v>
      </x:c>
      <x:c r="E29" s="28" t="str">
        <x:v>контраст/комплементарность + матричный эффект</x:v>
      </x:c>
      <x:c r="F2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9" s="28" t="str">
        <x:v>Не использовать повреждённые косточки без валидированной технологии: они содержат цианогенные гликозиды.</x:v>
      </x:c>
      <x:c r="I29" s="28" t="str">
        <x:v>соус, глазировка, салат, сырная подача или горячее блюдо; маринад, гастрик, чатни, кетчуп или редукция</x:v>
      </x:c>
      <x:c r="J29" s="28" t="str">
        <x:v>Высокая</x:v>
      </x:c>
      <x:c r="K29" s="28" t="str">
        <x:v>Тезариус вкусов</x:v>
      </x:c>
      <x:c r="L29" s="28" t="str">
        <x:v>Тезариус вкусов: 127, 653</x:v>
      </x:c>
    </x:row>
    <x:row r="30" ht="62" customHeight="1">
      <x:c r="A30" s="28" t="str">
        <x:v>BER-0069</x:v>
      </x:c>
      <x:c r="B30" s="28" t="str">
        <x:v>вишня</x:v>
      </x:c>
      <x:c r="C30" s="28" t="str">
        <x:v>грейпфрут</x:v>
      </x:c>
      <x:c r="D30" s="28" t="str">
        <x:v>Цитрусовые</x:v>
      </x:c>
      <x:c r="E30" s="28" t="str">
        <x:v>ароматическое сходство + вкусовой баланс</x:v>
      </x:c>
      <x:c r="F30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цветочный, цитрусовый. Оба компонента формируют сладко-кислый, иногда терпкий и кислый, свежий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0" s="28" t="str">
        <x:v>Не использовать повреждённые косточки без валидированной технологии: они содержат цианогенные гликозиды.</x:v>
      </x:c>
      <x:c r="I30" s="28" t="str">
        <x:v>кордиал, лимонад, чай, коктейль, настой или ферментированный напиток; маринад, гастрик, чатни, кетчуп или редукция</x:v>
      </x:c>
      <x:c r="J30" s="28" t="str">
        <x:v>Средняя</x:v>
      </x:c>
      <x:c r="K30" s="28" t="str">
        <x:v>The Art &amp; Science of Foodpairing</x:v>
      </x:c>
      <x:c r="L30" s="28" t="str">
        <x:v>The Art &amp; Science of Foodpairing: 358, 359</x:v>
      </x:c>
    </x:row>
    <x:row r="31" ht="62" customHeight="1">
      <x:c r="A31" s="28" t="str">
        <x:v>BER-0073</x:v>
      </x:c>
      <x:c r="B31" s="28" t="str">
        <x:v>вишня</x:v>
      </x:c>
      <x:c r="C31" s="28" t="str">
        <x:v>зелёная фасоль</x:v>
      </x:c>
      <x:c r="D31" s="28" t="str">
        <x:v>Овощи и грибы</x:v>
      </x:c>
      <x:c r="E31" s="28" t="str">
        <x:v>контраст/комплементарность + матричный эффект</x:v>
      </x:c>
      <x:c r="F3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зелёный, землистый, сернистый. Оба компонента формируют сладко-кислый, иногда терпкий и растительный, иногда умами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3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31" s="28" t="str">
        <x:v>Не использовать повреждённые косточки без валидированной технологии: они содержат цианогенные гликозиды.</x:v>
      </x:c>
      <x:c r="I31" s="28" t="str">
        <x:v>соус, глазировка, салат, сырная подача или горячее блюдо; маринад, гастрик, чатни, кетчуп или редукция</x:v>
      </x:c>
      <x:c r="J31" s="28" t="str">
        <x:v>Средняя</x:v>
      </x:c>
      <x:c r="K31" s="28" t="str">
        <x:v>The Art &amp; Science of Foodpairing</x:v>
      </x:c>
      <x:c r="L31" s="28" t="str">
        <x:v>The Art &amp; Science of Foodpairing: 320</x:v>
      </x:c>
    </x:row>
    <x:row r="32" ht="62" customHeight="1">
      <x:c r="A32" s="28" t="str">
        <x:v>BER-0079</x:v>
      </x:c>
      <x:c r="B32" s="28" t="str">
        <x:v>вишня</x:v>
      </x:c>
      <x:c r="C32" s="28" t="str">
        <x:v>копченая рыба</x:v>
      </x:c>
      <x:c r="D32" s="28" t="str">
        <x:v>Рыба и морепродукты</x:v>
      </x:c>
      <x:c r="E32" s="28" t="str">
        <x:v>контраст/комплементарность + матричный эффект</x:v>
      </x:c>
      <x:c r="F3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3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32" s="28" t="str">
        <x:v>Не использовать повреждённые косточки без валидированной технологии: они содержат цианогенные гликозиды.</x:v>
      </x:c>
      <x:c r="I32" s="28" t="str">
        <x:v>соус, глазировка, салат, сырная подача или горячее блюдо; маринад, гастрик, чатни, кетчуп или редукция</x:v>
      </x:c>
      <x:c r="J32" s="28" t="str">
        <x:v>Высокая</x:v>
      </x:c>
      <x:c r="K32" s="28" t="str">
        <x:v>Тезариус вкусов</x:v>
      </x:c>
      <x:c r="L32" s="28" t="str">
        <x:v>Тезариус вкусов: 435, 655</x:v>
      </x:c>
    </x:row>
    <x:row r="33" ht="62" customHeight="1">
      <x:c r="A33" s="28" t="str">
        <x:v>BER-0081</x:v>
      </x:c>
      <x:c r="B33" s="28" t="str">
        <x:v>вишня</x:v>
      </x:c>
      <x:c r="C33" s="28" t="str">
        <x:v>корица</x:v>
      </x:c>
      <x:c r="D33" s="28" t="str">
        <x:v>Специи</x:v>
      </x:c>
      <x:c r="E33" s="28" t="str">
        <x:v>ароматическое сходство + вкусовой баланс</x:v>
      </x:c>
      <x:c r="F33" s="28" t="str">
        <x:v>Прямой вероятный молекулярный мост: эвгенол. Ягодный компонент несёт семейства миндальный, пряный,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3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3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33" s="28" t="str">
        <x:v>Высокая</x:v>
      </x:c>
      <x:c r="K33" s="28" t="str">
        <x:v>The Art &amp; Science of Foodpairing; Таблица сочетаний; Тезариус вкусов</x:v>
      </x:c>
      <x:c r="L33" s="28" t="str">
        <x:v>Тезариус вкусов: 574, 655; The Art &amp; Science of Foodpairing: 130; Таблица сочетаний: 4</x:v>
      </x:c>
    </x:row>
    <x:row r="34" ht="62" customHeight="1">
      <x:c r="A34" s="28" t="str">
        <x:v>BER-0083</x:v>
      </x:c>
      <x:c r="B34" s="28" t="str">
        <x:v>вишня</x:v>
      </x:c>
      <x:c r="C34" s="28" t="str">
        <x:v>красный сладкий перец</x:v>
      </x:c>
      <x:c r="D34" s="28" t="str">
        <x:v>Специи</x:v>
      </x:c>
      <x:c r="E34" s="28" t="str">
        <x:v>ароматическое сходство + вкусовой баланс</x:v>
      </x:c>
      <x:c r="F34" s="28" t="str">
        <x:v>Прямой вероятный молекулярный мост: эвгенол. Ягодный компонент несёт семейства миндальный, пряный,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4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3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34" s="28" t="str">
        <x:v>Средняя</x:v>
      </x:c>
      <x:c r="K34" s="28" t="str">
        <x:v>The Art &amp; Science of Foodpairing</x:v>
      </x:c>
      <x:c r="L34" s="28" t="str">
        <x:v>The Art &amp; Science of Foodpairing: 108</x:v>
      </x:c>
    </x:row>
    <x:row r="35" ht="62" customHeight="1">
      <x:c r="A35" s="28" t="str">
        <x:v>BER-0086</x:v>
      </x:c>
      <x:c r="B35" s="28" t="str">
        <x:v>вишня</x:v>
      </x:c>
      <x:c r="C35" s="28" t="str">
        <x:v>лимон</x:v>
      </x:c>
      <x:c r="D35" s="28" t="str">
        <x:v>Цитрусовые</x:v>
      </x:c>
      <x:c r="E35" s="28" t="str">
        <x:v>ароматическое сходство + вкусовой баланс</x:v>
      </x:c>
      <x:c r="F35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цветочный, цитрусовый. Оба компонента формируют сладко-кислый, иногда терпкий и кислый, свежий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5" s="28" t="str">
        <x:v>Не использовать повреждённые косточки без валидированной технологии: они содержат цианогенные гликозиды.</x:v>
      </x:c>
      <x:c r="I35" s="28" t="str">
        <x:v>кордиал, лимонад, чай, коктейль, настой или ферментированный напиток; маринад, гастрик, чатни, кетчуп или редукция</x:v>
      </x:c>
      <x:c r="J35" s="28" t="str">
        <x:v>Средняя</x:v>
      </x:c>
      <x:c r="K35" s="28" t="str">
        <x:v>Таблица сочетаний</x:v>
      </x:c>
      <x:c r="L35" s="28" t="str">
        <x:v>Таблица сочетаний: 11</x:v>
      </x:c>
    </x:row>
    <x:row r="36" ht="62" customHeight="1">
      <x:c r="A36" s="28" t="str">
        <x:v>BER-0087</x:v>
      </x:c>
      <x:c r="B36" s="28" t="str">
        <x:v>вишня</x:v>
      </x:c>
      <x:c r="C36" s="28" t="str">
        <x:v>лимон и лайм</x:v>
      </x:c>
      <x:c r="D36" s="28" t="str">
        <x:v>Цитрусовые</x:v>
      </x:c>
      <x:c r="E36" s="28" t="str">
        <x:v>ароматическое сходство + вкусовой баланс</x:v>
      </x:c>
      <x:c r="F36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цветочный, цитрусовый. Оба компонента формируют сладко-кислый, иногда терпкий и кислый, свежий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6" s="28" t="str">
        <x:v>Не использовать повреждённые косточки без валидированной технологии: они содержат цианогенные гликозиды.</x:v>
      </x:c>
      <x:c r="I36" s="28" t="str">
        <x:v>кордиал, лимонад, чай, коктейль, настой или ферментированный напиток; маринад, гастрик, чатни, кетчуп или редукция</x:v>
      </x:c>
      <x:c r="J36" s="28" t="str">
        <x:v>Средняя</x:v>
      </x:c>
      <x:c r="K36" s="28" t="str">
        <x:v>The Art &amp; Science of Foodpairing</x:v>
      </x:c>
      <x:c r="L36" s="28" t="str">
        <x:v>The Art &amp; Science of Foodpairing: 87, 89</x:v>
      </x:c>
    </x:row>
    <x:row r="37" ht="62" customHeight="1">
      <x:c r="A37" s="28" t="str">
        <x:v>BER-0090</x:v>
      </x:c>
      <x:c r="B37" s="28" t="str">
        <x:v>вишня</x:v>
      </x:c>
      <x:c r="C37" s="28" t="str">
        <x:v>мандарин</x:v>
      </x:c>
      <x:c r="D37" s="28" t="str">
        <x:v>Цитрусовые</x:v>
      </x:c>
      <x:c r="E37" s="28" t="str">
        <x:v>ароматическое сходство + вкусовой баланс</x:v>
      </x:c>
      <x:c r="F37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цветочный, цитрусовый. Оба компонента формируют сладко-кислый, иногда терпкий и кислый, свежий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7" s="28" t="str">
        <x:v>Не использовать повреждённые косточки без валидированной технологии: они содержат цианогенные гликозиды.</x:v>
      </x:c>
      <x:c r="I37" s="28" t="str">
        <x:v>кордиал, лимонад, чай, коктейль, настой или ферментированный напиток; маринад, гастрик, чатни, кетчуп или редукция</x:v>
      </x:c>
      <x:c r="J37" s="28" t="str">
        <x:v>Средняя</x:v>
      </x:c>
      <x:c r="K37" s="28" t="str">
        <x:v>Таблица сочетаний</x:v>
      </x:c>
      <x:c r="L37" s="28" t="str">
        <x:v>Таблица сочетаний: 12</x:v>
      </x:c>
    </x:row>
    <x:row r="38" ht="62" customHeight="1">
      <x:c r="A38" s="28" t="str">
        <x:v>BER-0092</x:v>
      </x:c>
      <x:c r="B38" s="28" t="str">
        <x:v>вишня</x:v>
      </x:c>
      <x:c r="C38" s="28" t="str">
        <x:v>морковь</x:v>
      </x:c>
      <x:c r="D38" s="28" t="str">
        <x:v>Овощи и грибы</x:v>
      </x:c>
      <x:c r="E38" s="28" t="str">
        <x:v>контраст/комплементарность + матричный эффект</x:v>
      </x:c>
      <x:c r="F3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зелёный, землистый, сернистый. Оба компонента формируют сладко-кислый, иногда терпкий и растительный, иногда умами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3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38" s="28" t="str">
        <x:v>Не использовать повреждённые косточки без валидированной технологии: они содержат цианогенные гликозиды.</x:v>
      </x:c>
      <x:c r="I38" s="28" t="str">
        <x:v>соус, глазировка, салат, сырная подача или горячее блюдо; маринад, гастрик, чатни, кетчуп или редукция</x:v>
      </x:c>
      <x:c r="J38" s="28" t="str">
        <x:v>Средняя</x:v>
      </x:c>
      <x:c r="K38" s="28" t="str">
        <x:v>The Art &amp; Science of Foodpairing</x:v>
      </x:c>
      <x:c r="L38" s="28" t="str">
        <x:v>The Art &amp; Science of Foodpairing: 232</x:v>
      </x:c>
    </x:row>
    <x:row r="39" ht="62" customHeight="1">
      <x:c r="A39" s="28" t="str">
        <x:v>BER-0094</x:v>
      </x:c>
      <x:c r="B39" s="28" t="str">
        <x:v>вишня</x:v>
      </x:c>
      <x:c r="C39" s="28" t="str">
        <x:v>мясо</x:v>
      </x:c>
      <x:c r="D39" s="28" t="str">
        <x:v>Мясо и птица</x:v>
      </x:c>
      <x:c r="E39" s="28" t="str">
        <x:v>контраст/комплементарность + матричный эффект</x:v>
      </x:c>
      <x:c r="F3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3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39" s="28" t="str">
        <x:v>Не использовать повреждённые косточки без валидированной технологии: они содержат цианогенные гликозиды.</x:v>
      </x:c>
      <x:c r="I39" s="28" t="str">
        <x:v>соус, глазировка, салат, сырная подача или горячее блюдо; маринад, гастрик, чатни, кетчуп или редукция</x:v>
      </x:c>
      <x:c r="J39" s="28" t="str">
        <x:v>Средняя</x:v>
      </x:c>
      <x:c r="K39" s="28" t="str">
        <x:v>The Art &amp; Science of Foodpairing</x:v>
      </x:c>
      <x:c r="L39" s="28" t="str">
        <x:v>The Art &amp; Science of Foodpairing: 188, 189</x:v>
      </x:c>
    </x:row>
    <x:row r="40" ht="62" customHeight="1">
      <x:c r="A40" s="28" t="str">
        <x:v>BER-0097</x:v>
      </x:c>
      <x:c r="B40" s="28" t="str">
        <x:v>вишня</x:v>
      </x:c>
      <x:c r="C40" s="28" t="str">
        <x:v>паста из твёрдой пшеницы</x:v>
      </x:c>
      <x:c r="D40" s="28" t="str">
        <x:v>Ферментированные продукты, соусы и уксусы</x:v>
      </x:c>
      <x:c r="E40" s="28" t="str">
        <x:v>контраст/комплементарность + матричный эффект</x:v>
      </x:c>
      <x:c r="F4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кислый, умами, ферментированный. Оба компонента формируют сладко-кислый, иногда терпкий и кислый/солёный/умами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0" s="28" t="str">
        <x:v>Не использовать повреждённые косточки без валидированной технологии: они содержат цианогенные гликозиды.</x:v>
      </x:c>
      <x:c r="I40" s="28" t="str">
        <x:v>соус, глазировка, салат, сырная подача или горячее блюдо; маринад, гастрик, чатни, кетчуп или редукция</x:v>
      </x:c>
      <x:c r="J40" s="28" t="str">
        <x:v>Средняя</x:v>
      </x:c>
      <x:c r="K40" s="28" t="str">
        <x:v>The Art &amp; Science of Foodpairing</x:v>
      </x:c>
      <x:c r="L40" s="28" t="str">
        <x:v>The Art &amp; Science of Foodpairing: 325</x:v>
      </x:c>
    </x:row>
    <x:row r="41" ht="62" customHeight="1">
      <x:c r="A41" s="28" t="str">
        <x:v>BER-0099</x:v>
      </x:c>
      <x:c r="B41" s="28" t="str">
        <x:v>вишня</x:v>
      </x:c>
      <x:c r="C41" s="28" t="str">
        <x:v>перец</x:v>
      </x:c>
      <x:c r="D41" s="28" t="str">
        <x:v>Специи</x:v>
      </x:c>
      <x:c r="E41" s="28" t="str">
        <x:v>ароматическое сходство + вкусовой баланс</x:v>
      </x:c>
      <x:c r="F41" s="28" t="str">
        <x:v>Прямой вероятный молекулярный мост: эвгенол. Ягодный компонент несёт семейства миндальный, пряный,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1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4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41" s="28" t="str">
        <x:v>Средняя</x:v>
      </x:c>
      <x:c r="K41" s="28" t="str">
        <x:v>Таблица сочетаний</x:v>
      </x:c>
      <x:c r="L41" s="28" t="str">
        <x:v>Таблица сочетаний: 16</x:v>
      </x:c>
    </x:row>
    <x:row r="42" ht="62" customHeight="1">
      <x:c r="A42" s="28" t="str">
        <x:v>BER-0102</x:v>
      </x:c>
      <x:c r="B42" s="28" t="str">
        <x:v>вишня</x:v>
      </x:c>
      <x:c r="C42" s="28" t="str">
        <x:v>рыба</x:v>
      </x:c>
      <x:c r="D42" s="28" t="str">
        <x:v>Рыба и морепродукты</x:v>
      </x:c>
      <x:c r="E42" s="28" t="str">
        <x:v>контраст/комплементарность + матричный эффект</x:v>
      </x:c>
      <x:c r="F4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4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42" s="28" t="str">
        <x:v>Не использовать повреждённые косточки без валидированной технологии: они содержат цианогенные гликозиды.</x:v>
      </x:c>
      <x:c r="I42" s="28" t="str">
        <x:v>соус, глазировка, салат, сырная подача или горячее блюдо; маринад, гастрик, чатни, кетчуп или редукция</x:v>
      </x:c>
      <x:c r="J42" s="28" t="str">
        <x:v>Средняя</x:v>
      </x:c>
      <x:c r="K42" s="28" t="str">
        <x:v>The Art &amp; Science of Foodpairing</x:v>
      </x:c>
      <x:c r="L42" s="28" t="str">
        <x:v>The Art &amp; Science of Foodpairing: 104, 105</x:v>
      </x:c>
    </x:row>
    <x:row r="43" ht="62" customHeight="1">
      <x:c r="A43" s="28" t="str">
        <x:v>BER-0106</x:v>
      </x:c>
      <x:c r="B43" s="28" t="str">
        <x:v>вишня</x:v>
      </x:c>
      <x:c r="C43" s="28" t="str">
        <x:v>томат</x:v>
      </x:c>
      <x:c r="D43" s="28" t="str">
        <x:v>Овощи и грибы</x:v>
      </x:c>
      <x:c r="E43" s="28" t="str">
        <x:v>контраст/комплементарность + матричный эффект</x:v>
      </x:c>
      <x:c r="F4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пряный, фруктовый, цветочный; партнёр — зелёный, землистый, сернистый. Оба компонента формируют сладко-кислый, иногда терпкий и растительный, иногда умами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4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43" s="28" t="str">
        <x:v>Не использовать повреждённые косточки без валидированной технологии: они содержат цианогенные гликозиды.</x:v>
      </x:c>
      <x:c r="I43" s="28" t="str">
        <x:v>соус, глазировка, салат, сырная подача или горячее блюдо; маринад, гастрик, чатни, кетчуп или редукция</x:v>
      </x:c>
      <x:c r="J43" s="28" t="str">
        <x:v>Средняя</x:v>
      </x:c>
      <x:c r="K43" s="28" t="str">
        <x:v>The Art &amp; Science of Foodpairing</x:v>
      </x:c>
      <x:c r="L43" s="28" t="str">
        <x:v>The Art &amp; Science of Foodpairing: 161</x:v>
      </x:c>
    </x:row>
    <x:row r="44" ht="62" customHeight="1">
      <x:c r="A44" s="28" t="str">
        <x:v>BER-0107</x:v>
      </x:c>
      <x:c r="B44" s="28" t="str">
        <x:v>вишня</x:v>
      </x:c>
      <x:c r="C44" s="28" t="str">
        <x:v>фиалка</x:v>
      </x:c>
      <x:c r="D44" s="28" t="str">
        <x:v>Травы и цветы</x:v>
      </x:c>
      <x:c r="E44" s="28" t="str">
        <x:v>ароматическое сходство + вкусовой баланс</x:v>
      </x:c>
      <x:c r="F44" s="28" t="str">
        <x:v>Прямой вероятный молекулярный мост: линалоол, эвгенол. Ягодный компонент несёт семейства миндальный, пряный,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4" s="28" t="str">
        <x:v>Не использовать повреждённые косточки без валидированной технологии: они содержат цианогенные гликозиды.</x:v>
      </x:c>
      <x:c r="I4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44" s="28" t="str">
        <x:v>Средняя</x:v>
      </x:c>
      <x:c r="K44" s="28" t="str">
        <x:v>Таблица сочетаний</x:v>
      </x:c>
      <x:c r="L44" s="28" t="str">
        <x:v>Таблица сочетаний: 4, 21</x:v>
      </x:c>
    </x:row>
    <x:row r="45" ht="62" customHeight="1">
      <x:c r="A45" s="28" t="str">
        <x:v>BER-0110</x:v>
      </x:c>
      <x:c r="B45" s="28" t="str">
        <x:v>вишня</x:v>
      </x:c>
      <x:c r="C45" s="28" t="str">
        <x:v>цветная капуста</x:v>
      </x:c>
      <x:c r="D45" s="28" t="str">
        <x:v>Травы и цветы</x:v>
      </x:c>
      <x:c r="E45" s="28" t="str">
        <x:v>ароматическое сходство + вкусовой баланс</x:v>
      </x:c>
      <x:c r="F45" s="28" t="str">
        <x:v>Прямой вероятный молекулярный мост: линалоол, эвгенол. Ягодный компонент несёт семейства миндальный, пряный,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5" s="28" t="str">
        <x:v>Не использовать повреждённые косточки без валидированной технологии: они содержат цианогенные гликозиды.</x:v>
      </x:c>
      <x:c r="I4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45" s="28" t="str">
        <x:v>Средняя</x:v>
      </x:c>
      <x:c r="K45" s="28" t="str">
        <x:v>The Art &amp; Science of Foodpairing</x:v>
      </x:c>
      <x:c r="L45" s="28" t="str">
        <x:v>The Art &amp; Science of Foodpairing: 67</x:v>
      </x:c>
    </x:row>
    <x:row r="46" ht="62" customHeight="1">
      <x:c r="A46" s="28" t="str">
        <x:v>BER-0111</x:v>
      </x:c>
      <x:c r="B46" s="28" t="str">
        <x:v>вишня</x:v>
      </x:c>
      <x:c r="C46" s="28" t="str">
        <x:v>цитрусовые</x:v>
      </x:c>
      <x:c r="D46" s="28" t="str">
        <x:v>Цитрусовые</x:v>
      </x:c>
      <x:c r="E46" s="28" t="str">
        <x:v>ароматическое сходство + вкусовой баланс</x:v>
      </x:c>
      <x:c r="F46" s="28" t="str">
        <x:v>Прямой вероятный молекулярный мост: линалоол. Ягодный компонент несёт семейства миндальный, пряный, фруктовый, цветочный; партнёр — зелёный, цветочный, цитрусовый. Оба компонента формируют сладко-кислый, иногда терпкий и кислый, свежий контур; сахар, кислота и горечь должны быть выровнены дегустацией. Ягода: косточка усиливает миндальный тон, но требует контроля безопасности.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6" s="28" t="str">
        <x:v>Не использовать повреждённые косточки без валидированной технологии: они содержат цианогенные гликозиды.</x:v>
      </x:c>
      <x:c r="I46" s="28" t="str">
        <x:v>кордиал, лимонад, чай, коктейль, настой или ферментированный напиток; маринад, гастрик, чатни, кетчуп или редукция</x:v>
      </x:c>
      <x:c r="J46" s="28" t="str">
        <x:v>Средняя</x:v>
      </x:c>
      <x:c r="K46" s="28" t="str">
        <x:v>Таблица сочетаний</x:v>
      </x:c>
      <x:c r="L46" s="28" t="str">
        <x:v>Таблица сочетаний: 4</x:v>
      </x:c>
    </x:row>
    <x:row r="47" ht="62" customHeight="1">
      <x:c r="A47" s="28" t="str">
        <x:v>BER-0114</x:v>
      </x:c>
      <x:c r="B47" s="28" t="str">
        <x:v>вишня</x:v>
      </x:c>
      <x:c r="C47" s="28" t="str">
        <x:v>чёрный перец</x:v>
      </x:c>
      <x:c r="D47" s="28" t="str">
        <x:v>Специи</x:v>
      </x:c>
      <x:c r="E47" s="28" t="str">
        <x:v>ароматическое сходство + вкусовой баланс</x:v>
      </x:c>
      <x:c r="F47" s="28" t="str">
        <x:v>Прямой вероятный молекулярный мост: эвгенол. Ягодный компонент несёт семейства миндальный, пряный,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7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4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47" s="28" t="str">
        <x:v>Средняя</x:v>
      </x:c>
      <x:c r="K47" s="28" t="str">
        <x:v>Таблица сочетаний</x:v>
      </x:c>
      <x:c r="L47" s="28" t="str">
        <x:v>Таблица сочетаний: 4</x:v>
      </x:c>
    </x:row>
    <x:row r="48" ht="62" customHeight="1">
      <x:c r="A48" s="28" t="str">
        <x:v>BER-0116</x:v>
      </x:c>
      <x:c r="B48" s="28" t="str">
        <x:v>вишня</x:v>
      </x:c>
      <x:c r="C48" s="28" t="str">
        <x:v>шалфей</x:v>
      </x:c>
      <x:c r="D48" s="28" t="str">
        <x:v>Травы и цветы</x:v>
      </x:c>
      <x:c r="E48" s="28" t="str">
        <x:v>ароматическое сходство + вкусовой баланс</x:v>
      </x:c>
      <x:c r="F48" s="28" t="str">
        <x:v>Прямой вероятный молекулярный мост: линалоол, эвгенол. Ягодный компонент несёт семейства миндальный, пряный,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8" s="28" t="str">
        <x:v>Не использовать повреждённые косточки без валидированной технологии: они содержат цианогенные гликозиды.</x:v>
      </x:c>
      <x:c r="I4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48" s="28" t="str">
        <x:v>Средняя</x:v>
      </x:c>
      <x:c r="K48" s="28" t="str">
        <x:v>Таблица сочетаний</x:v>
      </x:c>
      <x:c r="L48" s="28" t="str">
        <x:v>Таблица сочетаний: 4, 20</x:v>
      </x:c>
    </x:row>
    <x:row r="49" ht="62" customHeight="1">
      <x:c r="A49" s="28" t="str">
        <x:v>BER-0120</x:v>
      </x:c>
      <x:c r="B49" s="28" t="str">
        <x:v>голубика</x:v>
      </x:c>
      <x:c r="C49" s="28" t="str">
        <x:v>amarillo chilli</x:v>
      </x:c>
      <x:c r="D49" s="28" t="str">
        <x:v>Специи</x:v>
      </x:c>
      <x:c r="E49" s="28" t="str">
        <x:v>контраст/комплементарность + матричный эффект</x:v>
      </x:c>
      <x:c r="F4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4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49" s="28" t="str">
        <x:v>Пряность дозировать как акцент: она быстро перекрывает тонкие ягодные эфиры.</x:v>
      </x:c>
      <x:c r="I4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49" s="28" t="str">
        <x:v>Средняя</x:v>
      </x:c>
      <x:c r="K49" s="28" t="str">
        <x:v>The Art &amp; Science of Foodpairing</x:v>
      </x:c>
      <x:c r="L49" s="28" t="str">
        <x:v>The Art &amp; Science of Foodpairing: 204</x:v>
      </x:c>
    </x:row>
    <x:row r="50" ht="62" customHeight="1">
      <x:c r="A50" s="28" t="str">
        <x:v>BER-0126</x:v>
      </x:c>
      <x:c r="B50" s="28" t="str">
        <x:v>голубика</x:v>
      </x:c>
      <x:c r="C50" s="28" t="str">
        <x:v>bayonne ham</x:v>
      </x:c>
      <x:c r="D50" s="28" t="str">
        <x:v>Мясо и птица</x:v>
      </x:c>
      <x:c r="E50" s="28" t="str">
        <x:v>контраст/комплементарность + матричный эффект</x:v>
      </x:c>
      <x:c r="F5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5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5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0" s="28" t="str">
        <x:v>соус, глазировка, салат, сырная подача или горячее блюдо; маринад, гастрик, чатни, кетчуп или редукция</x:v>
      </x:c>
      <x:c r="J50" s="28" t="str">
        <x:v>Средняя</x:v>
      </x:c>
      <x:c r="K50" s="28" t="str">
        <x:v>The Art &amp; Science of Foodpairing</x:v>
      </x:c>
      <x:c r="L50" s="28" t="str">
        <x:v>The Art &amp; Science of Foodpairing: 204</x:v>
      </x:c>
    </x:row>
    <x:row r="51" ht="62" customHeight="1">
      <x:c r="A51" s="28" t="str">
        <x:v>BER-0132</x:v>
      </x:c>
      <x:c r="B51" s="28" t="str">
        <x:v>голубика</x:v>
      </x:c>
      <x:c r="C51" s="28" t="str">
        <x:v>blood orange</x:v>
      </x:c>
      <x:c r="D51" s="28" t="str">
        <x:v>Цитрусовые</x:v>
      </x:c>
      <x:c r="E51" s="28" t="str">
        <x:v>ароматическое сходство + вкусовой баланс</x:v>
      </x:c>
      <x:c r="F51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1" s="28" t="str">
        <x:v>кордиал, лимонад, чай, коктейль, настой или ферментированный напиток; маринад, гастрик, чатни, кетчуп или редукция</x:v>
      </x:c>
      <x:c r="J51" s="28" t="str">
        <x:v>Средняя</x:v>
      </x:c>
      <x:c r="K51" s="28" t="str">
        <x:v>The Art &amp; Science of Foodpairing</x:v>
      </x:c>
      <x:c r="L51" s="28" t="str">
        <x:v>The Art &amp; Science of Foodpairing: 204</x:v>
      </x:c>
    </x:row>
    <x:row r="52" ht="62" customHeight="1">
      <x:c r="A52" s="28" t="str">
        <x:v>BER-0135</x:v>
      </x:c>
      <x:c r="B52" s="28" t="str">
        <x:v>голубика</x:v>
      </x:c>
      <x:c r="C52" s="28" t="str">
        <x:v>calendula flower</x:v>
      </x:c>
      <x:c r="D52" s="28" t="str">
        <x:v>Травы и цветы</x:v>
      </x:c>
      <x:c r="E52" s="28" t="str">
        <x:v>ароматическое сходство + вкусовой баланс</x:v>
      </x:c>
      <x:c r="F52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52" s="28" t="str">
        <x:v>Средняя</x:v>
      </x:c>
      <x:c r="K52" s="28" t="str">
        <x:v>The Art &amp; Science of Foodpairing</x:v>
      </x:c>
      <x:c r="L52" s="28" t="str">
        <x:v>The Art &amp; Science of Foodpairing: 205</x:v>
      </x:c>
    </x:row>
    <x:row r="53" ht="62" customHeight="1">
      <x:c r="A53" s="28" t="str">
        <x:v>BER-0143</x:v>
      </x:c>
      <x:c r="B53" s="28" t="str">
        <x:v>голубика</x:v>
      </x:c>
      <x:c r="C53" s="28" t="str">
        <x:v>ed tomato</x:v>
      </x:c>
      <x:c r="D53" s="28" t="str">
        <x:v>Овощи и грибы</x:v>
      </x:c>
      <x:c r="E53" s="28" t="str">
        <x:v>ароматическое сходство + вкусовой баланс</x:v>
      </x:c>
      <x:c r="F53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5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5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3" s="28" t="str">
        <x:v>соус, глазировка, салат, сырная подача или горячее блюдо; маринад, гастрик, чатни, кетчуп или редукция</x:v>
      </x:c>
      <x:c r="J53" s="28" t="str">
        <x:v>Средняя</x:v>
      </x:c>
      <x:c r="K53" s="28" t="str">
        <x:v>The Art &amp; Science of Foodpairing</x:v>
      </x:c>
      <x:c r="L53" s="28" t="str">
        <x:v>The Art &amp; Science of Foodpairing: 204</x:v>
      </x:c>
    </x:row>
    <x:row r="54" ht="62" customHeight="1">
      <x:c r="A54" s="28" t="str">
        <x:v>BER-0158</x:v>
      </x:c>
      <x:c r="B54" s="28" t="str">
        <x:v>голубика</x:v>
      </x:c>
      <x:c r="C54" s="28" t="str">
        <x:v>led mitten crab</x:v>
      </x:c>
      <x:c r="D54" s="28" t="str">
        <x:v>Рыба и морепродукты</x:v>
      </x:c>
      <x:c r="E54" s="28" t="str">
        <x:v>контраст/комплементарность + матричный эффект</x:v>
      </x:c>
      <x:c r="F5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5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5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4" s="28" t="str">
        <x:v>соус, глазировка, салат, сырная подача или горячее блюдо; маринад, гастрик, чатни, кетчуп или редукция</x:v>
      </x:c>
      <x:c r="J54" s="28" t="str">
        <x:v>Средняя</x:v>
      </x:c>
      <x:c r="K54" s="28" t="str">
        <x:v>The Art &amp; Science of Foodpairing</x:v>
      </x:c>
      <x:c r="L54" s="28" t="str">
        <x:v>The Art &amp; Science of Foodpairing: 204</x:v>
      </x:c>
    </x:row>
    <x:row r="55" ht="62" customHeight="1">
      <x:c r="A55" s="28" t="str">
        <x:v>BER-0161</x:v>
      </x:c>
      <x:c r="B55" s="28" t="str">
        <x:v>голубика</x:v>
      </x:c>
      <x:c r="C55" s="28" t="str">
        <x:v>lled turbot</x:v>
      </x:c>
      <x:c r="D55" s="28" t="str">
        <x:v>Рыба и морепродукты</x:v>
      </x:c>
      <x:c r="E55" s="28" t="str">
        <x:v>контраст/комплементарность + матричный эффект</x:v>
      </x:c>
      <x:c r="F5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5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5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5" s="28" t="str">
        <x:v>соус, глазировка, салат, сырная подача или горячее блюдо; маринад, гастрик, чатни, кетчуп или редукция</x:v>
      </x:c>
      <x:c r="J55" s="28" t="str">
        <x:v>Средняя</x:v>
      </x:c>
      <x:c r="K55" s="28" t="str">
        <x:v>The Art &amp; Science of Foodpairing</x:v>
      </x:c>
      <x:c r="L55" s="28" t="str">
        <x:v>The Art &amp; Science of Foodpairing: 204</x:v>
      </x:c>
    </x:row>
    <x:row r="56" ht="62" customHeight="1">
      <x:c r="A56" s="28" t="str">
        <x:v>BER-0162</x:v>
      </x:c>
      <x:c r="B56" s="28" t="str">
        <x:v>голубика</x:v>
      </x:c>
      <x:c r="C56" s="28" t="str">
        <x:v>makrut lime leaf</x:v>
      </x:c>
      <x:c r="D56" s="28" t="str">
        <x:v>Цитрусовые</x:v>
      </x:c>
      <x:c r="E56" s="28" t="str">
        <x:v>ароматическое сходство + вкусовой баланс</x:v>
      </x:c>
      <x:c r="F56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6" s="28" t="str">
        <x:v>кордиал, лимонад, чай, коктейль, настой или ферментированный напиток; маринад, гастрик, чатни, кетчуп или редукция</x:v>
      </x:c>
      <x:c r="J56" s="28" t="str">
        <x:v>Средняя</x:v>
      </x:c>
      <x:c r="K56" s="28" t="str">
        <x:v>The Art &amp; Science of Foodpairing</x:v>
      </x:c>
      <x:c r="L56" s="28" t="str">
        <x:v>The Art &amp; Science of Foodpairing: 205</x:v>
      </x:c>
    </x:row>
    <x:row r="57" ht="62" customHeight="1">
      <x:c r="A57" s="28" t="str">
        <x:v>BER-0167</x:v>
      </x:c>
      <x:c r="B57" s="28" t="str">
        <x:v>голубика</x:v>
      </x:c>
      <x:c r="C57" s="28" t="str">
        <x:v>mint Sich</x:v>
      </x:c>
      <x:c r="D57" s="28" t="str">
        <x:v>Травы и цветы</x:v>
      </x:c>
      <x:c r="E57" s="28" t="str">
        <x:v>ароматическое сходство + вкусовой баланс</x:v>
      </x:c>
      <x:c r="F57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57" s="28" t="str">
        <x:v>Средняя</x:v>
      </x:c>
      <x:c r="K57" s="28" t="str">
        <x:v>The Art &amp; Science of Foodpairing</x:v>
      </x:c>
      <x:c r="L57" s="28" t="str">
        <x:v>The Art &amp; Science of Foodpairing: 204</x:v>
      </x:c>
    </x:row>
    <x:row r="58" ht="62" customHeight="1">
      <x:c r="A58" s="28" t="str">
        <x:v>BER-0171</x:v>
      </x:c>
      <x:c r="B58" s="28" t="str">
        <x:v>голубика</x:v>
      </x:c>
      <x:c r="C58" s="28" t="str">
        <x:v>parma ham</x:v>
      </x:c>
      <x:c r="D58" s="28" t="str">
        <x:v>Мясо и птица</x:v>
      </x:c>
      <x:c r="E58" s="28" t="str">
        <x:v>контраст/комплементарность + матричный эффект</x:v>
      </x:c>
      <x:c r="F5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5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5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8" s="28" t="str">
        <x:v>соус, глазировка, салат, сырная подача или горячее блюдо; маринад, гастрик, чатни, кетчуп или редукция</x:v>
      </x:c>
      <x:c r="J58" s="28" t="str">
        <x:v>Средняя</x:v>
      </x:c>
      <x:c r="K58" s="28" t="str">
        <x:v>The Art &amp; Science of Foodpairing</x:v>
      </x:c>
      <x:c r="L58" s="28" t="str">
        <x:v>The Art &amp; Science of Foodpairing: 205</x:v>
      </x:c>
    </x:row>
    <x:row r="59" ht="62" customHeight="1">
      <x:c r="A59" s="28" t="str">
        <x:v>BER-0172</x:v>
      </x:c>
      <x:c r="B59" s="28" t="str">
        <x:v>голубика</x:v>
      </x:c>
      <x:c r="C59" s="28" t="str">
        <x:v>pickled sakura leaf drie</x:v>
      </x:c>
      <x:c r="D59" s="28" t="str">
        <x:v>Травы и цветы</x:v>
      </x:c>
      <x:c r="E59" s="28" t="str">
        <x:v>ароматическое сходство + вкусовой баланс</x:v>
      </x:c>
      <x:c r="F59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5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5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5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59" s="28" t="str">
        <x:v>Средняя</x:v>
      </x:c>
      <x:c r="K59" s="28" t="str">
        <x:v>The Art &amp; Science of Foodpairing</x:v>
      </x:c>
      <x:c r="L59" s="28" t="str">
        <x:v>The Art &amp; Science of Foodpairing: 204</x:v>
      </x:c>
    </x:row>
    <x:row r="60" ht="62" customHeight="1">
      <x:c r="A60" s="28" t="str">
        <x:v>BER-0175</x:v>
      </x:c>
      <x:c r="B60" s="28" t="str">
        <x:v>голубика</x:v>
      </x:c>
      <x:c r="C60" s="28" t="str">
        <x:v>red bell pepper</x:v>
      </x:c>
      <x:c r="D60" s="28" t="str">
        <x:v>Специи</x:v>
      </x:c>
      <x:c r="E60" s="28" t="str">
        <x:v>контраст/комплементарность + матричный эффект</x:v>
      </x:c>
      <x:c r="F6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0" s="28" t="str">
        <x:v>Пряность дозировать как акцент: она быстро перекрывает тонкие ягодные эфиры.</x:v>
      </x:c>
      <x:c r="I6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60" s="28" t="str">
        <x:v>Средняя</x:v>
      </x:c>
      <x:c r="K60" s="28" t="str">
        <x:v>The Art &amp; Science of Foodpairing</x:v>
      </x:c>
      <x:c r="L60" s="28" t="str">
        <x:v>The Art &amp; Science of Foodpairing: 205</x:v>
      </x:c>
    </x:row>
    <x:row r="61" ht="62" customHeight="1">
      <x:c r="A61" s="28" t="str">
        <x:v>BER-0176</x:v>
      </x:c>
      <x:c r="B61" s="28" t="str">
        <x:v>голубика</x:v>
      </x:c>
      <x:c r="C61" s="28" t="str">
        <x:v>San Daniele ham</x:v>
      </x:c>
      <x:c r="D61" s="28" t="str">
        <x:v>Мясо и птица</x:v>
      </x:c>
      <x:c r="E61" s="28" t="str">
        <x:v>контраст/комплементарность + матричный эффект</x:v>
      </x:c>
      <x:c r="F6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6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6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1" s="28" t="str">
        <x:v>соус, глазировка, салат, сырная подача или горячее блюдо; маринад, гастрик, чатни, кетчуп или редукция</x:v>
      </x:c>
      <x:c r="J61" s="28" t="str">
        <x:v>Средняя</x:v>
      </x:c>
      <x:c r="K61" s="28" t="str">
        <x:v>The Art &amp; Science of Foodpairing</x:v>
      </x:c>
      <x:c r="L61" s="28" t="str">
        <x:v>The Art &amp; Science of Foodpairing: 204</x:v>
      </x:c>
    </x:row>
    <x:row r="62" ht="62" customHeight="1">
      <x:c r="A62" s="28" t="str">
        <x:v>BER-0178</x:v>
      </x:c>
      <x:c r="B62" s="28" t="str">
        <x:v>голубика</x:v>
      </x:c>
      <x:c r="C62" s="28" t="str">
        <x:v>st chicken</x:v>
      </x:c>
      <x:c r="D62" s="28" t="str">
        <x:v>Мясо и птица</x:v>
      </x:c>
      <x:c r="E62" s="28" t="str">
        <x:v>контраст/комплементарность + матричный эффект</x:v>
      </x:c>
      <x:c r="F6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6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6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2" s="28" t="str">
        <x:v>соус, глазировка, салат, сырная подача или горячее блюдо; маринад, гастрик, чатни, кетчуп или редукция</x:v>
      </x:c>
      <x:c r="J62" s="28" t="str">
        <x:v>Средняя</x:v>
      </x:c>
      <x:c r="K62" s="28" t="str">
        <x:v>The Art &amp; Science of Foodpairing</x:v>
      </x:c>
      <x:c r="L62" s="28" t="str">
        <x:v>The Art &amp; Science of Foodpairing: 204</x:v>
      </x:c>
    </x:row>
    <x:row r="63" ht="62" customHeight="1">
      <x:c r="A63" s="28" t="str">
        <x:v>BER-0180</x:v>
      </x:c>
      <x:c r="B63" s="28" t="str">
        <x:v>голубика</x:v>
      </x:c>
      <x:c r="C63" s="28" t="str">
        <x:v>table broth</x:v>
      </x:c>
      <x:c r="D63" s="28" t="str">
        <x:v>Ферментированные продукты, соусы и уксусы</x:v>
      </x:c>
      <x:c r="E63" s="28" t="str">
        <x:v>контраст/комплементарность + матричный эффект</x:v>
      </x:c>
      <x:c r="F6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кислый, умами, ферментированный. Оба компонента формируют сладко-кислый, мягкий и кислый/солёный/умами контур; сахар, кислота и горечь должны быть выровнены дегустацией. Ягода: нежный аромат легко теряется на фоне сильной сладости.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3" s="28" t="str">
        <x:v>соус, глазировка, салат, сырная подача или горячее блюдо; маринад, гастрик, чатни, кетчуп или редукция</x:v>
      </x:c>
      <x:c r="J63" s="28" t="str">
        <x:v>Средняя</x:v>
      </x:c>
      <x:c r="K63" s="28" t="str">
        <x:v>The Art &amp; Science of Foodpairing</x:v>
      </x:c>
      <x:c r="L63" s="28" t="str">
        <x:v>The Art &amp; Science of Foodpairing: 204</x:v>
      </x:c>
    </x:row>
    <x:row r="64" ht="62" customHeight="1">
      <x:c r="A64" s="28" t="str">
        <x:v>BER-0181</x:v>
      </x:c>
      <x:c r="B64" s="28" t="str">
        <x:v>голубика</x:v>
      </x:c>
      <x:c r="C64" s="28" t="str">
        <x:v>tarocco blood orange</x:v>
      </x:c>
      <x:c r="D64" s="28" t="str">
        <x:v>Цитрусовые</x:v>
      </x:c>
      <x:c r="E64" s="28" t="str">
        <x:v>ароматическое сходство + вкусовой баланс</x:v>
      </x:c>
      <x:c r="F64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4" s="28" t="str">
        <x:v>кордиал, лимонад, чай, коктейль, настой или ферментированный напиток; маринад, гастрик, чатни, кетчуп или редукция</x:v>
      </x:c>
      <x:c r="J64" s="28" t="str">
        <x:v>Средняя</x:v>
      </x:c>
      <x:c r="K64" s="28" t="str">
        <x:v>The Art &amp; Science of Foodpairing</x:v>
      </x:c>
      <x:c r="L64" s="28" t="str">
        <x:v>The Art &amp; Science of Foodpairing: 205</x:v>
      </x:c>
    </x:row>
    <x:row r="65" ht="62" customHeight="1">
      <x:c r="A65" s="28" t="str">
        <x:v>BER-0182</x:v>
      </x:c>
      <x:c r="B65" s="28" t="str">
        <x:v>голубика</x:v>
      </x:c>
      <x:c r="C65" s="28" t="str">
        <x:v>te button mushroom</x:v>
      </x:c>
      <x:c r="D65" s="28" t="str">
        <x:v>Овощи и грибы</x:v>
      </x:c>
      <x:c r="E65" s="28" t="str">
        <x:v>ароматическое сходство + вкусовой баланс</x:v>
      </x:c>
      <x:c r="F65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6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6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5" s="28" t="str">
        <x:v>соус, глазировка, салат, сырная подача или горячее блюдо; маринад, гастрик, чатни, кетчуп или редукция</x:v>
      </x:c>
      <x:c r="J65" s="28" t="str">
        <x:v>Средняя</x:v>
      </x:c>
      <x:c r="K65" s="28" t="str">
        <x:v>The Art &amp; Science of Foodpairing</x:v>
      </x:c>
      <x:c r="L65" s="28" t="str">
        <x:v>The Art &amp; Science of Foodpairing: 204</x:v>
      </x:c>
    </x:row>
    <x:row r="66" ht="62" customHeight="1">
      <x:c r="A66" s="28" t="str">
        <x:v>BER-0183</x:v>
      </x:c>
      <x:c r="B66" s="28" t="str">
        <x:v>голубика</x:v>
      </x:c>
      <x:c r="C66" s="28" t="str">
        <x:v>tikka masala paste dri</x:v>
      </x:c>
      <x:c r="D66" s="28" t="str">
        <x:v>Ферментированные продукты, соусы и уксусы</x:v>
      </x:c>
      <x:c r="E66" s="28" t="str">
        <x:v>контраст/комплементарность + матричный эффект</x:v>
      </x:c>
      <x:c r="F6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кислый, умами, ферментированный. Оба компонента формируют сладко-кислый, мягкий и кислый/солёный/умами контур; сахар, кислота и горечь должны быть выровнены дегустацией. Ягода: нежный аромат легко теряется на фоне сильной сладости.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6" s="28" t="str">
        <x:v>соус, глазировка, салат, сырная подача или горячее блюдо; маринад, гастрик, чатни, кетчуп или редукция</x:v>
      </x:c>
      <x:c r="J66" s="28" t="str">
        <x:v>Средняя</x:v>
      </x:c>
      <x:c r="K66" s="28" t="str">
        <x:v>The Art &amp; Science of Foodpairing</x:v>
      </x:c>
      <x:c r="L66" s="28" t="str">
        <x:v>The Art &amp; Science of Foodpairing: 204</x:v>
      </x:c>
    </x:row>
    <x:row r="67" ht="62" customHeight="1">
      <x:c r="A67" s="28" t="str">
        <x:v>BER-0184</x:v>
      </x:c>
      <x:c r="B67" s="28" t="str">
        <x:v>голубика</x:v>
      </x:c>
      <x:c r="C67" s="28" t="str">
        <x:v>turnip-rooted chervil</x:v>
      </x:c>
      <x:c r="D67" s="28" t="str">
        <x:v>Овощи и грибы</x:v>
      </x:c>
      <x:c r="E67" s="28" t="str">
        <x:v>ароматическое сходство + вкусовой баланс</x:v>
      </x:c>
      <x:c r="F67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6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6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7" s="28" t="str">
        <x:v>соус, глазировка, салат, сырная подача или горячее блюдо; маринад, гастрик, чатни, кетчуп или редукция</x:v>
      </x:c>
      <x:c r="J67" s="28" t="str">
        <x:v>Средняя</x:v>
      </x:c>
      <x:c r="K67" s="28" t="str">
        <x:v>The Art &amp; Science of Foodpairing</x:v>
      </x:c>
      <x:c r="L67" s="28" t="str">
        <x:v>The Art &amp; Science of Foodpairing: 204</x:v>
      </x:c>
    </x:row>
    <x:row r="68" ht="62" customHeight="1">
      <x:c r="A68" s="28" t="str">
        <x:v>BER-0185</x:v>
      </x:c>
      <x:c r="B68" s="28" t="str">
        <x:v>голубика</x:v>
      </x:c>
      <x:c r="C68" s="28" t="str">
        <x:v>uan pepper</x:v>
      </x:c>
      <x:c r="D68" s="28" t="str">
        <x:v>Специи</x:v>
      </x:c>
      <x:c r="E68" s="28" t="str">
        <x:v>контраст/комплементарность + матричный эффект</x:v>
      </x:c>
      <x:c r="F6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6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68" s="28" t="str">
        <x:v>Пряность дозировать как акцент: она быстро перекрывает тонкие ягодные эфиры.</x:v>
      </x:c>
      <x:c r="I6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68" s="28" t="str">
        <x:v>Средняя</x:v>
      </x:c>
      <x:c r="K68" s="28" t="str">
        <x:v>The Art &amp; Science of Foodpairing</x:v>
      </x:c>
      <x:c r="L68" s="28" t="str">
        <x:v>The Art &amp; Science of Foodpairing: 204</x:v>
      </x:c>
    </x:row>
    <x:row r="69" ht="62" customHeight="1">
      <x:c r="A69" s="28" t="str">
        <x:v>BER-0186</x:v>
      </x:c>
      <x:c r="B69" s="28" t="str">
        <x:v>голубика</x:v>
      </x:c>
      <x:c r="C69" s="28" t="str">
        <x:v>wagyu beef hua</x:v>
      </x:c>
      <x:c r="D69" s="28" t="str">
        <x:v>Мясо и птица</x:v>
      </x:c>
      <x:c r="E69" s="28" t="str">
        <x:v>контраст/комплементарность + матричный эффект</x:v>
      </x:c>
      <x:c r="F6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6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6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69" s="28" t="str">
        <x:v>соус, глазировка, салат, сырная подача или горячее блюдо; маринад, гастрик, чатни, кетчуп или редукция</x:v>
      </x:c>
      <x:c r="J69" s="28" t="str">
        <x:v>Средняя</x:v>
      </x:c>
      <x:c r="K69" s="28" t="str">
        <x:v>The Art &amp; Science of Foodpairing</x:v>
      </x:c>
      <x:c r="L69" s="28" t="str">
        <x:v>The Art &amp; Science of Foodpairing: 204</x:v>
      </x:c>
    </x:row>
    <x:row r="70" ht="62" customHeight="1">
      <x:c r="A70" s="28" t="str">
        <x:v>BER-0190</x:v>
      </x:c>
      <x:c r="B70" s="28" t="str">
        <x:v>голубика</x:v>
      </x:c>
      <x:c r="C70" s="28" t="str">
        <x:v>апельсин</x:v>
      </x:c>
      <x:c r="D70" s="28" t="str">
        <x:v>Цитрусовые</x:v>
      </x:c>
      <x:c r="E70" s="28" t="str">
        <x:v>ароматическое сходство + вкусовой баланс</x:v>
      </x:c>
      <x:c r="F70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0" s="28" t="str">
        <x:v>кордиал, лимонад, чай, коктейль, настой или ферментированный напиток; маринад, гастрик, чатни, кетчуп или редукция</x:v>
      </x:c>
      <x:c r="J70" s="28" t="str">
        <x:v>Средняя</x:v>
      </x:c>
      <x:c r="K70" s="28" t="str">
        <x:v>The Art &amp; Science of Foodpairing</x:v>
      </x:c>
      <x:c r="L70" s="28" t="str">
        <x:v>The Art &amp; Science of Foodpairing: 205</x:v>
      </x:c>
    </x:row>
    <x:row r="71" ht="62" customHeight="1">
      <x:c r="A71" s="28" t="str">
        <x:v>BER-0191</x:v>
      </x:c>
      <x:c r="B71" s="28" t="str">
        <x:v>голубика</x:v>
      </x:c>
      <x:c r="C71" s="28" t="str">
        <x:v>апельсиновая</x:v>
      </x:c>
      <x:c r="D71" s="28" t="str">
        <x:v>Цитрусовые</x:v>
      </x:c>
      <x:c r="E71" s="28" t="str">
        <x:v>ароматическое сходство + вкусовой баланс</x:v>
      </x:c>
      <x:c r="F71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1" s="28" t="str">
        <x:v>кордиал, лимонад, чай, коктейль, настой или ферментированный напиток; маринад, гастрик, чатни, кетчуп или редукция</x:v>
      </x:c>
      <x:c r="J71" s="28" t="str">
        <x:v>Средняя</x:v>
      </x:c>
      <x:c r="K71" s="28" t="str">
        <x:v>Таблица сочетаний</x:v>
      </x:c>
      <x:c r="L71" s="28" t="str">
        <x:v>Таблица сочетаний: 3</x:v>
      </x:c>
    </x:row>
    <x:row r="72" ht="62" customHeight="1">
      <x:c r="A72" s="28" t="str">
        <x:v>BER-0192</x:v>
      </x:c>
      <x:c r="B72" s="28" t="str">
        <x:v>голубика</x:v>
      </x:c>
      <x:c r="C72" s="28" t="str">
        <x:v>баранина на гриле</x:v>
      </x:c>
      <x:c r="D72" s="28" t="str">
        <x:v>Мясо и птица</x:v>
      </x:c>
      <x:c r="E72" s="28" t="str">
        <x:v>контраст/комплементарность + матричный эффект</x:v>
      </x:c>
      <x:c r="F7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7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7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2" s="28" t="str">
        <x:v>соус, глазировка, салат, сырная подача или горячее блюдо; маринад, гастрик, чатни, кетчуп или редукция</x:v>
      </x:c>
      <x:c r="J72" s="28" t="str">
        <x:v>Средняя</x:v>
      </x:c>
      <x:c r="K72" s="28" t="str">
        <x:v>The Art &amp; Science of Foodpairing</x:v>
      </x:c>
      <x:c r="L72" s="28" t="str">
        <x:v>The Art &amp; Science of Foodpairing: 205</x:v>
      </x:c>
    </x:row>
    <x:row r="73" ht="62" customHeight="1">
      <x:c r="A73" s="28" t="str">
        <x:v>BER-0194</x:v>
      </x:c>
      <x:c r="B73" s="28" t="str">
        <x:v>голубика</x:v>
      </x:c>
      <x:c r="C73" s="28" t="str">
        <x:v>бергамот</x:v>
      </x:c>
      <x:c r="D73" s="28" t="str">
        <x:v>Цитрусовые</x:v>
      </x:c>
      <x:c r="E73" s="28" t="str">
        <x:v>ароматическое сходство + вкусовой баланс</x:v>
      </x:c>
      <x:c r="F73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3" s="28" t="str">
        <x:v>кордиал, лимонад, чай, коктейль, настой или ферментированный напиток; маринад, гастрик, чатни, кетчуп или редукция</x:v>
      </x:c>
      <x:c r="J73" s="28" t="str">
        <x:v>Средняя</x:v>
      </x:c>
      <x:c r="K73" s="28" t="str">
        <x:v>The Art &amp; Science of Foodpairing</x:v>
      </x:c>
      <x:c r="L73" s="28" t="str">
        <x:v>The Art &amp; Science of Foodpairing: 218</x:v>
      </x:c>
    </x:row>
    <x:row r="74" ht="62" customHeight="1">
      <x:c r="A74" s="28" t="str">
        <x:v>BER-0197</x:v>
      </x:c>
      <x:c r="B74" s="28" t="str">
        <x:v>голубика</x:v>
      </x:c>
      <x:c r="C74" s="28" t="str">
        <x:v>грейпфрут</x:v>
      </x:c>
      <x:c r="D74" s="28" t="str">
        <x:v>Цитрусовые</x:v>
      </x:c>
      <x:c r="E74" s="28" t="str">
        <x:v>ароматическое сходство + вкусовой баланс</x:v>
      </x:c>
      <x:c r="F74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4" s="28" t="str">
        <x:v>кордиал, лимонад, чай, коктейль, настой или ферментированный напиток; маринад, гастрик, чатни, кетчуп или редукция</x:v>
      </x:c>
      <x:c r="J74" s="28" t="str">
        <x:v>Средняя</x:v>
      </x:c>
      <x:c r="K74" s="28" t="str">
        <x:v>The Art &amp; Science of Foodpairing</x:v>
      </x:c>
      <x:c r="L74" s="28" t="str">
        <x:v>The Art &amp; Science of Foodpairing: 205</x:v>
      </x:c>
    </x:row>
    <x:row r="75" ht="62" customHeight="1">
      <x:c r="A75" s="28" t="str">
        <x:v>BER-0200</x:v>
      </x:c>
      <x:c r="B75" s="28" t="str">
        <x:v>голубика</x:v>
      </x:c>
      <x:c r="C75" s="28" t="str">
        <x:v>доджанг</x:v>
      </x:c>
      <x:c r="D75" s="28" t="str">
        <x:v>Ферментированные продукты, соусы и уксусы</x:v>
      </x:c>
      <x:c r="E75" s="28" t="str">
        <x:v>контраст/комплементарность + матричный эффект</x:v>
      </x:c>
      <x:c r="F7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кислый, умами, ферментированный. Оба компонента формируют сладко-кислый, мягкий и кислый/солёный/умами контур; сахар, кислота и горечь должны быть выровнены дегустацией. Ягода: нежный аромат легко теряется на фоне сильной сладости.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5" s="28" t="str">
        <x:v>соус, глазировка, салат, сырная подача или горячее блюдо; маринад, гастрик, чатни, кетчуп или редукция</x:v>
      </x:c>
      <x:c r="J75" s="28" t="str">
        <x:v>Средняя</x:v>
      </x:c>
      <x:c r="K75" s="28" t="str">
        <x:v>The Art &amp; Science of Foodpairing</x:v>
      </x:c>
      <x:c r="L75" s="28" t="str">
        <x:v>The Art &amp; Science of Foodpairing: 246</x:v>
      </x:c>
    </x:row>
    <x:row r="76" ht="62" customHeight="1">
      <x:c r="A76" s="28" t="str">
        <x:v>BER-0201</x:v>
      </x:c>
      <x:c r="B76" s="28" t="str">
        <x:v>голубика</x:v>
      </x:c>
      <x:c r="C76" s="28" t="str">
        <x:v>жареные телячьи зобные железы</x:v>
      </x:c>
      <x:c r="D76" s="28" t="str">
        <x:v>Мясо и птица</x:v>
      </x:c>
      <x:c r="E76" s="28" t="str">
        <x:v>контраст/комплементарность + матричный эффект</x:v>
      </x:c>
      <x:c r="F7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7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7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6" s="28" t="str">
        <x:v>соус, глазировка, салат, сырная подача или горячее блюдо; маринад, гастрик, чатни, кетчуп или редукция</x:v>
      </x:c>
      <x:c r="J76" s="28" t="str">
        <x:v>Средняя</x:v>
      </x:c>
      <x:c r="K76" s="28" t="str">
        <x:v>The Art &amp; Science of Foodpairing</x:v>
      </x:c>
      <x:c r="L76" s="28" t="str">
        <x:v>The Art &amp; Science of Foodpairing: 205</x:v>
      </x:c>
    </x:row>
    <x:row r="77" ht="62" customHeight="1">
      <x:c r="A77" s="28" t="str">
        <x:v>BER-0203</x:v>
      </x:c>
      <x:c r="B77" s="28" t="str">
        <x:v>голубика</x:v>
      </x:c>
      <x:c r="C77" s="28" t="str">
        <x:v>жасмин</x:v>
      </x:c>
      <x:c r="D77" s="28" t="str">
        <x:v>Травы и цветы</x:v>
      </x:c>
      <x:c r="E77" s="28" t="str">
        <x:v>ароматическое сходство + вкусовой баланс</x:v>
      </x:c>
      <x:c r="F77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7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77" s="28" t="str">
        <x:v>Средняя</x:v>
      </x:c>
      <x:c r="K77" s="28" t="str">
        <x:v>Таблица сочетаний</x:v>
      </x:c>
      <x:c r="L77" s="28" t="str">
        <x:v>Таблица сочетаний: 3</x:v>
      </x:c>
    </x:row>
    <x:row r="78" ht="62" customHeight="1">
      <x:c r="A78" s="28" t="str">
        <x:v>BER-0205</x:v>
      </x:c>
      <x:c r="B78" s="28" t="str">
        <x:v>голубика</x:v>
      </x:c>
      <x:c r="C78" s="28" t="str">
        <x:v>имбирь</x:v>
      </x:c>
      <x:c r="D78" s="28" t="str">
        <x:v>Специи</x:v>
      </x:c>
      <x:c r="E78" s="28" t="str">
        <x:v>контраст/комплементарность + матричный эффект</x:v>
      </x:c>
      <x:c r="F7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8" s="28" t="str">
        <x:v>Пряность дозировать как акцент: она быстро перекрывает тонкие ягодные эфиры.</x:v>
      </x:c>
      <x:c r="I7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78" s="28" t="str">
        <x:v>Средняя</x:v>
      </x:c>
      <x:c r="K78" s="28" t="str">
        <x:v>Таблица сочетаний</x:v>
      </x:c>
      <x:c r="L78" s="28" t="str">
        <x:v>Таблица сочетаний: 3</x:v>
      </x:c>
    </x:row>
    <x:row r="79" ht="62" customHeight="1">
      <x:c r="A79" s="28" t="str">
        <x:v>BER-0208</x:v>
      </x:c>
      <x:c r="B79" s="28" t="str">
        <x:v>голубика</x:v>
      </x:c>
      <x:c r="C79" s="28" t="str">
        <x:v>кардамон</x:v>
      </x:c>
      <x:c r="D79" s="28" t="str">
        <x:v>Специи</x:v>
      </x:c>
      <x:c r="E79" s="28" t="str">
        <x:v>контраст/комплементарность + матричный эффект</x:v>
      </x:c>
      <x:c r="F7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7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79" s="28" t="str">
        <x:v>Пряность дозировать как акцент: она быстро перекрывает тонкие ягодные эфиры.</x:v>
      </x:c>
      <x:c r="I7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79" s="28" t="str">
        <x:v>Средняя</x:v>
      </x:c>
      <x:c r="K79" s="28" t="str">
        <x:v>Таблица сочетаний</x:v>
      </x:c>
      <x:c r="L79" s="28" t="str">
        <x:v>Таблица сочетаний: 3</x:v>
      </x:c>
    </x:row>
    <x:row r="80" ht="62" customHeight="1">
      <x:c r="A80" s="28" t="str">
        <x:v>BER-0209</x:v>
      </x:c>
      <x:c r="B80" s="28" t="str">
        <x:v>голубика</x:v>
      </x:c>
      <x:c r="C80" s="28" t="str">
        <x:v>кимчи</x:v>
      </x:c>
      <x:c r="D80" s="28" t="str">
        <x:v>Ферментированные продукты, соусы и уксусы</x:v>
      </x:c>
      <x:c r="E80" s="28" t="str">
        <x:v>контраст/комплементарность + матричный эффект</x:v>
      </x:c>
      <x:c r="F8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кислый, умами, ферментированный. Оба компонента формируют сладко-кислый, мягкий и кислый/солёный/умами контур; сахар, кислота и горечь должны быть выровнены дегустацией. Ягода: нежный аромат легко теряется на фоне сильной сладости.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0" s="28" t="str">
        <x:v>соус, глазировка, салат, сырная подача или горячее блюдо; маринад, гастрик, чатни, кетчуп или редукция</x:v>
      </x:c>
      <x:c r="J80" s="28" t="str">
        <x:v>Средняя</x:v>
      </x:c>
      <x:c r="K80" s="28" t="str">
        <x:v>The Art &amp; Science of Foodpairing</x:v>
      </x:c>
      <x:c r="L80" s="28" t="str">
        <x:v>The Art &amp; Science of Foodpairing: 304, 305</x:v>
      </x:c>
    </x:row>
    <x:row r="81" ht="62" customHeight="1">
      <x:c r="A81" s="28" t="str">
        <x:v>BER-0210</x:v>
      </x:c>
      <x:c r="B81" s="28" t="str">
        <x:v>голубика</x:v>
      </x:c>
      <x:c r="C81" s="28" t="str">
        <x:v>копчёный Atlantic salmon</x:v>
      </x:c>
      <x:c r="D81" s="28" t="str">
        <x:v>Рыба и морепродукты</x:v>
      </x:c>
      <x:c r="E81" s="28" t="str">
        <x:v>контраст/комплементарность + матричный эффект</x:v>
      </x:c>
      <x:c r="F8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8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8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1" s="28" t="str">
        <x:v>соус, глазировка, салат, сырная подача или горячее блюдо; маринад, гастрик, чатни, кетчуп или редукция</x:v>
      </x:c>
      <x:c r="J81" s="28" t="str">
        <x:v>Средняя</x:v>
      </x:c>
      <x:c r="K81" s="28" t="str">
        <x:v>The Art &amp; Science of Foodpairing</x:v>
      </x:c>
      <x:c r="L81" s="28" t="str">
        <x:v>The Art &amp; Science of Foodpairing: 204</x:v>
      </x:c>
    </x:row>
    <x:row r="82" ht="62" customHeight="1">
      <x:c r="A82" s="28" t="str">
        <x:v>BER-0212</x:v>
      </x:c>
      <x:c r="B82" s="28" t="str">
        <x:v>голубика</x:v>
      </x:c>
      <x:c r="C82" s="28" t="str">
        <x:v>корица</x:v>
      </x:c>
      <x:c r="D82" s="28" t="str">
        <x:v>Специи</x:v>
      </x:c>
      <x:c r="E82" s="28" t="str">
        <x:v>контраст/комплементарность + матричный эффект</x:v>
      </x:c>
      <x:c r="F8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2" s="28" t="str">
        <x:v>Пряность дозировать как акцент: она быстро перекрывает тонкие ягодные эфиры.</x:v>
      </x:c>
      <x:c r="I8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82" s="28" t="str">
        <x:v>Средняя</x:v>
      </x:c>
      <x:c r="K82" s="28" t="str">
        <x:v>The Art &amp; Science of Foodpairing</x:v>
      </x:c>
      <x:c r="L82" s="28" t="str">
        <x:v>The Art &amp; Science of Foodpairing: 130</x:v>
      </x:c>
    </x:row>
    <x:row r="83" ht="62" customHeight="1">
      <x:c r="A83" s="28" t="str">
        <x:v>BER-0213</x:v>
      </x:c>
      <x:c r="B83" s="28" t="str">
        <x:v>голубика</x:v>
      </x:c>
      <x:c r="C83" s="28" t="str">
        <x:v>корневой сельдерей</x:v>
      </x:c>
      <x:c r="D83" s="28" t="str">
        <x:v>Овощи и грибы</x:v>
      </x:c>
      <x:c r="E83" s="28" t="str">
        <x:v>ароматическое сходство + вкусовой баланс</x:v>
      </x:c>
      <x:c r="F83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8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8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3" s="28" t="str">
        <x:v>соус, глазировка, салат, сырная подача или горячее блюдо; маринад, гастрик, чатни, кетчуп или редукция</x:v>
      </x:c>
      <x:c r="J83" s="28" t="str">
        <x:v>Средняя</x:v>
      </x:c>
      <x:c r="K83" s="28" t="str">
        <x:v>The Art &amp; Science of Foodpairing</x:v>
      </x:c>
      <x:c r="L83" s="28" t="str">
        <x:v>The Art &amp; Science of Foodpairing: 52, 53</x:v>
      </x:c>
    </x:row>
    <x:row r="84" ht="62" customHeight="1">
      <x:c r="A84" s="28" t="str">
        <x:v>BER-0214</x:v>
      </x:c>
      <x:c r="B84" s="28" t="str">
        <x:v>голубика</x:v>
      </x:c>
      <x:c r="C84" s="28" t="str">
        <x:v>красный сладкий перец</x:v>
      </x:c>
      <x:c r="D84" s="28" t="str">
        <x:v>Специи</x:v>
      </x:c>
      <x:c r="E84" s="28" t="str">
        <x:v>контраст/комплементарность + матричный эффект</x:v>
      </x:c>
      <x:c r="F8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4" s="28" t="str">
        <x:v>Пряность дозировать как акцент: она быстро перекрывает тонкие ягодные эфиры.</x:v>
      </x:c>
      <x:c r="I8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84" s="28" t="str">
        <x:v>Средняя</x:v>
      </x:c>
      <x:c r="K84" s="28" t="str">
        <x:v>The Art &amp; Science of Foodpairing</x:v>
      </x:c>
      <x:c r="L84" s="28" t="str">
        <x:v>The Art &amp; Science of Foodpairing: 109</x:v>
      </x:c>
    </x:row>
    <x:row r="85" ht="62" customHeight="1">
      <x:c r="A85" s="28" t="str">
        <x:v>BER-0215</x:v>
      </x:c>
      <x:c r="B85" s="28" t="str">
        <x:v>голубика</x:v>
      </x:c>
      <x:c r="C85" s="28" t="str">
        <x:v>лаванда</x:v>
      </x:c>
      <x:c r="D85" s="28" t="str">
        <x:v>Травы и цветы</x:v>
      </x:c>
      <x:c r="E85" s="28" t="str">
        <x:v>ароматическое сходство + вкусовой баланс</x:v>
      </x:c>
      <x:c r="F85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85" s="28" t="str">
        <x:v>Средняя</x:v>
      </x:c>
      <x:c r="K85" s="28" t="str">
        <x:v>Таблица сочетаний</x:v>
      </x:c>
      <x:c r="L85" s="28" t="str">
        <x:v>Таблица сочетаний: 3</x:v>
      </x:c>
    </x:row>
    <x:row r="86" ht="62" customHeight="1">
      <x:c r="A86" s="28" t="str">
        <x:v>BER-0217</x:v>
      </x:c>
      <x:c r="B86" s="28" t="str">
        <x:v>голубика</x:v>
      </x:c>
      <x:c r="C86" s="28" t="str">
        <x:v>лимон</x:v>
      </x:c>
      <x:c r="D86" s="28" t="str">
        <x:v>Цитрусовые</x:v>
      </x:c>
      <x:c r="E86" s="28" t="str">
        <x:v>ароматическое сходство + вкусовой баланс</x:v>
      </x:c>
      <x:c r="F86" s="28" t="str">
        <x:v>Прямой вероятный молекулярный мост: линалоол. Ягодный компонент несёт семейства зелёный, фруктовый, цветочный, цитрусовый; партнёр — зелёный, цветочный, цитрусовый. Оба компонента формируют сладко-кислый, мягкий и кислый, свежий контур; сахар, кислота и горечь должны быть выровнены дегустацией. Ягода: нежный аромат легко теряется на фоне сильной сладости.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6" s="28" t="str">
        <x:v>кордиал, лимонад, чай, коктейль, настой или ферментированный напиток; маринад, гастрик, чатни, кетчуп или редукция</x:v>
      </x:c>
      <x:c r="J86" s="28" t="str">
        <x:v>Средняя</x:v>
      </x:c>
      <x:c r="K86" s="28" t="str">
        <x:v>Таблица сочетаний</x:v>
      </x:c>
      <x:c r="L86" s="28" t="str">
        <x:v>Таблица сочетаний: 3</x:v>
      </x:c>
    </x:row>
    <x:row r="87" ht="62" customHeight="1">
      <x:c r="A87" s="28" t="str">
        <x:v>BER-0220</x:v>
      </x:c>
      <x:c r="B87" s="28" t="str">
        <x:v>голубика</x:v>
      </x:c>
      <x:c r="C87" s="28" t="str">
        <x:v>мелисса</x:v>
      </x:c>
      <x:c r="D87" s="28" t="str">
        <x:v>Травы и цветы</x:v>
      </x:c>
      <x:c r="E87" s="28" t="str">
        <x:v>ароматическое сходство + вкусовой баланс</x:v>
      </x:c>
      <x:c r="F87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8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8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87" s="28" t="str">
        <x:v>Средняя</x:v>
      </x:c>
      <x:c r="K87" s="28" t="str">
        <x:v>The Art &amp; Science of Foodpairing</x:v>
      </x:c>
      <x:c r="L87" s="28" t="str">
        <x:v>The Art &amp; Science of Foodpairing: 205</x:v>
      </x:c>
    </x:row>
    <x:row r="88" ht="62" customHeight="1">
      <x:c r="A88" s="28" t="str">
        <x:v>BER-0222</x:v>
      </x:c>
      <x:c r="B88" s="28" t="str">
        <x:v>голубика</x:v>
      </x:c>
      <x:c r="C88" s="28" t="str">
        <x:v>мясо</x:v>
      </x:c>
      <x:c r="D88" s="28" t="str">
        <x:v>Мясо и птица</x:v>
      </x:c>
      <x:c r="E88" s="28" t="str">
        <x:v>контраст/комплементарность + матричный эффект</x:v>
      </x:c>
      <x:c r="F8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8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8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8" s="28" t="str">
        <x:v>соус, глазировка, салат, сырная подача или горячее блюдо; маринад, гастрик, чатни, кетчуп или редукция</x:v>
      </x:c>
      <x:c r="J88" s="28" t="str">
        <x:v>Средняя</x:v>
      </x:c>
      <x:c r="K88" s="28" t="str">
        <x:v>The Art &amp; Science of Foodpairing</x:v>
      </x:c>
      <x:c r="L88" s="28" t="str">
        <x:v>The Art &amp; Science of Foodpairing: 188</x:v>
      </x:c>
    </x:row>
    <x:row r="89" ht="62" customHeight="1">
      <x:c r="A89" s="28" t="str">
        <x:v>BER-0223</x:v>
      </x:c>
      <x:c r="B89" s="28" t="str">
        <x:v>голубика</x:v>
      </x:c>
      <x:c r="C89" s="28" t="str">
        <x:v>на гриле beef</x:v>
      </x:c>
      <x:c r="D89" s="28" t="str">
        <x:v>Мясо и птица</x:v>
      </x:c>
      <x:c r="E89" s="28" t="str">
        <x:v>контраст/комплементарность + матричный эффект</x:v>
      </x:c>
      <x:c r="F8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8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8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89" s="28" t="str">
        <x:v>соус, глазировка, салат, сырная подача или горячее блюдо; маринад, гастрик, чатни, кетчуп или редукция</x:v>
      </x:c>
      <x:c r="J89" s="28" t="str">
        <x:v>Средняя</x:v>
      </x:c>
      <x:c r="K89" s="28" t="str">
        <x:v>The Art &amp; Science of Foodpairing</x:v>
      </x:c>
      <x:c r="L89" s="28" t="str">
        <x:v>The Art &amp; Science of Foodpairing: 205</x:v>
      </x:c>
    </x:row>
    <x:row r="90" ht="62" customHeight="1">
      <x:c r="A90" s="28" t="str">
        <x:v>BER-0224</x:v>
      </x:c>
      <x:c r="B90" s="28" t="str">
        <x:v>голубика</x:v>
      </x:c>
      <x:c r="C90" s="28" t="str">
        <x:v>на гриле courgette boi</x:v>
      </x:c>
      <x:c r="D90" s="28" t="str">
        <x:v>Овощи и грибы</x:v>
      </x:c>
      <x:c r="E90" s="28" t="str">
        <x:v>ароматическое сходство + вкусовой баланс</x:v>
      </x:c>
      <x:c r="F90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9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9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0" s="28" t="str">
        <x:v>соус, глазировка, салат, сырная подача или горячее блюдо; маринад, гастрик, чатни, кетчуп или редукция</x:v>
      </x:c>
      <x:c r="J90" s="28" t="str">
        <x:v>Средняя</x:v>
      </x:c>
      <x:c r="K90" s="28" t="str">
        <x:v>The Art &amp; Science of Foodpairing</x:v>
      </x:c>
      <x:c r="L90" s="28" t="str">
        <x:v>The Art &amp; Science of Foodpairing: 204</x:v>
      </x:c>
    </x:row>
    <x:row r="91" ht="62" customHeight="1">
      <x:c r="A91" s="28" t="str">
        <x:v>BER-0225</x:v>
      </x:c>
      <x:c r="B91" s="28" t="str">
        <x:v>голубика</x:v>
      </x:c>
      <x:c r="C91" s="28" t="str">
        <x:v>на гриле turbot dri</x:v>
      </x:c>
      <x:c r="D91" s="28" t="str">
        <x:v>Рыба и морепродукты</x:v>
      </x:c>
      <x:c r="E91" s="28" t="str">
        <x:v>контраст/комплементарность + матричный эффект</x:v>
      </x:c>
      <x:c r="F9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9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9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1" s="28" t="str">
        <x:v>соус, глазировка, салат, сырная подача или горячее блюдо; маринад, гастрик, чатни, кетчуп или редукция</x:v>
      </x:c>
      <x:c r="J91" s="28" t="str">
        <x:v>Средняя</x:v>
      </x:c>
      <x:c r="K91" s="28" t="str">
        <x:v>The Art &amp; Science of Foodpairing</x:v>
      </x:c>
      <x:c r="L91" s="28" t="str">
        <x:v>The Art &amp; Science of Foodpairing: 204</x:v>
      </x:c>
    </x:row>
    <x:row r="92" ht="62" customHeight="1">
      <x:c r="A92" s="28" t="str">
        <x:v>BER-0230</x:v>
      </x:c>
      <x:c r="B92" s="28" t="str">
        <x:v>голубика</x:v>
      </x:c>
      <x:c r="C92" s="28" t="str">
        <x:v>огурец</x:v>
      </x:c>
      <x:c r="D92" s="28" t="str">
        <x:v>Овощи и грибы</x:v>
      </x:c>
      <x:c r="E92" s="28" t="str">
        <x:v>ароматическое сходство + вкусовой баланс</x:v>
      </x:c>
      <x:c r="F92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9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9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2" s="28" t="str">
        <x:v>соус, глазировка, салат, сырная подача или горячее блюдо; маринад, гастрик, чатни, кетчуп или редукция</x:v>
      </x:c>
      <x:c r="J92" s="28" t="str">
        <x:v>Средняя</x:v>
      </x:c>
      <x:c r="K92" s="28" t="str">
        <x:v>The Art &amp; Science of Foodpairing</x:v>
      </x:c>
      <x:c r="L92" s="28" t="str">
        <x:v>The Art &amp; Science of Foodpairing: 205</x:v>
      </x:c>
    </x:row>
    <x:row r="93" ht="62" customHeight="1">
      <x:c r="A93" s="28" t="str">
        <x:v>BER-0231</x:v>
      </x:c>
      <x:c r="B93" s="28" t="str">
        <x:v>голубика</x:v>
      </x:c>
      <x:c r="C93" s="28" t="str">
        <x:v>отварной artichoke</x:v>
      </x:c>
      <x:c r="D93" s="28" t="str">
        <x:v>Овощи и грибы</x:v>
      </x:c>
      <x:c r="E93" s="28" t="str">
        <x:v>ароматическое сходство + вкусовой баланс</x:v>
      </x:c>
      <x:c r="F93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9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9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3" s="28" t="str">
        <x:v>соус, глазировка, салат, сырная подача или горячее блюдо; маринад, гастрик, чатни, кетчуп или редукция</x:v>
      </x:c>
      <x:c r="J93" s="28" t="str">
        <x:v>Средняя</x:v>
      </x:c>
      <x:c r="K93" s="28" t="str">
        <x:v>The Art &amp; Science of Foodpairing</x:v>
      </x:c>
      <x:c r="L93" s="28" t="str">
        <x:v>The Art &amp; Science of Foodpairing: 205</x:v>
      </x:c>
    </x:row>
    <x:row r="94" ht="62" customHeight="1">
      <x:c r="A94" s="28" t="str">
        <x:v>BER-0233</x:v>
      </x:c>
      <x:c r="B94" s="28" t="str">
        <x:v>голубика</x:v>
      </x:c>
      <x:c r="C94" s="28" t="str">
        <x:v>отварной brown crab meat blue</x:v>
      </x:c>
      <x:c r="D94" s="28" t="str">
        <x:v>Мясо и птица</x:v>
      </x:c>
      <x:c r="E94" s="28" t="str">
        <x:v>контраст/комплементарность + матричный эффект</x:v>
      </x:c>
      <x:c r="F9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9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9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4" s="28" t="str">
        <x:v>соус, глазировка, салат, сырная подача или горячее блюдо; маринад, гастрик, чатни, кетчуп или редукция</x:v>
      </x:c>
      <x:c r="J94" s="28" t="str">
        <x:v>Средняя</x:v>
      </x:c>
      <x:c r="K94" s="28" t="str">
        <x:v>The Art &amp; Science of Foodpairing</x:v>
      </x:c>
      <x:c r="L94" s="28" t="str">
        <x:v>The Art &amp; Science of Foodpairing: 204</x:v>
      </x:c>
    </x:row>
    <x:row r="95" ht="62" customHeight="1">
      <x:c r="A95" s="28" t="str">
        <x:v>BER-0234</x:v>
      </x:c>
      <x:c r="B95" s="28" t="str">
        <x:v>голубика</x:v>
      </x:c>
      <x:c r="C95" s="28" t="str">
        <x:v>отварной brown shrimp</x:v>
      </x:c>
      <x:c r="D95" s="28" t="str">
        <x:v>Рыба и морепродукты</x:v>
      </x:c>
      <x:c r="E95" s="28" t="str">
        <x:v>контраст/комплементарность + матричный эффект</x:v>
      </x:c>
      <x:c r="F9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9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9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5" s="28" t="str">
        <x:v>соус, глазировка, салат, сырная подача или горячее блюдо; маринад, гастрик, чатни, кетчуп или редукция</x:v>
      </x:c>
      <x:c r="J95" s="28" t="str">
        <x:v>Средняя</x:v>
      </x:c>
      <x:c r="K95" s="28" t="str">
        <x:v>The Art &amp; Science of Foodpairing</x:v>
      </x:c>
      <x:c r="L95" s="28" t="str">
        <x:v>The Art &amp; Science of Foodpairing: 205</x:v>
      </x:c>
    </x:row>
    <x:row r="96" ht="62" customHeight="1">
      <x:c r="A96" s="28" t="str">
        <x:v>BER-0238</x:v>
      </x:c>
      <x:c r="B96" s="28" t="str">
        <x:v>голубика</x:v>
      </x:c>
      <x:c r="C96" s="28" t="str">
        <x:v>пармиджано-реджано</x:v>
      </x:c>
      <x:c r="D96" s="28" t="str">
        <x:v>Рыба и морепродукты</x:v>
      </x:c>
      <x:c r="E96" s="28" t="str">
        <x:v>контраст/комплементарность + матричный эффект</x:v>
      </x:c>
      <x:c r="F9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9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9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6" s="28" t="str">
        <x:v>соус, глазировка, салат, сырная подача или горячее блюдо; маринад, гастрик, чатни, кетчуп или редукция</x:v>
      </x:c>
      <x:c r="J96" s="28" t="str">
        <x:v>Средняя</x:v>
      </x:c>
      <x:c r="K96" s="28" t="str">
        <x:v>The Art &amp; Science of Foodpairing</x:v>
      </x:c>
      <x:c r="L96" s="28" t="str">
        <x:v>The Art &amp; Science of Foodpairing: 283</x:v>
      </x:c>
    </x:row>
    <x:row r="97" ht="62" customHeight="1">
      <x:c r="A97" s="28" t="str">
        <x:v>BER-0239</x:v>
      </x:c>
      <x:c r="B97" s="28" t="str">
        <x:v>голубика</x:v>
      </x:c>
      <x:c r="C97" s="28" t="str">
        <x:v>перец чили</x:v>
      </x:c>
      <x:c r="D97" s="28" t="str">
        <x:v>Специи</x:v>
      </x:c>
      <x:c r="E97" s="28" t="str">
        <x:v>контраст/комплементарность + матричный эффект</x:v>
      </x:c>
      <x:c r="F9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9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97" s="28" t="str">
        <x:v>Пряность дозировать как акцент: она быстро перекрывает тонкие ягодные эфиры.</x:v>
      </x:c>
      <x:c r="I9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97" s="28" t="str">
        <x:v>Средняя</x:v>
      </x:c>
      <x:c r="K97" s="28" t="str">
        <x:v>The Art &amp; Science of Foodpairing</x:v>
      </x:c>
      <x:c r="L97" s="28" t="str">
        <x:v>The Art &amp; Science of Foodpairing: 94</x:v>
      </x:c>
    </x:row>
    <x:row r="98" ht="62" customHeight="1">
      <x:c r="A98" s="28" t="str">
        <x:v>BER-0241</x:v>
      </x:c>
      <x:c r="B98" s="28" t="str">
        <x:v>голубика</x:v>
      </x:c>
      <x:c r="C98" s="28" t="str">
        <x:v>приготовленный black-eyed beans</x:v>
      </x:c>
      <x:c r="D98" s="28" t="str">
        <x:v>Овощи и грибы</x:v>
      </x:c>
      <x:c r="E98" s="28" t="str">
        <x:v>ароматическое сходство + вкусовой баланс</x:v>
      </x:c>
      <x:c r="F98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9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9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8" s="28" t="str">
        <x:v>соус, глазировка, салат, сырная подача или горячее блюдо; маринад, гастрик, чатни, кетчуп или редукция</x:v>
      </x:c>
      <x:c r="J98" s="28" t="str">
        <x:v>Средняя</x:v>
      </x:c>
      <x:c r="K98" s="28" t="str">
        <x:v>The Art &amp; Science of Foodpairing</x:v>
      </x:c>
      <x:c r="L98" s="28" t="str">
        <x:v>The Art &amp; Science of Foodpairing: 204</x:v>
      </x:c>
    </x:row>
    <x:row r="99" ht="62" customHeight="1">
      <x:c r="A99" s="28" t="str">
        <x:v>BER-0243</x:v>
      </x:c>
      <x:c r="B99" s="28" t="str">
        <x:v>голубика</x:v>
      </x:c>
      <x:c r="C99" s="28" t="str">
        <x:v>приготовленный mussels swe</x:v>
      </x:c>
      <x:c r="D99" s="28" t="str">
        <x:v>Рыба и морепродукты</x:v>
      </x:c>
      <x:c r="E99" s="28" t="str">
        <x:v>контраст/комплементарность + матричный эффект</x:v>
      </x:c>
      <x:c r="F9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9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9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99" s="28" t="str">
        <x:v>соус, глазировка, салат, сырная подача или горячее блюдо; маринад, гастрик, чатни, кетчуп или редукция</x:v>
      </x:c>
      <x:c r="J99" s="28" t="str">
        <x:v>Средняя</x:v>
      </x:c>
      <x:c r="K99" s="28" t="str">
        <x:v>The Art &amp; Science of Foodpairing</x:v>
      </x:c>
      <x:c r="L99" s="28" t="str">
        <x:v>The Art &amp; Science of Foodpairing: 204</x:v>
      </x:c>
    </x:row>
    <x:row r="100" ht="62" customHeight="1">
      <x:c r="A100" s="28" t="str">
        <x:v>BER-0244</x:v>
      </x:c>
      <x:c r="B100" s="28" t="str">
        <x:v>голубика</x:v>
      </x:c>
      <x:c r="C100" s="28" t="str">
        <x:v>припущенный chicken whi</x:v>
      </x:c>
      <x:c r="D100" s="28" t="str">
        <x:v>Мясо и птица</x:v>
      </x:c>
      <x:c r="E100" s="28" t="str">
        <x:v>контраст/комплементарность + матричный эффект</x:v>
      </x:c>
      <x:c r="F10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0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0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0" s="28" t="str">
        <x:v>соус, глазировка, салат, сырная подача или горячее блюдо; маринад, гастрик, чатни, кетчуп или редукция</x:v>
      </x:c>
      <x:c r="J100" s="28" t="str">
        <x:v>Средняя</x:v>
      </x:c>
      <x:c r="K100" s="28" t="str">
        <x:v>The Art &amp; Science of Foodpairing</x:v>
      </x:c>
      <x:c r="L100" s="28" t="str">
        <x:v>The Art &amp; Science of Foodpairing: 204</x:v>
      </x:c>
    </x:row>
    <x:row r="101" ht="62" customHeight="1">
      <x:c r="A101" s="28" t="str">
        <x:v>BER-0245</x:v>
      </x:c>
      <x:c r="B101" s="28" t="str">
        <x:v>голубика</x:v>
      </x:c>
      <x:c r="C101" s="28" t="str">
        <x:v>припущенный лосось</x:v>
      </x:c>
      <x:c r="D101" s="28" t="str">
        <x:v>Рыба и морепродукты</x:v>
      </x:c>
      <x:c r="E101" s="28" t="str">
        <x:v>контраст/комплементарность + матричный эффект</x:v>
      </x:c>
      <x:c r="F10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0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0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1" s="28" t="str">
        <x:v>соус, глазировка, салат, сырная подача или горячее блюдо; маринад, гастрик, чатни, кетчуп или редукция</x:v>
      </x:c>
      <x:c r="J101" s="28" t="str">
        <x:v>Средняя</x:v>
      </x:c>
      <x:c r="K101" s="28" t="str">
        <x:v>The Art &amp; Science of Foodpairing</x:v>
      </x:c>
      <x:c r="L101" s="28" t="str">
        <x:v>The Art &amp; Science of Foodpairing: 204, 205</x:v>
      </x:c>
    </x:row>
    <x:row r="102" ht="62" customHeight="1">
      <x:c r="A102" s="28" t="str">
        <x:v>BER-0246</x:v>
      </x:c>
      <x:c r="B102" s="28" t="str">
        <x:v>голубика</x:v>
      </x:c>
      <x:c r="C102" s="28" t="str">
        <x:v>розмарин</x:v>
      </x:c>
      <x:c r="D102" s="28" t="str">
        <x:v>Травы и цветы</x:v>
      </x:c>
      <x:c r="E102" s="28" t="str">
        <x:v>ароматическое сходство + вкусовой баланс</x:v>
      </x:c>
      <x:c r="F102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02" s="28" t="str">
        <x:v>Средняя</x:v>
      </x:c>
      <x:c r="K102" s="28" t="str">
        <x:v>Таблица сочетаний</x:v>
      </x:c>
      <x:c r="L102" s="28" t="str">
        <x:v>Таблица сочетаний: 3</x:v>
      </x:c>
    </x:row>
    <x:row r="103" ht="62" customHeight="1">
      <x:c r="A103" s="28" t="str">
        <x:v>BER-0247</x:v>
      </x:c>
      <x:c r="B103" s="28" t="str">
        <x:v>голубика</x:v>
      </x:c>
      <x:c r="C103" s="28" t="str">
        <x:v>свежие съедобные лепестки розы</x:v>
      </x:c>
      <x:c r="D103" s="28" t="str">
        <x:v>Травы и цветы</x:v>
      </x:c>
      <x:c r="E103" s="28" t="str">
        <x:v>ароматическое сходство + вкусовой баланс</x:v>
      </x:c>
      <x:c r="F103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3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03" s="28" t="str">
        <x:v>Средняя</x:v>
      </x:c>
      <x:c r="K103" s="28" t="str">
        <x:v>The Art &amp; Science of Foodpairing</x:v>
      </x:c>
      <x:c r="L103" s="28" t="str">
        <x:v>The Art &amp; Science of Foodpairing: 205</x:v>
      </x:c>
    </x:row>
    <x:row r="104" ht="62" customHeight="1">
      <x:c r="A104" s="28" t="str">
        <x:v>BER-0248</x:v>
      </x:c>
      <x:c r="B104" s="28" t="str">
        <x:v>голубика</x:v>
      </x:c>
      <x:c r="C104" s="28" t="str">
        <x:v>сушёный chipotle chilli</x:v>
      </x:c>
      <x:c r="D104" s="28" t="str">
        <x:v>Специи</x:v>
      </x:c>
      <x:c r="E104" s="28" t="str">
        <x:v>контраст/комплементарность + матричный эффект</x:v>
      </x:c>
      <x:c r="F10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4" s="28" t="str">
        <x:v>Пряность дозировать как акцент: она быстро перекрывает тонкие ягодные эфиры.</x:v>
      </x:c>
      <x:c r="I10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04" s="28" t="str">
        <x:v>Средняя</x:v>
      </x:c>
      <x:c r="K104" s="28" t="str">
        <x:v>The Art &amp; Science of Foodpairing</x:v>
      </x:c>
      <x:c r="L104" s="28" t="str">
        <x:v>The Art &amp; Science of Foodpairing: 205</x:v>
      </x:c>
    </x:row>
    <x:row r="105" ht="62" customHeight="1">
      <x:c r="A105" s="28" t="str">
        <x:v>BER-0250</x:v>
      </x:c>
      <x:c r="B105" s="28" t="str">
        <x:v>голубика</x:v>
      </x:c>
      <x:c r="C105" s="28" t="str">
        <x:v>трюфель</x:v>
      </x:c>
      <x:c r="D105" s="28" t="str">
        <x:v>Овощи и грибы</x:v>
      </x:c>
      <x:c r="E105" s="28" t="str">
        <x:v>ароматическое сходство + вкусовой баланс</x:v>
      </x:c>
      <x:c r="F105" s="28" t="str">
        <x:v>Прямой вероятный молекулярный мост: C6-альдегиды. Ягодный компонент несёт семейства зелёный, фруктовый, цветочный, цитрусовый; партнёр — зелёный, землистый, сернистый. Оба компонента формируют сладко-кислый, мягкий и растительный, иногда умами контур; сахар, кислота и горечь должны быть выровнены дегустацией. Ягода: нежный аромат легко теряется на фоне сильной сладости.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0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0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5" s="28" t="str">
        <x:v>соус, глазировка, салат, сырная подача или горячее блюдо; маринад, гастрик, чатни, кетчуп или редукция</x:v>
      </x:c>
      <x:c r="J105" s="28" t="str">
        <x:v>Средняя</x:v>
      </x:c>
      <x:c r="K105" s="28" t="str">
        <x:v>The Art &amp; Science of Foodpairing</x:v>
      </x:c>
      <x:c r="L105" s="28" t="str">
        <x:v>The Art &amp; Science of Foodpairing: 193</x:v>
      </x:c>
    </x:row>
    <x:row r="106" ht="62" customHeight="1">
      <x:c r="A106" s="28" t="str">
        <x:v>BER-0252</x:v>
      </x:c>
      <x:c r="B106" s="28" t="str">
        <x:v>голубика</x:v>
      </x:c>
      <x:c r="C106" s="28" t="str">
        <x:v>укроп</x:v>
      </x:c>
      <x:c r="D106" s="28" t="str">
        <x:v>Травы и цветы</x:v>
      </x:c>
      <x:c r="E106" s="28" t="str">
        <x:v>ароматическое сходство + вкусовой баланс</x:v>
      </x:c>
      <x:c r="F106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06" s="28" t="str">
        <x:v>Средняя</x:v>
      </x:c>
      <x:c r="K106" s="28" t="str">
        <x:v>The Art &amp; Science of Foodpairing</x:v>
      </x:c>
      <x:c r="L106" s="28" t="str">
        <x:v>The Art &amp; Science of Foodpairing: 205</x:v>
      </x:c>
    </x:row>
    <x:row r="107" ht="62" customHeight="1">
      <x:c r="A107" s="28" t="str">
        <x:v>BER-0254</x:v>
      </x:c>
      <x:c r="B107" s="28" t="str">
        <x:v>голубика</x:v>
      </x:c>
      <x:c r="C107" s="28" t="str">
        <x:v>хамон иберико</x:v>
      </x:c>
      <x:c r="D107" s="28" t="str">
        <x:v>Мясо и птица</x:v>
      </x:c>
      <x:c r="E107" s="28" t="str">
        <x:v>контраст/комплементарность + матричный эффект</x:v>
      </x:c>
      <x:c r="F10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0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0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7" s="28" t="str">
        <x:v>соус, глазировка, салат, сырная подача или горячее блюдо; маринад, гастрик, чатни, кетчуп или редукция</x:v>
      </x:c>
      <x:c r="J107" s="28" t="str">
        <x:v>Средняя</x:v>
      </x:c>
      <x:c r="K107" s="28" t="str">
        <x:v>The Art &amp; Science of Foodpairing</x:v>
      </x:c>
      <x:c r="L107" s="28" t="str">
        <x:v>The Art &amp; Science of Foodpairing: 278</x:v>
      </x:c>
    </x:row>
    <x:row r="108" ht="62" customHeight="1">
      <x:c r="A108" s="28" t="str">
        <x:v>BER-0255</x:v>
      </x:c>
      <x:c r="B108" s="28" t="str">
        <x:v>голубика</x:v>
      </x:c>
      <x:c r="C108" s="28" t="str">
        <x:v>цветы жасмина</x:v>
      </x:c>
      <x:c r="D108" s="28" t="str">
        <x:v>Травы и цветы</x:v>
      </x:c>
      <x:c r="E108" s="28" t="str">
        <x:v>ароматическое сходство + вкусовой баланс</x:v>
      </x:c>
      <x:c r="F108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0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08" s="28" t="str">
        <x:v>Средняя</x:v>
      </x:c>
      <x:c r="K108" s="28" t="str">
        <x:v>The Art &amp; Science of Foodpairing</x:v>
      </x:c>
      <x:c r="L108" s="28" t="str">
        <x:v>The Art &amp; Science of Foodpairing: 211</x:v>
      </x:c>
    </x:row>
    <x:row r="109" ht="62" customHeight="1">
      <x:c r="A109" s="28" t="str">
        <x:v>BER-0258</x:v>
      </x:c>
      <x:c r="B109" s="28" t="str">
        <x:v>голубика</x:v>
      </x:c>
      <x:c r="C109" s="28" t="str">
        <x:v>чёрный перец</x:v>
      </x:c>
      <x:c r="D109" s="28" t="str">
        <x:v>Специи</x:v>
      </x:c>
      <x:c r="E109" s="28" t="str">
        <x:v>контраст/комплементарность + матричный эффект</x:v>
      </x:c>
      <x:c r="F10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фруктовый, цветочный, цитрусовый;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0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09" s="28" t="str">
        <x:v>Пряность дозировать как акцент: она быстро перекрывает тонкие ягодные эфиры.</x:v>
      </x:c>
      <x:c r="I10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09" s="28" t="str">
        <x:v>Средняя</x:v>
      </x:c>
      <x:c r="K109" s="28" t="str">
        <x:v>The Art &amp; Science of Foodpairing</x:v>
      </x:c>
      <x:c r="L109" s="28" t="str">
        <x:v>The Art &amp; Science of Foodpairing: 275</x:v>
      </x:c>
    </x:row>
    <x:row r="110" ht="62" customHeight="1">
      <x:c r="A110" s="28" t="str">
        <x:v>BER-0260</x:v>
      </x:c>
      <x:c r="B110" s="28" t="str">
        <x:v>голубика</x:v>
      </x:c>
      <x:c r="C110" s="28" t="str">
        <x:v>шалфей</x:v>
      </x:c>
      <x:c r="D110" s="28" t="str">
        <x:v>Травы и цветы</x:v>
      </x:c>
      <x:c r="E110" s="28" t="str">
        <x:v>ароматическое сходство + вкусовой баланс</x:v>
      </x:c>
      <x:c r="F110" s="28" t="str">
        <x:v>Прямой вероятный молекулярный мост: гераниол, линалоол. Ягодный компонент несёт семейства зелёный, фруктовый, цветочный, цитрусовый;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10" s="28" t="str">
        <x:v>Средняя</x:v>
      </x:c>
      <x:c r="K110" s="28" t="str">
        <x:v>Таблица сочетаний</x:v>
      </x:c>
      <x:c r="L110" s="28" t="str">
        <x:v>Таблица сочетаний: 3</x:v>
      </x:c>
    </x:row>
    <x:row r="111" ht="62" customHeight="1">
      <x:c r="A111" s="28" t="str">
        <x:v>BER-0265</x:v>
      </x:c>
      <x:c r="B111" s="28" t="str">
        <x:v>ежевика</x:v>
      </x:c>
      <x:c r="C111" s="28" t="str">
        <x:v>апельсин</x:v>
      </x:c>
      <x:c r="D111" s="28" t="str">
        <x:v>Цитрусовые</x:v>
      </x:c>
      <x:c r="E111" s="28" t="str">
        <x:v>ароматическое сходство + вкусовой баланс</x:v>
      </x:c>
      <x:c r="F111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цветочный, цитрусовый. Оба компонента формируют кисло-сладкий, умеренно терпкий и кислый, свежий контур; сахар, кислота и горечь должны быть выровнены дегустацией. Ягода: пигменты и полифенолы дают цвет и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1" s="28" t="str">
        <x:v>кордиал, лимонад, чай, коктейль, настой или ферментированный напиток; маринад, гастрик, чатни, кетчуп или редукция</x:v>
      </x:c>
      <x:c r="J111" s="28" t="str">
        <x:v>Средняя</x:v>
      </x:c>
      <x:c r="K111" s="28" t="str">
        <x:v>The Art &amp; Science of Foodpairing</x:v>
      </x:c>
      <x:c r="L111" s="28" t="str">
        <x:v>The Art &amp; Science of Foodpairing: 237</x:v>
      </x:c>
    </x:row>
    <x:row r="112" ht="62" customHeight="1">
      <x:c r="A112" s="28" t="str">
        <x:v>BER-0266</x:v>
      </x:c>
      <x:c r="B112" s="28" t="str">
        <x:v>ежевика</x:v>
      </x:c>
      <x:c r="C112" s="28" t="str">
        <x:v>артишок</x:v>
      </x:c>
      <x:c r="D112" s="28" t="str">
        <x:v>Овощи и грибы</x:v>
      </x:c>
      <x:c r="E112" s="28" t="str">
        <x:v>ароматическое сходство + вкусовой баланс</x:v>
      </x:c>
      <x:c r="F112" s="28" t="str">
        <x:v>Прямой вероятный молекулярный мост: C6-альдегиды. Ягодный компонент несёт семейства древесный, зелёный, мускусный, тёмно-фруктовый, цветочный; партнёр — зелёный, землистый, сернистый. Оба компонента формируют кисло-сладкий, умеренно терпкий и растительный, иногда умами контур; сахар, кислота и горечь должны быть выровнены дегустацией. Ягода: пигменты и полифенолы дают цвет и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1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1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2" s="28" t="str">
        <x:v>соус, глазировка, салат, сырная подача или горячее блюдо; маринад, гастрик, чатни, кетчуп или редукция</x:v>
      </x:c>
      <x:c r="J112" s="28" t="str">
        <x:v>Средняя</x:v>
      </x:c>
      <x:c r="K112" s="28" t="str">
        <x:v>The Art &amp; Science of Foodpairing</x:v>
      </x:c>
      <x:c r="L112" s="28" t="str">
        <x:v>The Art &amp; Science of Foodpairing: 328</x:v>
      </x:c>
    </x:row>
    <x:row r="113" ht="62" customHeight="1">
      <x:c r="A113" s="28" t="str">
        <x:v>BER-0270</x:v>
      </x:c>
      <x:c r="B113" s="28" t="str">
        <x:v>ежевика</x:v>
      </x:c>
      <x:c r="C113" s="28" t="str">
        <x:v>говядина</x:v>
      </x:c>
      <x:c r="D113" s="28" t="str">
        <x:v>Мясо и птица</x:v>
      </x:c>
      <x:c r="E113" s="28" t="str">
        <x:v>контраст/комплементарность + матричный эффект</x:v>
      </x:c>
      <x:c r="F11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1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1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3" s="28" t="str">
        <x:v>соус, глазировка, салат, сырная подача или горячее блюдо; маринад, гастрик, чатни, кетчуп или редукция</x:v>
      </x:c>
      <x:c r="J113" s="28" t="str">
        <x:v>Высокая</x:v>
      </x:c>
      <x:c r="K113" s="28" t="str">
        <x:v>Тезариус вкусов</x:v>
      </x:c>
      <x:c r="L113" s="28" t="str">
        <x:v>Тезариус вкусов: 110, 880</x:v>
      </x:c>
    </x:row>
    <x:row r="114" ht="62" customHeight="1">
      <x:c r="A114" s="28" t="str">
        <x:v>BER-0271</x:v>
      </x:c>
      <x:c r="B114" s="28" t="str">
        <x:v>ежевика</x:v>
      </x:c>
      <x:c r="C114" s="28" t="str">
        <x:v>грейпфрут</x:v>
      </x:c>
      <x:c r="D114" s="28" t="str">
        <x:v>Цитрусовые</x:v>
      </x:c>
      <x:c r="E114" s="28" t="str">
        <x:v>ароматическое сходство + вкусовой баланс</x:v>
      </x:c>
      <x:c r="F114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цветочный, цитрусовый. Оба компонента формируют кисло-сладкий, умеренно терпкий и кислый, свежий контур; сахар, кислота и горечь должны быть выровнены дегустацией. Ягода: пигменты и полифенолы дают цвет и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4" s="28" t="str">
        <x:v>кордиал, лимонад, чай, коктейль, настой или ферментированный напиток; маринад, гастрик, чатни, кетчуп или редукция</x:v>
      </x:c>
      <x:c r="J114" s="28" t="str">
        <x:v>Средняя</x:v>
      </x:c>
      <x:c r="K114" s="28" t="str">
        <x:v>The Art &amp; Science of Foodpairing</x:v>
      </x:c>
      <x:c r="L114" s="28" t="str">
        <x:v>The Art &amp; Science of Foodpairing: 359</x:v>
      </x:c>
    </x:row>
    <x:row r="115" ht="62" customHeight="1">
      <x:c r="A115" s="28" t="str">
        <x:v>BER-0274</x:v>
      </x:c>
      <x:c r="B115" s="28" t="str">
        <x:v>ежевика</x:v>
      </x:c>
      <x:c r="C115" s="28" t="str">
        <x:v>доджанг</x:v>
      </x:c>
      <x:c r="D115" s="28" t="str">
        <x:v>Ферментированные продукты, соусы и уксусы</x:v>
      </x:c>
      <x:c r="E115" s="28" t="str">
        <x:v>ароматическое сходство + вкусовой баланс</x:v>
      </x:c>
      <x:c r="F115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кислый, умами, ферментированный. Оба компонента формируют кисло-сладкий, умеренно терпкий и кислый/солёный/умами контур; сахар, кислота и горечь должны быть выровнены дегустацией. Ягода: пигменты и полифенолы дают цвет и терпкость.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5" s="28" t="str">
        <x:v>соус, глазировка, салат, сырная подача или горячее блюдо; маринад, гастрик, чатни, кетчуп или редукция</x:v>
      </x:c>
      <x:c r="J115" s="28" t="str">
        <x:v>Средняя</x:v>
      </x:c>
      <x:c r="K115" s="28" t="str">
        <x:v>The Art &amp; Science of Foodpairing</x:v>
      </x:c>
      <x:c r="L115" s="28" t="str">
        <x:v>The Art &amp; Science of Foodpairing: 246</x:v>
      </x:c>
    </x:row>
    <x:row r="116" ht="62" customHeight="1">
      <x:c r="A116" s="28" t="str">
        <x:v>BER-0275</x:v>
      </x:c>
      <x:c r="B116" s="28" t="str">
        <x:v>ежевика</x:v>
      </x:c>
      <x:c r="C116" s="28" t="str">
        <x:v>зелёная фасоль</x:v>
      </x:c>
      <x:c r="D116" s="28" t="str">
        <x:v>Овощи и грибы</x:v>
      </x:c>
      <x:c r="E116" s="28" t="str">
        <x:v>ароматическое сходство + вкусовой баланс</x:v>
      </x:c>
      <x:c r="F116" s="28" t="str">
        <x:v>Прямой вероятный молекулярный мост: C6-альдегиды. Ягодный компонент несёт семейства древесный, зелёный, мускусный, тёмно-фруктовый, цветочный; партнёр — зелёный, землистый, сернистый. Оба компонента формируют кисло-сладкий, умеренно терпкий и растительный, иногда умами контур; сахар, кислота и горечь должны быть выровнены дегустацией. Ягода: пигменты и полифенолы дают цвет и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1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1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6" s="28" t="str">
        <x:v>соус, глазировка, салат, сырная подача или горячее блюдо; маринад, гастрик, чатни, кетчуп или редукция</x:v>
      </x:c>
      <x:c r="J116" s="28" t="str">
        <x:v>Средняя</x:v>
      </x:c>
      <x:c r="K116" s="28" t="str">
        <x:v>The Art &amp; Science of Foodpairing</x:v>
      </x:c>
      <x:c r="L116" s="28" t="str">
        <x:v>The Art &amp; Science of Foodpairing: 320</x:v>
      </x:c>
    </x:row>
    <x:row r="117" ht="62" customHeight="1">
      <x:c r="A117" s="28" t="str">
        <x:v>BER-0276</x:v>
      </x:c>
      <x:c r="B117" s="28" t="str">
        <x:v>ежевика</x:v>
      </x:c>
      <x:c r="C117" s="28" t="str">
        <x:v>имбирь</x:v>
      </x:c>
      <x:c r="D117" s="28" t="str">
        <x:v>Специи</x:v>
      </x:c>
      <x:c r="E117" s="28" t="str">
        <x:v>сходство ароматических семейств + комплементарность</x:v>
      </x:c>
      <x:c r="F117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7" s="28" t="str">
        <x:v>Пряность дозировать как акцент: она быстро перекрывает тонкие ягодные эфиры.</x:v>
      </x:c>
      <x:c r="I11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17" s="28" t="str">
        <x:v>Средняя</x:v>
      </x:c>
      <x:c r="K117" s="28" t="str">
        <x:v>Таблица сочетаний</x:v>
      </x:c>
      <x:c r="L117" s="28" t="str">
        <x:v>Таблица сочетаний: 2</x:v>
      </x:c>
    </x:row>
    <x:row r="118" ht="62" customHeight="1">
      <x:c r="A118" s="28" t="str">
        <x:v>BER-0281</x:v>
      </x:c>
      <x:c r="B118" s="28" t="str">
        <x:v>ежевика</x:v>
      </x:c>
      <x:c r="C118" s="28" t="str">
        <x:v>корица</x:v>
      </x:c>
      <x:c r="D118" s="28" t="str">
        <x:v>Специи</x:v>
      </x:c>
      <x:c r="E118" s="28" t="str">
        <x:v>сходство ароматических семейств + комплементарность</x:v>
      </x:c>
      <x:c r="F118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8" s="28" t="str">
        <x:v>Пряность дозировать как акцент: она быстро перекрывает тонкие ягодные эфиры.</x:v>
      </x:c>
      <x:c r="I11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18" s="28" t="str">
        <x:v>Высокая</x:v>
      </x:c>
      <x:c r="K118" s="28" t="str">
        <x:v>The Art &amp; Science of Foodpairing; Таблица сочетаний</x:v>
      </x:c>
      <x:c r="L118" s="28" t="str">
        <x:v>The Art &amp; Science of Foodpairing: 131; Таблица сочетаний: 2</x:v>
      </x:c>
    </x:row>
    <x:row r="119" ht="62" customHeight="1">
      <x:c r="A119" s="28" t="str">
        <x:v>BER-0282</x:v>
      </x:c>
      <x:c r="B119" s="28" t="str">
        <x:v>ежевика</x:v>
      </x:c>
      <x:c r="C119" s="28" t="str">
        <x:v>лимон и лайм</x:v>
      </x:c>
      <x:c r="D119" s="28" t="str">
        <x:v>Цитрусовые</x:v>
      </x:c>
      <x:c r="E119" s="28" t="str">
        <x:v>ароматическое сходство + вкусовой баланс</x:v>
      </x:c>
      <x:c r="F119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цветочный, цитрусовый. Оба компонента формируют кисло-сладкий, умеренно терпкий и кислый, свежий контур; сахар, кислота и горечь должны быть выровнены дегустацией. Ягода: пигменты и полифенолы дают цвет и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1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1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19" s="28" t="str">
        <x:v>кордиал, лимонад, чай, коктейль, настой или ферментированный напиток; маринад, гастрик, чатни, кетчуп или редукция</x:v>
      </x:c>
      <x:c r="J119" s="28" t="str">
        <x:v>Средняя</x:v>
      </x:c>
      <x:c r="K119" s="28" t="str">
        <x:v>The Art &amp; Science of Foodpairing</x:v>
      </x:c>
      <x:c r="L119" s="28" t="str">
        <x:v>The Art &amp; Science of Foodpairing: 87, 89</x:v>
      </x:c>
    </x:row>
    <x:row r="120" ht="62" customHeight="1">
      <x:c r="A120" s="28" t="str">
        <x:v>BER-0283</x:v>
      </x:c>
      <x:c r="B120" s="28" t="str">
        <x:v>ежевика</x:v>
      </x:c>
      <x:c r="C120" s="28" t="str">
        <x:v>лимонный тимьян</x:v>
      </x:c>
      <x:c r="D120" s="28" t="str">
        <x:v>Цитрусовые</x:v>
      </x:c>
      <x:c r="E120" s="28" t="str">
        <x:v>ароматическое сходство + вкусовой баланс</x:v>
      </x:c>
      <x:c r="F120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цветочный, цитрусовый. Оба компонента формируют кисло-сладкий, умеренно терпкий и кислый, свежий контур; сахар, кислота и горечь должны быть выровнены дегустацией. Ягода: пигменты и полифенолы дают цвет и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0" s="28" t="str">
        <x:v>кордиал, лимонад, чай, коктейль, настой или ферментированный напиток; маринад, гастрик, чатни, кетчуп или редукция</x:v>
      </x:c>
      <x:c r="J120" s="28" t="str">
        <x:v>Средняя</x:v>
      </x:c>
      <x:c r="K120" s="28" t="str">
        <x:v>Таблица сочетаний</x:v>
      </x:c>
      <x:c r="L120" s="28" t="str">
        <x:v>Таблица сочетаний: 11</x:v>
      </x:c>
    </x:row>
    <x:row r="121" ht="62" customHeight="1">
      <x:c r="A121" s="28" t="str">
        <x:v>BER-0288</x:v>
      </x:c>
      <x:c r="B121" s="28" t="str">
        <x:v>ежевика</x:v>
      </x:c>
      <x:c r="C121" s="28" t="str">
        <x:v>морковь</x:v>
      </x:c>
      <x:c r="D121" s="28" t="str">
        <x:v>Овощи и грибы</x:v>
      </x:c>
      <x:c r="E121" s="28" t="str">
        <x:v>ароматическое сходство + вкусовой баланс</x:v>
      </x:c>
      <x:c r="F121" s="28" t="str">
        <x:v>Прямой вероятный молекулярный мост: C6-альдегиды. Ягодный компонент несёт семейства древесный, зелёный, мускусный, тёмно-фруктовый, цветочный; партнёр — зелёный, землистый, сернистый. Оба компонента формируют кисло-сладкий, умеренно терпкий и растительный, иногда умами контур; сахар, кислота и горечь должны быть выровнены дегустацией. Ягода: пигменты и полифенолы дают цвет и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2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2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1" s="28" t="str">
        <x:v>соус, глазировка, салат, сырная подача или горячее блюдо; маринад, гастрик, чатни, кетчуп или редукция</x:v>
      </x:c>
      <x:c r="J121" s="28" t="str">
        <x:v>Средняя</x:v>
      </x:c>
      <x:c r="K121" s="28" t="str">
        <x:v>The Art &amp; Science of Foodpairing</x:v>
      </x:c>
      <x:c r="L121" s="28" t="str">
        <x:v>The Art &amp; Science of Foodpairing: 233</x:v>
      </x:c>
    </x:row>
    <x:row r="122" ht="62" customHeight="1">
      <x:c r="A122" s="28" t="str">
        <x:v>BER-0289</x:v>
      </x:c>
      <x:c r="B122" s="28" t="str">
        <x:v>ежевика</x:v>
      </x:c>
      <x:c r="C122" s="28" t="str">
        <x:v>мята</x:v>
      </x:c>
      <x:c r="D122" s="28" t="str">
        <x:v>Травы и цветы</x:v>
      </x:c>
      <x:c r="E122" s="28" t="str">
        <x:v>ароматическое сходство + вкусовой баланс</x:v>
      </x:c>
      <x:c r="F122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22" s="28" t="str">
        <x:v>Средняя</x:v>
      </x:c>
      <x:c r="K122" s="28" t="str">
        <x:v>Таблица сочетаний</x:v>
      </x:c>
      <x:c r="L122" s="28" t="str">
        <x:v>Таблица сочетаний: 2</x:v>
      </x:c>
    </x:row>
    <x:row r="123" ht="62" customHeight="1">
      <x:c r="A123" s="28" t="str">
        <x:v>BER-0291</x:v>
      </x:c>
      <x:c r="B123" s="28" t="str">
        <x:v>ежевика</x:v>
      </x:c>
      <x:c r="C123" s="28" t="str">
        <x:v>пармиджано-реджано</x:v>
      </x:c>
      <x:c r="D123" s="28" t="str">
        <x:v>Рыба и морепродукты</x:v>
      </x:c>
      <x:c r="E123" s="28" t="str">
        <x:v>контраст/комплементарность + матричный эффект</x:v>
      </x:c>
      <x:c r="F12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мускусный, тёмно-фруктовый,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2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2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3" s="28" t="str">
        <x:v>соус, глазировка, салат, сырная подача или горячее блюдо; маринад, гастрик, чатни, кетчуп или редукция</x:v>
      </x:c>
      <x:c r="J123" s="28" t="str">
        <x:v>Средняя</x:v>
      </x:c>
      <x:c r="K123" s="28" t="str">
        <x:v>The Art &amp; Science of Foodpairing</x:v>
      </x:c>
      <x:c r="L123" s="28" t="str">
        <x:v>The Art &amp; Science of Foodpairing: 282</x:v>
      </x:c>
    </x:row>
    <x:row r="124" ht="62" customHeight="1">
      <x:c r="A124" s="28" t="str">
        <x:v>BER-0292</x:v>
      </x:c>
      <x:c r="B124" s="28" t="str">
        <x:v>ежевика</x:v>
      </x:c>
      <x:c r="C124" s="28" t="str">
        <x:v>паста из твёрдой пшеницы</x:v>
      </x:c>
      <x:c r="D124" s="28" t="str">
        <x:v>Ферментированные продукты, соусы и уксусы</x:v>
      </x:c>
      <x:c r="E124" s="28" t="str">
        <x:v>ароматическое сходство + вкусовой баланс</x:v>
      </x:c>
      <x:c r="F124" s="28" t="str">
        <x:v>Прямой вероятный молекулярный мост: эфиры. Ягодный компонент несёт семейства древесный, зелёный, мускусный, тёмно-фруктовый, цветочный; партнёр — кислый, умами, ферментированный. Оба компонента формируют кисло-сладкий, умеренно терпкий и кислый/солёный/умами контур; сахар, кислота и горечь должны быть выровнены дегустацией. Ягода: пигменты и полифенолы дают цвет и терпкость.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4" s="28" t="str">
        <x:v>соус, глазировка, салат, сырная подача или горячее блюдо; маринад, гастрик, чатни, кетчуп или редукция</x:v>
      </x:c>
      <x:c r="J124" s="28" t="str">
        <x:v>Средняя</x:v>
      </x:c>
      <x:c r="K124" s="28" t="str">
        <x:v>The Art &amp; Science of Foodpairing</x:v>
      </x:c>
      <x:c r="L124" s="28" t="str">
        <x:v>The Art &amp; Science of Foodpairing: 325</x:v>
      </x:c>
    </x:row>
    <x:row r="125" ht="62" customHeight="1">
      <x:c r="A125" s="28" t="str">
        <x:v>BER-0293</x:v>
      </x:c>
      <x:c r="B125" s="28" t="str">
        <x:v>ежевика</x:v>
      </x:c>
      <x:c r="C125" s="28" t="str">
        <x:v>перец</x:v>
      </x:c>
      <x:c r="D125" s="28" t="str">
        <x:v>Специи</x:v>
      </x:c>
      <x:c r="E125" s="28" t="str">
        <x:v>сходство ароматических семейств + комплементарность</x:v>
      </x:c>
      <x:c r="F125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5" s="28" t="str">
        <x:v>Пряность дозировать как акцент: она быстро перекрывает тонкие ягодные эфиры.</x:v>
      </x:c>
      <x:c r="I12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25" s="28" t="str">
        <x:v>Средняя</x:v>
      </x:c>
      <x:c r="K125" s="28" t="str">
        <x:v>Таблица сочетаний</x:v>
      </x:c>
      <x:c r="L125" s="28" t="str">
        <x:v>Таблица сочетаний: 16</x:v>
      </x:c>
    </x:row>
    <x:row r="126" ht="62" customHeight="1">
      <x:c r="A126" s="28" t="str">
        <x:v>BER-0298</x:v>
      </x:c>
      <x:c r="B126" s="28" t="str">
        <x:v>ежевика</x:v>
      </x:c>
      <x:c r="C126" s="28" t="str">
        <x:v>тимьян</x:v>
      </x:c>
      <x:c r="D126" s="28" t="str">
        <x:v>Травы и цветы</x:v>
      </x:c>
      <x:c r="E126" s="28" t="str">
        <x:v>ароматическое сходство + вкусовой баланс</x:v>
      </x:c>
      <x:c r="F126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26" s="28" t="str">
        <x:v>Средняя</x:v>
      </x:c>
      <x:c r="K126" s="28" t="str">
        <x:v>Таблица сочетаний</x:v>
      </x:c>
      <x:c r="L126" s="28" t="str">
        <x:v>Таблица сочетаний: 21</x:v>
      </x:c>
    </x:row>
    <x:row r="127" ht="62" customHeight="1">
      <x:c r="A127" s="28" t="str">
        <x:v>BER-0299</x:v>
      </x:c>
      <x:c r="B127" s="28" t="str">
        <x:v>ежевика</x:v>
      </x:c>
      <x:c r="C127" s="28" t="str">
        <x:v>трюфель</x:v>
      </x:c>
      <x:c r="D127" s="28" t="str">
        <x:v>Овощи и грибы</x:v>
      </x:c>
      <x:c r="E127" s="28" t="str">
        <x:v>ароматическое сходство + вкусовой баланс</x:v>
      </x:c>
      <x:c r="F127" s="28" t="str">
        <x:v>Прямой вероятный молекулярный мост: C6-альдегиды. Ягодный компонент несёт семейства древесный, зелёный, мускусный, тёмно-фруктовый, цветочный; партнёр — зелёный, землистый, сернистый. Оба компонента формируют кисло-сладкий, умеренно терпкий и растительный, иногда умами контур; сахар, кислота и горечь должны быть выровнены дегустацией. Ягода: пигменты и полифенолы дают цвет и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2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2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7" s="28" t="str">
        <x:v>соус, глазировка, салат, сырная подача или горячее блюдо; маринад, гастрик, чатни, кетчуп или редукция</x:v>
      </x:c>
      <x:c r="J127" s="28" t="str">
        <x:v>Средняя</x:v>
      </x:c>
      <x:c r="K127" s="28" t="str">
        <x:v>The Art &amp; Science of Foodpairing</x:v>
      </x:c>
      <x:c r="L127" s="28" t="str">
        <x:v>The Art &amp; Science of Foodpairing: 192</x:v>
      </x:c>
    </x:row>
    <x:row r="128" ht="62" customHeight="1">
      <x:c r="A128" s="28" t="str">
        <x:v>BER-0301</x:v>
      </x:c>
      <x:c r="B128" s="28" t="str">
        <x:v>ежевика</x:v>
      </x:c>
      <x:c r="C128" s="28" t="str">
        <x:v>цитрусовые</x:v>
      </x:c>
      <x:c r="D128" s="28" t="str">
        <x:v>Цитрусовые</x:v>
      </x:c>
      <x:c r="E128" s="28" t="str">
        <x:v>ароматическое сходство + вкусовой баланс</x:v>
      </x:c>
      <x:c r="F128" s="28" t="str">
        <x:v>Прямой вероятный молекулярный мост: линалоол. Ягодный компонент несёт семейства древесный, зелёный, мускусный, тёмно-фруктовый, цветочный; партнёр — зелёный, цветочный, цитрусовый. Оба компонента формируют кисло-сладкий, умеренно терпкий и кислый, свежий контур; сахар, кислота и горечь должны быть выровнены дегустацией. Ягода: пигменты и полифенолы дают цвет и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28" s="28" t="str">
        <x:v>кордиал, лимонад, чай, коктейль, настой или ферментированный напиток; маринад, гастрик, чатни, кетчуп или редукция</x:v>
      </x:c>
      <x:c r="J128" s="28" t="str">
        <x:v>Средняя</x:v>
      </x:c>
      <x:c r="K128" s="28" t="str">
        <x:v>Таблица сочетаний</x:v>
      </x:c>
      <x:c r="L128" s="28" t="str">
        <x:v>Таблица сочетаний: 2</x:v>
      </x:c>
    </x:row>
    <x:row r="129" ht="62" customHeight="1">
      <x:c r="A129" s="28" t="str">
        <x:v>BER-0304</x:v>
      </x:c>
      <x:c r="B129" s="28" t="str">
        <x:v>ежевика</x:v>
      </x:c>
      <x:c r="C129" s="28" t="str">
        <x:v>чёрный перец</x:v>
      </x:c>
      <x:c r="D129" s="28" t="str">
        <x:v>Специи</x:v>
      </x:c>
      <x:c r="E129" s="28" t="str">
        <x:v>сходство ароматических семейств + комплементарность</x:v>
      </x:c>
      <x:c r="F129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мускусный,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2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29" s="28" t="str">
        <x:v>Пряность дозировать как акцент: она быстро перекрывает тонкие ягодные эфиры.</x:v>
      </x:c>
      <x:c r="I12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29" s="28" t="str">
        <x:v>Средняя</x:v>
      </x:c>
      <x:c r="K129" s="28" t="str">
        <x:v>Таблица сочетаний</x:v>
      </x:c>
      <x:c r="L129" s="28" t="str">
        <x:v>Таблица сочетаний: 2</x:v>
      </x:c>
    </x:row>
    <x:row r="130" ht="62" customHeight="1">
      <x:c r="A130" s="28" t="str">
        <x:v>BER-0308</x:v>
      </x:c>
      <x:c r="B130" s="28" t="str">
        <x:v>земляника</x:v>
      </x:c>
      <x:c r="C130" s="28" t="str">
        <x:v>грейпфрут</x:v>
      </x:c>
      <x:c r="D130" s="28" t="str">
        <x:v>Цитрусовые</x:v>
      </x:c>
      <x:c r="E130" s="28" t="str">
        <x:v>ароматическое сходство + вкусовой баланс</x:v>
      </x:c>
      <x:c r="F130" s="28" t="str">
        <x:v>Прямой вероятный молекулярный мост: линалоол. Ягодный компонент несёт семейства зелёный, карамельный,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очень летучий аромат; лучше щадящая обработка.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0" s="28" t="str">
        <x:v>кордиал, лимонад, чай, коктейль, настой или ферментированный напиток; маринад, гастрик, чатни, кетчуп или редукция</x:v>
      </x:c>
      <x:c r="J130" s="28" t="str">
        <x:v>Средняя</x:v>
      </x:c>
      <x:c r="K130" s="28" t="str">
        <x:v>The Art &amp; Science of Foodpairing</x:v>
      </x:c>
      <x:c r="L130" s="28" t="str">
        <x:v>The Art &amp; Science of Foodpairing: 359</x:v>
      </x:c>
    </x:row>
    <x:row r="131" ht="62" customHeight="1">
      <x:c r="A131" s="28" t="str">
        <x:v>BER-0310</x:v>
      </x:c>
      <x:c r="B131" s="28" t="str">
        <x:v>земляника</x:v>
      </x:c>
      <x:c r="C131" s="28" t="str">
        <x:v>кимчи</x:v>
      </x:c>
      <x:c r="D131" s="28" t="str">
        <x:v>Ферментированные продукты, соусы и уксусы</x:v>
      </x:c>
      <x:c r="E131" s="28" t="str">
        <x:v>ароматическое сходство + вкусовой баланс</x:v>
      </x:c>
      <x:c r="F131" s="28" t="str">
        <x:v>Прямой вероятный молекулярный мост: эфиры. Ягодный компонент несёт семейства зелёный, карамельный, фруктовый, цветочный; партнёр — кислый, умами, ферментированный. Оба компонента формируют сладко-кислый и кислый/солёный/умами контур; сахар, кислота и горечь должны быть выровнены дегустацией. Ягода: очень летучий аромат; лучше щадящая обработка.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1" s="28" t="str">
        <x:v>соус, глазировка, салат, сырная подача или горячее блюдо; маринад, гастрик, чатни, кетчуп или редукция</x:v>
      </x:c>
      <x:c r="J131" s="28" t="str">
        <x:v>Средняя</x:v>
      </x:c>
      <x:c r="K131" s="28" t="str">
        <x:v>The Art &amp; Science of Foodpairing</x:v>
      </x:c>
      <x:c r="L131" s="28" t="str">
        <x:v>The Art &amp; Science of Foodpairing: 304</x:v>
      </x:c>
    </x:row>
    <x:row r="132" ht="62" customHeight="1">
      <x:c r="A132" s="28" t="str">
        <x:v>BER-0313</x:v>
      </x:c>
      <x:c r="B132" s="28" t="str">
        <x:v>земляника</x:v>
      </x:c>
      <x:c r="C132" s="28" t="str">
        <x:v>цветы жасмина</x:v>
      </x:c>
      <x:c r="D132" s="28" t="str">
        <x:v>Травы и цветы</x:v>
      </x:c>
      <x:c r="E132" s="28" t="str">
        <x:v>ароматическое сходство + вкусовой баланс</x:v>
      </x:c>
      <x:c r="F132" s="28" t="str">
        <x:v>Прямой вероятный молекулярный мост: линалоол. Ягодный компонент несёт семейства зелёный, карамельный,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32" s="28" t="str">
        <x:v>Средняя</x:v>
      </x:c>
      <x:c r="K132" s="28" t="str">
        <x:v>The Art &amp; Science of Foodpairing</x:v>
      </x:c>
      <x:c r="L132" s="28" t="str">
        <x:v>The Art &amp; Science of Foodpairing: 210</x:v>
      </x:c>
    </x:row>
    <x:row r="133" ht="62" customHeight="1">
      <x:c r="A133" s="28" t="str">
        <x:v>BER-0314</x:v>
      </x:c>
      <x:c r="B133" s="28" t="str">
        <x:v>земляника</x:v>
      </x:c>
      <x:c r="C133" s="28" t="str">
        <x:v>чёрный перец</x:v>
      </x:c>
      <x:c r="D133" s="28" t="str">
        <x:v>Специи</x:v>
      </x:c>
      <x:c r="E133" s="28" t="str">
        <x:v>контраст/комплементарность + матричный эффект</x:v>
      </x:c>
      <x:c r="F13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3" s="28" t="str">
        <x:v>Пряность дозировать как акцент: она быстро перекрывает тонкие ягодные эфиры.</x:v>
      </x:c>
      <x:c r="I13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33" s="28" t="str">
        <x:v>Средняя</x:v>
      </x:c>
      <x:c r="K133" s="28" t="str">
        <x:v>The Art &amp; Science of Foodpairing</x:v>
      </x:c>
      <x:c r="L133" s="28" t="str">
        <x:v>The Art &amp; Science of Foodpairing: 275</x:v>
      </x:c>
    </x:row>
    <x:row r="134" ht="62" customHeight="1">
      <x:c r="A134" s="28" t="str">
        <x:v>BER-0315</x:v>
      </x:c>
      <x:c r="B134" s="28" t="str">
        <x:v>клубника</x:v>
      </x:c>
      <x:c r="C134" s="28" t="str">
        <x:v>brown chicken stock (fond brun)</x:v>
      </x:c>
      <x:c r="D134" s="28" t="str">
        <x:v>Мясо и птица</x:v>
      </x:c>
      <x:c r="E134" s="28" t="str">
        <x:v>контраст/комплементарность + матричный эффект</x:v>
      </x:c>
      <x:c r="F13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3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3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4" s="28" t="str">
        <x:v>соус, глазировка, салат, сырная подача или горячее блюдо; маринад, гастрик, чатни, кетчуп или редукция</x:v>
      </x:c>
      <x:c r="J134" s="28" t="str">
        <x:v>Средняя</x:v>
      </x:c>
      <x:c r="K134" s="28" t="str">
        <x:v>The Art &amp; Science of Foodpairing</x:v>
      </x:c>
      <x:c r="L134" s="28" t="str">
        <x:v>The Art &amp; Science of Foodpairing: 70</x:v>
      </x:c>
    </x:row>
    <x:row r="135" ht="62" customHeight="1">
      <x:c r="A135" s="28" t="str">
        <x:v>BER-0321</x:v>
      </x:c>
      <x:c r="B135" s="28" t="str">
        <x:v>клубника</x:v>
      </x:c>
      <x:c r="C135" s="28" t="str">
        <x:v>codium seaweed</x:v>
      </x:c>
      <x:c r="D135" s="28" t="str">
        <x:v>Рыба и морепродукты</x:v>
      </x:c>
      <x:c r="E135" s="28" t="str">
        <x:v>контраст/комплементарность + матричный эффект</x:v>
      </x:c>
      <x:c r="F13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3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3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5" s="28" t="str">
        <x:v>соус, глазировка, салат, сырная подача или горячее блюдо; маринад, гастрик, чатни, кетчуп или редукция</x:v>
      </x:c>
      <x:c r="J135" s="28" t="str">
        <x:v>Средняя</x:v>
      </x:c>
      <x:c r="K135" s="28" t="str">
        <x:v>The Art &amp; Science of Foodpairing</x:v>
      </x:c>
      <x:c r="L135" s="28" t="str">
        <x:v>The Art &amp; Science of Foodpairing: 71</x:v>
      </x:c>
    </x:row>
    <x:row r="136" ht="62" customHeight="1">
      <x:c r="A136" s="28" t="str">
        <x:v>BER-0325</x:v>
      </x:c>
      <x:c r="B136" s="28" t="str">
        <x:v>клубника</x:v>
      </x:c>
      <x:c r="C136" s="28" t="str">
        <x:v>italian vine tomato</x:v>
      </x:c>
      <x:c r="D136" s="28" t="str">
        <x:v>Овощи и грибы</x:v>
      </x:c>
      <x:c r="E136" s="28" t="str">
        <x:v>сходство ароматических семейств + комплементарность</x:v>
      </x:c>
      <x:c r="F136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3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3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6" s="28" t="str">
        <x:v>соус, глазировка, салат, сырная подача или горячее блюдо; маринад, гастрик, чатни, кетчуп или редукция</x:v>
      </x:c>
      <x:c r="J136" s="28" t="str">
        <x:v>Средняя</x:v>
      </x:c>
      <x:c r="K136" s="28" t="str">
        <x:v>The Art &amp; Science of Foodpairing</x:v>
      </x:c>
      <x:c r="L136" s="28" t="str">
        <x:v>The Art &amp; Science of Foodpairing: 71</x:v>
      </x:c>
    </x:row>
    <x:row r="137" ht="62" customHeight="1">
      <x:c r="A137" s="28" t="str">
        <x:v>BER-0330</x:v>
      </x:c>
      <x:c r="B137" s="28" t="str">
        <x:v>клубника</x:v>
      </x:c>
      <x:c r="C137" s="28" t="str">
        <x:v>lavender honey</x:v>
      </x:c>
      <x:c r="D137" s="28" t="str">
        <x:v>Травы и цветы</x:v>
      </x:c>
      <x:c r="E137" s="28" t="str">
        <x:v>ароматическое сходство + вкусовой баланс</x:v>
      </x:c>
      <x:c r="F137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37" s="28" t="str">
        <x:v>Средняя</x:v>
      </x:c>
      <x:c r="K137" s="28" t="str">
        <x:v>The Art &amp; Science of Foodpairing</x:v>
      </x:c>
      <x:c r="L137" s="28" t="str">
        <x:v>The Art &amp; Science of Foodpairing: 71</x:v>
      </x:c>
    </x:row>
    <x:row r="138" ht="62" customHeight="1">
      <x:c r="A138" s="28" t="str">
        <x:v>BER-0331</x:v>
      </x:c>
      <x:c r="B138" s="28" t="str">
        <x:v>клубника</x:v>
      </x:c>
      <x:c r="C138" s="28" t="str">
        <x:v>lemon-scented geranium leaves</x:v>
      </x:c>
      <x:c r="D138" s="28" t="str">
        <x:v>Цитрусовые</x:v>
      </x:c>
      <x:c r="E138" s="28" t="str">
        <x:v>ароматическое сходство + вкусовой баланс</x:v>
      </x:c>
      <x:c r="F138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38" s="28" t="str">
        <x:v>кордиал, лимонад, чай, коктейль, настой или ферментированный напиток; маринад, гастрик, чатни, кетчуп или редукция</x:v>
      </x:c>
      <x:c r="J138" s="28" t="str">
        <x:v>Средняя</x:v>
      </x:c>
      <x:c r="K138" s="28" t="str">
        <x:v>The Art &amp; Science of Foodpairing</x:v>
      </x:c>
      <x:c r="L138" s="28" t="str">
        <x:v>The Art &amp; Science of Foodpairing: 71</x:v>
      </x:c>
    </x:row>
    <x:row r="139" ht="62" customHeight="1">
      <x:c r="A139" s="28" t="str">
        <x:v>BER-0342</x:v>
      </x:c>
      <x:c r="B139" s="28" t="str">
        <x:v>клубника</x:v>
      </x:c>
      <x:c r="C139" s="28" t="str">
        <x:v>анис</x:v>
      </x:c>
      <x:c r="D139" s="28" t="str">
        <x:v>Специи</x:v>
      </x:c>
      <x:c r="E139" s="28" t="str">
        <x:v>контраст/комплементарность + матричный эффект</x:v>
      </x:c>
      <x:c r="F13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3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39" s="28" t="str">
        <x:v>Пряность дозировать как акцент: она быстро перекрывает тонкие ягодные эфиры.</x:v>
      </x:c>
      <x:c r="I13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39" s="28" t="str">
        <x:v>Высокая</x:v>
      </x:c>
      <x:c r="K139" s="28" t="str">
        <x:v>Таблица сочетаний; Тезариус вкусов</x:v>
      </x:c>
      <x:c r="L139" s="28" t="str">
        <x:v>Тезариус вкусов: 483, 693; Таблица сочетаний: 20</x:v>
      </x:c>
    </x:row>
    <x:row r="140" ht="62" customHeight="1">
      <x:c r="A140" s="28" t="str">
        <x:v>BER-0343</x:v>
      </x:c>
      <x:c r="B140" s="28" t="str">
        <x:v>клубника</x:v>
      </x:c>
      <x:c r="C140" s="28" t="str">
        <x:v>апельсин</x:v>
      </x:c>
      <x:c r="D140" s="28" t="str">
        <x:v>Цитрусовые</x:v>
      </x:c>
      <x:c r="E140" s="28" t="str">
        <x:v>ароматическое сходство + вкусовой баланс</x:v>
      </x:c>
      <x:c r="F140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0" s="28" t="str">
        <x:v>кордиал, лимонад, чай, коктейль, настой или ферментированный напиток; маринад, гастрик, чатни, кетчуп или редукция</x:v>
      </x:c>
      <x:c r="J140" s="28" t="str">
        <x:v>Высокая</x:v>
      </x:c>
      <x:c r="K140" s="28" t="str">
        <x:v>The Art &amp; Science of Foodpairing; Таблица сочетаний; Тезариус вкусов</x:v>
      </x:c>
      <x:c r="L140" s="28" t="str">
        <x:v>Тезариус вкусов: 693, 775; The Art &amp; Science of Foodpairing: 70; Таблица сочетаний: 20</x:v>
      </x:c>
    </x:row>
    <x:row r="141" ht="62" customHeight="1">
      <x:c r="A141" s="28" t="str">
        <x:v>BER-0345</x:v>
      </x:c>
      <x:c r="B141" s="28" t="str">
        <x:v>клубника</x:v>
      </x:c>
      <x:c r="C141" s="28" t="str">
        <x:v>артишок</x:v>
      </x:c>
      <x:c r="D141" s="28" t="str">
        <x:v>Овощи и грибы</x:v>
      </x:c>
      <x:c r="E141" s="28" t="str">
        <x:v>сходство ароматических семейств + комплементарность</x:v>
      </x:c>
      <x:c r="F141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4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4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1" s="28" t="str">
        <x:v>соус, глазировка, салат, сырная подача или горячее блюдо; маринад, гастрик, чатни, кетчуп или редукция</x:v>
      </x:c>
      <x:c r="J141" s="28" t="str">
        <x:v>Средняя</x:v>
      </x:c>
      <x:c r="K141" s="28" t="str">
        <x:v>The Art &amp; Science of Foodpairing</x:v>
      </x:c>
      <x:c r="L141" s="28" t="str">
        <x:v>The Art &amp; Science of Foodpairing: 329</x:v>
      </x:c>
    </x:row>
    <x:row r="142" ht="62" customHeight="1">
      <x:c r="A142" s="28" t="str">
        <x:v>BER-0346</x:v>
      </x:c>
      <x:c r="B142" s="28" t="str">
        <x:v>клубника</x:v>
      </x:c>
      <x:c r="C142" s="28" t="str">
        <x:v>базилик</x:v>
      </x:c>
      <x:c r="D142" s="28" t="str">
        <x:v>Травы и цветы</x:v>
      </x:c>
      <x:c r="E142" s="28" t="str">
        <x:v>ароматическое сходство + вкусовой баланс</x:v>
      </x:c>
      <x:c r="F142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42" s="28" t="str">
        <x:v>Средняя</x:v>
      </x:c>
      <x:c r="K142" s="28" t="str">
        <x:v>Таблица сочетаний</x:v>
      </x:c>
      <x:c r="L142" s="28" t="str">
        <x:v>Таблица сочетаний: 20</x:v>
      </x:c>
    </x:row>
    <x:row r="143" ht="62" customHeight="1">
      <x:c r="A143" s="28" t="str">
        <x:v>BER-0347</x:v>
      </x:c>
      <x:c r="B143" s="28" t="str">
        <x:v>клубника</x:v>
      </x:c>
      <x:c r="C143" s="28" t="str">
        <x:v>бальзамический уксус</x:v>
      </x:c>
      <x:c r="D143" s="28" t="str">
        <x:v>Ферментированные продукты, соусы и уксусы</x:v>
      </x:c>
      <x:c r="E143" s="28" t="str">
        <x:v>контраст/комплементарность + матричный эффект</x:v>
      </x:c>
      <x:c r="F14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кислый, умами, ферментированный. Оба компонента формируют сладко-кислый и кислый/солёный/умами контур; сахар, кислота и горечь должны быть выровнены дегустацией. Ягода: высокая доля воды; аромат чувствителен к перегреву.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3" s="28" t="str">
        <x:v>соус, глазировка, салат, сырная подача или горячее блюдо; маринад, гастрик, чатни, кетчуп или редукция</x:v>
      </x:c>
      <x:c r="J143" s="28" t="str">
        <x:v>Средняя</x:v>
      </x:c>
      <x:c r="K143" s="28" t="str">
        <x:v>The Art &amp; Science of Foodpairing</x:v>
      </x:c>
      <x:c r="L143" s="28" t="str">
        <x:v>The Art &amp; Science of Foodpairing: 316, 317</x:v>
      </x:c>
    </x:row>
    <x:row r="144" ht="62" customHeight="1">
      <x:c r="A144" s="28" t="str">
        <x:v>BER-0351</x:v>
      </x:c>
      <x:c r="B144" s="28" t="str">
        <x:v>клубника</x:v>
      </x:c>
      <x:c r="C144" s="28" t="str">
        <x:v>бобы</x:v>
      </x:c>
      <x:c r="D144" s="28" t="str">
        <x:v>Овощи и грибы</x:v>
      </x:c>
      <x:c r="E144" s="28" t="str">
        <x:v>сходство ароматических семейств + комплементарность</x:v>
      </x:c>
      <x:c r="F144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4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4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4" s="28" t="str">
        <x:v>соус, глазировка, салат, сырная подача или горячее блюдо; маринад, гастрик, чатни, кетчуп или редукция</x:v>
      </x:c>
      <x:c r="J144" s="28" t="str">
        <x:v>Средняя</x:v>
      </x:c>
      <x:c r="K144" s="28" t="str">
        <x:v>The Art &amp; Science of Foodpairing</x:v>
      </x:c>
      <x:c r="L144" s="28" t="str">
        <x:v>The Art &amp; Science of Foodpairing: 70</x:v>
      </x:c>
    </x:row>
    <x:row r="145" ht="62" customHeight="1">
      <x:c r="A145" s="28" t="str">
        <x:v>BER-0356</x:v>
      </x:c>
      <x:c r="B145" s="28" t="str">
        <x:v>клубника</x:v>
      </x:c>
      <x:c r="C145" s="28" t="str">
        <x:v>гвоздика</x:v>
      </x:c>
      <x:c r="D145" s="28" t="str">
        <x:v>Специи</x:v>
      </x:c>
      <x:c r="E145" s="28" t="str">
        <x:v>контраст/комплементарность + матричный эффект</x:v>
      </x:c>
      <x:c r="F14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5" s="28" t="str">
        <x:v>Пряность дозировать как акцент: она быстро перекрывает тонкие ягодные эфиры.</x:v>
      </x:c>
      <x:c r="I14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45" s="28" t="str">
        <x:v>Средняя</x:v>
      </x:c>
      <x:c r="K145" s="28" t="str">
        <x:v>Таблица сочетаний</x:v>
      </x:c>
      <x:c r="L145" s="28" t="str">
        <x:v>Таблица сочетаний: 20</x:v>
      </x:c>
    </x:row>
    <x:row r="146" ht="62" customHeight="1">
      <x:c r="A146" s="28" t="str">
        <x:v>BER-0361</x:v>
      </x:c>
      <x:c r="B146" s="28" t="str">
        <x:v>клубника</x:v>
      </x:c>
      <x:c r="C146" s="28" t="str">
        <x:v>грейпфрут</x:v>
      </x:c>
      <x:c r="D146" s="28" t="str">
        <x:v>Цитрусовые</x:v>
      </x:c>
      <x:c r="E146" s="28" t="str">
        <x:v>ароматическое сходство + вкусовой баланс</x:v>
      </x:c>
      <x:c r="F146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4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4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6" s="28" t="str">
        <x:v>кордиал, лимонад, чай, коктейль, настой или ферментированный напиток; маринад, гастрик, чатни, кетчуп или редукция</x:v>
      </x:c>
      <x:c r="J146" s="28" t="str">
        <x:v>Высокая</x:v>
      </x:c>
      <x:c r="K146" s="28" t="str">
        <x:v>The Art &amp; Science of Foodpairing; Таблица сочетаний</x:v>
      </x:c>
      <x:c r="L146" s="28" t="str">
        <x:v>The Art &amp; Science of Foodpairing: 358; Таблица сочетаний: 20</x:v>
      </x:c>
    </x:row>
    <x:row r="147" ht="62" customHeight="1">
      <x:c r="A147" s="28" t="str">
        <x:v>BER-0366</x:v>
      </x:c>
      <x:c r="B147" s="28" t="str">
        <x:v>клубника</x:v>
      </x:c>
      <x:c r="C147" s="28" t="str">
        <x:v>жареные телячьи зобные железы</x:v>
      </x:c>
      <x:c r="D147" s="28" t="str">
        <x:v>Мясо и птица</x:v>
      </x:c>
      <x:c r="E147" s="28" t="str">
        <x:v>контраст/комплементарность + матричный эффект</x:v>
      </x:c>
      <x:c r="F14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4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4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7" s="28" t="str">
        <x:v>соус, глазировка, салат, сырная подача или горячее блюдо; маринад, гастрик, чатни, кетчуп или редукция</x:v>
      </x:c>
      <x:c r="J147" s="28" t="str">
        <x:v>Средняя</x:v>
      </x:c>
      <x:c r="K147" s="28" t="str">
        <x:v>The Art &amp; Science of Foodpairing</x:v>
      </x:c>
      <x:c r="L147" s="28" t="str">
        <x:v>The Art &amp; Science of Foodpairing: 70</x:v>
      </x:c>
    </x:row>
    <x:row r="148" ht="62" customHeight="1">
      <x:c r="A148" s="28" t="str">
        <x:v>BER-0368</x:v>
      </x:c>
      <x:c r="B148" s="28" t="str">
        <x:v>клубника</x:v>
      </x:c>
      <x:c r="C148" s="28" t="str">
        <x:v>запечённая морская камбала</x:v>
      </x:c>
      <x:c r="D148" s="28" t="str">
        <x:v>Рыба и морепродукты</x:v>
      </x:c>
      <x:c r="E148" s="28" t="str">
        <x:v>контраст/комплементарность + матричный эффект</x:v>
      </x:c>
      <x:c r="F14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4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4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8" s="28" t="str">
        <x:v>соус, глазировка, салат, сырная подача или горячее блюдо; маринад, гастрик, чатни, кетчуп или редукция</x:v>
      </x:c>
      <x:c r="J148" s="28" t="str">
        <x:v>Средняя</x:v>
      </x:c>
      <x:c r="K148" s="28" t="str">
        <x:v>The Art &amp; Science of Foodpairing</x:v>
      </x:c>
      <x:c r="L148" s="28" t="str">
        <x:v>The Art &amp; Science of Foodpairing: 70</x:v>
      </x:c>
    </x:row>
    <x:row r="149" ht="62" customHeight="1">
      <x:c r="A149" s="28" t="str">
        <x:v>BER-0370</x:v>
      </x:c>
      <x:c r="B149" s="28" t="str">
        <x:v>клубника</x:v>
      </x:c>
      <x:c r="C149" s="28" t="str">
        <x:v>зелёная фасоль</x:v>
      </x:c>
      <x:c r="D149" s="28" t="str">
        <x:v>Овощи и грибы</x:v>
      </x:c>
      <x:c r="E149" s="28" t="str">
        <x:v>сходство ароматических семейств + комплементарность</x:v>
      </x:c>
      <x:c r="F149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4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4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49" s="28" t="str">
        <x:v>соус, глазировка, салат, сырная подача или горячее блюдо; маринад, гастрик, чатни, кетчуп или редукция</x:v>
      </x:c>
      <x:c r="J149" s="28" t="str">
        <x:v>Средняя</x:v>
      </x:c>
      <x:c r="K149" s="28" t="str">
        <x:v>The Art &amp; Science of Foodpairing</x:v>
      </x:c>
      <x:c r="L149" s="28" t="str">
        <x:v>The Art &amp; Science of Foodpairing: 320</x:v>
      </x:c>
    </x:row>
    <x:row r="150" ht="62" customHeight="1">
      <x:c r="A150" s="28" t="str">
        <x:v>BER-0372</x:v>
      </x:c>
      <x:c r="B150" s="28" t="str">
        <x:v>клубника</x:v>
      </x:c>
      <x:c r="C150" s="28" t="str">
        <x:v>имбирь</x:v>
      </x:c>
      <x:c r="D150" s="28" t="str">
        <x:v>Специи</x:v>
      </x:c>
      <x:c r="E150" s="28" t="str">
        <x:v>контраст/комплементарность + матричный эффект</x:v>
      </x:c>
      <x:c r="F15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0" s="28" t="str">
        <x:v>Пряность дозировать как акцент: она быстро перекрывает тонкие ягодные эфиры.</x:v>
      </x:c>
      <x:c r="I15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50" s="28" t="str">
        <x:v>Средняя</x:v>
      </x:c>
      <x:c r="K150" s="28" t="str">
        <x:v>Таблица сочетаний</x:v>
      </x:c>
      <x:c r="L150" s="28" t="str">
        <x:v>Таблица сочетаний: 20</x:v>
      </x:c>
    </x:row>
    <x:row r="151" ht="62" customHeight="1">
      <x:c r="A151" s="28" t="str">
        <x:v>BER-0373</x:v>
      </x:c>
      <x:c r="B151" s="28" t="str">
        <x:v>клубника</x:v>
      </x:c>
      <x:c r="C151" s="28" t="str">
        <x:v>кабачок</x:v>
      </x:c>
      <x:c r="D151" s="28" t="str">
        <x:v>Овощи и грибы</x:v>
      </x:c>
      <x:c r="E151" s="28" t="str">
        <x:v>сходство ароматических семейств + комплементарность</x:v>
      </x:c>
      <x:c r="F151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5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5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1" s="28" t="str">
        <x:v>соус, глазировка, салат, сырная подача или горячее блюдо; маринад, гастрик, чатни, кетчуп или редукция</x:v>
      </x:c>
      <x:c r="J151" s="28" t="str">
        <x:v>Средняя</x:v>
      </x:c>
      <x:c r="K151" s="28" t="str">
        <x:v>The Art &amp; Science of Foodpairing</x:v>
      </x:c>
      <x:c r="L151" s="28" t="str">
        <x:v>The Art &amp; Science of Foodpairing: 70</x:v>
      </x:c>
    </x:row>
    <x:row r="152" ht="62" customHeight="1">
      <x:c r="A152" s="28" t="str">
        <x:v>BER-0375</x:v>
      </x:c>
      <x:c r="B152" s="28" t="str">
        <x:v>клубника</x:v>
      </x:c>
      <x:c r="C152" s="28" t="str">
        <x:v>кардамон</x:v>
      </x:c>
      <x:c r="D152" s="28" t="str">
        <x:v>Специи</x:v>
      </x:c>
      <x:c r="E152" s="28" t="str">
        <x:v>контраст/комплементарность + матричный эффект</x:v>
      </x:c>
      <x:c r="F15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2" s="28" t="str">
        <x:v>Пряность дозировать как акцент: она быстро перекрывает тонкие ягодные эфиры.</x:v>
      </x:c>
      <x:c r="I15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52" s="28" t="str">
        <x:v>Средняя</x:v>
      </x:c>
      <x:c r="K152" s="28" t="str">
        <x:v>The Art &amp; Science of Foodpairing</x:v>
      </x:c>
      <x:c r="L152" s="28" t="str">
        <x:v>The Art &amp; Science of Foodpairing: 257</x:v>
      </x:c>
    </x:row>
    <x:row r="153" ht="62" customHeight="1">
      <x:c r="A153" s="28" t="str">
        <x:v>BER-0382</x:v>
      </x:c>
      <x:c r="B153" s="28" t="str">
        <x:v>клубника</x:v>
      </x:c>
      <x:c r="C153" s="28" t="str">
        <x:v>корица</x:v>
      </x:c>
      <x:c r="D153" s="28" t="str">
        <x:v>Специи</x:v>
      </x:c>
      <x:c r="E153" s="28" t="str">
        <x:v>контраст/комплементарность + матричный эффект</x:v>
      </x:c>
      <x:c r="F15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3" s="28" t="str">
        <x:v>Пряность дозировать как акцент: она быстро перекрывает тонкие ягодные эфиры.</x:v>
      </x:c>
      <x:c r="I15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53" s="28" t="str">
        <x:v>Высокая</x:v>
      </x:c>
      <x:c r="K153" s="28" t="str">
        <x:v>The Art &amp; Science of Foodpairing; Тезариус вкусов</x:v>
      </x:c>
      <x:c r="L153" s="28" t="str">
        <x:v>Тезариус вкусов: 577, 695; The Art &amp; Science of Foodpairing: 131</x:v>
      </x:c>
    </x:row>
    <x:row r="154" ht="62" customHeight="1">
      <x:c r="A154" s="28" t="str">
        <x:v>BER-0386</x:v>
      </x:c>
      <x:c r="B154" s="28" t="str">
        <x:v>клубника</x:v>
      </x:c>
      <x:c r="C154" s="28" t="str">
        <x:v>лимон и лайм</x:v>
      </x:c>
      <x:c r="D154" s="28" t="str">
        <x:v>Цитрусовые</x:v>
      </x:c>
      <x:c r="E154" s="28" t="str">
        <x:v>ароматическое сходство + вкусовой баланс</x:v>
      </x:c>
      <x:c r="F154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4" s="28" t="str">
        <x:v>кордиал, лимонад, чай, коктейль, настой или ферментированный напиток; маринад, гастрик, чатни, кетчуп или редукция</x:v>
      </x:c>
      <x:c r="J154" s="28" t="str">
        <x:v>Средняя</x:v>
      </x:c>
      <x:c r="K154" s="28" t="str">
        <x:v>The Art &amp; Science of Foodpairing</x:v>
      </x:c>
      <x:c r="L154" s="28" t="str">
        <x:v>The Art &amp; Science of Foodpairing: 89</x:v>
      </x:c>
    </x:row>
    <x:row r="155" ht="62" customHeight="1">
      <x:c r="A155" s="28" t="str">
        <x:v>BER-0394</x:v>
      </x:c>
      <x:c r="B155" s="28" t="str">
        <x:v>клубника</x:v>
      </x:c>
      <x:c r="C155" s="28" t="str">
        <x:v>мелисса</x:v>
      </x:c>
      <x:c r="D155" s="28" t="str">
        <x:v>Травы и цветы</x:v>
      </x:c>
      <x:c r="E155" s="28" t="str">
        <x:v>ароматическое сходство + вкусовой баланс</x:v>
      </x:c>
      <x:c r="F155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55" s="28" t="str">
        <x:v>Средняя</x:v>
      </x:c>
      <x:c r="K155" s="28" t="str">
        <x:v>The Art &amp; Science of Foodpairing</x:v>
      </x:c>
      <x:c r="L155" s="28" t="str">
        <x:v>The Art &amp; Science of Foodpairing: 70</x:v>
      </x:c>
    </x:row>
    <x:row r="156" ht="62" customHeight="1">
      <x:c r="A156" s="28" t="str">
        <x:v>BER-0396</x:v>
      </x:c>
      <x:c r="B156" s="28" t="str">
        <x:v>клубника</x:v>
      </x:c>
      <x:c r="C156" s="28" t="str">
        <x:v>морковь</x:v>
      </x:c>
      <x:c r="D156" s="28" t="str">
        <x:v>Овощи и грибы</x:v>
      </x:c>
      <x:c r="E156" s="28" t="str">
        <x:v>сходство ароматических семейств + комплементарность</x:v>
      </x:c>
      <x:c r="F156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5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5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6" s="28" t="str">
        <x:v>соус, глазировка, салат, сырная подача или горячее блюдо; маринад, гастрик, чатни, кетчуп или редукция</x:v>
      </x:c>
      <x:c r="J156" s="28" t="str">
        <x:v>Средняя</x:v>
      </x:c>
      <x:c r="K156" s="28" t="str">
        <x:v>The Art &amp; Science of Foodpairing</x:v>
      </x:c>
      <x:c r="L156" s="28" t="str">
        <x:v>The Art &amp; Science of Foodpairing: 233</x:v>
      </x:c>
    </x:row>
    <x:row r="157" ht="62" customHeight="1">
      <x:c r="A157" s="28" t="str">
        <x:v>BER-0400</x:v>
      </x:c>
      <x:c r="B157" s="28" t="str">
        <x:v>клубника</x:v>
      </x:c>
      <x:c r="C157" s="28" t="str">
        <x:v>мясо</x:v>
      </x:c>
      <x:c r="D157" s="28" t="str">
        <x:v>Мясо и птица</x:v>
      </x:c>
      <x:c r="E157" s="28" t="str">
        <x:v>контраст/комплементарность + матричный эффект</x:v>
      </x:c>
      <x:c r="F15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5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5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7" s="28" t="str">
        <x:v>соус, глазировка, салат, сырная подача или горячее блюдо; маринад, гастрик, чатни, кетчуп или редукция</x:v>
      </x:c>
      <x:c r="J157" s="28" t="str">
        <x:v>Средняя</x:v>
      </x:c>
      <x:c r="K157" s="28" t="str">
        <x:v>The Art &amp; Science of Foodpairing</x:v>
      </x:c>
      <x:c r="L157" s="28" t="str">
        <x:v>The Art &amp; Science of Foodpairing: 188, 189</x:v>
      </x:c>
    </x:row>
    <x:row r="158" ht="62" customHeight="1">
      <x:c r="A158" s="28" t="str">
        <x:v>BER-0401</x:v>
      </x:c>
      <x:c r="B158" s="28" t="str">
        <x:v>клубника</x:v>
      </x:c>
      <x:c r="C158" s="28" t="str">
        <x:v>мята</x:v>
      </x:c>
      <x:c r="D158" s="28" t="str">
        <x:v>Травы и цветы</x:v>
      </x:c>
      <x:c r="E158" s="28" t="str">
        <x:v>ароматическое сходство + вкусовой баланс</x:v>
      </x:c>
      <x:c r="F158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5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5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58" s="28" t="str">
        <x:v>Высокая</x:v>
      </x:c>
      <x:c r="K158" s="28" t="str">
        <x:v>Таблица сочетаний; Тезариус вкусов</x:v>
      </x:c>
      <x:c r="L158" s="28" t="str">
        <x:v>Тезариус вкусов: 697, 868; Таблица сочетаний: 13, 20</x:v>
      </x:c>
    </x:row>
    <x:row r="159" ht="62" customHeight="1">
      <x:c r="A159" s="28" t="str">
        <x:v>BER-0402</x:v>
      </x:c>
      <x:c r="B159" s="28" t="str">
        <x:v>клубника</x:v>
      </x:c>
      <x:c r="C159" s="28" t="str">
        <x:v>на гриле turbot</x:v>
      </x:c>
      <x:c r="D159" s="28" t="str">
        <x:v>Рыба и морепродукты</x:v>
      </x:c>
      <x:c r="E159" s="28" t="str">
        <x:v>контраст/комплементарность + матричный эффект</x:v>
      </x:c>
      <x:c r="F15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5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5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59" s="28" t="str">
        <x:v>соус, глазировка, салат, сырная подача или горячее блюдо; маринад, гастрик, чатни, кетчуп или редукция</x:v>
      </x:c>
      <x:c r="J159" s="28" t="str">
        <x:v>Средняя</x:v>
      </x:c>
      <x:c r="K159" s="28" t="str">
        <x:v>The Art &amp; Science of Foodpairing</x:v>
      </x:c>
      <x:c r="L159" s="28" t="str">
        <x:v>The Art &amp; Science of Foodpairing: 71</x:v>
      </x:c>
    </x:row>
    <x:row r="160" ht="62" customHeight="1">
      <x:c r="A160" s="28" t="str">
        <x:v>BER-0404</x:v>
      </x:c>
      <x:c r="B160" s="28" t="str">
        <x:v>клубника</x:v>
      </x:c>
      <x:c r="C160" s="28" t="str">
        <x:v>обжаренный chicken breast fillet</x:v>
      </x:c>
      <x:c r="D160" s="28" t="str">
        <x:v>Мясо и птица</x:v>
      </x:c>
      <x:c r="E160" s="28" t="str">
        <x:v>контраст/комплементарность + матричный эффект</x:v>
      </x:c>
      <x:c r="F16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6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6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0" s="28" t="str">
        <x:v>соус, глазировка, салат, сырная подача или горячее блюдо; маринад, гастрик, чатни, кетчуп или редукция</x:v>
      </x:c>
      <x:c r="J160" s="28" t="str">
        <x:v>Средняя</x:v>
      </x:c>
      <x:c r="K160" s="28" t="str">
        <x:v>The Art &amp; Science of Foodpairing</x:v>
      </x:c>
      <x:c r="L160" s="28" t="str">
        <x:v>The Art &amp; Science of Foodpairing: 70</x:v>
      </x:c>
    </x:row>
    <x:row r="161" ht="62" customHeight="1">
      <x:c r="A161" s="28" t="str">
        <x:v>BER-0406</x:v>
      </x:c>
      <x:c r="B161" s="28" t="str">
        <x:v>клубника</x:v>
      </x:c>
      <x:c r="C161" s="28" t="str">
        <x:v>обжаренный pheasant</x:v>
      </x:c>
      <x:c r="D161" s="28" t="str">
        <x:v>Мясо и птица</x:v>
      </x:c>
      <x:c r="E161" s="28" t="str">
        <x:v>контраст/комплементарность + матричный эффект</x:v>
      </x:c>
      <x:c r="F16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6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6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1" s="28" t="str">
        <x:v>соус, глазировка, салат, сырная подача или горячее блюдо; маринад, гастрик, чатни, кетчуп или редукция</x:v>
      </x:c>
      <x:c r="J161" s="28" t="str">
        <x:v>Средняя</x:v>
      </x:c>
      <x:c r="K161" s="28" t="str">
        <x:v>The Art &amp; Science of Foodpairing</x:v>
      </x:c>
      <x:c r="L161" s="28" t="str">
        <x:v>The Art &amp; Science of Foodpairing: 70</x:v>
      </x:c>
    </x:row>
    <x:row r="162" ht="62" customHeight="1">
      <x:c r="A162" s="28" t="str">
        <x:v>BER-0407</x:v>
      </x:c>
      <x:c r="B162" s="28" t="str">
        <x:v>клубника</x:v>
      </x:c>
      <x:c r="C162" s="28" t="str">
        <x:v>обжаренный venison</x:v>
      </x:c>
      <x:c r="D162" s="28" t="str">
        <x:v>Мясо и птица</x:v>
      </x:c>
      <x:c r="E162" s="28" t="str">
        <x:v>контраст/комплементарность + матричный эффект</x:v>
      </x:c>
      <x:c r="F16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6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6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2" s="28" t="str">
        <x:v>соус, глазировка, салат, сырная подача или горячее блюдо; маринад, гастрик, чатни, кетчуп или редукция</x:v>
      </x:c>
      <x:c r="J162" s="28" t="str">
        <x:v>Средняя</x:v>
      </x:c>
      <x:c r="K162" s="28" t="str">
        <x:v>The Art &amp; Science of Foodpairing</x:v>
      </x:c>
      <x:c r="L162" s="28" t="str">
        <x:v>The Art &amp; Science of Foodpairing: 70</x:v>
      </x:c>
    </x:row>
    <x:row r="163" ht="62" customHeight="1">
      <x:c r="A163" s="28" t="str">
        <x:v>BER-0408</x:v>
      </x:c>
      <x:c r="B163" s="28" t="str">
        <x:v>клубника</x:v>
      </x:c>
      <x:c r="C163" s="28" t="str">
        <x:v>огурец</x:v>
      </x:c>
      <x:c r="D163" s="28" t="str">
        <x:v>Овощи и грибы</x:v>
      </x:c>
      <x:c r="E163" s="28" t="str">
        <x:v>сходство ароматических семейств + комплементарность</x:v>
      </x:c>
      <x:c r="F163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6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6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3" s="28" t="str">
        <x:v>соус, глазировка, салат, сырная подача или горячее блюдо; маринад, гастрик, чатни, кетчуп или редукция</x:v>
      </x:c>
      <x:c r="J163" s="28" t="str">
        <x:v>Средняя</x:v>
      </x:c>
      <x:c r="K163" s="28" t="str">
        <x:v>Таблица сочетаний</x:v>
      </x:c>
      <x:c r="L163" s="28" t="str">
        <x:v>Таблица сочетаний: 6</x:v>
      </x:c>
    </x:row>
    <x:row r="164" ht="62" customHeight="1">
      <x:c r="A164" s="28" t="str">
        <x:v>BER-0409</x:v>
      </x:c>
      <x:c r="B164" s="28" t="str">
        <x:v>клубника</x:v>
      </x:c>
      <x:c r="C164" s="28" t="str">
        <x:v>огурцы</x:v>
      </x:c>
      <x:c r="D164" s="28" t="str">
        <x:v>Овощи и грибы</x:v>
      </x:c>
      <x:c r="E164" s="28" t="str">
        <x:v>сходство ароматических семейств + комплементарность</x:v>
      </x:c>
      <x:c r="F164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6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6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4" s="28" t="str">
        <x:v>соус, глазировка, салат, сырная подача или горячее блюдо; маринад, гастрик, чатни, кетчуп или редукция</x:v>
      </x:c>
      <x:c r="J164" s="28" t="str">
        <x:v>Высокая</x:v>
      </x:c>
      <x:c r="K164" s="28" t="str">
        <x:v>Тезариус вкусов</x:v>
      </x:c>
      <x:c r="L164" s="28" t="str">
        <x:v>Тезариус вкусов: 492, 697</x:v>
      </x:c>
    </x:row>
    <x:row r="165" ht="62" customHeight="1">
      <x:c r="A165" s="28" t="str">
        <x:v>BER-0416</x:v>
      </x:c>
      <x:c r="B165" s="28" t="str">
        <x:v>клубника</x:v>
      </x:c>
      <x:c r="C165" s="28" t="str">
        <x:v>пастеризованный томатный сок</x:v>
      </x:c>
      <x:c r="D165" s="28" t="str">
        <x:v>Овощи и грибы</x:v>
      </x:c>
      <x:c r="E165" s="28" t="str">
        <x:v>сходство ароматических семейств + комплементарность</x:v>
      </x:c>
      <x:c r="F165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6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6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5" s="28" t="str">
        <x:v>соус, глазировка, салат, сырная подача или горячее блюдо; маринад, гастрик, чатни, кетчуп или редукция</x:v>
      </x:c>
      <x:c r="J165" s="28" t="str">
        <x:v>Средняя</x:v>
      </x:c>
      <x:c r="K165" s="28" t="str">
        <x:v>The Art &amp; Science of Foodpairing</x:v>
      </x:c>
      <x:c r="L165" s="28" t="str">
        <x:v>The Art &amp; Science of Foodpairing: 70</x:v>
      </x:c>
    </x:row>
    <x:row r="166" ht="62" customHeight="1">
      <x:c r="A166" s="28" t="str">
        <x:v>BER-0417</x:v>
      </x:c>
      <x:c r="B166" s="28" t="str">
        <x:v>клубника</x:v>
      </x:c>
      <x:c r="C166" s="28" t="str">
        <x:v>перец</x:v>
      </x:c>
      <x:c r="D166" s="28" t="str">
        <x:v>Специи</x:v>
      </x:c>
      <x:c r="E166" s="28" t="str">
        <x:v>контраст/комплементарность + матричный эффект</x:v>
      </x:c>
      <x:c r="F16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6" s="28" t="str">
        <x:v>Пряность дозировать как акцент: она быстро перекрывает тонкие ягодные эфиры.</x:v>
      </x:c>
      <x:c r="I16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66" s="28" t="str">
        <x:v>Средняя</x:v>
      </x:c>
      <x:c r="K166" s="28" t="str">
        <x:v>Таблица сочетаний</x:v>
      </x:c>
      <x:c r="L166" s="28" t="str">
        <x:v>Таблица сочетаний: 16</x:v>
      </x:c>
    </x:row>
    <x:row r="167" ht="62" customHeight="1">
      <x:c r="A167" s="28" t="str">
        <x:v>BER-0418</x:v>
      </x:c>
      <x:c r="B167" s="28" t="str">
        <x:v>клубника</x:v>
      </x:c>
      <x:c r="C167" s="28" t="str">
        <x:v>перец чили</x:v>
      </x:c>
      <x:c r="D167" s="28" t="str">
        <x:v>Специи</x:v>
      </x:c>
      <x:c r="E167" s="28" t="str">
        <x:v>контраст/комплементарность + матричный эффект</x:v>
      </x:c>
      <x:c r="F16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7" s="28" t="str">
        <x:v>Пряность дозировать как акцент: она быстро перекрывает тонкие ягодные эфиры.</x:v>
      </x:c>
      <x:c r="I16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67" s="28" t="str">
        <x:v>Средняя</x:v>
      </x:c>
      <x:c r="K167" s="28" t="str">
        <x:v>The Art &amp; Science of Foodpairing</x:v>
      </x:c>
      <x:c r="L167" s="28" t="str">
        <x:v>The Art &amp; Science of Foodpairing: 94</x:v>
      </x:c>
    </x:row>
    <x:row r="168" ht="62" customHeight="1">
      <x:c r="A168" s="28" t="str">
        <x:v>BER-0420</x:v>
      </x:c>
      <x:c r="B168" s="28" t="str">
        <x:v>клубника</x:v>
      </x:c>
      <x:c r="C168" s="28" t="str">
        <x:v>петрушка</x:v>
      </x:c>
      <x:c r="D168" s="28" t="str">
        <x:v>Травы и цветы</x:v>
      </x:c>
      <x:c r="E168" s="28" t="str">
        <x:v>ароматическое сходство + вкусовой баланс</x:v>
      </x:c>
      <x:c r="F168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6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6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8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68" s="28" t="str">
        <x:v>Средняя</x:v>
      </x:c>
      <x:c r="K168" s="28" t="str">
        <x:v>Таблица сочетаний</x:v>
      </x:c>
      <x:c r="L168" s="28" t="str">
        <x:v>Таблица сочетаний: 15</x:v>
      </x:c>
    </x:row>
    <x:row r="169" ht="62" customHeight="1">
      <x:c r="A169" s="28" t="str">
        <x:v>BER-0423</x:v>
      </x:c>
      <x:c r="B169" s="28" t="str">
        <x:v>клубника</x:v>
      </x:c>
      <x:c r="C169" s="28" t="str">
        <x:v>приготовленные моллюски</x:v>
      </x:c>
      <x:c r="D169" s="28" t="str">
        <x:v>Рыба и морепродукты</x:v>
      </x:c>
      <x:c r="E169" s="28" t="str">
        <x:v>контраст/комплементарность + матричный эффект</x:v>
      </x:c>
      <x:c r="F16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6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6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69" s="28" t="str">
        <x:v>соус, глазировка, салат, сырная подача или горячее блюдо; маринад, гастрик, чатни, кетчуп или редукция</x:v>
      </x:c>
      <x:c r="J169" s="28" t="str">
        <x:v>Средняя</x:v>
      </x:c>
      <x:c r="K169" s="28" t="str">
        <x:v>The Art &amp; Science of Foodpairing</x:v>
      </x:c>
      <x:c r="L169" s="28" t="str">
        <x:v>The Art &amp; Science of Foodpairing: 70</x:v>
      </x:c>
    </x:row>
    <x:row r="170" ht="62" customHeight="1">
      <x:c r="A170" s="28" t="str">
        <x:v>BER-0425</x:v>
      </x:c>
      <x:c r="B170" s="28" t="str">
        <x:v>клубника</x:v>
      </x:c>
      <x:c r="C170" s="28" t="str">
        <x:v>припущенная кефаль</x:v>
      </x:c>
      <x:c r="D170" s="28" t="str">
        <x:v>Рыба и морепродукты</x:v>
      </x:c>
      <x:c r="E170" s="28" t="str">
        <x:v>контраст/комплементарность + матричный эффект</x:v>
      </x:c>
      <x:c r="F17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7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7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0" s="28" t="str">
        <x:v>соус, глазировка, салат, сырная подача или горячее блюдо; маринад, гастрик, чатни, кетчуп или редукция</x:v>
      </x:c>
      <x:c r="J170" s="28" t="str">
        <x:v>Средняя</x:v>
      </x:c>
      <x:c r="K170" s="28" t="str">
        <x:v>The Art &amp; Science of Foodpairing</x:v>
      </x:c>
      <x:c r="L170" s="28" t="str">
        <x:v>The Art &amp; Science of Foodpairing: 70</x:v>
      </x:c>
    </x:row>
    <x:row r="171" ht="62" customHeight="1">
      <x:c r="A171" s="28" t="str">
        <x:v>BER-0430</x:v>
      </x:c>
      <x:c r="B171" s="28" t="str">
        <x:v>клубника</x:v>
      </x:c>
      <x:c r="C171" s="28" t="str">
        <x:v>редис</x:v>
      </x:c>
      <x:c r="D171" s="28" t="str">
        <x:v>Овощи и грибы</x:v>
      </x:c>
      <x:c r="E171" s="28" t="str">
        <x:v>сходство ароматических семейств + комплементарность</x:v>
      </x:c>
      <x:c r="F171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7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7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1" s="28" t="str">
        <x:v>соус, глазировка, салат, сырная подача или горячее блюдо; маринад, гастрик, чатни, кетчуп или редукция</x:v>
      </x:c>
      <x:c r="J171" s="28" t="str">
        <x:v>Средняя</x:v>
      </x:c>
      <x:c r="K171" s="28" t="str">
        <x:v>The Art &amp; Science of Foodpairing</x:v>
      </x:c>
      <x:c r="L171" s="28" t="str">
        <x:v>The Art &amp; Science of Foodpairing: 70</x:v>
      </x:c>
    </x:row>
    <x:row r="172" ht="62" customHeight="1">
      <x:c r="A172" s="28" t="str">
        <x:v>BER-0431</x:v>
      </x:c>
      <x:c r="B172" s="28" t="str">
        <x:v>клубника</x:v>
      </x:c>
      <x:c r="C172" s="28" t="str">
        <x:v>репа</x:v>
      </x:c>
      <x:c r="D172" s="28" t="str">
        <x:v>Овощи и грибы</x:v>
      </x:c>
      <x:c r="E172" s="28" t="str">
        <x:v>сходство ароматических семейств + комплементарность</x:v>
      </x:c>
      <x:c r="F172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7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7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2" s="28" t="str">
        <x:v>соус, глазировка, салат, сырная подача или горячее блюдо; маринад, гастрик, чатни, кетчуп или редукция</x:v>
      </x:c>
      <x:c r="J172" s="28" t="str">
        <x:v>Средняя</x:v>
      </x:c>
      <x:c r="K172" s="28" t="str">
        <x:v>The Art &amp; Science of Foodpairing</x:v>
      </x:c>
      <x:c r="L172" s="28" t="str">
        <x:v>The Art &amp; Science of Foodpairing: 70</x:v>
      </x:c>
    </x:row>
    <x:row r="173" ht="62" customHeight="1">
      <x:c r="A173" s="28" t="str">
        <x:v>BER-0432</x:v>
      </x:c>
      <x:c r="B173" s="28" t="str">
        <x:v>клубника</x:v>
      </x:c>
      <x:c r="C173" s="28" t="str">
        <x:v>роза</x:v>
      </x:c>
      <x:c r="D173" s="28" t="str">
        <x:v>Травы и цветы</x:v>
      </x:c>
      <x:c r="E173" s="28" t="str">
        <x:v>ароматическое сходство + вкусовой баланс</x:v>
      </x:c>
      <x:c r="F173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3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73" s="28" t="str">
        <x:v>Средняя</x:v>
      </x:c>
      <x:c r="K173" s="28" t="str">
        <x:v>Таблица сочетаний</x:v>
      </x:c>
      <x:c r="L173" s="28" t="str">
        <x:v>Таблица сочетаний: 19</x:v>
      </x:c>
    </x:row>
    <x:row r="174" ht="62" customHeight="1">
      <x:c r="A174" s="28" t="str">
        <x:v>BER-0433</x:v>
      </x:c>
      <x:c r="B174" s="28" t="str">
        <x:v>клубника</x:v>
      </x:c>
      <x:c r="C174" s="28" t="str">
        <x:v>розмарин</x:v>
      </x:c>
      <x:c r="D174" s="28" t="str">
        <x:v>Травы и цветы</x:v>
      </x:c>
      <x:c r="E174" s="28" t="str">
        <x:v>ароматическое сходство + вкусовой баланс</x:v>
      </x:c>
      <x:c r="F174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74" s="28" t="str">
        <x:v>Средняя</x:v>
      </x:c>
      <x:c r="K174" s="28" t="str">
        <x:v>Таблица сочетаний</x:v>
      </x:c>
      <x:c r="L174" s="28" t="str">
        <x:v>Таблица сочетаний: 20</x:v>
      </x:c>
    </x:row>
    <x:row r="175" ht="62" customHeight="1">
      <x:c r="A175" s="28" t="str">
        <x:v>BER-0434</x:v>
      </x:c>
      <x:c r="B175" s="28" t="str">
        <x:v>клубника</x:v>
      </x:c>
      <x:c r="C175" s="28" t="str">
        <x:v>свежие съедобные лепестки розы</x:v>
      </x:c>
      <x:c r="D175" s="28" t="str">
        <x:v>Травы и цветы</x:v>
      </x:c>
      <x:c r="E175" s="28" t="str">
        <x:v>ароматическое сходство + вкусовой баланс</x:v>
      </x:c>
      <x:c r="F175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75" s="28" t="str">
        <x:v>Средняя</x:v>
      </x:c>
      <x:c r="K175" s="28" t="str">
        <x:v>The Art &amp; Science of Foodpairing</x:v>
      </x:c>
      <x:c r="L175" s="28" t="str">
        <x:v>The Art &amp; Science of Foodpairing: 70</x:v>
      </x:c>
    </x:row>
    <x:row r="176" ht="62" customHeight="1">
      <x:c r="A176" s="28" t="str">
        <x:v>BER-0435</x:v>
      </x:c>
      <x:c r="B176" s="28" t="str">
        <x:v>клубника</x:v>
      </x:c>
      <x:c r="C176" s="28" t="str">
        <x:v>свежий корень имбиря</x:v>
      </x:c>
      <x:c r="D176" s="28" t="str">
        <x:v>Специи</x:v>
      </x:c>
      <x:c r="E176" s="28" t="str">
        <x:v>контраст/комплементарность + матричный эффект</x:v>
      </x:c>
      <x:c r="F17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6" s="28" t="str">
        <x:v>Пряность дозировать как акцент: она быстро перекрывает тонкие ягодные эфиры.</x:v>
      </x:c>
      <x:c r="I17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76" s="28" t="str">
        <x:v>Средняя</x:v>
      </x:c>
      <x:c r="K176" s="28" t="str">
        <x:v>The Art &amp; Science of Foodpairing</x:v>
      </x:c>
      <x:c r="L176" s="28" t="str">
        <x:v>The Art &amp; Science of Foodpairing: 70</x:v>
      </x:c>
    </x:row>
    <x:row r="177" ht="62" customHeight="1">
      <x:c r="A177" s="28" t="str">
        <x:v>BER-0436</x:v>
      </x:c>
      <x:c r="B177" s="28" t="str">
        <x:v>клубника</x:v>
      </x:c>
      <x:c r="C177" s="28" t="str">
        <x:v>свёкла</x:v>
      </x:c>
      <x:c r="D177" s="28" t="str">
        <x:v>Овощи и грибы</x:v>
      </x:c>
      <x:c r="E177" s="28" t="str">
        <x:v>сходство ароматических семейств + комплементарность</x:v>
      </x:c>
      <x:c r="F177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7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7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7" s="28" t="str">
        <x:v>соус, глазировка, салат, сырная подача или горячее блюдо; маринад, гастрик, чатни, кетчуп или редукция</x:v>
      </x:c>
      <x:c r="J177" s="28" t="str">
        <x:v>Средняя</x:v>
      </x:c>
      <x:c r="K177" s="28" t="str">
        <x:v>The Art &amp; Science of Foodpairing</x:v>
      </x:c>
      <x:c r="L177" s="28" t="str">
        <x:v>The Art &amp; Science of Foodpairing: 71, 225</x:v>
      </x:c>
    </x:row>
    <x:row r="178" ht="62" customHeight="1">
      <x:c r="A178" s="28" t="str">
        <x:v>BER-0437</x:v>
      </x:c>
      <x:c r="B178" s="28" t="str">
        <x:v>клубника</x:v>
      </x:c>
      <x:c r="C178" s="28" t="str">
        <x:v>семена кардамона</x:v>
      </x:c>
      <x:c r="D178" s="28" t="str">
        <x:v>Специи</x:v>
      </x:c>
      <x:c r="E178" s="28" t="str">
        <x:v>контраст/комплементарность + матричный эффект</x:v>
      </x:c>
      <x:c r="F17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8" s="28" t="str">
        <x:v>Пряность дозировать как акцент: она быстро перекрывает тонкие ягодные эфиры.</x:v>
      </x:c>
      <x:c r="I17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78" s="28" t="str">
        <x:v>Средняя</x:v>
      </x:c>
      <x:c r="K178" s="28" t="str">
        <x:v>The Art &amp; Science of Foodpairing</x:v>
      </x:c>
      <x:c r="L178" s="28" t="str">
        <x:v>The Art &amp; Science of Foodpairing: 71</x:v>
      </x:c>
    </x:row>
    <x:row r="179" ht="62" customHeight="1">
      <x:c r="A179" s="28" t="str">
        <x:v>BER-0445</x:v>
      </x:c>
      <x:c r="B179" s="28" t="str">
        <x:v>клубника</x:v>
      </x:c>
      <x:c r="C179" s="28" t="str">
        <x:v>тимьян</x:v>
      </x:c>
      <x:c r="D179" s="28" t="str">
        <x:v>Травы и цветы</x:v>
      </x:c>
      <x:c r="E179" s="28" t="str">
        <x:v>ароматическое сходство + вкусовой баланс</x:v>
      </x:c>
      <x:c r="F179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7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7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7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79" s="28" t="str">
        <x:v>Средняя</x:v>
      </x:c>
      <x:c r="K179" s="28" t="str">
        <x:v>Таблица сочетаний</x:v>
      </x:c>
      <x:c r="L179" s="28" t="str">
        <x:v>Таблица сочетаний: 20</x:v>
      </x:c>
    </x:row>
    <x:row r="180" ht="62" customHeight="1">
      <x:c r="A180" s="28" t="str">
        <x:v>BER-0446</x:v>
      </x:c>
      <x:c r="B180" s="28" t="str">
        <x:v>клубника</x:v>
      </x:c>
      <x:c r="C180" s="28" t="str">
        <x:v>томат</x:v>
      </x:c>
      <x:c r="D180" s="28" t="str">
        <x:v>Овощи и грибы</x:v>
      </x:c>
      <x:c r="E180" s="28" t="str">
        <x:v>сходство ароматических семейств + комплементарность</x:v>
      </x:c>
      <x:c r="F180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8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8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0" s="28" t="str">
        <x:v>соус, глазировка, салат, сырная подача или горячее блюдо; маринад, гастрик, чатни, кетчуп или редукция</x:v>
      </x:c>
      <x:c r="J180" s="28" t="str">
        <x:v>Высокая</x:v>
      </x:c>
      <x:c r="K180" s="28" t="str">
        <x:v>The Art &amp; Science of Foodpairing; Таблица сочетаний</x:v>
      </x:c>
      <x:c r="L180" s="28" t="str">
        <x:v>The Art &amp; Science of Foodpairing: 70; Таблица сочетаний: 21</x:v>
      </x:c>
    </x:row>
    <x:row r="181" ht="62" customHeight="1">
      <x:c r="A181" s="28" t="str">
        <x:v>BER-0447</x:v>
      </x:c>
      <x:c r="B181" s="28" t="str">
        <x:v>клубника</x:v>
      </x:c>
      <x:c r="C181" s="28" t="str">
        <x:v>томаты</x:v>
      </x:c>
      <x:c r="D181" s="28" t="str">
        <x:v>Овощи и грибы</x:v>
      </x:c>
      <x:c r="E181" s="28" t="str">
        <x:v>сходство ароматических семейств + комплементарность</x:v>
      </x:c>
      <x:c r="F181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8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8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1" s="28" t="str">
        <x:v>соус, глазировка, салат, сырная подача или горячее блюдо; маринад, гастрик, чатни, кетчуп или редукция</x:v>
      </x:c>
      <x:c r="J181" s="28" t="str">
        <x:v>Высокая</x:v>
      </x:c>
      <x:c r="K181" s="28" t="str">
        <x:v>Тезариус вкусов</x:v>
      </x:c>
      <x:c r="L181" s="28" t="str">
        <x:v>Тезариус вкусов: 686, 698</x:v>
      </x:c>
    </x:row>
    <x:row r="182" ht="62" customHeight="1">
      <x:c r="A182" s="28" t="str">
        <x:v>BER-0448</x:v>
      </x:c>
      <x:c r="B182" s="28" t="str">
        <x:v>клубника</x:v>
      </x:c>
      <x:c r="C182" s="28" t="str">
        <x:v>тыква</x:v>
      </x:c>
      <x:c r="D182" s="28" t="str">
        <x:v>Овощи и грибы</x:v>
      </x:c>
      <x:c r="E182" s="28" t="str">
        <x:v>сходство ароматических семейств + комплементарность</x:v>
      </x:c>
      <x:c r="F182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8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8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2" s="28" t="str">
        <x:v>соус, глазировка, салат, сырная подача или горячее блюдо; маринад, гастрик, чатни, кетчуп или редукция</x:v>
      </x:c>
      <x:c r="J182" s="28" t="str">
        <x:v>Средняя</x:v>
      </x:c>
      <x:c r="K182" s="28" t="str">
        <x:v>Таблица сочетаний</x:v>
      </x:c>
      <x:c r="L182" s="28" t="str">
        <x:v>Таблица сочетаний: 18</x:v>
      </x:c>
    </x:row>
    <x:row r="183" ht="62" customHeight="1">
      <x:c r="A183" s="28" t="str">
        <x:v>BER-0451</x:v>
      </x:c>
      <x:c r="B183" s="28" t="str">
        <x:v>клубника</x:v>
      </x:c>
      <x:c r="C183" s="28" t="str">
        <x:v>цветы жасмина</x:v>
      </x:c>
      <x:c r="D183" s="28" t="str">
        <x:v>Травы и цветы</x:v>
      </x:c>
      <x:c r="E183" s="28" t="str">
        <x:v>ароматическое сходство + вкусовой баланс</x:v>
      </x:c>
      <x:c r="F183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3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83" s="28" t="str">
        <x:v>Средняя</x:v>
      </x:c>
      <x:c r="K183" s="28" t="str">
        <x:v>The Art &amp; Science of Foodpairing</x:v>
      </x:c>
      <x:c r="L183" s="28" t="str">
        <x:v>The Art &amp; Science of Foodpairing: 210</x:v>
      </x:c>
    </x:row>
    <x:row r="184" ht="62" customHeight="1">
      <x:c r="A184" s="28" t="str">
        <x:v>BER-0452</x:v>
      </x:c>
      <x:c r="B184" s="28" t="str">
        <x:v>клубника</x:v>
      </x:c>
      <x:c r="C184" s="28" t="str">
        <x:v>цветы фиалки</x:v>
      </x:c>
      <x:c r="D184" s="28" t="str">
        <x:v>Травы и цветы</x:v>
      </x:c>
      <x:c r="E184" s="28" t="str">
        <x:v>ароматическое сходство + вкусовой баланс</x:v>
      </x:c>
      <x:c r="F184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4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84" s="28" t="str">
        <x:v>Средняя</x:v>
      </x:c>
      <x:c r="K184" s="28" t="str">
        <x:v>The Art &amp; Science of Foodpairing</x:v>
      </x:c>
      <x:c r="L184" s="28" t="str">
        <x:v>The Art &amp; Science of Foodpairing: 70</x:v>
      </x:c>
    </x:row>
    <x:row r="185" ht="62" customHeight="1">
      <x:c r="A185" s="28" t="str">
        <x:v>BER-0453</x:v>
      </x:c>
      <x:c r="B185" s="28" t="str">
        <x:v>клубника</x:v>
      </x:c>
      <x:c r="C185" s="28" t="str">
        <x:v>цедра горького апельсина</x:v>
      </x:c>
      <x:c r="D185" s="28" t="str">
        <x:v>Цитрусовые</x:v>
      </x:c>
      <x:c r="E185" s="28" t="str">
        <x:v>ароматическое сходство + вкусовой баланс</x:v>
      </x:c>
      <x:c r="F185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5" s="28" t="str">
        <x:v>кордиал, лимонад, чай, коктейль, настой или ферментированный напиток; маринад, гастрик, чатни, кетчуп или редукция</x:v>
      </x:c>
      <x:c r="J185" s="28" t="str">
        <x:v>Средняя</x:v>
      </x:c>
      <x:c r="K185" s="28" t="str">
        <x:v>The Art &amp; Science of Foodpairing</x:v>
      </x:c>
      <x:c r="L185" s="28" t="str">
        <x:v>The Art &amp; Science of Foodpairing: 70</x:v>
      </x:c>
    </x:row>
    <x:row r="186" ht="62" customHeight="1">
      <x:c r="A186" s="28" t="str">
        <x:v>BER-0454</x:v>
      </x:c>
      <x:c r="B186" s="28" t="str">
        <x:v>клубника</x:v>
      </x:c>
      <x:c r="C186" s="28" t="str">
        <x:v>цитрусовые</x:v>
      </x:c>
      <x:c r="D186" s="28" t="str">
        <x:v>Цитрусовые</x:v>
      </x:c>
      <x:c r="E186" s="28" t="str">
        <x:v>ароматическое сходство + вкусовой баланс</x:v>
      </x:c>
      <x:c r="F186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высокая доля воды; аромат чувствителен к перегреву.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6" s="28" t="str">
        <x:v>кордиал, лимонад, чай, коктейль, настой или ферментированный напиток; маринад, гастрик, чатни, кетчуп или редукция</x:v>
      </x:c>
      <x:c r="J186" s="28" t="str">
        <x:v>Средняя</x:v>
      </x:c>
      <x:c r="K186" s="28" t="str">
        <x:v>Таблица сочетаний</x:v>
      </x:c>
      <x:c r="L186" s="28" t="str">
        <x:v>Таблица сочетаний: 20</x:v>
      </x:c>
    </x:row>
    <x:row r="187" ht="62" customHeight="1">
      <x:c r="A187" s="28" t="str">
        <x:v>BER-0457</x:v>
      </x:c>
      <x:c r="B187" s="28" t="str">
        <x:v>клубника</x:v>
      </x:c>
      <x:c r="C187" s="28" t="str">
        <x:v>чёрный перец</x:v>
      </x:c>
      <x:c r="D187" s="28" t="str">
        <x:v>Специи</x:v>
      </x:c>
      <x:c r="E187" s="28" t="str">
        <x:v>контраст/комплементарность + матричный эффект</x:v>
      </x:c>
      <x:c r="F18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7" s="28" t="str">
        <x:v>Пряность дозировать как акцент: она быстро перекрывает тонкие ягодные эфиры.</x:v>
      </x:c>
      <x:c r="I18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87" s="28" t="str">
        <x:v>Высокая</x:v>
      </x:c>
      <x:c r="K187" s="28" t="str">
        <x:v>The Art &amp; Science of Foodpairing; Таблица сочетаний</x:v>
      </x:c>
      <x:c r="L187" s="28" t="str">
        <x:v>The Art &amp; Science of Foodpairing: 273; Таблица сочетаний: 20</x:v>
      </x:c>
    </x:row>
    <x:row r="188" ht="62" customHeight="1">
      <x:c r="A188" s="28" t="str">
        <x:v>BER-0459</x:v>
      </x:c>
      <x:c r="B188" s="28" t="str">
        <x:v>клубника</x:v>
      </x:c>
      <x:c r="C188" s="28" t="str">
        <x:v>чили ахи мирасоль</x:v>
      </x:c>
      <x:c r="D188" s="28" t="str">
        <x:v>Специи</x:v>
      </x:c>
      <x:c r="E188" s="28" t="str">
        <x:v>контраст/комплементарность + матричный эффект</x:v>
      </x:c>
      <x:c r="F18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8" s="28" t="str">
        <x:v>Пряность дозировать как акцент: она быстро перекрывает тонкие ягодные эфиры.</x:v>
      </x:c>
      <x:c r="I18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88" s="28" t="str">
        <x:v>Средняя</x:v>
      </x:c>
      <x:c r="K188" s="28" t="str">
        <x:v>The Art &amp; Science of Foodpairing</x:v>
      </x:c>
      <x:c r="L188" s="28" t="str">
        <x:v>The Art &amp; Science of Foodpairing: 70</x:v>
      </x:c>
    </x:row>
    <x:row r="189" ht="62" customHeight="1">
      <x:c r="A189" s="28" t="str">
        <x:v>BER-0460</x:v>
      </x:c>
      <x:c r="B189" s="28" t="str">
        <x:v>клубника</x:v>
      </x:c>
      <x:c r="C189" s="28" t="str">
        <x:v>шалфей</x:v>
      </x:c>
      <x:c r="D189" s="28" t="str">
        <x:v>Травы и цветы</x:v>
      </x:c>
      <x:c r="E189" s="28" t="str">
        <x:v>ароматическое сходство + вкусовой баланс</x:v>
      </x:c>
      <x:c r="F189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8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8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8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89" s="28" t="str">
        <x:v>Средняя</x:v>
      </x:c>
      <x:c r="K189" s="28" t="str">
        <x:v>Таблица сочетаний</x:v>
      </x:c>
      <x:c r="L189" s="28" t="str">
        <x:v>Таблица сочетаний: 20</x:v>
      </x:c>
    </x:row>
    <x:row r="190" ht="62" customHeight="1">
      <x:c r="A190" s="28" t="str">
        <x:v>BER-0462</x:v>
      </x:c>
      <x:c r="B190" s="28" t="str">
        <x:v>клубника</x:v>
      </x:c>
      <x:c r="C190" s="28" t="str">
        <x:v>шафран</x:v>
      </x:c>
      <x:c r="D190" s="28" t="str">
        <x:v>Специи</x:v>
      </x:c>
      <x:c r="E190" s="28" t="str">
        <x:v>контраст/комплементарность + матричный эффект</x:v>
      </x:c>
      <x:c r="F19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0" s="28" t="str">
        <x:v>Пряность дозировать как акцент: она быстро перекрывает тонкие ягодные эфиры.</x:v>
      </x:c>
      <x:c r="I19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90" s="28" t="str">
        <x:v>Средняя</x:v>
      </x:c>
      <x:c r="K190" s="28" t="str">
        <x:v>The Art &amp; Science of Foodpairing</x:v>
      </x:c>
      <x:c r="L190" s="28" t="str">
        <x:v>The Art &amp; Science of Foodpairing: 70</x:v>
      </x:c>
    </x:row>
    <x:row r="191" ht="62" customHeight="1">
      <x:c r="A191" s="28" t="str">
        <x:v>BER-0465</x:v>
      </x:c>
      <x:c r="B191" s="28" t="str">
        <x:v>клубника</x:v>
      </x:c>
      <x:c r="C191" s="28" t="str">
        <x:v>эстрагон</x:v>
      </x:c>
      <x:c r="D191" s="28" t="str">
        <x:v>Травы и цветы</x:v>
      </x:c>
      <x:c r="E191" s="28" t="str">
        <x:v>ароматическое сходство + вкусовой баланс</x:v>
      </x:c>
      <x:c r="F191" s="28" t="str">
        <x:v>Прямой вероятный молекулярный мост: линалоол. Ягодный компонент несёт семейства зелёный, карамельный, сливочный,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191" s="28" t="str">
        <x:v>Средняя</x:v>
      </x:c>
      <x:c r="K191" s="28" t="str">
        <x:v>The Art &amp; Science of Foodpairing</x:v>
      </x:c>
      <x:c r="L191" s="28" t="str">
        <x:v>The Art &amp; Science of Foodpairing: 70</x:v>
      </x:c>
    </x:row>
    <x:row r="192" ht="62" customHeight="1">
      <x:c r="A192" s="28" t="str">
        <x:v>BER-0471</x:v>
      </x:c>
      <x:c r="B192" s="28" t="str">
        <x:v>клубника сорта Elsanta</x:v>
      </x:c>
      <x:c r="C192" s="28" t="str">
        <x:v>чоризо</x:v>
      </x:c>
      <x:c r="D192" s="28" t="str">
        <x:v>Мясо и птица</x:v>
      </x:c>
      <x:c r="E192" s="28" t="str">
        <x:v>контраст/комплементарность + матричный эффект</x:v>
      </x:c>
      <x:c r="F19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карамельный, сливочный,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9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9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2" s="28" t="str">
        <x:v>соус, глазировка, салат, сырная подача или горячее блюдо; маринад, гастрик, чатни, кетчуп или редукция</x:v>
      </x:c>
      <x:c r="J192" s="28" t="str">
        <x:v>Средняя</x:v>
      </x:c>
      <x:c r="K192" s="28" t="str">
        <x:v>The Art &amp; Science of Foodpairing</x:v>
      </x:c>
      <x:c r="L192" s="28" t="str">
        <x:v>The Art &amp; Science of Foodpairing: 289</x:v>
      </x:c>
    </x:row>
    <x:row r="193" ht="62" customHeight="1">
      <x:c r="A193" s="28" t="str">
        <x:v>BER-0474</x:v>
      </x:c>
      <x:c r="B193" s="28" t="str">
        <x:v>клубника сорта Mara des Bois</x:v>
      </x:c>
      <x:c r="C193" s="28" t="str">
        <x:v>морковь</x:v>
      </x:c>
      <x:c r="D193" s="28" t="str">
        <x:v>Овощи и грибы</x:v>
      </x:c>
      <x:c r="E193" s="28" t="str">
        <x:v>сходство ароматических семейств + комплементарность</x:v>
      </x:c>
      <x:c r="F193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карамельный, сливочный, фруктовый, цветочный; партнёр — зелёный, землистый, сернистый. Оба компонента формируют сладко-кислый и растительный, иногда умами контур; сахар, кислота и горечь должны быть выровнены дегустацией. Ягода: высокая доля воды; аромат чувствителен к перегреву.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19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19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3" s="28" t="str">
        <x:v>соус, глазировка, салат, сырная подача или горячее блюдо; маринад, гастрик, чатни, кетчуп или редукция</x:v>
      </x:c>
      <x:c r="J193" s="28" t="str">
        <x:v>Средняя</x:v>
      </x:c>
      <x:c r="K193" s="28" t="str">
        <x:v>The Art &amp; Science of Foodpairing</x:v>
      </x:c>
      <x:c r="L193" s="28" t="str">
        <x:v>The Art &amp; Science of Foodpairing: 232</x:v>
      </x:c>
    </x:row>
    <x:row r="194" ht="62" customHeight="1">
      <x:c r="A194" s="28" t="str">
        <x:v>BER-0478</x:v>
      </x:c>
      <x:c r="B194" s="28" t="str">
        <x:v>клюква</x:v>
      </x:c>
      <x:c r="C194" s="28" t="str">
        <x:v>апельсин</x:v>
      </x:c>
      <x:c r="D194" s="28" t="str">
        <x:v>Цитрусовые</x:v>
      </x:c>
      <x:c r="E194" s="28" t="str">
        <x:v>сходство ароматических семейств + комплементарность</x:v>
      </x:c>
      <x:c r="F194" s="28" t="str">
        <x:v>Общие ароматические семейства: зелёный; конкретная доля одорантов зависит от сорта и обработки. Ягодный компонент несёт семейства древесный, зелёный, кислый, красно-фруктовый; партнёр — зелёный, цветочный, цитрусовый. Оба компонента формируют очень кислый, терпкий и кислый, свежий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4" s="28" t="str">
        <x:v>кордиал, лимонад, чай, коктейль, настой или ферментированный напиток; маринад, гастрик, чатни, кетчуп или редукция</x:v>
      </x:c>
      <x:c r="J194" s="28" t="str">
        <x:v>Средняя</x:v>
      </x:c>
      <x:c r="K194" s="28" t="str">
        <x:v>Таблица сочетаний</x:v>
      </x:c>
      <x:c r="L194" s="28" t="str">
        <x:v>Таблица сочетаний: 6</x:v>
      </x:c>
    </x:row>
    <x:row r="195" ht="62" customHeight="1">
      <x:c r="A195" s="28" t="str">
        <x:v>BER-0481</x:v>
      </x:c>
      <x:c r="B195" s="28" t="str">
        <x:v>клюква</x:v>
      </x:c>
      <x:c r="C195" s="28" t="str">
        <x:v>гвоздика</x:v>
      </x:c>
      <x:c r="D195" s="28" t="str">
        <x:v>Специи</x:v>
      </x:c>
      <x:c r="E195" s="28" t="str">
        <x:v>ароматическое сходство + вкусовой баланс</x:v>
      </x:c>
      <x:c r="F195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5" s="28" t="str">
        <x:v>Пряность дозировать как акцент: она быстро перекрывает тонкие ягодные эфиры.</x:v>
      </x:c>
      <x:c r="I19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95" s="28" t="str">
        <x:v>Средняя</x:v>
      </x:c>
      <x:c r="K195" s="28" t="str">
        <x:v>Таблица сочетаний</x:v>
      </x:c>
      <x:c r="L195" s="28" t="str">
        <x:v>Таблица сочетаний: 6</x:v>
      </x:c>
    </x:row>
    <x:row r="196" ht="62" customHeight="1">
      <x:c r="A196" s="28" t="str">
        <x:v>BER-0486</x:v>
      </x:c>
      <x:c r="B196" s="28" t="str">
        <x:v>клюква</x:v>
      </x:c>
      <x:c r="C196" s="28" t="str">
        <x:v>имбирь</x:v>
      </x:c>
      <x:c r="D196" s="28" t="str">
        <x:v>Специи</x:v>
      </x:c>
      <x:c r="E196" s="28" t="str">
        <x:v>ароматическое сходство + вкусовой баланс</x:v>
      </x:c>
      <x:c r="F196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6" s="28" t="str">
        <x:v>Пряность дозировать как акцент: она быстро перекрывает тонкие ягодные эфиры.</x:v>
      </x:c>
      <x:c r="I19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96" s="28" t="str">
        <x:v>Средняя</x:v>
      </x:c>
      <x:c r="K196" s="28" t="str">
        <x:v>Таблица сочетаний</x:v>
      </x:c>
      <x:c r="L196" s="28" t="str">
        <x:v>Таблица сочетаний: 6</x:v>
      </x:c>
    </x:row>
    <x:row r="197" ht="62" customHeight="1">
      <x:c r="A197" s="28" t="str">
        <x:v>BER-0488</x:v>
      </x:c>
      <x:c r="B197" s="28" t="str">
        <x:v>клюква</x:v>
      </x:c>
      <x:c r="C197" s="28" t="str">
        <x:v>кардамон</x:v>
      </x:c>
      <x:c r="D197" s="28" t="str">
        <x:v>Специи</x:v>
      </x:c>
      <x:c r="E197" s="28" t="str">
        <x:v>ароматическое сходство + вкусовой баланс</x:v>
      </x:c>
      <x:c r="F197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7" s="28" t="str">
        <x:v>Пряность дозировать как акцент: она быстро перекрывает тонкие ягодные эфиры.</x:v>
      </x:c>
      <x:c r="I19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97" s="28" t="str">
        <x:v>Средняя</x:v>
      </x:c>
      <x:c r="K197" s="28" t="str">
        <x:v>Таблица сочетаний</x:v>
      </x:c>
      <x:c r="L197" s="28" t="str">
        <x:v>Таблица сочетаний: 6</x:v>
      </x:c>
    </x:row>
    <x:row r="198" ht="62" customHeight="1">
      <x:c r="A198" s="28" t="str">
        <x:v>BER-0489</x:v>
      </x:c>
      <x:c r="B198" s="28" t="str">
        <x:v>клюква</x:v>
      </x:c>
      <x:c r="C198" s="28" t="str">
        <x:v>кимчи</x:v>
      </x:c>
      <x:c r="D198" s="28" t="str">
        <x:v>Ферментированные продукты, соусы и уксусы</x:v>
      </x:c>
      <x:c r="E198" s="28" t="str">
        <x:v>ароматическое сходство + вкусовой баланс</x:v>
      </x:c>
      <x:c r="F198" s="28" t="str">
        <x:v>Прямой вероятный молекулярный мост: эфиры. Ягодный компонент несёт семейства древесный, зелёный, кислый, красно-фруктовый; партнёр — кислый, умами, ферментированный. Оба компонента формируют очень кислый, терпкий и кислый/солёный/умами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198" s="28" t="str">
        <x:v>соус, глазировка, салат, сырная подача или горячее блюдо; маринад, гастрик, чатни, кетчуп или редукция</x:v>
      </x:c>
      <x:c r="J198" s="28" t="str">
        <x:v>Средняя</x:v>
      </x:c>
      <x:c r="K198" s="28" t="str">
        <x:v>The Art &amp; Science of Foodpairing</x:v>
      </x:c>
      <x:c r="L198" s="28" t="str">
        <x:v>The Art &amp; Science of Foodpairing: 304</x:v>
      </x:c>
    </x:row>
    <x:row r="199" ht="62" customHeight="1">
      <x:c r="A199" s="28" t="str">
        <x:v>BER-0491</x:v>
      </x:c>
      <x:c r="B199" s="28" t="str">
        <x:v>клюква</x:v>
      </x:c>
      <x:c r="C199" s="28" t="str">
        <x:v>корица</x:v>
      </x:c>
      <x:c r="D199" s="28" t="str">
        <x:v>Специи</x:v>
      </x:c>
      <x:c r="E199" s="28" t="str">
        <x:v>ароматическое сходство + вкусовой баланс</x:v>
      </x:c>
      <x:c r="F199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19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199" s="28" t="str">
        <x:v>Пряность дозировать как акцент: она быстро перекрывает тонкие ягодные эфиры.</x:v>
      </x:c>
      <x:c r="I19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199" s="28" t="str">
        <x:v>Высокая</x:v>
      </x:c>
      <x:c r="K199" s="28" t="str">
        <x:v>The Art &amp; Science of Foodpairing; Таблица сочетаний</x:v>
      </x:c>
      <x:c r="L199" s="28" t="str">
        <x:v>The Art &amp; Science of Foodpairing: 130, 131; Таблица сочетаний: 6</x:v>
      </x:c>
    </x:row>
    <x:row r="200" ht="62" customHeight="1">
      <x:c r="A200" s="28" t="str">
        <x:v>BER-0492</x:v>
      </x:c>
      <x:c r="B200" s="28" t="str">
        <x:v>клюква</x:v>
      </x:c>
      <x:c r="C200" s="28" t="str">
        <x:v>лайм</x:v>
      </x:c>
      <x:c r="D200" s="28" t="str">
        <x:v>Цитрусовые</x:v>
      </x:c>
      <x:c r="E200" s="28" t="str">
        <x:v>сходство ароматических семейств + комплементарность</x:v>
      </x:c>
      <x:c r="F200" s="28" t="str">
        <x:v>Общие ароматические семейства: зелёный; конкретная доля одорантов зависит от сорта и обработки. Ягодный компонент несёт семейства древесный, зелёный, кислый, красно-фруктовый; партнёр — зелёный, цветочный, цитрусовый. Оба компонента формируют очень кислый, терпкий и кислый, свежий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0" s="28" t="str">
        <x:v>кордиал, лимонад, чай, коктейль, настой или ферментированный напиток; маринад, гастрик, чатни, кетчуп или редукция</x:v>
      </x:c>
      <x:c r="J200" s="28" t="str">
        <x:v>Средняя</x:v>
      </x:c>
      <x:c r="K200" s="28" t="str">
        <x:v>Таблица сочетаний</x:v>
      </x:c>
      <x:c r="L200" s="28" t="str">
        <x:v>Таблица сочетаний: 6</x:v>
      </x:c>
    </x:row>
    <x:row r="201" ht="62" customHeight="1">
      <x:c r="A201" s="28" t="str">
        <x:v>BER-0493</x:v>
      </x:c>
      <x:c r="B201" s="28" t="str">
        <x:v>клюква</x:v>
      </x:c>
      <x:c r="C201" s="28" t="str">
        <x:v>лимон</x:v>
      </x:c>
      <x:c r="D201" s="28" t="str">
        <x:v>Цитрусовые</x:v>
      </x:c>
      <x:c r="E201" s="28" t="str">
        <x:v>сходство ароматических семейств + комплементарность</x:v>
      </x:c>
      <x:c r="F201" s="28" t="str">
        <x:v>Общие ароматические семейства: зелёный; конкретная доля одорантов зависит от сорта и обработки. Ягодный компонент несёт семейства древесный, зелёный, кислый, красно-фруктовый; партнёр — зелёный, цветочный, цитрусовый. Оба компонента формируют очень кислый, терпкий и кислый, свежий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1" s="28" t="str">
        <x:v>кордиал, лимонад, чай, коктейль, настой или ферментированный напиток; маринад, гастрик, чатни, кетчуп или редукция</x:v>
      </x:c>
      <x:c r="J201" s="28" t="str">
        <x:v>Средняя</x:v>
      </x:c>
      <x:c r="K201" s="28" t="str">
        <x:v>Таблица сочетаний</x:v>
      </x:c>
      <x:c r="L201" s="28" t="str">
        <x:v>Таблица сочетаний: 6</x:v>
      </x:c>
    </x:row>
    <x:row r="202" ht="62" customHeight="1">
      <x:c r="A202" s="28" t="str">
        <x:v>BER-0497</x:v>
      </x:c>
      <x:c r="B202" s="28" t="str">
        <x:v>клюква</x:v>
      </x:c>
      <x:c r="C202" s="28" t="str">
        <x:v>морковь</x:v>
      </x:c>
      <x:c r="D202" s="28" t="str">
        <x:v>Овощи и грибы</x:v>
      </x:c>
      <x:c r="E202" s="28" t="str">
        <x:v>ароматическое сходство + вкусовой баланс</x:v>
      </x:c>
      <x:c r="F202" s="28" t="str">
        <x:v>Прямой вероятный молекулярный мост: C6-альдегиды. Ягодный компонент несёт семейства древесный, зелёный, кислый, красно-фруктовый; партнёр — зелёный, землистый, сернистый. Оба компонента формируют очень кислый, терпкий и растительный, иногда умами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0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0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2" s="28" t="str">
        <x:v>соус, глазировка, салат, сырная подача или горячее блюдо; маринад, гастрик, чатни, кетчуп или редукция</x:v>
      </x:c>
      <x:c r="J202" s="28" t="str">
        <x:v>Средняя</x:v>
      </x:c>
      <x:c r="K202" s="28" t="str">
        <x:v>The Art &amp; Science of Foodpairing</x:v>
      </x:c>
      <x:c r="L202" s="28" t="str">
        <x:v>The Art &amp; Science of Foodpairing: 232</x:v>
      </x:c>
    </x:row>
    <x:row r="203" ht="62" customHeight="1">
      <x:c r="A203" s="28" t="str">
        <x:v>BER-0499</x:v>
      </x:c>
      <x:c r="B203" s="28" t="str">
        <x:v>клюква</x:v>
      </x:c>
      <x:c r="C203" s="28" t="str">
        <x:v>мята</x:v>
      </x:c>
      <x:c r="D203" s="28" t="str">
        <x:v>Травы и цветы</x:v>
      </x:c>
      <x:c r="E203" s="28" t="str">
        <x:v>ароматическое сходство + вкусовой баланс</x:v>
      </x:c>
      <x:c r="F203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3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03" s="28" t="str">
        <x:v>Средняя</x:v>
      </x:c>
      <x:c r="K203" s="28" t="str">
        <x:v>Таблица сочетаний</x:v>
      </x:c>
      <x:c r="L203" s="28" t="str">
        <x:v>Таблица сочетаний: 6</x:v>
      </x:c>
    </x:row>
    <x:row r="204" ht="62" customHeight="1">
      <x:c r="A204" s="28" t="str">
        <x:v>BER-0501</x:v>
      </x:c>
      <x:c r="B204" s="28" t="str">
        <x:v>клюква</x:v>
      </x:c>
      <x:c r="C204" s="28" t="str">
        <x:v>перец чили</x:v>
      </x:c>
      <x:c r="D204" s="28" t="str">
        <x:v>Специи</x:v>
      </x:c>
      <x:c r="E204" s="28" t="str">
        <x:v>ароматическое сходство + вкусовой баланс</x:v>
      </x:c>
      <x:c r="F204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4" s="28" t="str">
        <x:v>Пряность дозировать как акцент: она быстро перекрывает тонкие ягодные эфиры.</x:v>
      </x:c>
      <x:c r="I20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04" s="28" t="str">
        <x:v>Средняя</x:v>
      </x:c>
      <x:c r="K204" s="28" t="str">
        <x:v>The Art &amp; Science of Foodpairing</x:v>
      </x:c>
      <x:c r="L204" s="28" t="str">
        <x:v>The Art &amp; Science of Foodpairing: 95</x:v>
      </x:c>
    </x:row>
    <x:row r="205" ht="62" customHeight="1">
      <x:c r="A205" s="28" t="str">
        <x:v>BER-0503</x:v>
      </x:c>
      <x:c r="B205" s="28" t="str">
        <x:v>клюква</x:v>
      </x:c>
      <x:c r="C205" s="28" t="str">
        <x:v>розмарин</x:v>
      </x:c>
      <x:c r="D205" s="28" t="str">
        <x:v>Травы и цветы</x:v>
      </x:c>
      <x:c r="E205" s="28" t="str">
        <x:v>ароматическое сходство + вкусовой баланс</x:v>
      </x:c>
      <x:c r="F205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05" s="28" t="str">
        <x:v>Средняя</x:v>
      </x:c>
      <x:c r="K205" s="28" t="str">
        <x:v>Таблица сочетаний</x:v>
      </x:c>
      <x:c r="L205" s="28" t="str">
        <x:v>Таблица сочетаний: 19</x:v>
      </x:c>
    </x:row>
    <x:row r="206" ht="62" customHeight="1">
      <x:c r="A206" s="28" t="str">
        <x:v>BER-0504</x:v>
      </x:c>
      <x:c r="B206" s="28" t="str">
        <x:v>клюква</x:v>
      </x:c>
      <x:c r="C206" s="28" t="str">
        <x:v>рыба</x:v>
      </x:c>
      <x:c r="D206" s="28" t="str">
        <x:v>Рыба и морепродукты</x:v>
      </x:c>
      <x:c r="E206" s="28" t="str">
        <x:v>контраст/комплементарность + матричный эффект</x:v>
      </x:c>
      <x:c r="F20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0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0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6" s="28" t="str">
        <x:v>соус, глазировка, салат, сырная подача или горячее блюдо; маринад, гастрик, чатни, кетчуп или редукция</x:v>
      </x:c>
      <x:c r="J206" s="28" t="str">
        <x:v>Средняя</x:v>
      </x:c>
      <x:c r="K206" s="28" t="str">
        <x:v>The Art &amp; Science of Foodpairing</x:v>
      </x:c>
      <x:c r="L206" s="28" t="str">
        <x:v>The Art &amp; Science of Foodpairing: 105</x:v>
      </x:c>
    </x:row>
    <x:row r="207" ht="62" customHeight="1">
      <x:c r="A207" s="28" t="str">
        <x:v>BER-0506</x:v>
      </x:c>
      <x:c r="B207" s="28" t="str">
        <x:v>клюква</x:v>
      </x:c>
      <x:c r="C207" s="28" t="str">
        <x:v>тыква</x:v>
      </x:c>
      <x:c r="D207" s="28" t="str">
        <x:v>Овощи и грибы</x:v>
      </x:c>
      <x:c r="E207" s="28" t="str">
        <x:v>ароматическое сходство + вкусовой баланс</x:v>
      </x:c>
      <x:c r="F207" s="28" t="str">
        <x:v>Прямой вероятный молекулярный мост: C6-альдегиды. Ягодный компонент несёт семейства древесный, зелёный, кислый, красно-фруктовый; партнёр — зелёный, землистый, сернистый. Оба компонента формируют очень кислый, терпкий и растительный, иногда умами контур; сахар, кислота и горечь должны быть выровнены дегустацией. Ягода: бензойная кислота нелетучая; важна для вкуса и стабильности, не для аромата.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0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0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7" s="28" t="str">
        <x:v>соус, глазировка, салат, сырная подача или горячее блюдо; маринад, гастрик, чатни, кетчуп или редукция</x:v>
      </x:c>
      <x:c r="J207" s="28" t="str">
        <x:v>Средняя</x:v>
      </x:c>
      <x:c r="K207" s="28" t="str">
        <x:v>Таблица сочетаний</x:v>
      </x:c>
      <x:c r="L207" s="28" t="str">
        <x:v>Таблица сочетаний: 6, 18</x:v>
      </x:c>
    </x:row>
    <x:row r="208" ht="62" customHeight="1">
      <x:c r="A208" s="28" t="str">
        <x:v>BER-0507</x:v>
      </x:c>
      <x:c r="B208" s="28" t="str">
        <x:v>клюква</x:v>
      </x:c>
      <x:c r="C208" s="28" t="str">
        <x:v>устрица</x:v>
      </x:c>
      <x:c r="D208" s="28" t="str">
        <x:v>Рыба и морепродукты</x:v>
      </x:c>
      <x:c r="E208" s="28" t="str">
        <x:v>контраст/комплементарность + матричный эффект</x:v>
      </x:c>
      <x:c r="F20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0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0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8" s="28" t="str">
        <x:v>соус, глазировка, салат, сырная подача или горячее блюдо; маринад, гастрик, чатни, кетчуп или редукция</x:v>
      </x:c>
      <x:c r="J208" s="28" t="str">
        <x:v>Средняя</x:v>
      </x:c>
      <x:c r="K208" s="28" t="str">
        <x:v>The Art &amp; Science of Foodpairing</x:v>
      </x:c>
      <x:c r="L208" s="28" t="str">
        <x:v>The Art &amp; Science of Foodpairing: 370</x:v>
      </x:c>
    </x:row>
    <x:row r="209" ht="62" customHeight="1">
      <x:c r="A209" s="28" t="str">
        <x:v>BER-0508</x:v>
      </x:c>
      <x:c r="B209" s="28" t="str">
        <x:v>клюква</x:v>
      </x:c>
      <x:c r="C209" s="28" t="str">
        <x:v>фиалка</x:v>
      </x:c>
      <x:c r="D209" s="28" t="str">
        <x:v>Травы и цветы</x:v>
      </x:c>
      <x:c r="E209" s="28" t="str">
        <x:v>ароматическое сходство + вкусовой баланс</x:v>
      </x:c>
      <x:c r="F209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0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0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0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09" s="28" t="str">
        <x:v>Средняя</x:v>
      </x:c>
      <x:c r="K209" s="28" t="str">
        <x:v>Таблица сочетаний</x:v>
      </x:c>
      <x:c r="L209" s="28" t="str">
        <x:v>Таблица сочетаний: 21</x:v>
      </x:c>
    </x:row>
    <x:row r="210" ht="62" customHeight="1">
      <x:c r="A210" s="28" t="str">
        <x:v>BER-0512</x:v>
      </x:c>
      <x:c r="B210" s="28" t="str">
        <x:v>клюква</x:v>
      </x:c>
      <x:c r="C210" s="28" t="str">
        <x:v>хамон иберико</x:v>
      </x:c>
      <x:c r="D210" s="28" t="str">
        <x:v>Мясо и птица</x:v>
      </x:c>
      <x:c r="E210" s="28" t="str">
        <x:v>контраст/комплементарность + матричный эффект</x:v>
      </x:c>
      <x:c r="F21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кислый, красно-фруктовый;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1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1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0" s="28" t="str">
        <x:v>соус, глазировка, салат, сырная подача или горячее блюдо; маринад, гастрик, чатни, кетчуп или редукция</x:v>
      </x:c>
      <x:c r="J210" s="28" t="str">
        <x:v>Средняя</x:v>
      </x:c>
      <x:c r="K210" s="28" t="str">
        <x:v>The Art &amp; Science of Foodpairing</x:v>
      </x:c>
      <x:c r="L210" s="28" t="str">
        <x:v>The Art &amp; Science of Foodpairing: 278</x:v>
      </x:c>
    </x:row>
    <x:row r="211" ht="62" customHeight="1">
      <x:c r="A211" s="28" t="str">
        <x:v>BER-0514</x:v>
      </x:c>
      <x:c r="B211" s="28" t="str">
        <x:v>клюква</x:v>
      </x:c>
      <x:c r="C211" s="28" t="str">
        <x:v>шалфей</x:v>
      </x:c>
      <x:c r="D211" s="28" t="str">
        <x:v>Травы и цветы</x:v>
      </x:c>
      <x:c r="E211" s="28" t="str">
        <x:v>ароматическое сходство + вкусовой баланс</x:v>
      </x:c>
      <x:c r="F211" s="28" t="str">
        <x:v>Прямой вероятный молекулярный мост: терпены. Ягодный компонент несёт семейства древесный, зелёный, кислый, красно-фруктовый;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11" s="28" t="str">
        <x:v>Средняя</x:v>
      </x:c>
      <x:c r="K211" s="28" t="str">
        <x:v>Таблица сочетаний</x:v>
      </x:c>
      <x:c r="L211" s="28" t="str">
        <x:v>Таблица сочетаний: 6</x:v>
      </x:c>
    </x:row>
    <x:row r="212" ht="62" customHeight="1">
      <x:c r="A212" s="28" t="str">
        <x:v>BER-0517</x:v>
      </x:c>
      <x:c r="B212" s="28" t="str">
        <x:v>клюквенный сок</x:v>
      </x:c>
      <x:c r="C212" s="28" t="str">
        <x:v>базилик</x:v>
      </x:c>
      <x:c r="D212" s="28" t="str">
        <x:v>Травы и цветы</x:v>
      </x:c>
      <x:c r="E212" s="28" t="str">
        <x:v>контраст/комплементарность + матричный эффект</x:v>
      </x:c>
      <x:c r="F21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12" s="28" t="str">
        <x:v>Средняя</x:v>
      </x:c>
      <x:c r="K212" s="28" t="str">
        <x:v>The Art &amp; Science of Foodpairing</x:v>
      </x:c>
      <x:c r="L212" s="28" t="str">
        <x:v>The Art &amp; Science of Foodpairing: 74</x:v>
      </x:c>
    </x:row>
    <x:row r="213" ht="62" customHeight="1">
      <x:c r="A213" s="28" t="str">
        <x:v>BER-0519</x:v>
      </x:c>
      <x:c r="B213" s="28" t="str">
        <x:v>клюквенный сок</x:v>
      </x:c>
      <x:c r="C213" s="28" t="str">
        <x:v>доджанг</x:v>
      </x:c>
      <x:c r="D213" s="28" t="str">
        <x:v>Ферментированные продукты, соусы и уксусы</x:v>
      </x:c>
      <x:c r="E213" s="28" t="str">
        <x:v>контраст/комплементарность + матричный эффект</x:v>
      </x:c>
      <x:c r="F21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кислый, умами, ферментированный. Оба компонента формируют зависит от ингредиента и кислый/солёный/умами контур; сахар, кислота и горечь должны быть выровнены дегустацией. Ягода: механизм зависит от конкретного продукта.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3" s="28" t="str">
        <x:v>соус, глазировка, салат, сырная подача или горячее блюдо; маринад, гастрик, чатни, кетчуп или редукция</x:v>
      </x:c>
      <x:c r="J213" s="28" t="str">
        <x:v>Средняя</x:v>
      </x:c>
      <x:c r="K213" s="28" t="str">
        <x:v>The Art &amp; Science of Foodpairing</x:v>
      </x:c>
      <x:c r="L213" s="28" t="str">
        <x:v>The Art &amp; Science of Foodpairing: 246</x:v>
      </x:c>
    </x:row>
    <x:row r="214" ht="62" customHeight="1">
      <x:c r="A214" s="28" t="str">
        <x:v>BER-0520</x:v>
      </x:c>
      <x:c r="B214" s="28" t="str">
        <x:v>клюквенный сок</x:v>
      </x:c>
      <x:c r="C214" s="28" t="str">
        <x:v>кардамон</x:v>
      </x:c>
      <x:c r="D214" s="28" t="str">
        <x:v>Специи</x:v>
      </x:c>
      <x:c r="E214" s="28" t="str">
        <x:v>контраст/комплементарность + матричный эффект</x:v>
      </x:c>
      <x:c r="F21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4" s="28" t="str">
        <x:v>Пряность дозировать как акцент: она быстро перекрывает тонкие ягодные эфиры.</x:v>
      </x:c>
      <x:c r="I21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14" s="28" t="str">
        <x:v>Средняя</x:v>
      </x:c>
      <x:c r="K214" s="28" t="str">
        <x:v>The Art &amp; Science of Foodpairing</x:v>
      </x:c>
      <x:c r="L214" s="28" t="str">
        <x:v>The Art &amp; Science of Foodpairing: 256</x:v>
      </x:c>
    </x:row>
    <x:row r="215" ht="62" customHeight="1">
      <x:c r="A215" s="28" t="str">
        <x:v>BER-0521</x:v>
      </x:c>
      <x:c r="B215" s="28" t="str">
        <x:v>красная смородина</x:v>
      </x:c>
      <x:c r="C215" s="28" t="str">
        <x:v>чёрный перец</x:v>
      </x:c>
      <x:c r="D215" s="28" t="str">
        <x:v>Специи</x:v>
      </x:c>
      <x:c r="E215" s="28" t="str">
        <x:v>ароматическое сходство + вкусовой баланс</x:v>
      </x:c>
      <x:c r="F215" s="28" t="str">
        <x:v>Прямой вероятный молекулярный мост: терпены. Ягодный компонент несёт семейства зелёный, кислый, красно-фруктовый;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5" s="28" t="str">
        <x:v>Пряность дозировать как акцент: она быстро перекрывает тонкие ягодные эфиры.</x:v>
      </x:c>
      <x:c r="I21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15" s="28" t="str">
        <x:v>Средняя</x:v>
      </x:c>
      <x:c r="K215" s="28" t="str">
        <x:v>The Art &amp; Science of Foodpairing</x:v>
      </x:c>
      <x:c r="L215" s="28" t="str">
        <x:v>The Art &amp; Science of Foodpairing: 275</x:v>
      </x:c>
    </x:row>
    <x:row r="216" ht="62" customHeight="1">
      <x:c r="A216" s="28" t="str">
        <x:v>BER-0523</x:v>
      </x:c>
      <x:c r="B216" s="28" t="str">
        <x:v>крыжовник</x:v>
      </x:c>
      <x:c r="C216" s="28" t="str">
        <x:v>имбирь</x:v>
      </x:c>
      <x:c r="D216" s="28" t="str">
        <x:v>Специи</x:v>
      </x:c>
      <x:c r="E216" s="28" t="str">
        <x:v>контраст/комплементарность + матричный эффект</x:v>
      </x:c>
      <x:c r="F21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кислый, травянистый, тропический;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6" s="28" t="str">
        <x:v>Пряность дозировать как акцент: она быстро перекрывает тонкие ягодные эфиры.</x:v>
      </x:c>
      <x:c r="I216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16" s="28" t="str">
        <x:v>Средняя</x:v>
      </x:c>
      <x:c r="K216" s="28" t="str">
        <x:v>Таблица сочетаний</x:v>
      </x:c>
      <x:c r="L216" s="28" t="str">
        <x:v>Таблица сочетаний: 8</x:v>
      </x:c>
    </x:row>
    <x:row r="217" ht="62" customHeight="1">
      <x:c r="A217" s="28" t="str">
        <x:v>BER-0524</x:v>
      </x:c>
      <x:c r="B217" s="28" t="str">
        <x:v>крыжовник</x:v>
      </x:c>
      <x:c r="C217" s="28" t="str">
        <x:v>лайм</x:v>
      </x:c>
      <x:c r="D217" s="28" t="str">
        <x:v>Цитрусовые</x:v>
      </x:c>
      <x:c r="E217" s="28" t="str">
        <x:v>сходство ароматических семейств + комплементарность</x:v>
      </x:c>
      <x:c r="F217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цветочный, цитрусовый. Оба компонента формируют ярко-кислый и кислый, свежий контур; сахар, кислота и горечь должны быть выровнены дегустацией. Ягода: незрелый плод даёт более травянистый профиль.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7" s="28" t="str">
        <x:v>кордиал, лимонад, чай, коктейль, настой или ферментированный напиток; маринад, гастрик, чатни, кетчуп или редукция</x:v>
      </x:c>
      <x:c r="J217" s="28" t="str">
        <x:v>Средняя</x:v>
      </x:c>
      <x:c r="K217" s="28" t="str">
        <x:v>Таблица сочетаний</x:v>
      </x:c>
      <x:c r="L217" s="28" t="str">
        <x:v>Таблица сочетаний: 8</x:v>
      </x:c>
    </x:row>
    <x:row r="218" ht="62" customHeight="1">
      <x:c r="A218" s="28" t="str">
        <x:v>BER-0525</x:v>
      </x:c>
      <x:c r="B218" s="28" t="str">
        <x:v>крыжовник</x:v>
      </x:c>
      <x:c r="C218" s="28" t="str">
        <x:v>лимон</x:v>
      </x:c>
      <x:c r="D218" s="28" t="str">
        <x:v>Цитрусовые</x:v>
      </x:c>
      <x:c r="E218" s="28" t="str">
        <x:v>сходство ароматических семейств + комплементарность</x:v>
      </x:c>
      <x:c r="F218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цветочный, цитрусовый. Оба компонента формируют ярко-кислый и кислый, свежий контур; сахар, кислота и горечь должны быть выровнены дегустацией. Ягода: незрелый плод даёт более травянистый профиль.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8" s="28" t="str">
        <x:v>кордиал, лимонад, чай, коктейль, настой или ферментированный напиток; маринад, гастрик, чатни, кетчуп или редукция</x:v>
      </x:c>
      <x:c r="J218" s="28" t="str">
        <x:v>Средняя</x:v>
      </x:c>
      <x:c r="K218" s="28" t="str">
        <x:v>Таблица сочетаний</x:v>
      </x:c>
      <x:c r="L218" s="28" t="str">
        <x:v>Таблица сочетаний: 8</x:v>
      </x:c>
    </x:row>
    <x:row r="219" ht="62" customHeight="1">
      <x:c r="A219" s="28" t="str">
        <x:v>BER-0526</x:v>
      </x:c>
      <x:c r="B219" s="28" t="str">
        <x:v>крыжовник</x:v>
      </x:c>
      <x:c r="C219" s="28" t="str">
        <x:v>лимон и лайм</x:v>
      </x:c>
      <x:c r="D219" s="28" t="str">
        <x:v>Цитрусовые</x:v>
      </x:c>
      <x:c r="E219" s="28" t="str">
        <x:v>сходство ароматических семейств + комплементарность</x:v>
      </x:c>
      <x:c r="F219" s="28" t="str">
        <x:v>Общие ароматические семейства: зелёный;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цветочный, цитрусовый. Оба компонента формируют ярко-кислый и кислый, свежий контур; сахар, кислота и горечь должны быть выровнены дегустацией. Ягода: незрелый плод даёт более травянистый профиль.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1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1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19" s="28" t="str">
        <x:v>кордиал, лимонад, чай, коктейль, настой или ферментированный напиток; маринад, гастрик, чатни, кетчуп или редукция</x:v>
      </x:c>
      <x:c r="J219" s="28" t="str">
        <x:v>Средняя</x:v>
      </x:c>
      <x:c r="K219" s="28" t="str">
        <x:v>The Art &amp; Science of Foodpairing</x:v>
      </x:c>
      <x:c r="L219" s="28" t="str">
        <x:v>The Art &amp; Science of Foodpairing: 88</x:v>
      </x:c>
    </x:row>
    <x:row r="220" ht="62" customHeight="1">
      <x:c r="A220" s="28" t="str">
        <x:v>BER-0528</x:v>
      </x:c>
      <x:c r="B220" s="28" t="str">
        <x:v>крыжовник</x:v>
      </x:c>
      <x:c r="C220" s="28" t="str">
        <x:v>мята</x:v>
      </x:c>
      <x:c r="D220" s="28" t="str">
        <x:v>Травы и цветы</x:v>
      </x:c>
      <x:c r="E220" s="28" t="str">
        <x:v>сходство ароматических семейств + комплементарность</x:v>
      </x:c>
      <x:c r="F220" s="28" t="str">
        <x:v>Общие ароматические семейства: зелёный, травянистый;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20" s="28" t="str">
        <x:v>Средняя</x:v>
      </x:c>
      <x:c r="K220" s="28" t="str">
        <x:v>Таблица сочетаний</x:v>
      </x:c>
      <x:c r="L220" s="28" t="str">
        <x:v>Таблица сочетаний: 8</x:v>
      </x:c>
    </x:row>
    <x:row r="221" ht="62" customHeight="1">
      <x:c r="A221" s="28" t="str">
        <x:v>BER-0530</x:v>
      </x:c>
      <x:c r="B221" s="28" t="str">
        <x:v>крыжовник</x:v>
      </x:c>
      <x:c r="C221" s="28" t="str">
        <x:v>розмарин</x:v>
      </x:c>
      <x:c r="D221" s="28" t="str">
        <x:v>Травы и цветы</x:v>
      </x:c>
      <x:c r="E221" s="28" t="str">
        <x:v>сходство ароматических семейств + комплементарность</x:v>
      </x:c>
      <x:c r="F221" s="28" t="str">
        <x:v>Общие ароматические семейства: зелёный, травянистый;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21" s="28" t="str">
        <x:v>Средняя</x:v>
      </x:c>
      <x:c r="K221" s="28" t="str">
        <x:v>Таблица сочетаний</x:v>
      </x:c>
      <x:c r="L221" s="28" t="str">
        <x:v>Таблица сочетаний: 9</x:v>
      </x:c>
    </x:row>
    <x:row r="222" ht="62" customHeight="1">
      <x:c r="A222" s="28" t="str">
        <x:v>BER-0531</x:v>
      </x:c>
      <x:c r="B222" s="28" t="str">
        <x:v>крыжовник</x:v>
      </x:c>
      <x:c r="C222" s="28" t="str">
        <x:v>тимьян</x:v>
      </x:c>
      <x:c r="D222" s="28" t="str">
        <x:v>Травы и цветы</x:v>
      </x:c>
      <x:c r="E222" s="28" t="str">
        <x:v>сходство ароматических семейств + комплементарность</x:v>
      </x:c>
      <x:c r="F222" s="28" t="str">
        <x:v>Общие ароматические семейства: зелёный, травянистый; конкретная доля одорантов зависит от сорта и обработки. Ягодный компонент несёт семейства зелёный, кислый, травянистый, тропический;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22" s="28" t="str">
        <x:v>Средняя</x:v>
      </x:c>
      <x:c r="K222" s="28" t="str">
        <x:v>Таблица сочетаний</x:v>
      </x:c>
      <x:c r="L222" s="28" t="str">
        <x:v>Таблица сочетаний: 9</x:v>
      </x:c>
    </x:row>
    <x:row r="223" ht="62" customHeight="1">
      <x:c r="A223" s="28" t="str">
        <x:v>BER-0532</x:v>
      </x:c>
      <x:c r="B223" s="28" t="str">
        <x:v>крыжовник</x:v>
      </x:c>
      <x:c r="C223" s="28" t="str">
        <x:v>чёрный перец</x:v>
      </x:c>
      <x:c r="D223" s="28" t="str">
        <x:v>Специи</x:v>
      </x:c>
      <x:c r="E223" s="28" t="str">
        <x:v>контраст/комплементарность + матричный эффект</x:v>
      </x:c>
      <x:c r="F22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кислый, травянистый, тропический;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3" s="28" t="str">
        <x:v>Пряность дозировать как акцент: она быстро перекрывает тонкие ягодные эфиры.</x:v>
      </x:c>
      <x:c r="I22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23" s="28" t="str">
        <x:v>Средняя</x:v>
      </x:c>
      <x:c r="K223" s="28" t="str">
        <x:v>Таблица сочетаний</x:v>
      </x:c>
      <x:c r="L223" s="28" t="str">
        <x:v>Таблица сочетаний: 8</x:v>
      </x:c>
    </x:row>
    <x:row r="224" ht="62" customHeight="1">
      <x:c r="A224" s="28" t="str">
        <x:v>BER-0536</x:v>
      </x:c>
      <x:c r="B224" s="28" t="str">
        <x:v>лист чёрной смородины</x:v>
      </x:c>
      <x:c r="C224" s="28" t="str">
        <x:v>кардамон</x:v>
      </x:c>
      <x:c r="D224" s="28" t="str">
        <x:v>Специи</x:v>
      </x:c>
      <x:c r="E224" s="28" t="str">
        <x:v>контраст/комплементарность + матричный эффект</x:v>
      </x:c>
      <x:c r="F22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4" s="28" t="str">
        <x:v>Пряность дозировать как акцент: она быстро перекрывает тонкие ягодные эфиры.</x:v>
      </x:c>
      <x:c r="I22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24" s="28" t="str">
        <x:v>Средняя</x:v>
      </x:c>
      <x:c r="K224" s="28" t="str">
        <x:v>The Art &amp; Science of Foodpairing</x:v>
      </x:c>
      <x:c r="L224" s="28" t="str">
        <x:v>The Art &amp; Science of Foodpairing: 256</x:v>
      </x:c>
    </x:row>
    <x:row r="225" ht="62" customHeight="1">
      <x:c r="A225" s="28" t="str">
        <x:v>BER-0539</x:v>
      </x:c>
      <x:c r="B225" s="28" t="str">
        <x:v>логанова ягода</x:v>
      </x:c>
      <x:c r="C225" s="28" t="str">
        <x:v>мясо</x:v>
      </x:c>
      <x:c r="D225" s="28" t="str">
        <x:v>Мясо и птица</x:v>
      </x:c>
      <x:c r="E225" s="28" t="str">
        <x:v>контраст/комплементарность + матричный эффект</x:v>
      </x:c>
      <x:c r="F22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2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2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5" s="28" t="str">
        <x:v>соус, глазировка, салат, сырная подача или горячее блюдо; маринад, гастрик, чатни, кетчуп или редукция</x:v>
      </x:c>
      <x:c r="J225" s="28" t="str">
        <x:v>Средняя</x:v>
      </x:c>
      <x:c r="K225" s="28" t="str">
        <x:v>The Art &amp; Science of Foodpairing</x:v>
      </x:c>
      <x:c r="L225" s="28" t="str">
        <x:v>The Art &amp; Science of Foodpairing: 186</x:v>
      </x:c>
    </x:row>
    <x:row r="226" ht="62" customHeight="1">
      <x:c r="A226" s="28" t="str">
        <x:v>BER-0543</x:v>
      </x:c>
      <x:c r="B226" s="28" t="str">
        <x:v>малина</x:v>
      </x:c>
      <x:c r="C226" s="28" t="str">
        <x:v>базилик</x:v>
      </x:c>
      <x:c r="D226" s="28" t="str">
        <x:v>Травы и цветы</x:v>
      </x:c>
      <x:c r="E226" s="28" t="str">
        <x:v>ароматическое сходство + вкусовой баланс</x:v>
      </x:c>
      <x:c r="F226" s="28" t="str">
        <x:v>Прямой вероятный молекулярный мост: гераниол, линалоол. Ягодный компонент несёт семейства древесный, зелёный, фиалковый,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26" s="28" t="str">
        <x:v>Высокая</x:v>
      </x:c>
      <x:c r="K226" s="28" t="str">
        <x:v>Таблица сочетаний; Тезариус вкусов</x:v>
      </x:c>
      <x:c r="L226" s="28" t="str">
        <x:v>Тезариус вкусов: 568, 886; Таблица сочетаний: 19</x:v>
      </x:c>
    </x:row>
    <x:row r="227" ht="62" customHeight="1">
      <x:c r="A227" s="28" t="str">
        <x:v>BER-0551</x:v>
      </x:c>
      <x:c r="B227" s="28" t="str">
        <x:v>малина</x:v>
      </x:c>
      <x:c r="C227" s="28" t="str">
        <x:v>грейпфрут</x:v>
      </x:c>
      <x:c r="D227" s="28" t="str">
        <x:v>Цитрусовые</x:v>
      </x:c>
      <x:c r="E227" s="28" t="str">
        <x:v>ароматическое сходство + вкусовой баланс</x:v>
      </x:c>
      <x:c r="F227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7" s="28" t="str">
        <x:v>кордиал, лимонад, чай, коктейль, настой или ферментированный напиток; маринад, гастрик, чатни, кетчуп или редукция</x:v>
      </x:c>
      <x:c r="J227" s="28" t="str">
        <x:v>Средняя</x:v>
      </x:c>
      <x:c r="K227" s="28" t="str">
        <x:v>Таблица сочетаний</x:v>
      </x:c>
      <x:c r="L227" s="28" t="str">
        <x:v>Таблица сочетаний: 9</x:v>
      </x:c>
    </x:row>
    <x:row r="228" ht="62" customHeight="1">
      <x:c r="A228" s="28" t="str">
        <x:v>BER-0552</x:v>
      </x:c>
      <x:c r="B228" s="28" t="str">
        <x:v>малина</x:v>
      </x:c>
      <x:c r="C228" s="28" t="str">
        <x:v>доджанг</x:v>
      </x:c>
      <x:c r="D228" s="28" t="str">
        <x:v>Ферментированные продукты, соусы и уксусы</x:v>
      </x:c>
      <x:c r="E228" s="28" t="str">
        <x:v>контраст/комплементарность + матричный эффект</x:v>
      </x:c>
      <x:c r="F22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кислый, умами, ферментированный. Оба компонента формируют кисло-сладкий и кислый/солёный/умами контур; сахар, кислота и горечь должны быть выровнены дегустацией. Ягода: семена добавляют древесность и лёгкую терпкость.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28" s="28" t="str">
        <x:v>соус, глазировка, салат, сырная подача или горячее блюдо; маринад, гастрик, чатни, кетчуп или редукция</x:v>
      </x:c>
      <x:c r="J228" s="28" t="str">
        <x:v>Средняя</x:v>
      </x:c>
      <x:c r="K228" s="28" t="str">
        <x:v>The Art &amp; Science of Foodpairing</x:v>
      </x:c>
      <x:c r="L228" s="28" t="str">
        <x:v>The Art &amp; Science of Foodpairing: 247</x:v>
      </x:c>
    </x:row>
    <x:row r="229" ht="62" customHeight="1">
      <x:c r="A229" s="28" t="str">
        <x:v>BER-0554</x:v>
      </x:c>
      <x:c r="B229" s="28" t="str">
        <x:v>малина</x:v>
      </x:c>
      <x:c r="C229" s="28" t="str">
        <x:v>имбирь</x:v>
      </x:c>
      <x:c r="D229" s="28" t="str">
        <x:v>Специи</x:v>
      </x:c>
      <x:c r="E229" s="28" t="str">
        <x:v>сходство ароматических семейств + комплементарность</x:v>
      </x:c>
      <x:c r="F229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2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29" s="28" t="str">
        <x:v>Пряность дозировать как акцент: она быстро перекрывает тонкие ягодные эфиры.</x:v>
      </x:c>
      <x:c r="I22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29" s="28" t="str">
        <x:v>Высокая</x:v>
      </x:c>
      <x:c r="K229" s="28" t="str">
        <x:v>The Art &amp; Science of Foodpairing; Таблица сочетаний</x:v>
      </x:c>
      <x:c r="L229" s="28" t="str">
        <x:v>The Art &amp; Science of Foodpairing: 142; Таблица сочетаний: 8, 19</x:v>
      </x:c>
    </x:row>
    <x:row r="230" ht="62" customHeight="1">
      <x:c r="A230" s="28" t="str">
        <x:v>BER-0559</x:v>
      </x:c>
      <x:c r="B230" s="28" t="str">
        <x:v>малина</x:v>
      </x:c>
      <x:c r="C230" s="28" t="str">
        <x:v>корица</x:v>
      </x:c>
      <x:c r="D230" s="28" t="str">
        <x:v>Специи</x:v>
      </x:c>
      <x:c r="E230" s="28" t="str">
        <x:v>сходство ароматических семейств + комплементарность</x:v>
      </x:c>
      <x:c r="F230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0" s="28" t="str">
        <x:v>Пряность дозировать как акцент: она быстро перекрывает тонкие ягодные эфиры.</x:v>
      </x:c>
      <x:c r="I23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30" s="28" t="str">
        <x:v>Высокая</x:v>
      </x:c>
      <x:c r="K230" s="28" t="str">
        <x:v>The Art &amp; Science of Foodpairing; Таблица сочетаний</x:v>
      </x:c>
      <x:c r="L230" s="28" t="str">
        <x:v>The Art &amp; Science of Foodpairing: 130; Таблица сочетаний: 19</x:v>
      </x:c>
    </x:row>
    <x:row r="231" ht="62" customHeight="1">
      <x:c r="A231" s="28" t="str">
        <x:v>BER-0561</x:v>
      </x:c>
      <x:c r="B231" s="28" t="str">
        <x:v>малина</x:v>
      </x:c>
      <x:c r="C231" s="28" t="str">
        <x:v>лимон</x:v>
      </x:c>
      <x:c r="D231" s="28" t="str">
        <x:v>Цитрусовые</x:v>
      </x:c>
      <x:c r="E231" s="28" t="str">
        <x:v>ароматическое сходство + вкусовой баланс</x:v>
      </x:c>
      <x:c r="F231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1" s="28" t="str">
        <x:v>кордиал, лимонад, чай, коктейль, настой или ферментированный напиток; маринад, гастрик, чатни, кетчуп или редукция</x:v>
      </x:c>
      <x:c r="J231" s="28" t="str">
        <x:v>Средняя</x:v>
      </x:c>
      <x:c r="K231" s="28" t="str">
        <x:v>Таблица сочетаний</x:v>
      </x:c>
      <x:c r="L231" s="28" t="str">
        <x:v>Таблица сочетаний: 19</x:v>
      </x:c>
    </x:row>
    <x:row r="232" ht="62" customHeight="1">
      <x:c r="A232" s="28" t="str">
        <x:v>BER-0562</x:v>
      </x:c>
      <x:c r="B232" s="28" t="str">
        <x:v>малина</x:v>
      </x:c>
      <x:c r="C232" s="28" t="str">
        <x:v>лимон и лайм</x:v>
      </x:c>
      <x:c r="D232" s="28" t="str">
        <x:v>Цитрусовые</x:v>
      </x:c>
      <x:c r="E232" s="28" t="str">
        <x:v>ароматическое сходство + вкусовой баланс</x:v>
      </x:c>
      <x:c r="F232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2" s="28" t="str">
        <x:v>кордиал, лимонад, чай, коктейль, настой или ферментированный напиток; маринад, гастрик, чатни, кетчуп или редукция</x:v>
      </x:c>
      <x:c r="J232" s="28" t="str">
        <x:v>Средняя</x:v>
      </x:c>
      <x:c r="K232" s="28" t="str">
        <x:v>The Art &amp; Science of Foodpairing</x:v>
      </x:c>
      <x:c r="L232" s="28" t="str">
        <x:v>The Art &amp; Science of Foodpairing: 88</x:v>
      </x:c>
    </x:row>
    <x:row r="233" ht="62" customHeight="1">
      <x:c r="A233" s="28" t="str">
        <x:v>BER-0563</x:v>
      </x:c>
      <x:c r="B233" s="28" t="str">
        <x:v>малина</x:v>
      </x:c>
      <x:c r="C233" s="28" t="str">
        <x:v>лимонный тимьян</x:v>
      </x:c>
      <x:c r="D233" s="28" t="str">
        <x:v>Цитрусовые</x:v>
      </x:c>
      <x:c r="E233" s="28" t="str">
        <x:v>ароматическое сходство + вкусовой баланс</x:v>
      </x:c>
      <x:c r="F233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3" s="28" t="str">
        <x:v>кордиал, лимонад, чай, коктейль, настой или ферментированный напиток; маринад, гастрик, чатни, кетчуп или редукция</x:v>
      </x:c>
      <x:c r="J233" s="28" t="str">
        <x:v>Средняя</x:v>
      </x:c>
      <x:c r="K233" s="28" t="str">
        <x:v>Таблица сочетаний</x:v>
      </x:c>
      <x:c r="L233" s="28" t="str">
        <x:v>Таблица сочетаний: 11</x:v>
      </x:c>
    </x:row>
    <x:row r="234" ht="62" customHeight="1">
      <x:c r="A234" s="28" t="str">
        <x:v>BER-0568</x:v>
      </x:c>
      <x:c r="B234" s="28" t="str">
        <x:v>малина</x:v>
      </x:c>
      <x:c r="C234" s="28" t="str">
        <x:v>мясо</x:v>
      </x:c>
      <x:c r="D234" s="28" t="str">
        <x:v>Мясо и птица</x:v>
      </x:c>
      <x:c r="E234" s="28" t="str">
        <x:v>контраст/комплементарность + матричный эффект</x:v>
      </x:c>
      <x:c r="F23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3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3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4" s="28" t="str">
        <x:v>соус, глазировка, салат, сырная подача или горячее блюдо; маринад, гастрик, чатни, кетчуп или редукция</x:v>
      </x:c>
      <x:c r="J234" s="28" t="str">
        <x:v>Средняя</x:v>
      </x:c>
      <x:c r="K234" s="28" t="str">
        <x:v>The Art &amp; Science of Foodpairing</x:v>
      </x:c>
      <x:c r="L234" s="28" t="str">
        <x:v>The Art &amp; Science of Foodpairing: 187</x:v>
      </x:c>
    </x:row>
    <x:row r="235" ht="62" customHeight="1">
      <x:c r="A235" s="28" t="str">
        <x:v>BER-0569</x:v>
      </x:c>
      <x:c r="B235" s="28" t="str">
        <x:v>малина</x:v>
      </x:c>
      <x:c r="C235" s="28" t="str">
        <x:v>мята</x:v>
      </x:c>
      <x:c r="D235" s="28" t="str">
        <x:v>Травы и цветы</x:v>
      </x:c>
      <x:c r="E235" s="28" t="str">
        <x:v>ароматическое сходство + вкусовой баланс</x:v>
      </x:c>
      <x:c r="F235" s="28" t="str">
        <x:v>Прямой вероятный молекулярный мост: гераниол, линалоол. Ягодный компонент несёт семейства древесный, зелёный, фиалковый,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5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35" s="28" t="str">
        <x:v>Высокая</x:v>
      </x:c>
      <x:c r="K235" s="28" t="str">
        <x:v>Таблица сочетаний; Тезариус вкусов</x:v>
      </x:c>
      <x:c r="L235" s="28" t="str">
        <x:v>Тезариус вкусов: 869, 889; Таблица сочетаний: 19</x:v>
      </x:c>
    </x:row>
    <x:row r="236" ht="62" customHeight="1">
      <x:c r="A236" s="28" t="str">
        <x:v>BER-0571</x:v>
      </x:c>
      <x:c r="B236" s="28" t="str">
        <x:v>малина</x:v>
      </x:c>
      <x:c r="C236" s="28" t="str">
        <x:v>огурец</x:v>
      </x:c>
      <x:c r="D236" s="28" t="str">
        <x:v>Овощи и грибы</x:v>
      </x:c>
      <x:c r="E236" s="28" t="str">
        <x:v>сходство ароматических семейств + комплементарность</x:v>
      </x:c>
      <x:c r="F236" s="28" t="str">
        <x:v>Общие ароматические семейства: зелёный;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землистый, сернистый. Оба компонента формируют кисло-сладкий и растительный, иногда умами контур; сахар, кислота и горечь должны быть выровнены дегустацией. Ягода: семена добавляют древесность и лёгкую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3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3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6" s="28" t="str">
        <x:v>соус, глазировка, салат, сырная подача или горячее блюдо; маринад, гастрик, чатни, кетчуп или редукция</x:v>
      </x:c>
      <x:c r="J236" s="28" t="str">
        <x:v>Средняя</x:v>
      </x:c>
      <x:c r="K236" s="28" t="str">
        <x:v>Таблица сочетаний</x:v>
      </x:c>
      <x:c r="L236" s="28" t="str">
        <x:v>Таблица сочетаний: 6</x:v>
      </x:c>
    </x:row>
    <x:row r="237" ht="62" customHeight="1">
      <x:c r="A237" s="28" t="str">
        <x:v>BER-0574</x:v>
      </x:c>
      <x:c r="B237" s="28" t="str">
        <x:v>малина</x:v>
      </x:c>
      <x:c r="C237" s="28" t="str">
        <x:v>роза</x:v>
      </x:c>
      <x:c r="D237" s="28" t="str">
        <x:v>Травы и цветы</x:v>
      </x:c>
      <x:c r="E237" s="28" t="str">
        <x:v>ароматическое сходство + вкусовой баланс</x:v>
      </x:c>
      <x:c r="F237" s="28" t="str">
        <x:v>Прямой вероятный молекулярный мост: гераниол, линалоол. Ягодный компонент несёт семейства древесный, зелёный, фиалковый,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37" s="28" t="str">
        <x:v>Средняя</x:v>
      </x:c>
      <x:c r="K237" s="28" t="str">
        <x:v>Таблица сочетаний</x:v>
      </x:c>
      <x:c r="L237" s="28" t="str">
        <x:v>Таблица сочетаний: 19</x:v>
      </x:c>
    </x:row>
    <x:row r="238" ht="62" customHeight="1">
      <x:c r="A238" s="28" t="str">
        <x:v>BER-0576</x:v>
      </x:c>
      <x:c r="B238" s="28" t="str">
        <x:v>малина</x:v>
      </x:c>
      <x:c r="C238" s="28" t="str">
        <x:v>свёкла</x:v>
      </x:c>
      <x:c r="D238" s="28" t="str">
        <x:v>Овощи и грибы</x:v>
      </x:c>
      <x:c r="E238" s="28" t="str">
        <x:v>сходство ароматических семейств + комплементарность</x:v>
      </x:c>
      <x:c r="F238" s="28" t="str">
        <x:v>Общие ароматические семейства: зелёный;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землистый, сернистый. Оба компонента формируют кисло-сладкий и растительный, иногда умами контур; сахар, кислота и горечь должны быть выровнены дегустацией. Ягода: семена добавляют древесность и лёгкую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3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3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8" s="28" t="str">
        <x:v>соус, глазировка, салат, сырная подача или горячее блюдо; маринад, гастрик, чатни, кетчуп или редукция</x:v>
      </x:c>
      <x:c r="J238" s="28" t="str">
        <x:v>Средняя</x:v>
      </x:c>
      <x:c r="K238" s="28" t="str">
        <x:v>The Art &amp; Science of Foodpairing</x:v>
      </x:c>
      <x:c r="L238" s="28" t="str">
        <x:v>The Art &amp; Science of Foodpairing: 224</x:v>
      </x:c>
    </x:row>
    <x:row r="239" ht="62" customHeight="1">
      <x:c r="A239" s="28" t="str">
        <x:v>BER-0579</x:v>
      </x:c>
      <x:c r="B239" s="28" t="str">
        <x:v>малина</x:v>
      </x:c>
      <x:c r="C239" s="28" t="str">
        <x:v>тимьян</x:v>
      </x:c>
      <x:c r="D239" s="28" t="str">
        <x:v>Травы и цветы</x:v>
      </x:c>
      <x:c r="E239" s="28" t="str">
        <x:v>ароматическое сходство + вкусовой баланс</x:v>
      </x:c>
      <x:c r="F239" s="28" t="str">
        <x:v>Прямой вероятный молекулярный мост: гераниол, линалоол. Ягодный компонент несёт семейства древесный, зелёный, фиалковый,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3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3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3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39" s="28" t="str">
        <x:v>Средняя</x:v>
      </x:c>
      <x:c r="K239" s="28" t="str">
        <x:v>Таблица сочетаний</x:v>
      </x:c>
      <x:c r="L239" s="28" t="str">
        <x:v>Таблица сочетаний: 19, 21</x:v>
      </x:c>
    </x:row>
    <x:row r="240" ht="62" customHeight="1">
      <x:c r="A240" s="28" t="str">
        <x:v>BER-0580</x:v>
      </x:c>
      <x:c r="B240" s="28" t="str">
        <x:v>малина</x:v>
      </x:c>
      <x:c r="C240" s="28" t="str">
        <x:v>трюфель</x:v>
      </x:c>
      <x:c r="D240" s="28" t="str">
        <x:v>Овощи и грибы</x:v>
      </x:c>
      <x:c r="E240" s="28" t="str">
        <x:v>сходство ароматических семейств + комплементарность</x:v>
      </x:c>
      <x:c r="F240" s="28" t="str">
        <x:v>Общие ароматические семейства: зелёный;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зелёный, землистый, сернистый. Оба компонента формируют кисло-сладкий и растительный, иногда умами контур; сахар, кислота и горечь должны быть выровнены дегустацией. Ягода: семена добавляют древесность и лёгкую терпкость.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4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4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40" s="28" t="str">
        <x:v>соус, глазировка, салат, сырная подача или горячее блюдо; маринад, гастрик, чатни, кетчуп или редукция</x:v>
      </x:c>
      <x:c r="J240" s="28" t="str">
        <x:v>Средняя</x:v>
      </x:c>
      <x:c r="K240" s="28" t="str">
        <x:v>The Art &amp; Science of Foodpairing</x:v>
      </x:c>
      <x:c r="L240" s="28" t="str">
        <x:v>The Art &amp; Science of Foodpairing: 193</x:v>
      </x:c>
    </x:row>
    <x:row r="241" ht="62" customHeight="1">
      <x:c r="A241" s="28" t="str">
        <x:v>BER-0582</x:v>
      </x:c>
      <x:c r="B241" s="28" t="str">
        <x:v>малина</x:v>
      </x:c>
      <x:c r="C241" s="28" t="str">
        <x:v>цитрусовые</x:v>
      </x:c>
      <x:c r="D241" s="28" t="str">
        <x:v>Цитрусовые</x:v>
      </x:c>
      <x:c r="E241" s="28" t="str">
        <x:v>ароматическое сходство + вкусовой баланс</x:v>
      </x:c>
      <x:c r="F241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41" s="28" t="str">
        <x:v>кордиал, лимонад, чай, коктейль, настой или ферментированный напиток; маринад, гастрик, чатни, кетчуп или редукция</x:v>
      </x:c>
      <x:c r="J241" s="28" t="str">
        <x:v>Средняя</x:v>
      </x:c>
      <x:c r="K241" s="28" t="str">
        <x:v>Таблица сочетаний</x:v>
      </x:c>
      <x:c r="L241" s="28" t="str">
        <x:v>Таблица сочетаний: 19</x:v>
      </x:c>
    </x:row>
    <x:row r="242" ht="62" customHeight="1">
      <x:c r="A242" s="28" t="str">
        <x:v>BER-0584</x:v>
      </x:c>
      <x:c r="B242" s="28" t="str">
        <x:v>малина</x:v>
      </x:c>
      <x:c r="C242" s="28" t="str">
        <x:v>чоризо</x:v>
      </x:c>
      <x:c r="D242" s="28" t="str">
        <x:v>Мясо и птица</x:v>
      </x:c>
      <x:c r="E242" s="28" t="str">
        <x:v>контраст/комплементарность + матричный эффект</x:v>
      </x:c>
      <x:c r="F24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фиалковый, 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4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4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42" s="28" t="str">
        <x:v>соус, глазировка, салат, сырная подача или горячее блюдо; маринад, гастрик, чатни, кетчуп или редукция</x:v>
      </x:c>
      <x:c r="J242" s="28" t="str">
        <x:v>Средняя</x:v>
      </x:c>
      <x:c r="K242" s="28" t="str">
        <x:v>The Art &amp; Science of Foodpairing</x:v>
      </x:c>
      <x:c r="L242" s="28" t="str">
        <x:v>The Art &amp; Science of Foodpairing: 288</x:v>
      </x:c>
    </x:row>
    <x:row r="243" ht="62" customHeight="1">
      <x:c r="A243" s="28" t="str">
        <x:v>BER-0588</x:v>
      </x:c>
      <x:c r="B243" s="28" t="str">
        <x:v>малина сорта Meeker</x:v>
      </x:c>
      <x:c r="C243" s="28" t="str">
        <x:v>апельсин</x:v>
      </x:c>
      <x:c r="D243" s="28" t="str">
        <x:v>Цитрусовые</x:v>
      </x:c>
      <x:c r="E243" s="28" t="str">
        <x:v>ароматическое сходство + вкусовой баланс</x:v>
      </x:c>
      <x:c r="F243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43" s="28" t="str">
        <x:v>кордиал, лимонад, чай, коктейль, настой или ферментированный напиток; маринад, гастрик, чатни, кетчуп или редукция</x:v>
      </x:c>
      <x:c r="J243" s="28" t="str">
        <x:v>Средняя</x:v>
      </x:c>
      <x:c r="K243" s="28" t="str">
        <x:v>The Art &amp; Science of Foodpairing</x:v>
      </x:c>
      <x:c r="L243" s="28" t="str">
        <x:v>The Art &amp; Science of Foodpairing: 236</x:v>
      </x:c>
    </x:row>
    <x:row r="244" ht="62" customHeight="1">
      <x:c r="A244" s="28" t="str">
        <x:v>BER-0589</x:v>
      </x:c>
      <x:c r="B244" s="28" t="str">
        <x:v>малина сорта Meeker</x:v>
      </x:c>
      <x:c r="C244" s="28" t="str">
        <x:v>кардамон</x:v>
      </x:c>
      <x:c r="D244" s="28" t="str">
        <x:v>Специи</x:v>
      </x:c>
      <x:c r="E244" s="28" t="str">
        <x:v>сходство ароматических семейств + комплементарность</x:v>
      </x:c>
      <x:c r="F244" s="28" t="str">
        <x:v>Общие ароматические семейства: древесный; конкретная доля одорантов зависит от сорта и обработки. Ягодный компонент несёт семейства древесный, зелёный, фиалковый,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4" s="28" t="str">
        <x:v>Пряность дозировать как акцент: она быстро перекрывает тонкие ягодные эфиры.</x:v>
      </x:c>
      <x:c r="I24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44" s="28" t="str">
        <x:v>Средняя</x:v>
      </x:c>
      <x:c r="K244" s="28" t="str">
        <x:v>The Art &amp; Science of Foodpairing</x:v>
      </x:c>
      <x:c r="L244" s="28" t="str">
        <x:v>The Art &amp; Science of Foodpairing: 256</x:v>
      </x:c>
    </x:row>
    <x:row r="245" ht="62" customHeight="1">
      <x:c r="A245" s="28" t="str">
        <x:v>BER-0590</x:v>
      </x:c>
      <x:c r="B245" s="28" t="str">
        <x:v>малина сорта Meeker</x:v>
      </x:c>
      <x:c r="C245" s="28" t="str">
        <x:v>лимон и лайм</x:v>
      </x:c>
      <x:c r="D245" s="28" t="str">
        <x:v>Цитрусовые</x:v>
      </x:c>
      <x:c r="E245" s="28" t="str">
        <x:v>ароматическое сходство + вкусовой баланс</x:v>
      </x:c>
      <x:c r="F245" s="28" t="str">
        <x:v>Прямой вероятный молекулярный мост: линалоол. Ягодный компонент несёт семейства древесный, зелёный, фиалковый, фруктовый, цветочный; партнёр — зелёный, цветочный, цитрусовый. Оба компонента формируют кисло-сладкий и кислый, свежий контур; сахар, кислота и горечь должны быть выровнены дегустацией. Ягода: семена добавляют древесность и лёгкую терпкость.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45" s="28" t="str">
        <x:v>кордиал, лимонад, чай, коктейль, настой или ферментированный напиток; маринад, гастрик, чатни, кетчуп или редукция</x:v>
      </x:c>
      <x:c r="J245" s="28" t="str">
        <x:v>Средняя</x:v>
      </x:c>
      <x:c r="K245" s="28" t="str">
        <x:v>The Art &amp; Science of Foodpairing</x:v>
      </x:c>
      <x:c r="L245" s="28" t="str">
        <x:v>The Art &amp; Science of Foodpairing: 89</x:v>
      </x:c>
    </x:row>
    <x:row r="246" ht="62" customHeight="1">
      <x:c r="A246" s="28" t="str">
        <x:v>BER-0591</x:v>
      </x:c>
      <x:c r="B246" s="28" t="str">
        <x:v>малиновое пюре</x:v>
      </x:c>
      <x:c r="C246" s="28" t="str">
        <x:v>рыба</x:v>
      </x:c>
      <x:c r="D246" s="28" t="str">
        <x:v>Рыба и морепродукты</x:v>
      </x:c>
      <x:c r="E246" s="28" t="str">
        <x:v>контраст/комплементарность + матричный эффект</x:v>
      </x:c>
      <x:c r="F24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4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4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46" s="28" t="str">
        <x:v>соус, глазировка, салат, сырная подача или горячее блюдо; маринад, гастрик, чатни, кетчуп или редукция</x:v>
      </x:c>
      <x:c r="J246" s="28" t="str">
        <x:v>Средняя</x:v>
      </x:c>
      <x:c r="K246" s="28" t="str">
        <x:v>The Art &amp; Science of Foodpairing</x:v>
      </x:c>
      <x:c r="L246" s="28" t="str">
        <x:v>The Art &amp; Science of Foodpairing: 104</x:v>
      </x:c>
    </x:row>
    <x:row r="247" ht="62" customHeight="1">
      <x:c r="A247" s="28" t="str">
        <x:v>BER-0594</x:v>
      </x:c>
      <x:c r="B247" s="28" t="str">
        <x:v>морошка</x:v>
      </x:c>
      <x:c r="C247" s="28" t="str">
        <x:v>апельсин</x:v>
      </x:c>
      <x:c r="D247" s="28" t="str">
        <x:v>Цитрусовые</x:v>
      </x:c>
      <x:c r="E247" s="28" t="str">
        <x:v>сходство ароматических семейств + комплементарность</x:v>
      </x:c>
      <x:c r="F247" s="28" t="str">
        <x:v>Общие ароматические семейства: цветочный; конкретная доля одорантов зависит от сорта и обработки. Ягодный компонент несёт семейства абрикосовый, лактонный, медовый,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аромат хорошо поддерживается сливочными и древесными матрицами.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47" s="28" t="str">
        <x:v>кордиал, лимонад, чай, коктейль, настой или ферментированный напиток; маринад, гастрик, чатни, кетчуп или редукция</x:v>
      </x:c>
      <x:c r="J247" s="28" t="str">
        <x:v>Средняя</x:v>
      </x:c>
      <x:c r="K247" s="28" t="str">
        <x:v>Таблица сочетаний</x:v>
      </x:c>
      <x:c r="L247" s="28" t="str">
        <x:v>Таблица сочетаний: 5</x:v>
      </x:c>
    </x:row>
    <x:row r="248" ht="62" customHeight="1">
      <x:c r="A248" s="28" t="str">
        <x:v>BER-0596</x:v>
      </x:c>
      <x:c r="B248" s="28" t="str">
        <x:v>морошка</x:v>
      </x:c>
      <x:c r="C248" s="28" t="str">
        <x:v>корица</x:v>
      </x:c>
      <x:c r="D248" s="28" t="str">
        <x:v>Специи</x:v>
      </x:c>
      <x:c r="E248" s="28" t="str">
        <x:v>контраст/комплементарность + матричный эффект</x:v>
      </x:c>
      <x:c r="F24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абрикосовый, лактонный, медовый,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8" s="28" t="str">
        <x:v>Пряность дозировать как акцент: она быстро перекрывает тонкие ягодные эфиры.</x:v>
      </x:c>
      <x:c r="I24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48" s="28" t="str">
        <x:v>Средняя</x:v>
      </x:c>
      <x:c r="K248" s="28" t="str">
        <x:v>Таблица сочетаний</x:v>
      </x:c>
      <x:c r="L248" s="28" t="str">
        <x:v>Таблица сочетаний: 5</x:v>
      </x:c>
    </x:row>
    <x:row r="249" ht="62" customHeight="1">
      <x:c r="A249" s="28" t="str">
        <x:v>BER-0599</x:v>
      </x:c>
      <x:c r="B249" s="28" t="str">
        <x:v>морошка</x:v>
      </x:c>
      <x:c r="C249" s="28" t="str">
        <x:v>мята</x:v>
      </x:c>
      <x:c r="D249" s="28" t="str">
        <x:v>Травы и цветы</x:v>
      </x:c>
      <x:c r="E249" s="28" t="str">
        <x:v>сходство ароматических семейств + комплементарность</x:v>
      </x:c>
      <x:c r="F249" s="28" t="str">
        <x:v>Общие ароматические семейства: цветочный; конкретная доля одорантов зависит от сорта и обработки. Ягодный компонент несёт семейства абрикосовый, лактонный, медовый,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4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4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4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49" s="28" t="str">
        <x:v>Средняя</x:v>
      </x:c>
      <x:c r="K249" s="28" t="str">
        <x:v>Таблица сочетаний</x:v>
      </x:c>
      <x:c r="L249" s="28" t="str">
        <x:v>Таблица сочетаний: 5</x:v>
      </x:c>
    </x:row>
    <x:row r="250" ht="62" customHeight="1">
      <x:c r="A250" s="28" t="str">
        <x:v>BER-0601</x:v>
      </x:c>
      <x:c r="B250" s="28" t="str">
        <x:v>морошка</x:v>
      </x:c>
      <x:c r="C250" s="28" t="str">
        <x:v>устрица</x:v>
      </x:c>
      <x:c r="D250" s="28" t="str">
        <x:v>Рыба и морепродукты</x:v>
      </x:c>
      <x:c r="E250" s="28" t="str">
        <x:v>контраст/комплементарность + матричный эффект</x:v>
      </x:c>
      <x:c r="F25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абрикосовый, лактонный, медовый,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5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5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50" s="28" t="str">
        <x:v>соус, глазировка, салат, сырная подача или горячее блюдо; маринад, гастрик, чатни, кетчуп или редукция</x:v>
      </x:c>
      <x:c r="J250" s="28" t="str">
        <x:v>Средняя</x:v>
      </x:c>
      <x:c r="K250" s="28" t="str">
        <x:v>The Art &amp; Science of Foodpairing</x:v>
      </x:c>
      <x:c r="L250" s="28" t="str">
        <x:v>The Art &amp; Science of Foodpairing: 370</x:v>
      </x:c>
    </x:row>
    <x:row r="251" ht="62" customHeight="1">
      <x:c r="A251" s="28" t="str">
        <x:v>BER-0603</x:v>
      </x:c>
      <x:c r="B251" s="28" t="str">
        <x:v>морошка</x:v>
      </x:c>
      <x:c r="C251" s="28" t="str">
        <x:v>цитрусовые</x:v>
      </x:c>
      <x:c r="D251" s="28" t="str">
        <x:v>Цитрусовые</x:v>
      </x:c>
      <x:c r="E251" s="28" t="str">
        <x:v>сходство ароматических семейств + комплементарность</x:v>
      </x:c>
      <x:c r="F251" s="28" t="str">
        <x:v>Общие ароматические семейства: цветочный; конкретная доля одорантов зависит от сорта и обработки. Ягодный компонент несёт семейства абрикосовый, лактонный, медовый,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аромат хорошо поддерживается сливочными и древесными матрицами.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51" s="28" t="str">
        <x:v>кордиал, лимонад, чай, коктейль, настой или ферментированный напиток; маринад, гастрик, чатни, кетчуп или редукция</x:v>
      </x:c>
      <x:c r="J251" s="28" t="str">
        <x:v>Средняя</x:v>
      </x:c>
      <x:c r="K251" s="28" t="str">
        <x:v>Таблица сочетаний</x:v>
      </x:c>
      <x:c r="L251" s="28" t="str">
        <x:v>Таблица сочетаний: 5</x:v>
      </x:c>
    </x:row>
    <x:row r="252" ht="62" customHeight="1">
      <x:c r="A252" s="28" t="str">
        <x:v>BER-0604</x:v>
      </x:c>
      <x:c r="B252" s="28" t="str">
        <x:v>морошка</x:v>
      </x:c>
      <x:c r="C252" s="28" t="str">
        <x:v>шалфей</x:v>
      </x:c>
      <x:c r="D252" s="28" t="str">
        <x:v>Травы и цветы</x:v>
      </x:c>
      <x:c r="E252" s="28" t="str">
        <x:v>сходство ароматических семейств + комплементарность</x:v>
      </x:c>
      <x:c r="F252" s="28" t="str">
        <x:v>Общие ароматические семейства: цветочный; конкретная доля одорантов зависит от сорта и обработки. Ягодный компонент несёт семейства абрикосовый, лактонный, медовый,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2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52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52" s="28" t="str">
        <x:v>Средняя</x:v>
      </x:c>
      <x:c r="K252" s="28" t="str">
        <x:v>Таблица сочетаний</x:v>
      </x:c>
      <x:c r="L252" s="28" t="str">
        <x:v>Таблица сочетаний: 5</x:v>
      </x:c>
    </x:row>
    <x:row r="253" ht="62" customHeight="1">
      <x:c r="A253" s="28" t="str">
        <x:v>BER-0610</x:v>
      </x:c>
      <x:c r="B253" s="28" t="str">
        <x:v>смородина</x:v>
      </x:c>
      <x:c r="C253" s="28" t="str">
        <x:v>лимон</x:v>
      </x:c>
      <x:c r="D253" s="28" t="str">
        <x:v>Цитрусовые</x:v>
      </x:c>
      <x:c r="E253" s="28" t="str">
        <x:v>сходство ароматических семейств + комплементарность</x:v>
      </x:c>
      <x:c r="F253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профиль зависит от вида смородины.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53" s="28" t="str">
        <x:v>кордиал, лимонад, чай, коктейль, настой или ферментированный напиток; маринад, гастрик, чатни, кетчуп или редукция</x:v>
      </x:c>
      <x:c r="J253" s="28" t="str">
        <x:v>Средняя</x:v>
      </x:c>
      <x:c r="K253" s="28" t="str">
        <x:v>Таблица сочетаний</x:v>
      </x:c>
      <x:c r="L253" s="28" t="str">
        <x:v>Таблица сочетаний: 11</x:v>
      </x:c>
    </x:row>
    <x:row r="254" ht="62" customHeight="1">
      <x:c r="A254" s="28" t="str">
        <x:v>BER-0616</x:v>
      </x:c>
      <x:c r="B254" s="28" t="str">
        <x:v>сушёные ягоды годжи</x:v>
      </x:c>
      <x:c r="C254" s="28" t="str">
        <x:v>устрица</x:v>
      </x:c>
      <x:c r="D254" s="28" t="str">
        <x:v>Рыба и морепродукты</x:v>
      </x:c>
      <x:c r="E254" s="28" t="str">
        <x:v>контраст/комплементарность + матричный эффект</x:v>
      </x:c>
      <x:c r="F25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5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5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54" s="28" t="str">
        <x:v>соус, глазировка, салат, сырная подача или горячее блюдо; маринад, гастрик, чатни, кетчуп или редукция</x:v>
      </x:c>
      <x:c r="J254" s="28" t="str">
        <x:v>Средняя</x:v>
      </x:c>
      <x:c r="K254" s="28" t="str">
        <x:v>The Art &amp; Science of Foodpairing</x:v>
      </x:c>
      <x:c r="L254" s="28" t="str">
        <x:v>The Art &amp; Science of Foodpairing: 370</x:v>
      </x:c>
    </x:row>
    <x:row r="255" ht="62" customHeight="1">
      <x:c r="A255" s="28" t="str">
        <x:v>BER-0619</x:v>
      </x:c>
      <x:c r="B255" s="28" t="str">
        <x:v>черешня</x:v>
      </x:c>
      <x:c r="C255" s="28" t="str">
        <x:v>апельсин</x:v>
      </x:c>
      <x:c r="D255" s="28" t="str">
        <x:v>Цитрусовые</x:v>
      </x:c>
      <x:c r="E255" s="28" t="str">
        <x:v>сходство ароматических семейств + комплементарность</x:v>
      </x:c>
      <x:c r="F255" s="28" t="str">
        <x:v>Общие ароматические семейства: цветочный; конкретная доля одорантов зависит от сорта и обработки. Ягодный компонент несёт семейства миндальный, сладко-фруктовый, цветочный; партнёр — зелёный, цветочный, цитрусовый. Оба компонента формируют сладкий, умеренно кислый и кислый, свежий контур; сахар, кислота и горечь должны быть выровнены дегустацией. Ягода: нежнее кислой вишни; легко становится приторной.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5" s="28" t="str">
        <x:v>Не использовать повреждённые косточки без валидированной технологии: они содержат цианогенные гликозиды.</x:v>
      </x:c>
      <x:c r="I255" s="28" t="str">
        <x:v>кордиал, лимонад, чай, коктейль, настой или ферментированный напиток; маринад, гастрик, чатни, кетчуп или редукция</x:v>
      </x:c>
      <x:c r="J255" s="28" t="str">
        <x:v>Средняя</x:v>
      </x:c>
      <x:c r="K255" s="28" t="str">
        <x:v>The Art &amp; Science of Foodpairing</x:v>
      </x:c>
      <x:c r="L255" s="28" t="str">
        <x:v>The Art &amp; Science of Foodpairing: 236</x:v>
      </x:c>
    </x:row>
    <x:row r="256" ht="62" customHeight="1">
      <x:c r="A256" s="28" t="str">
        <x:v>BER-0622</x:v>
      </x:c>
      <x:c r="B256" s="28" t="str">
        <x:v>черешня</x:v>
      </x:c>
      <x:c r="C256" s="28" t="str">
        <x:v>доджанг</x:v>
      </x:c>
      <x:c r="D256" s="28" t="str">
        <x:v>Ферментированные продукты, соусы и уксусы</x:v>
      </x:c>
      <x:c r="E256" s="28" t="str">
        <x:v>ароматическое сходство + вкусовой баланс</x:v>
      </x:c>
      <x:c r="F256" s="28" t="str">
        <x:v>Прямой вероятный молекулярный мост: эфиры. Ягодный компонент несёт семейства миндальный, сладко-фруктовый, цветочный; партнёр — кислый, умами, ферментированный. Оба компонента формируют сладкий, умеренно кислый и кислый/солёный/умами контур; сахар, кислота и горечь должны быть выровнены дегустацией. Ягода: нежнее кислой вишни; легко становится приторной.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6" s="28" t="str">
        <x:v>Не использовать повреждённые косточки без валидированной технологии: они содержат цианогенные гликозиды.</x:v>
      </x:c>
      <x:c r="I256" s="28" t="str">
        <x:v>соус, глазировка, салат, сырная подача или горячее блюдо; маринад, гастрик, чатни, кетчуп или редукция</x:v>
      </x:c>
      <x:c r="J256" s="28" t="str">
        <x:v>Средняя</x:v>
      </x:c>
      <x:c r="K256" s="28" t="str">
        <x:v>The Art &amp; Science of Foodpairing</x:v>
      </x:c>
      <x:c r="L256" s="28" t="str">
        <x:v>The Art &amp; Science of Foodpairing: 246</x:v>
      </x:c>
    </x:row>
    <x:row r="257" ht="62" customHeight="1">
      <x:c r="A257" s="28" t="str">
        <x:v>BER-0623</x:v>
      </x:c>
      <x:c r="B257" s="28" t="str">
        <x:v>черешня</x:v>
      </x:c>
      <x:c r="C257" s="28" t="str">
        <x:v>имбирь</x:v>
      </x:c>
      <x:c r="D257" s="28" t="str">
        <x:v>Специи</x:v>
      </x:c>
      <x:c r="E257" s="28" t="str">
        <x:v>контраст/комплементарность + матричный эффект</x:v>
      </x:c>
      <x:c r="F25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7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257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57" s="28" t="str">
        <x:v>Средняя</x:v>
      </x:c>
      <x:c r="K257" s="28" t="str">
        <x:v>The Art &amp; Science of Foodpairing</x:v>
      </x:c>
      <x:c r="L257" s="28" t="str">
        <x:v>The Art &amp; Science of Foodpairing: 142</x:v>
      </x:c>
    </x:row>
    <x:row r="258" ht="62" customHeight="1">
      <x:c r="A258" s="28" t="str">
        <x:v>BER-0626</x:v>
      </x:c>
      <x:c r="B258" s="28" t="str">
        <x:v>черешня</x:v>
      </x:c>
      <x:c r="C258" s="28" t="str">
        <x:v>лимон и лайм</x:v>
      </x:c>
      <x:c r="D258" s="28" t="str">
        <x:v>Цитрусовые</x:v>
      </x:c>
      <x:c r="E258" s="28" t="str">
        <x:v>сходство ароматических семейств + комплементарность</x:v>
      </x:c>
      <x:c r="F258" s="28" t="str">
        <x:v>Общие ароматические семейства: цветочный; конкретная доля одорантов зависит от сорта и обработки. Ягодный компонент несёт семейства миндальный, сладко-фруктовый, цветочный; партнёр — зелёный, цветочный, цитрусовый. Оба компонента формируют сладкий, умеренно кислый и кислый, свежий контур; сахар, кислота и горечь должны быть выровнены дегустацией. Ягода: нежнее кислой вишни; легко становится приторной.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5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58" s="28" t="str">
        <x:v>Не использовать повреждённые косточки без валидированной технологии: они содержат цианогенные гликозиды.</x:v>
      </x:c>
      <x:c r="I258" s="28" t="str">
        <x:v>кордиал, лимонад, чай, коктейль, настой или ферментированный напиток; маринад, гастрик, чатни, кетчуп или редукция</x:v>
      </x:c>
      <x:c r="J258" s="28" t="str">
        <x:v>Средняя</x:v>
      </x:c>
      <x:c r="K258" s="28" t="str">
        <x:v>The Art &amp; Science of Foodpairing</x:v>
      </x:c>
      <x:c r="L258" s="28" t="str">
        <x:v>The Art &amp; Science of Foodpairing: 88</x:v>
      </x:c>
    </x:row>
    <x:row r="259" ht="62" customHeight="1">
      <x:c r="A259" s="28" t="str">
        <x:v>BER-0628</x:v>
      </x:c>
      <x:c r="B259" s="28" t="str">
        <x:v>черешня</x:v>
      </x:c>
      <x:c r="C259" s="28" t="str">
        <x:v>морковь</x:v>
      </x:c>
      <x:c r="D259" s="28" t="str">
        <x:v>Овощи и грибы</x:v>
      </x:c>
      <x:c r="E259" s="28" t="str">
        <x:v>контраст/комплементарность + матричный эффект</x:v>
      </x:c>
      <x:c r="F25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зелёный, землистый, сернистый. Оба компонента формируют сладкий, умеренно кислый и растительный, иногда умами контур; сахар, кислота и горечь должны быть выровнены дегустацией. Ягода: нежнее кислой вишни; легко становится приторной.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5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59" s="28" t="str">
        <x:v>Не использовать повреждённые косточки без валидированной технологии: они содержат цианогенные гликозиды.</x:v>
      </x:c>
      <x:c r="I259" s="28" t="str">
        <x:v>соус, глазировка, салат, сырная подача или горячее блюдо; маринад, гастрик, чатни, кетчуп или редукция</x:v>
      </x:c>
      <x:c r="J259" s="28" t="str">
        <x:v>Средняя</x:v>
      </x:c>
      <x:c r="K259" s="28" t="str">
        <x:v>The Art &amp; Science of Foodpairing</x:v>
      </x:c>
      <x:c r="L259" s="28" t="str">
        <x:v>The Art &amp; Science of Foodpairing: 233</x:v>
      </x:c>
    </x:row>
    <x:row r="260" ht="62" customHeight="1">
      <x:c r="A260" s="28" t="str">
        <x:v>BER-0629</x:v>
      </x:c>
      <x:c r="B260" s="28" t="str">
        <x:v>черешня</x:v>
      </x:c>
      <x:c r="C260" s="28" t="str">
        <x:v>огурец</x:v>
      </x:c>
      <x:c r="D260" s="28" t="str">
        <x:v>Овощи и грибы</x:v>
      </x:c>
      <x:c r="E260" s="28" t="str">
        <x:v>контраст/комплементарность + матричный эффект</x:v>
      </x:c>
      <x:c r="F26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зелёный, землистый, сернистый. Оба компонента формируют сладкий, умеренно кислый и растительный, иногда умами контур; сахар, кислота и горечь должны быть выровнены дегустацией. Ягода: нежнее кислой вишни; легко становится приторной.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6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60" s="28" t="str">
        <x:v>Не использовать повреждённые косточки без валидированной технологии: они содержат цианогенные гликозиды.</x:v>
      </x:c>
      <x:c r="I260" s="28" t="str">
        <x:v>соус, глазировка, салат, сырная подача или горячее блюдо; маринад, гастрик, чатни, кетчуп или редукция</x:v>
      </x:c>
      <x:c r="J260" s="28" t="str">
        <x:v>Средняя</x:v>
      </x:c>
      <x:c r="K260" s="28" t="str">
        <x:v>The Art &amp; Science of Foodpairing</x:v>
      </x:c>
      <x:c r="L260" s="28" t="str">
        <x:v>The Art &amp; Science of Foodpairing: 268</x:v>
      </x:c>
    </x:row>
    <x:row r="261" ht="62" customHeight="1">
      <x:c r="A261" s="28" t="str">
        <x:v>BER-0631</x:v>
      </x:c>
      <x:c r="B261" s="28" t="str">
        <x:v>черешня</x:v>
      </x:c>
      <x:c r="C261" s="28" t="str">
        <x:v>перец чили</x:v>
      </x:c>
      <x:c r="D261" s="28" t="str">
        <x:v>Специи</x:v>
      </x:c>
      <x:c r="E261" s="28" t="str">
        <x:v>контраст/комплементарность + матричный эффект</x:v>
      </x:c>
      <x:c r="F261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1" s="28" t="str">
        <x:v>Не использовать повреждённые косточки без валидированной технологии: они содержат цианогенные гликозиды. Пряность дозировать как акцент: она быстро перекрывает тонкие ягодные эфиры.</x:v>
      </x:c>
      <x:c r="I261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61" s="28" t="str">
        <x:v>Средняя</x:v>
      </x:c>
      <x:c r="K261" s="28" t="str">
        <x:v>The Art &amp; Science of Foodpairing</x:v>
      </x:c>
      <x:c r="L261" s="28" t="str">
        <x:v>The Art &amp; Science of Foodpairing: 95</x:v>
      </x:c>
    </x:row>
    <x:row r="262" ht="62" customHeight="1">
      <x:c r="A262" s="28" t="str">
        <x:v>BER-0634</x:v>
      </x:c>
      <x:c r="B262" s="28" t="str">
        <x:v>черешня</x:v>
      </x:c>
      <x:c r="C262" s="28" t="str">
        <x:v>томат</x:v>
      </x:c>
      <x:c r="D262" s="28" t="str">
        <x:v>Овощи и грибы</x:v>
      </x:c>
      <x:c r="E262" s="28" t="str">
        <x:v>контраст/комплементарность + матричный эффект</x:v>
      </x:c>
      <x:c r="F262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зелёный, землистый, сернистый. Оба компонента формируют сладкий, умеренно кислый и растительный, иногда умами контур; сахар, кислота и горечь должны быть выровнены дегустацией. Ягода: нежнее кислой вишни; легко становится приторной.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6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62" s="28" t="str">
        <x:v>Не использовать повреждённые косточки без валидированной технологии: они содержат цианогенные гликозиды.</x:v>
      </x:c>
      <x:c r="I262" s="28" t="str">
        <x:v>соус, глазировка, салат, сырная подача или горячее блюдо; маринад, гастрик, чатни, кетчуп или редукция</x:v>
      </x:c>
      <x:c r="J262" s="28" t="str">
        <x:v>Средняя</x:v>
      </x:c>
      <x:c r="K262" s="28" t="str">
        <x:v>The Art &amp; Science of Foodpairing</x:v>
      </x:c>
      <x:c r="L262" s="28" t="str">
        <x:v>The Art &amp; Science of Foodpairing: 161</x:v>
      </x:c>
    </x:row>
    <x:row r="263" ht="62" customHeight="1">
      <x:c r="A263" s="28" t="str">
        <x:v>BER-0635</x:v>
      </x:c>
      <x:c r="B263" s="28" t="str">
        <x:v>черешня</x:v>
      </x:c>
      <x:c r="C263" s="28" t="str">
        <x:v>трюфель</x:v>
      </x:c>
      <x:c r="D263" s="28" t="str">
        <x:v>Овощи и грибы</x:v>
      </x:c>
      <x:c r="E263" s="28" t="str">
        <x:v>контраст/комплементарность + матричный эффект</x:v>
      </x:c>
      <x:c r="F26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зелёный, землистый, сернистый. Оба компонента формируют сладкий, умеренно кислый и растительный, иногда умами контур; сахар, кислота и горечь должны быть выровнены дегустацией. Ягода: нежнее кислой вишни; легко становится приторной.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6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63" s="28" t="str">
        <x:v>Не использовать повреждённые косточки без валидированной технологии: они содержат цианогенные гликозиды.</x:v>
      </x:c>
      <x:c r="I263" s="28" t="str">
        <x:v>соус, глазировка, салат, сырная подача или горячее блюдо; маринад, гастрик, чатни, кетчуп или редукция</x:v>
      </x:c>
      <x:c r="J263" s="28" t="str">
        <x:v>Средняя</x:v>
      </x:c>
      <x:c r="K263" s="28" t="str">
        <x:v>The Art &amp; Science of Foodpairing</x:v>
      </x:c>
      <x:c r="L263" s="28" t="str">
        <x:v>The Art &amp; Science of Foodpairing: 193</x:v>
      </x:c>
    </x:row>
    <x:row r="264" ht="62" customHeight="1">
      <x:c r="A264" s="28" t="str">
        <x:v>BER-0636</x:v>
      </x:c>
      <x:c r="B264" s="28" t="str">
        <x:v>черешня</x:v>
      </x:c>
      <x:c r="C264" s="28" t="str">
        <x:v>устрица</x:v>
      </x:c>
      <x:c r="D264" s="28" t="str">
        <x:v>Рыба и морепродукты</x:v>
      </x:c>
      <x:c r="E264" s="28" t="str">
        <x:v>контраст/комплементарность + матричный эффект</x:v>
      </x:c>
      <x:c r="F26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миндальный, сладко-фруктовый,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6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64" s="28" t="str">
        <x:v>Не использовать повреждённые косточки без валидированной технологии: они содержат цианогенные гликозиды.</x:v>
      </x:c>
      <x:c r="I264" s="28" t="str">
        <x:v>соус, глазировка, салат, сырная подача или горячее блюдо; маринад, гастрик, чатни, кетчуп или редукция</x:v>
      </x:c>
      <x:c r="J264" s="28" t="str">
        <x:v>Средняя</x:v>
      </x:c>
      <x:c r="K264" s="28" t="str">
        <x:v>The Art &amp; Science of Foodpairing</x:v>
      </x:c>
      <x:c r="L264" s="28" t="str">
        <x:v>The Art &amp; Science of Foodpairing: 370</x:v>
      </x:c>
    </x:row>
    <x:row r="265" ht="62" customHeight="1">
      <x:c r="A265" s="28" t="str">
        <x:v>BER-0639</x:v>
      </x:c>
      <x:c r="B265" s="28" t="str">
        <x:v>чёрная смородина</x:v>
      </x:c>
      <x:c r="C265" s="28" t="str">
        <x:v>анис</x:v>
      </x:c>
      <x:c r="D265" s="28" t="str">
        <x:v>Специи</x:v>
      </x:c>
      <x:c r="E265" s="28" t="str">
        <x:v>ароматическое сходство + вкусовой баланс</x:v>
      </x:c>
      <x:c r="F265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5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I26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65" s="28" t="str">
        <x:v>Высокая</x:v>
      </x:c>
      <x:c r="K265" s="28" t="str">
        <x:v>Тезариус вкусов</x:v>
      </x:c>
      <x:c r="L265" s="28" t="str">
        <x:v>Тезариус вкусов: 488, 873</x:v>
      </x:c>
    </x:row>
    <x:row r="266" ht="62" customHeight="1">
      <x:c r="A266" s="28" t="str">
        <x:v>BER-0641</x:v>
      </x:c>
      <x:c r="B266" s="28" t="str">
        <x:v>чёрная смородина</x:v>
      </x:c>
      <x:c r="C266" s="28" t="str">
        <x:v>базилик</x:v>
      </x:c>
      <x:c r="D266" s="28" t="str">
        <x:v>Травы и цветы</x:v>
      </x:c>
      <x:c r="E266" s="28" t="str">
        <x:v>ароматическое сходство + вкусовой баланс</x:v>
      </x:c>
      <x:c r="F266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6" s="28" t="str">
        <x:v>Тиольный профиль чёрной смородины легко доминирует и при избытке становится сернисто-«кошачьим».</x:v>
      </x:c>
      <x:c r="I26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66" s="28" t="str">
        <x:v>Высокая</x:v>
      </x:c>
      <x:c r="K266" s="28" t="str">
        <x:v>The Art &amp; Science of Foodpairing; Таблица сочетаний</x:v>
      </x:c>
      <x:c r="L266" s="28" t="str">
        <x:v>The Art &amp; Science of Foodpairing: 74; Таблица сочетаний: 2</x:v>
      </x:c>
    </x:row>
    <x:row r="267" ht="62" customHeight="1">
      <x:c r="A267" s="28" t="str">
        <x:v>BER-0643</x:v>
      </x:c>
      <x:c r="B267" s="28" t="str">
        <x:v>чёрная смородина</x:v>
      </x:c>
      <x:c r="C267" s="28" t="str">
        <x:v>грейпфрут</x:v>
      </x:c>
      <x:c r="D267" s="28" t="str">
        <x:v>Цитрусовые</x:v>
      </x:c>
      <x:c r="E267" s="28" t="str">
        <x:v>сходство ароматических семейств + комплементарность</x:v>
      </x:c>
      <x:c r="F267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листовой, сернистый, тёмно-фруктовый, цветочный; партнёр — зелёный, цветочный, цитрусовый. Оба компонента формируют ярко-кислый, терпкий и кислый, свежий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7" s="28" t="str">
        <x:v>Тиольный профиль чёрной смородины легко доминирует и при избытке становится сернисто-«кошачьим».</x:v>
      </x:c>
      <x:c r="I267" s="28" t="str">
        <x:v>кордиал, лимонад, чай, коктейль, настой или ферментированный напиток; маринад, гастрик, чатни, кетчуп или редукция</x:v>
      </x:c>
      <x:c r="J267" s="28" t="str">
        <x:v>Средняя</x:v>
      </x:c>
      <x:c r="K267" s="28" t="str">
        <x:v>The Art &amp; Science of Foodpairing</x:v>
      </x:c>
      <x:c r="L267" s="28" t="str">
        <x:v>The Art &amp; Science of Foodpairing: 359</x:v>
      </x:c>
    </x:row>
    <x:row r="268" ht="62" customHeight="1">
      <x:c r="A268" s="28" t="str">
        <x:v>BER-0646</x:v>
      </x:c>
      <x:c r="B268" s="28" t="str">
        <x:v>чёрная смородина</x:v>
      </x:c>
      <x:c r="C268" s="28" t="str">
        <x:v>зелёная фасоль</x:v>
      </x:c>
      <x:c r="D268" s="28" t="str">
        <x:v>Овощи и грибы</x:v>
      </x:c>
      <x:c r="E268" s="28" t="str">
        <x:v>сходство ароматических семейств + комплементарность</x:v>
      </x:c>
      <x:c r="F268" s="28" t="str">
        <x:v>Общие ароматические семейства: зелёный, сернистый; конкретная доля одорантов зависит от сорта и обработки. Ягодный компонент несёт семейства зелёный, листовой, сернистый, тёмно-фруктовый, цветочный; партнёр — зелёный, землистый, сернистый. Оба компонента формируют ярко-кислый, терпкий и растительный, иногда умами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6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68" s="28" t="str">
        <x:v>Тиольный профиль чёрной смородины легко доминирует и при избытке становится сернисто-«кошачьим».</x:v>
      </x:c>
      <x:c r="I268" s="28" t="str">
        <x:v>соус, глазировка, салат, сырная подача или горячее блюдо; маринад, гастрик, чатни, кетчуп или редукция</x:v>
      </x:c>
      <x:c r="J268" s="28" t="str">
        <x:v>Средняя</x:v>
      </x:c>
      <x:c r="K268" s="28" t="str">
        <x:v>The Art &amp; Science of Foodpairing</x:v>
      </x:c>
      <x:c r="L268" s="28" t="str">
        <x:v>The Art &amp; Science of Foodpairing: 321</x:v>
      </x:c>
    </x:row>
    <x:row r="269" ht="62" customHeight="1">
      <x:c r="A269" s="28" t="str">
        <x:v>BER-0647</x:v>
      </x:c>
      <x:c r="B269" s="28" t="str">
        <x:v>чёрная смородина</x:v>
      </x:c>
      <x:c r="C269" s="28" t="str">
        <x:v>имбирь</x:v>
      </x:c>
      <x:c r="D269" s="28" t="str">
        <x:v>Специи</x:v>
      </x:c>
      <x:c r="E269" s="28" t="str">
        <x:v>ароматическое сходство + вкусовой баланс</x:v>
      </x:c>
      <x:c r="F269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6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69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I269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69" s="28" t="str">
        <x:v>Средняя</x:v>
      </x:c>
      <x:c r="K269" s="28" t="str">
        <x:v>Таблица сочетаний</x:v>
      </x:c>
      <x:c r="L269" s="28" t="str">
        <x:v>Таблица сочетаний: 2</x:v>
      </x:c>
    </x:row>
    <x:row r="270" ht="62" customHeight="1">
      <x:c r="A270" s="28" t="str">
        <x:v>BER-0650</x:v>
      </x:c>
      <x:c r="B270" s="28" t="str">
        <x:v>чёрная смородина</x:v>
      </x:c>
      <x:c r="C270" s="28" t="str">
        <x:v>красный сладкий перец</x:v>
      </x:c>
      <x:c r="D270" s="28" t="str">
        <x:v>Специи</x:v>
      </x:c>
      <x:c r="E270" s="28" t="str">
        <x:v>ароматическое сходство + вкусовой баланс</x:v>
      </x:c>
      <x:c r="F270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0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I270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70" s="28" t="str">
        <x:v>Средняя</x:v>
      </x:c>
      <x:c r="K270" s="28" t="str">
        <x:v>The Art &amp; Science of Foodpairing</x:v>
      </x:c>
      <x:c r="L270" s="28" t="str">
        <x:v>The Art &amp; Science of Foodpairing: 109</x:v>
      </x:c>
    </x:row>
    <x:row r="271" ht="62" customHeight="1">
      <x:c r="A271" s="28" t="str">
        <x:v>BER-0651</x:v>
      </x:c>
      <x:c r="B271" s="28" t="str">
        <x:v>чёрная смородина</x:v>
      </x:c>
      <x:c r="C271" s="28" t="str">
        <x:v>лимон и лайм</x:v>
      </x:c>
      <x:c r="D271" s="28" t="str">
        <x:v>Цитрусовые</x:v>
      </x:c>
      <x:c r="E271" s="28" t="str">
        <x:v>сходство ароматических семейств + комплементарность</x:v>
      </x:c>
      <x:c r="F271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зелёный, листовой, сернистый, тёмно-фруктовый, цветочный; партнёр — зелёный, цветочный, цитрусовый. Оба компонента формируют ярко-кислый, терпкий и кислый, свежий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1" s="28" t="str">
        <x:v>Тиольный профиль чёрной смородины легко доминирует и при избытке становится сернисто-«кошачьим».</x:v>
      </x:c>
      <x:c r="I271" s="28" t="str">
        <x:v>кордиал, лимонад, чай, коктейль, настой или ферментированный напиток; маринад, гастрик, чатни, кетчуп или редукция</x:v>
      </x:c>
      <x:c r="J271" s="28" t="str">
        <x:v>Средняя</x:v>
      </x:c>
      <x:c r="K271" s="28" t="str">
        <x:v>The Art &amp; Science of Foodpairing</x:v>
      </x:c>
      <x:c r="L271" s="28" t="str">
        <x:v>The Art &amp; Science of Foodpairing: 87</x:v>
      </x:c>
    </x:row>
    <x:row r="272" ht="62" customHeight="1">
      <x:c r="A272" s="28" t="str">
        <x:v>BER-0655</x:v>
      </x:c>
      <x:c r="B272" s="28" t="str">
        <x:v>чёрная смородина</x:v>
      </x:c>
      <x:c r="C272" s="28" t="str">
        <x:v>морковь</x:v>
      </x:c>
      <x:c r="D272" s="28" t="str">
        <x:v>Овощи и грибы</x:v>
      </x:c>
      <x:c r="E272" s="28" t="str">
        <x:v>сходство ароматических семейств + комплементарность</x:v>
      </x:c>
      <x:c r="F272" s="28" t="str">
        <x:v>Общие ароматические семейства: зелёный, сернистый; конкретная доля одорантов зависит от сорта и обработки. Ягодный компонент несёт семейства зелёный, листовой, сернистый, тёмно-фруктовый, цветочный; партнёр — зелёный, землистый, сернистый. Оба компонента формируют ярко-кислый, терпкий и растительный, иногда умами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7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72" s="28" t="str">
        <x:v>Тиольный профиль чёрной смородины легко доминирует и при избытке становится сернисто-«кошачьим».</x:v>
      </x:c>
      <x:c r="I272" s="28" t="str">
        <x:v>соус, глазировка, салат, сырная подача или горячее блюдо; маринад, гастрик, чатни, кетчуп или редукция</x:v>
      </x:c>
      <x:c r="J272" s="28" t="str">
        <x:v>Средняя</x:v>
      </x:c>
      <x:c r="K272" s="28" t="str">
        <x:v>Таблица сочетаний</x:v>
      </x:c>
      <x:c r="L272" s="28" t="str">
        <x:v>Таблица сочетаний: 2</x:v>
      </x:c>
    </x:row>
    <x:row r="273" ht="62" customHeight="1">
      <x:c r="A273" s="28" t="str">
        <x:v>BER-0657</x:v>
      </x:c>
      <x:c r="B273" s="28" t="str">
        <x:v>чёрная смородина</x:v>
      </x:c>
      <x:c r="C273" s="28" t="str">
        <x:v>мята</x:v>
      </x:c>
      <x:c r="D273" s="28" t="str">
        <x:v>Травы и цветы</x:v>
      </x:c>
      <x:c r="E273" s="28" t="str">
        <x:v>ароматическое сходство + вкусовой баланс</x:v>
      </x:c>
      <x:c r="F273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3" s="28" t="str">
        <x:v>Тиольный профиль чёрной смородины легко доминирует и при избытке становится сернисто-«кошачьим».</x:v>
      </x:c>
      <x:c r="I273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73" s="28" t="str">
        <x:v>Высокая</x:v>
      </x:c>
      <x:c r="K273" s="28" t="str">
        <x:v>Таблица сочетаний; Тезариус вкусов</x:v>
      </x:c>
      <x:c r="L273" s="28" t="str">
        <x:v>Тезариус вкусов: 870, 878; Таблица сочетаний: 2</x:v>
      </x:c>
    </x:row>
    <x:row r="274" ht="62" customHeight="1">
      <x:c r="A274" s="28" t="str">
        <x:v>BER-0658</x:v>
      </x:c>
      <x:c r="B274" s="28" t="str">
        <x:v>чёрная смородина</x:v>
      </x:c>
      <x:c r="C274" s="28" t="str">
        <x:v>пармиджано-реджано</x:v>
      </x:c>
      <x:c r="D274" s="28" t="str">
        <x:v>Рыба и морепродукты</x:v>
      </x:c>
      <x:c r="E274" s="28" t="str">
        <x:v>контраст/комплементарность + матричный эффект</x:v>
      </x:c>
      <x:c r="F27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7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74" s="28" t="str">
        <x:v>Тиольный профиль чёрной смородины легко доминирует и при избытке становится сернисто-«кошачьим».</x:v>
      </x:c>
      <x:c r="I274" s="28" t="str">
        <x:v>соус, глазировка, салат, сырная подача или горячее блюдо; маринад, гастрик, чатни, кетчуп или редукция</x:v>
      </x:c>
      <x:c r="J274" s="28" t="str">
        <x:v>Средняя</x:v>
      </x:c>
      <x:c r="K274" s="28" t="str">
        <x:v>The Art &amp; Science of Foodpairing</x:v>
      </x:c>
      <x:c r="L274" s="28" t="str">
        <x:v>The Art &amp; Science of Foodpairing: 282, 283</x:v>
      </x:c>
    </x:row>
    <x:row r="275" ht="62" customHeight="1">
      <x:c r="A275" s="28" t="str">
        <x:v>BER-0659</x:v>
      </x:c>
      <x:c r="B275" s="28" t="str">
        <x:v>чёрная смородина</x:v>
      </x:c>
      <x:c r="C275" s="28" t="str">
        <x:v>перец</x:v>
      </x:c>
      <x:c r="D275" s="28" t="str">
        <x:v>Специи</x:v>
      </x:c>
      <x:c r="E275" s="28" t="str">
        <x:v>ароматическое сходство + вкусовой баланс</x:v>
      </x:c>
      <x:c r="F275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5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I275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75" s="28" t="str">
        <x:v>Средняя</x:v>
      </x:c>
      <x:c r="K275" s="28" t="str">
        <x:v>Таблица сочетаний</x:v>
      </x:c>
      <x:c r="L275" s="28" t="str">
        <x:v>Таблица сочетаний: 2</x:v>
      </x:c>
    </x:row>
    <x:row r="276" ht="62" customHeight="1">
      <x:c r="A276" s="28" t="str">
        <x:v>BER-0661</x:v>
      </x:c>
      <x:c r="B276" s="28" t="str">
        <x:v>чёрная смородина</x:v>
      </x:c>
      <x:c r="C276" s="28" t="str">
        <x:v>розмарин</x:v>
      </x:c>
      <x:c r="D276" s="28" t="str">
        <x:v>Травы и цветы</x:v>
      </x:c>
      <x:c r="E276" s="28" t="str">
        <x:v>ароматическое сходство + вкусовой баланс</x:v>
      </x:c>
      <x:c r="F276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6" s="28" t="str">
        <x:v>Тиольный профиль чёрной смородины легко доминирует и при избытке становится сернисто-«кошачьим».</x:v>
      </x:c>
      <x:c r="I276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76" s="28" t="str">
        <x:v>Средняя</x:v>
      </x:c>
      <x:c r="K276" s="28" t="str">
        <x:v>Таблица сочетаний</x:v>
      </x:c>
      <x:c r="L276" s="28" t="str">
        <x:v>Таблица сочетаний: 2</x:v>
      </x:c>
    </x:row>
    <x:row r="277" ht="62" customHeight="1">
      <x:c r="A277" s="28" t="str">
        <x:v>BER-0662</x:v>
      </x:c>
      <x:c r="B277" s="28" t="str">
        <x:v>чёрная смородина</x:v>
      </x:c>
      <x:c r="C277" s="28" t="str">
        <x:v>рыба</x:v>
      </x:c>
      <x:c r="D277" s="28" t="str">
        <x:v>Рыба и морепродукты</x:v>
      </x:c>
      <x:c r="E277" s="28" t="str">
        <x:v>контраст/комплементарность + матричный эффект</x:v>
      </x:c>
      <x:c r="F27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жирный, морской, умами. Кислота и фруктовая терпкость создают контраст к умами и жиру; небольшая сладость поддерживает реакционные жареные ноты. Белок и жир смягчают кислоту; ягодный соус должен сохранять достаточную концентрацию и соль.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7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77" s="28" t="str">
        <x:v>Тиольный профиль чёрной смородины легко доминирует и при избытке становится сернисто-«кошачьим».</x:v>
      </x:c>
      <x:c r="I277" s="28" t="str">
        <x:v>соус, глазировка, салат, сырная подача или горячее блюдо; маринад, гастрик, чатни, кетчуп или редукция</x:v>
      </x:c>
      <x:c r="J277" s="28" t="str">
        <x:v>Средняя</x:v>
      </x:c>
      <x:c r="K277" s="28" t="str">
        <x:v>The Art &amp; Science of Foodpairing</x:v>
      </x:c>
      <x:c r="L277" s="28" t="str">
        <x:v>The Art &amp; Science of Foodpairing: 104</x:v>
      </x:c>
    </x:row>
    <x:row r="278" ht="62" customHeight="1">
      <x:c r="A278" s="28" t="str">
        <x:v>BER-0663</x:v>
      </x:c>
      <x:c r="B278" s="28" t="str">
        <x:v>чёрная смородина</x:v>
      </x:c>
      <x:c r="C278" s="28" t="str">
        <x:v>свёкла</x:v>
      </x:c>
      <x:c r="D278" s="28" t="str">
        <x:v>Овощи и грибы</x:v>
      </x:c>
      <x:c r="E278" s="28" t="str">
        <x:v>сходство ароматических семейств + комплементарность</x:v>
      </x:c>
      <x:c r="F278" s="28" t="str">
        <x:v>Общие ароматические семейства: зелёный, сернистый; конкретная доля одорантов зависит от сорта и обработки. Ягодный компонент несёт семейства зелёный, листовой, сернистый, тёмно-фруктовый, цветочный; партнёр — зелёный, землистый, сернистый. Оба компонента формируют ярко-кислый, терпкий и растительный, иногда умами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7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78" s="28" t="str">
        <x:v>Тиольный профиль чёрной смородины легко доминирует и при избытке становится сернисто-«кошачьим».</x:v>
      </x:c>
      <x:c r="I278" s="28" t="str">
        <x:v>соус, глазировка, салат, сырная подача или горячее блюдо; маринад, гастрик, чатни, кетчуп или редукция</x:v>
      </x:c>
      <x:c r="J278" s="28" t="str">
        <x:v>Средняя</x:v>
      </x:c>
      <x:c r="K278" s="28" t="str">
        <x:v>The Art &amp; Science of Foodpairing</x:v>
      </x:c>
      <x:c r="L278" s="28" t="str">
        <x:v>The Art &amp; Science of Foodpairing: 224</x:v>
      </x:c>
    </x:row>
    <x:row r="279" ht="62" customHeight="1">
      <x:c r="A279" s="28" t="str">
        <x:v>BER-0664</x:v>
      </x:c>
      <x:c r="B279" s="28" t="str">
        <x:v>чёрная смородина</x:v>
      </x:c>
      <x:c r="C279" s="28" t="str">
        <x:v>соевый соус</x:v>
      </x:c>
      <x:c r="D279" s="28" t="str">
        <x:v>Ферментированные продукты, соусы и уксусы</x:v>
      </x:c>
      <x:c r="E279" s="28" t="str">
        <x:v>контраст/комплементарность + матричный эффект</x:v>
      </x:c>
      <x:c r="F27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зелёный, листовой, сернистый, тёмно-фруктовый, цветочный; партнёр — кислый, умами, ферментированный. Оба компонента формируют ярко-кислый, терпкий и кислый/солёный/умами контур; сахар, кислота и горечь должны быть выровнены дегустацией. Ягода: следовые тиолы чрезвычайно мощные; передозировка даёт «кошачий» тон.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7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79" s="28" t="str">
        <x:v>Тиольный профиль чёрной смородины легко доминирует и при избытке становится сернисто-«кошачьим».</x:v>
      </x:c>
      <x:c r="I279" s="28" t="str">
        <x:v>соус, глазировка, салат, сырная подача или горячее блюдо; маринад, гастрик, чатни, кетчуп или редукция</x:v>
      </x:c>
      <x:c r="J279" s="28" t="str">
        <x:v>Средняя</x:v>
      </x:c>
      <x:c r="K279" s="28" t="str">
        <x:v>The Art &amp; Science of Foodpairing</x:v>
      </x:c>
      <x:c r="L279" s="28" t="str">
        <x:v>The Art &amp; Science of Foodpairing: 300</x:v>
      </x:c>
    </x:row>
    <x:row r="280" ht="62" customHeight="1">
      <x:c r="A280" s="28" t="str">
        <x:v>BER-0666</x:v>
      </x:c>
      <x:c r="B280" s="28" t="str">
        <x:v>чёрная смородина</x:v>
      </x:c>
      <x:c r="C280" s="28" t="str">
        <x:v>хамон иберико</x:v>
      </x:c>
      <x:c r="D280" s="28" t="str">
        <x:v>Мясо и птица</x:v>
      </x:c>
      <x:c r="E280" s="28" t="str">
        <x:v>сходство ароматических семейств + комплементарность</x:v>
      </x:c>
      <x:c r="F280" s="28" t="str">
        <x:v>Общие ароматические семейства: сернистый; конкретная доля одорантов зависит от сорта и обработки. Ягодный компонент несёт семейства зелёный, листовой, сернистый, тёмно-фруктовый,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8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80" s="28" t="str">
        <x:v>Тиольный профиль чёрной смородины легко доминирует и при избытке становится сернисто-«кошачьим».</x:v>
      </x:c>
      <x:c r="I280" s="28" t="str">
        <x:v>соус, глазировка, салат, сырная подача или горячее блюдо; маринад, гастрик, чатни, кетчуп или редукция</x:v>
      </x:c>
      <x:c r="J280" s="28" t="str">
        <x:v>Средняя</x:v>
      </x:c>
      <x:c r="K280" s="28" t="str">
        <x:v>The Art &amp; Science of Foodpairing</x:v>
      </x:c>
      <x:c r="L280" s="28" t="str">
        <x:v>The Art &amp; Science of Foodpairing: 279</x:v>
      </x:c>
    </x:row>
    <x:row r="281" ht="62" customHeight="1">
      <x:c r="A281" s="28" t="str">
        <x:v>BER-0667</x:v>
      </x:c>
      <x:c r="B281" s="28" t="str">
        <x:v>чёрная смородина</x:v>
      </x:c>
      <x:c r="C281" s="28" t="str">
        <x:v>цветная капуста</x:v>
      </x:c>
      <x:c r="D281" s="28" t="str">
        <x:v>Травы и цветы</x:v>
      </x:c>
      <x:c r="E281" s="28" t="str">
        <x:v>ароматическое сходство + вкусовой баланс</x:v>
      </x:c>
      <x:c r="F281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8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81" s="28" t="str">
        <x:v>Тиольный профиль чёрной смородины легко доминирует и при избытке становится сернисто-«кошачьим».</x:v>
      </x:c>
      <x:c r="I28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81" s="28" t="str">
        <x:v>Средняя</x:v>
      </x:c>
      <x:c r="K281" s="28" t="str">
        <x:v>The Art &amp; Science of Foodpairing</x:v>
      </x:c>
      <x:c r="L281" s="28" t="str">
        <x:v>The Art &amp; Science of Foodpairing: 67</x:v>
      </x:c>
    </x:row>
    <x:row r="282" ht="62" customHeight="1">
      <x:c r="A282" s="28" t="str">
        <x:v>BER-0670</x:v>
      </x:c>
      <x:c r="B282" s="28" t="str">
        <x:v>чёрная смородина</x:v>
      </x:c>
      <x:c r="C282" s="28" t="str">
        <x:v>чёрный перец</x:v>
      </x:c>
      <x:c r="D282" s="28" t="str">
        <x:v>Специи</x:v>
      </x:c>
      <x:c r="E282" s="28" t="str">
        <x:v>ароматическое сходство + вкусовой баланс</x:v>
      </x:c>
      <x:c r="F282" s="28" t="str">
        <x:v>Прямой вероятный молекулярный мост: терпены. Ягодный компонент несёт семейства зелёный, листовой, сернистый,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8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82" s="28" t="str">
        <x:v>Тиольный профиль чёрной смородины легко доминирует и при избытке становится сернисто-«кошачьим». Пряность дозировать как акцент: она быстро перекрывает тонкие ягодные эфиры.</x:v>
      </x:c>
      <x:c r="I28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82" s="28" t="str">
        <x:v>Средняя</x:v>
      </x:c>
      <x:c r="K282" s="28" t="str">
        <x:v>The Art &amp; Science of Foodpairing</x:v>
      </x:c>
      <x:c r="L282" s="28" t="str">
        <x:v>The Art &amp; Science of Foodpairing: 273</x:v>
      </x:c>
    </x:row>
    <x:row r="283" ht="62" customHeight="1">
      <x:c r="A283" s="28" t="str">
        <x:v>BER-0677</x:v>
      </x:c>
      <x:c r="B283" s="28" t="str">
        <x:v>черника</x:v>
      </x:c>
      <x:c r="C283" s="28" t="str">
        <x:v>грибы</x:v>
      </x:c>
      <x:c r="D283" s="28" t="str">
        <x:v>Овощи и грибы</x:v>
      </x:c>
      <x:c r="E283" s="28" t="str">
        <x:v>ароматическое сходство + вкусовой баланс</x:v>
      </x:c>
      <x:c r="F283" s="28" t="str">
        <x:v>Прямой вероятный молекулярный мост: C6-альдегиды. Ягодный компонент несёт семейства древесный, зелёный, тёмно-фруктовый, цветочный; партнёр — зелёный, землистый, сернистый. Оба компонента формируют кисло-сладкий, терпкий и растительный, иногда умами контур; сахар, кислота и горечь должны быть выровнены дегустацией. Ягода: антоцианы отвечают за цвет, но не за основной запах.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8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83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83" s="28" t="str">
        <x:v>соус, глазировка, салат, сырная подача или горячее блюдо; маринад, гастрик, чатни, кетчуп или редукция</x:v>
      </x:c>
      <x:c r="J283" s="28" t="str">
        <x:v>Высокая</x:v>
      </x:c>
      <x:c r="K283" s="28" t="str">
        <x:v>Тезариус вкусов</x:v>
      </x:c>
      <x:c r="L283" s="28" t="str">
        <x:v>Тезариус вкусов: 206, 904</x:v>
      </x:c>
    </x:row>
    <x:row r="284" ht="62" customHeight="1">
      <x:c r="A284" s="28" t="str">
        <x:v>BER-0678</x:v>
      </x:c>
      <x:c r="B284" s="28" t="str">
        <x:v>черника</x:v>
      </x:c>
      <x:c r="C284" s="28" t="str">
        <x:v>корица</x:v>
      </x:c>
      <x:c r="D284" s="28" t="str">
        <x:v>Специи</x:v>
      </x:c>
      <x:c r="E284" s="28" t="str">
        <x:v>ароматическое сходство + вкусовой баланс</x:v>
      </x:c>
      <x:c r="F284" s="28" t="str">
        <x:v>Прямой вероятный молекулярный мост: терпены. Ягодный компонент несёт семейства древесный, зелёный, тёмно-фруктовый,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8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84" s="28" t="str">
        <x:v>Пряность дозировать как акцент: она быстро перекрывает тонкие ягодные эфиры.</x:v>
      </x:c>
      <x:c r="I284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84" s="28" t="str">
        <x:v>Высокая</x:v>
      </x:c>
      <x:c r="K284" s="28" t="str">
        <x:v>Тезариус вкусов</x:v>
      </x:c>
      <x:c r="L284" s="28" t="str">
        <x:v>Тезариус вкусов: 580, 905</x:v>
      </x:c>
    </x:row>
    <x:row r="285" ht="62" customHeight="1">
      <x:c r="A285" s="28" t="str">
        <x:v>BER-0679</x:v>
      </x:c>
      <x:c r="B285" s="28" t="str">
        <x:v>черника</x:v>
      </x:c>
      <x:c r="C285" s="28" t="str">
        <x:v>лимон</x:v>
      </x:c>
      <x:c r="D285" s="28" t="str">
        <x:v>Цитрусовые</x:v>
      </x:c>
      <x:c r="E285" s="28" t="str">
        <x:v>сходство ароматических семейств + комплементарность</x:v>
      </x:c>
      <x:c r="F285" s="28" t="str">
        <x:v>Общие ароматические семейства: зелёный, цветочный; конкретная доля одорантов зависит от сорта и обработки. Ягодный компонент несёт семейства древесный, зелёный, тёмно-фруктовый, цветочный; партнёр — зелёный, цветочный, цитрусовый. Оба компонента формируют кисло-сладкий, терпкий и кислый, свежий контур; сахар, кислота и горечь должны быть выровнены дегустацией. Ягода: антоцианы отвечают за цвет, но не за основной запах.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8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8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85" s="28" t="str">
        <x:v>кордиал, лимонад, чай, коктейль, настой или ферментированный напиток; маринад, гастрик, чатни, кетчуп или редукция</x:v>
      </x:c>
      <x:c r="J285" s="28" t="str">
        <x:v>Высокая</x:v>
      </x:c>
      <x:c r="K285" s="28" t="str">
        <x:v>Тезариус вкусов</x:v>
      </x:c>
      <x:c r="L285" s="28" t="str">
        <x:v>Тезариус вкусов: 810, 905</x:v>
      </x:c>
    </x:row>
    <x:row r="286" ht="62" customHeight="1">
      <x:c r="A286" s="28" t="str">
        <x:v>BER-0682</x:v>
      </x:c>
      <x:c r="B286" s="28" t="str">
        <x:v>черника</x:v>
      </x:c>
      <x:c r="C286" s="28" t="str">
        <x:v>мясо</x:v>
      </x:c>
      <x:c r="D286" s="28" t="str">
        <x:v>Мясо и птица</x:v>
      </x:c>
      <x:c r="E286" s="28" t="str">
        <x:v>контраст/комплементарность + матричный эффект</x:v>
      </x:c>
      <x:c r="F28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древесный, зелёный, тёмно-фруктовый, цветочный; партнёр — жареный, жирный, сернистый, умами. Кислотность и терпкость ягод режут ощущение жира и сладости; умами, солёный, жирный профиль партнёра округляет ягодную резкость. Жировая фаза удерживает гидрофобные одоранты и продлевает послевкусие; кислотность ягод повышает слюноотделение.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8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8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86" s="28" t="str">
        <x:v>соус, глазировка, салат, сырная подача или горячее блюдо; маринад, гастрик, чатни, кетчуп или редукция</x:v>
      </x:c>
      <x:c r="J286" s="28" t="str">
        <x:v>Средняя</x:v>
      </x:c>
      <x:c r="K286" s="28" t="str">
        <x:v>The Art &amp; Science of Foodpairing</x:v>
      </x:c>
      <x:c r="L286" s="28" t="str">
        <x:v>The Art &amp; Science of Foodpairing: 187</x:v>
      </x:c>
    </x:row>
    <x:row r="287" ht="62" customHeight="1">
      <x:c r="A287" s="28" t="str">
        <x:v>BER-0688</x:v>
      </x:c>
      <x:c r="B287" s="28" t="str">
        <x:v>шелковица</x:v>
      </x:c>
      <x:c r="C287" s="28" t="str">
        <x:v>доджанг</x:v>
      </x:c>
      <x:c r="D287" s="28" t="str">
        <x:v>Ферментированные продукты, соусы и уксусы</x:v>
      </x:c>
      <x:c r="E287" s="28" t="str">
        <x:v>ароматическое сходство + вкусовой баланс</x:v>
      </x:c>
      <x:c r="F287" s="28" t="str">
        <x:v>Прямой вероятный молекулярный мост: эфиры. Ягодный компонент несёт семейства джемовый, фруктовый, цветочный; партнёр — кислый, умами, ферментированный. Оба компонента формируют сладко-кислый и кислый/солёный/умами контур; сахар, кислота и горечь должны быть выровнены дегустацией. Ягода: мягкий аромат нуждается в кислотной опоре.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8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8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87" s="28" t="str">
        <x:v>соус, глазировка, салат, сырная подача или горячее блюдо; маринад, гастрик, чатни, кетчуп или редукция</x:v>
      </x:c>
      <x:c r="J287" s="28" t="str">
        <x:v>Средняя</x:v>
      </x:c>
      <x:c r="K287" s="28" t="str">
        <x:v>The Art &amp; Science of Foodpairing</x:v>
      </x:c>
      <x:c r="L287" s="28" t="str">
        <x:v>The Art &amp; Science of Foodpairing: 247</x:v>
      </x:c>
    </x:row>
    <x:row r="288" ht="62" customHeight="1">
      <x:c r="A288" s="28" t="str">
        <x:v>BER-0689</x:v>
      </x:c>
      <x:c r="B288" s="28" t="str">
        <x:v>шелковица</x:v>
      </x:c>
      <x:c r="C288" s="28" t="str">
        <x:v>лимон</x:v>
      </x:c>
      <x:c r="D288" s="28" t="str">
        <x:v>Цитрусовые</x:v>
      </x:c>
      <x:c r="E288" s="28" t="str">
        <x:v>сходство ароматических семейств + комплементарность</x:v>
      </x:c>
      <x:c r="F288" s="28" t="str">
        <x:v>Общие ароматические семейства: цветочный; конкретная доля одорантов зависит от сорта и обработки. Ягодный компонент несёт семейства джемовый, фруктовый, цветочный; партнёр — зелёный, цветочный, цитрусовый. Оба компонента формируют сладко-кислый и кислый, свежий контур; сахар, кислота и горечь должны быть выровнены дегустацией. Ягода: мягкий аромат нуждается в кислотной опоре. Партнёр: вода и эфирные масла; цедра гидрофобна.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8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88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88" s="28" t="str">
        <x:v>кордиал, лимонад, чай, коктейль, настой или ферментированный напиток; маринад, гастрик, чатни, кетчуп или редукция</x:v>
      </x:c>
      <x:c r="J288" s="28" t="str">
        <x:v>Средняя</x:v>
      </x:c>
      <x:c r="K288" s="28" t="str">
        <x:v>Таблица сочетаний</x:v>
      </x:c>
      <x:c r="L288" s="28" t="str">
        <x:v>Таблица сочетаний: 13</x:v>
      </x:c>
    </x:row>
    <x:row r="289" ht="62" customHeight="1">
      <x:c r="A289" s="28" t="str">
        <x:v>BER-0691</x:v>
      </x:c>
      <x:c r="B289" s="28" t="str">
        <x:v>шелковица</x:v>
      </x:c>
      <x:c r="C289" s="28" t="str">
        <x:v>мята</x:v>
      </x:c>
      <x:c r="D289" s="28" t="str">
        <x:v>Травы и цветы</x:v>
      </x:c>
      <x:c r="E289" s="28" t="str">
        <x:v>ароматическое сходство + вкусовой баланс</x:v>
      </x:c>
      <x:c r="F289" s="28" t="str">
        <x:v>Прямой вероятный молекулярный мост: терпены. Ягодный компонент несёт семейства джемовый,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8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8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8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89" s="28" t="str">
        <x:v>Средняя</x:v>
      </x:c>
      <x:c r="K289" s="28" t="str">
        <x:v>Таблица сочетаний</x:v>
      </x:c>
      <x:c r="L289" s="28" t="str">
        <x:v>Таблица сочетаний: 13</x:v>
      </x:c>
    </x:row>
    <x:row r="290" ht="62" customHeight="1">
      <x:c r="A290" s="28" t="str">
        <x:v>BER-0692</x:v>
      </x:c>
      <x:c r="B290" s="28" t="str">
        <x:v>шелковица</x:v>
      </x:c>
      <x:c r="C290" s="28" t="str">
        <x:v>розмарин</x:v>
      </x:c>
      <x:c r="D290" s="28" t="str">
        <x:v>Травы и цветы</x:v>
      </x:c>
      <x:c r="E290" s="28" t="str">
        <x:v>ароматическое сходство + вкусовой баланс</x:v>
      </x:c>
      <x:c r="F290" s="28" t="str">
        <x:v>Прямой вероятный молекулярный мост: терпены. Ягодный компонент несёт семейства джемовый,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9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90" s="28" t="str">
        <x:v>Средняя</x:v>
      </x:c>
      <x:c r="K290" s="28" t="str">
        <x:v>Таблица сочетаний</x:v>
      </x:c>
      <x:c r="L290" s="28" t="str">
        <x:v>Таблица сочетаний: 13</x:v>
      </x:c>
    </x:row>
    <x:row r="291" ht="62" customHeight="1">
      <x:c r="A291" s="28" t="str">
        <x:v>BER-0694</x:v>
      </x:c>
      <x:c r="B291" s="28" t="str">
        <x:v>шелковица</x:v>
      </x:c>
      <x:c r="C291" s="28" t="str">
        <x:v>тимьян</x:v>
      </x:c>
      <x:c r="D291" s="28" t="str">
        <x:v>Травы и цветы</x:v>
      </x:c>
      <x:c r="E291" s="28" t="str">
        <x:v>ароматическое сходство + вкусовой баланс</x:v>
      </x:c>
      <x:c r="F291" s="28" t="str">
        <x:v>Прямой вероятный молекулярный мост: терпены. Ягодный компонент несёт семейства джемовый, фруктовый, цветочный;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1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1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91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91" s="28" t="str">
        <x:v>Средняя</x:v>
      </x:c>
      <x:c r="K291" s="28" t="str">
        <x:v>Таблица сочетаний</x:v>
      </x:c>
      <x:c r="L291" s="28" t="str">
        <x:v>Таблица сочетаний: 13</x:v>
      </x:c>
    </x:row>
    <x:row r="292" ht="62" customHeight="1">
      <x:c r="A292" s="28" t="str">
        <x:v>BER-0695</x:v>
      </x:c>
      <x:c r="B292" s="28" t="str">
        <x:v>шелковица</x:v>
      </x:c>
      <x:c r="C292" s="28" t="str">
        <x:v>чёрный перец</x:v>
      </x:c>
      <x:c r="D292" s="28" t="str">
        <x:v>Специи</x:v>
      </x:c>
      <x:c r="E292" s="28" t="str">
        <x:v>ароматическое сходство + вкусовой баланс</x:v>
      </x:c>
      <x:c r="F292" s="28" t="str">
        <x:v>Прямой вероятный молекулярный мост: терпены. Ягодный компонент несёт семейства джемовый, фруктовый, цветочный;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2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2" s="28" t="str">
        <x:v>Пряность дозировать как акцент: она быстро перекрывает тонкие ягодные эфиры.</x:v>
      </x:c>
      <x:c r="I292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92" s="28" t="str">
        <x:v>Средняя</x:v>
      </x:c>
      <x:c r="K292" s="28" t="str">
        <x:v>Таблица сочетаний</x:v>
      </x:c>
      <x:c r="L292" s="28" t="str">
        <x:v>Таблица сочетаний: 13</x:v>
      </x:c>
    </x:row>
    <x:row r="293" ht="62" customHeight="1">
      <x:c r="A293" s="28" t="str">
        <x:v>BER-0698</x:v>
      </x:c>
      <x:c r="B293" s="28" t="str">
        <x:v>ягоды асаи</x:v>
      </x:c>
      <x:c r="C293" s="28" t="str">
        <x:v>имбирь</x:v>
      </x:c>
      <x:c r="D293" s="28" t="str">
        <x:v>Специи</x:v>
      </x:c>
      <x:c r="E293" s="28" t="str">
        <x:v>контраст/комплементарность + матричный эффект</x:v>
      </x:c>
      <x:c r="F293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3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3" s="28" t="str">
        <x:v>Пряность дозировать как акцент: она быстро перекрывает тонкие ягодные эфиры.</x:v>
      </x:c>
      <x:c r="I293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93" s="28" t="str">
        <x:v>Средняя</x:v>
      </x:c>
      <x:c r="K293" s="28" t="str">
        <x:v>The Art &amp; Science of Foodpairing</x:v>
      </x:c>
      <x:c r="L293" s="28" t="str">
        <x:v>The Art &amp; Science of Foodpairing: 142</x:v>
      </x:c>
    </x:row>
    <x:row r="294" ht="62" customHeight="1">
      <x:c r="A294" s="28" t="str">
        <x:v>BER-0702</x:v>
      </x:c>
      <x:c r="B294" s="28" t="str">
        <x:v>ягоды асаи</x:v>
      </x:c>
      <x:c r="C294" s="28" t="str">
        <x:v>свёкла</x:v>
      </x:c>
      <x:c r="D294" s="28" t="str">
        <x:v>Овощи и грибы</x:v>
      </x:c>
      <x:c r="E294" s="28" t="str">
        <x:v>контраст/комплементарность + матричный эффект</x:v>
      </x:c>
      <x:c r="F294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землистый, сернистый. Оба компонента формируют зависит от ингредиента и растительный, иногда умами контур; сахар, кислота и горечь должны быть выровнены дегустацией. Ягода: механизм зависит от конкретного продукта.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94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94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94" s="28" t="str">
        <x:v>соус, глазировка, салат, сырная подача или горячее блюдо; маринад, гастрик, чатни, кетчуп или редукция</x:v>
      </x:c>
      <x:c r="J294" s="28" t="str">
        <x:v>Средняя</x:v>
      </x:c>
      <x:c r="K294" s="28" t="str">
        <x:v>The Art &amp; Science of Foodpairing</x:v>
      </x:c>
      <x:c r="L294" s="28" t="str">
        <x:v>The Art &amp; Science of Foodpairing: 224</x:v>
      </x:c>
    </x:row>
    <x:row r="295" ht="62" customHeight="1">
      <x:c r="A295" s="28" t="str">
        <x:v>BER-0703</x:v>
      </x:c>
      <x:c r="B295" s="28" t="str">
        <x:v>ягоды асаи</x:v>
      </x:c>
      <x:c r="C295" s="28" t="str">
        <x:v>соевый соус</x:v>
      </x:c>
      <x:c r="D295" s="28" t="str">
        <x:v>Ферментированные продукты, соусы и уксусы</x:v>
      </x:c>
      <x:c r="E295" s="28" t="str">
        <x:v>контраст/комплементарность + матричный эффект</x:v>
      </x:c>
      <x:c r="F295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кислый, умами, ферментированный. Оба компонента формируют зависит от ингредиента и кислый/солёный/умами контур; сахар, кислота и горечь должны быть выровнены дегустацией. Ягода: механизм зависит от конкретного продукта. Партнёр: вода, соль и продукты ферментации.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5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5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95" s="28" t="str">
        <x:v>соус, глазировка, салат, сырная подача или горячее блюдо; маринад, гастрик, чатни, кетчуп или редукция</x:v>
      </x:c>
      <x:c r="J295" s="28" t="str">
        <x:v>Средняя</x:v>
      </x:c>
      <x:c r="K295" s="28" t="str">
        <x:v>The Art &amp; Science of Foodpairing</x:v>
      </x:c>
      <x:c r="L295" s="28" t="str">
        <x:v>The Art &amp; Science of Foodpairing: 301</x:v>
      </x:c>
    </x:row>
    <x:row r="296" ht="62" customHeight="1">
      <x:c r="A296" s="28" t="str">
        <x:v>BER-0704</x:v>
      </x:c>
      <x:c r="B296" s="28" t="str">
        <x:v>ягоды асаи</x:v>
      </x:c>
      <x:c r="C296" s="28" t="str">
        <x:v>трюфель</x:v>
      </x:c>
      <x:c r="D296" s="28" t="str">
        <x:v>Овощи и грибы</x:v>
      </x:c>
      <x:c r="E296" s="28" t="str">
        <x:v>контраст/комплементарность + матричный эффект</x:v>
      </x:c>
      <x:c r="F296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землистый, сернистый. Оба компонента формируют зависит от ингредиента и растительный, иногда умами контур; сахар, кислота и горечь должны быть выровнены дегустацией. Ягода: механизм зависит от конкретного продукта. Партнёр: высокая доля воды; нагрев меняет зелёный профиль. В воде аромат раскрывается быстрее, в жире и этаноле — дольше удерживается.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G296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 Для соуса лучше короткое выпаривание и корректировка кислотности в конце.</x:v>
      </x:c>
      <x:c r="H296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96" s="28" t="str">
        <x:v>соус, глазировка, салат, сырная подача или горячее блюдо; маринад, гастрик, чатни, кетчуп или редукция</x:v>
      </x:c>
      <x:c r="J296" s="28" t="str">
        <x:v>Средняя</x:v>
      </x:c>
      <x:c r="K296" s="28" t="str">
        <x:v>The Art &amp; Science of Foodpairing</x:v>
      </x:c>
      <x:c r="L296" s="28" t="str">
        <x:v>The Art &amp; Science of Foodpairing: 193</x:v>
      </x:c>
    </x:row>
    <x:row r="297" ht="62" customHeight="1">
      <x:c r="A297" s="28" t="str">
        <x:v>BER-0708</x:v>
      </x:c>
      <x:c r="B297" s="28" t="str">
        <x:v>ягоды годжи</x:v>
      </x:c>
      <x:c r="C297" s="28" t="str">
        <x:v>базилик</x:v>
      </x:c>
      <x:c r="D297" s="28" t="str">
        <x:v>Травы и цветы</x:v>
      </x:c>
      <x:c r="E297" s="28" t="str">
        <x:v>контраст/комплементарность + матричный эффект</x:v>
      </x:c>
      <x:c r="F297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7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7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97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97" s="28" t="str">
        <x:v>Средняя</x:v>
      </x:c>
      <x:c r="K297" s="28" t="str">
        <x:v>The Art &amp; Science of Foodpairing</x:v>
      </x:c>
      <x:c r="L297" s="28" t="str">
        <x:v>The Art &amp; Science of Foodpairing: 74</x:v>
      </x:c>
    </x:row>
    <x:row r="298" ht="62" customHeight="1">
      <x:c r="A298" s="28" t="str">
        <x:v>BER-0711</x:v>
      </x:c>
      <x:c r="B298" s="28" t="str">
        <x:v>ягоды годжи</x:v>
      </x:c>
      <x:c r="C298" s="28" t="str">
        <x:v>корица</x:v>
      </x:c>
      <x:c r="D298" s="28" t="str">
        <x:v>Специи</x:v>
      </x:c>
      <x:c r="E298" s="28" t="str">
        <x:v>контраст/комплементарность + матричный эффект</x:v>
      </x:c>
      <x:c r="F298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древесный, пряный, тёплый. Ягодная сладость смягчает горечь и пряность, а кислотность делает пряный, иногда горький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8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8" s="28" t="str">
        <x:v>Пряность дозировать как акцент: она быстро перекрывает тонкие ягодные эфиры.</x:v>
      </x:c>
      <x:c r="I298" s="28" t="str">
        <x:v>кордиал, лимонад, чай, коктейль, настой или ферментированный напиток; сорбет, крем, ганаш, выпечка, джем или соус для десерта; соус, глазировка, салат, сырная подача или горячее блюдо; маринад, гастрик, чатни, кетчуп или редукция</x:v>
      </x:c>
      <x:c r="J298" s="28" t="str">
        <x:v>Средняя</x:v>
      </x:c>
      <x:c r="K298" s="28" t="str">
        <x:v>Таблица сочетаний</x:v>
      </x:c>
      <x:c r="L298" s="28" t="str">
        <x:v>Таблица сочетаний: 8</x:v>
      </x:c>
    </x:row>
    <x:row r="299" ht="62" customHeight="1">
      <x:c r="A299" s="28" t="str">
        <x:v>BER-0715</x:v>
      </x:c>
      <x:c r="B299" s="28" t="str">
        <x:v>ягоды годжи</x:v>
      </x:c>
      <x:c r="C299" s="28" t="str">
        <x:v>мята</x:v>
      </x:c>
      <x:c r="D299" s="28" t="str">
        <x:v>Травы и цветы</x:v>
      </x:c>
      <x:c r="E299" s="28" t="str">
        <x:v>контраст/комплементарность + матричный эффект</x:v>
      </x:c>
      <x:c r="F299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299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299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299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299" s="28" t="str">
        <x:v>Средняя</x:v>
      </x:c>
      <x:c r="K299" s="28" t="str">
        <x:v>Таблица сочетаний</x:v>
      </x:c>
      <x:c r="L299" s="28" t="str">
        <x:v>Таблица сочетаний: 8</x:v>
      </x:c>
    </x:row>
    <x:row r="300" ht="62" customHeight="1">
      <x:c r="A300" s="28" t="str">
        <x:v>BER-0716</x:v>
      </x:c>
      <x:c r="B300" s="28" t="str">
        <x:v>ягоды годжи</x:v>
      </x:c>
      <x:c r="C300" s="28" t="str">
        <x:v>тимьян</x:v>
      </x:c>
      <x:c r="D300" s="28" t="str">
        <x:v>Травы и цветы</x:v>
      </x:c>
      <x:c r="E300" s="28" t="str">
        <x:v>контраст/комплементарность + матричный эффект</x:v>
      </x:c>
      <x:c r="F300" s="28" t="str">
        <x:v>Надёжный общий маркер не установлен; сочетание объясняется комплементарностью ароматов, вкусом и пищевой матрицей. Ягодный компонент несёт семейства комплексный; партнёр — зелёный, травянистый, цветочный. Ягодная сладость смягчает горечь и пряность, а кислотность делает горьковатый, свежий профиль ярче. Эфирные масла лучше раскрываются в небольшом количестве жира или этанола; в воде нужны сахар и достаточная температура экстракции. 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G300" s="28" t="str">
        <x:v>Свежая ягода сохраняет эфиры и зелёно-цветочные ноты. Нагрев концентрирует сахар, снижает свежесть и может усилить джемовые, карамельные и косточковые оттенки. Заморозка разрушает клетки и повышает выход сока, но часть летучих веществ теряется.</x:v>
      </x:c>
      <x:c r="H300" s="28" t="str">
        <x:v>Не перегревать и не переслащивать: оба фактора скрывают свежие летучие ноты и превращают профиль в однообразно джемовый.</x:v>
      </x:c>
      <x:c r="I300" s="28" t="str">
        <x:v>кордиал, лимонад, чай, коктейль, настой или ферментированный напиток; соус, глазировка, салат, сырная подача или горячее блюдо; маринад, гастрик, чатни, кетчуп или редукция</x:v>
      </x:c>
      <x:c r="J300" s="28" t="str">
        <x:v>Средняя</x:v>
      </x:c>
      <x:c r="K300" s="28" t="str">
        <x:v>Таблица сочетаний</x:v>
      </x:c>
      <x:c r="L300" s="28" t="str">
        <x:v>Таблица сочетаний: 8</x:v>
      </x:c>
    </x:row>
  </x:sheetData>
  <x:conditionalFormatting sqref="J2:J300">
    <x:cfRule type="expression" dxfId="8" priority="1">
      <x:formula>J2="Высокая"</x:formula>
    </x:cfRule>
    <x:cfRule type="expression" dxfId="9" priority="2">
      <x:formula>J2="Средняя"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ecc334337747f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5" hidden="0" customWidth="1"/>
    <x:col min="3" max="3" width="35" hidden="0" customWidth="1"/>
    <x:col min="4" max="4" width="43" hidden="0" customWidth="1"/>
    <x:col min="5" max="5" width="28" hidden="0" customWidth="1"/>
    <x:col min="6" max="6" width="40" hidden="0" customWidth="1"/>
    <x:col min="7" max="7" width="46" hidden="0" customWidth="1"/>
    <x:col min="8" max="8" width="52" hidden="0" customWidth="1"/>
    <x:col min="9" max="9" width="15" hidden="0" customWidth="1"/>
  </x:cols>
  <x:sheetData>
    <x:row r="1">
      <x:c r="A1" s="20" t="str">
        <x:v>Ягода / производное</x:v>
      </x:c>
      <x:c r="B1" s="20" t="str">
        <x:v>Группа</x:v>
      </x:c>
      <x:c r="C1" s="20" t="str">
        <x:v>Аромапрофиль</x:v>
      </x:c>
      <x:c r="D1" s="20" t="str">
        <x:v>Характерные соединения</x:v>
      </x:c>
      <x:c r="E1" s="20" t="str">
        <x:v>Базовые вкусы</x:v>
      </x:c>
      <x:c r="F1" s="20" t="str">
        <x:v>Тройничный эффект</x:v>
      </x:c>
      <x:c r="G1" s="20" t="str">
        <x:v>Матрица</x:v>
      </x:c>
      <x:c r="H1" s="20" t="str">
        <x:v>Научный комментарий</x:v>
      </x:c>
      <x:c r="I1" s="20" t="str">
        <x:v>Количество пар</x:v>
      </x:c>
    </x:row>
    <x:row r="2" ht="54" customHeight="1">
      <x:c r="A2" s="28" t="str">
        <x:v>барбарис</x:v>
      </x:c>
      <x:c r="B2" s="28" t="str">
        <x:v>Ягоды и производные</x:v>
      </x:c>
      <x:c r="C2" s="28" t="str">
        <x:v>кислый, красно-фруктовый, цветочный</x:v>
      </x:c>
      <x:c r="D2" s="28" t="str">
        <x:v>терпены, эфиры</x:v>
      </x:c>
      <x:c r="E2" s="28" t="str">
        <x:v>очень кислый</x:v>
      </x:c>
      <x:c r="F2" s="28" t="str">
        <x:v>обычно отсутствует; зависит от конкретного продукта</x:v>
      </x:c>
      <x:c r="G2" s="28" t="str">
        <x:v>лучше работает как кислотный акцент</x:v>
      </x:c>
      <x:c r="H2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2" s="28" t="n">
        <x:f>COUNTIF('Все сочетания'!$C:$C,A2)+COUNTIF('Все сочетания'!$F:$F,A2)</x:f>
        <x:v>5</x:v>
      </x:c>
    </x:row>
    <x:row r="3" ht="54" customHeight="1">
      <x:c r="A3" s="28" t="str">
        <x:v>бойзенова ягода</x:v>
      </x:c>
      <x:c r="B3" s="28" t="str">
        <x:v>Ягоды и производные</x:v>
      </x:c>
      <x:c r="C3" s="28" t="str">
        <x:v>комплексный</x:v>
      </x:c>
      <x:c r="D3" s="28" t="str">
        <x:v>не конкретизированы</x:v>
      </x:c>
      <x:c r="E3" s="28" t="str">
        <x:v>зависит от ингредиента</x:v>
      </x:c>
      <x:c r="F3" s="28" t="str">
        <x:v>обычно отсутствует; зависит от конкретного продукта</x:v>
      </x:c>
      <x:c r="G3" s="28" t="str">
        <x:v>механизм зависит от конкретного продукта</x:v>
      </x:c>
      <x:c r="H3" s="28" t="str">
        <x:v>Справочный групповой профиль; для точного состава конкретного сорта или бренда нужен инструментальный анализ.</x:v>
      </x:c>
      <x:c r="I3" s="28" t="n">
        <x:f>COUNTIF('Все сочетания'!$C:$C,A3)+COUNTIF('Все сочетания'!$F:$F,A3)</x:f>
        <x:v>1</x:v>
      </x:c>
    </x:row>
    <x:row r="4" ht="54" customHeight="1">
      <x:c r="A4" s="28" t="str">
        <x:v>брусника</x:v>
      </x:c>
      <x:c r="B4" s="28" t="str">
        <x:v>Ягоды и производные</x:v>
      </x:c>
      <x:c r="C4" s="28" t="str">
        <x:v>древесный, зелёный, кислый, красно-фруктовый</x:v>
      </x:c>
      <x:c r="D4" s="28" t="str">
        <x:v>C6-альдегиды, бензойная кислота, эфиры</x:v>
      </x:c>
      <x:c r="E4" s="28" t="str">
        <x:v>кислый, терпкий</x:v>
      </x:c>
      <x:c r="F4" s="28" t="str">
        <x:v>обычно отсутствует; зависит от конкретного продукта</x:v>
      </x:c>
      <x:c r="G4" s="28" t="str">
        <x:v>хорошо выдерживает нагрев, но требует баланса сладостью/жиром</x:v>
      </x:c>
      <x:c r="H4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4" s="28" t="n">
        <x:f>COUNTIF('Все сочетания'!$C:$C,A4)+COUNTIF('Все сочетания'!$F:$F,A4)</x:f>
        <x:v>2</x:v>
      </x:c>
    </x:row>
    <x:row r="5" ht="54" customHeight="1">
      <x:c r="A5" s="28" t="str">
        <x:v>бузина</x:v>
      </x:c>
      <x:c r="B5" s="28" t="str">
        <x:v>Ягоды и производные</x:v>
      </x:c>
      <x:c r="C5" s="28" t="str">
        <x:v>зелёный, тёмно-фруктовый, цветочный</x:v>
      </x:c>
      <x:c r="D5" s="28" t="str">
        <x:v>альдегиды, терпены, эфиры</x:v>
      </x:c>
      <x:c r="E5" s="28" t="str">
        <x:v>кисло-сладкий, терпкий</x:v>
      </x:c>
      <x:c r="F5" s="28" t="str">
        <x:v>обычно отсутствует; зависит от конкретного продукта</x:v>
      </x:c>
      <x:c r="G5" s="28" t="str">
        <x:v>ягоды обычно требуют термообработки; цветы и ягоды имеют разные профили</x:v>
      </x:c>
      <x:c r="H5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5" s="28" t="n">
        <x:f>COUNTIF('Все сочетания'!$C:$C,A5)+COUNTIF('Все сочетания'!$F:$F,A5)</x:f>
        <x:v>39</x:v>
      </x:c>
    </x:row>
    <x:row r="6" ht="54" customHeight="1">
      <x:c r="A6" s="28" t="str">
        <x:v>бузиновый сок</x:v>
      </x:c>
      <x:c r="B6" s="28" t="str">
        <x:v>Ягоды и производные</x:v>
      </x:c>
      <x:c r="C6" s="28" t="str">
        <x:v>комплексный</x:v>
      </x:c>
      <x:c r="D6" s="28" t="str">
        <x:v>не конкретизированы</x:v>
      </x:c>
      <x:c r="E6" s="28" t="str">
        <x:v>зависит от ингредиента</x:v>
      </x:c>
      <x:c r="F6" s="28" t="str">
        <x:v>обычно отсутствует; зависит от конкретного продукта</x:v>
      </x:c>
      <x:c r="G6" s="28" t="str">
        <x:v>механизм зависит от конкретного продукта</x:v>
      </x:c>
      <x:c r="H6" s="28" t="str">
        <x:v>Справочный групповой профиль; для точного состава конкретного сорта или бренда нужен инструментальный анализ.</x:v>
      </x:c>
      <x:c r="I6" s="28" t="n">
        <x:f>COUNTIF('Все сочетания'!$C:$C,A6)+COUNTIF('Все сочетания'!$F:$F,A6)</x:f>
        <x:v>6</x:v>
      </x:c>
    </x:row>
    <x:row r="7" ht="54" customHeight="1">
      <x:c r="A7" s="28" t="str">
        <x:v>вишня</x:v>
      </x:c>
      <x:c r="B7" s="28" t="str">
        <x:v>Ягоды и производные</x:v>
      </x:c>
      <x:c r="C7" s="28" t="str">
        <x:v>миндальный, пряный, фруктовый, цветочный</x:v>
      </x:c>
      <x:c r="D7" s="28" t="str">
        <x:v>бензальдегид, бета-дамасценон, линалоол, эвгенол</x:v>
      </x:c>
      <x:c r="E7" s="28" t="str">
        <x:v>сладко-кислый, иногда терпкий</x:v>
      </x:c>
      <x:c r="F7" s="28" t="str">
        <x:v>обычно отсутствует; зависит от конкретного продукта</x:v>
      </x:c>
      <x:c r="G7" s="28" t="str">
        <x:v>косточка усиливает миндальный тон, но требует контроля безопасности</x:v>
      </x:c>
      <x:c r="H7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7" s="28" t="n">
        <x:f>COUNTIF('Все сочетания'!$C:$C,A7)+COUNTIF('Все сочетания'!$F:$F,A7)</x:f>
        <x:v>66</x:v>
      </x:c>
    </x:row>
    <x:row r="8" ht="54" customHeight="1">
      <x:c r="A8" s="28" t="str">
        <x:v>голубика</x:v>
      </x:c>
      <x:c r="B8" s="28" t="str">
        <x:v>Ягоды и производные</x:v>
      </x:c>
      <x:c r="C8" s="28" t="str">
        <x:v>зелёный, фруктовый, цветочный, цитрусовый</x:v>
      </x:c>
      <x:c r="D8" s="28" t="str">
        <x:v>C6-альдегиды, гераниол, линалоол, цитронеллол</x:v>
      </x:c>
      <x:c r="E8" s="28" t="str">
        <x:v>сладко-кислый, мягкий</x:v>
      </x:c>
      <x:c r="F8" s="28" t="str">
        <x:v>обычно отсутствует; зависит от конкретного продукта</x:v>
      </x:c>
      <x:c r="G8" s="28" t="str">
        <x:v>нежный аромат легко теряется на фоне сильной сладости</x:v>
      </x:c>
      <x:c r="H8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8" s="28" t="n">
        <x:f>COUNTIF('Все сочетания'!$C:$C,A8)+COUNTIF('Все сочетания'!$F:$F,A8)</x:f>
        <x:v>146</x:v>
      </x:c>
    </x:row>
    <x:row r="9" ht="54" customHeight="1">
      <x:c r="A9" s="28" t="str">
        <x:v>ежевика</x:v>
      </x:c>
      <x:c r="B9" s="28" t="str">
        <x:v>Ягоды и производные</x:v>
      </x:c>
      <x:c r="C9" s="28" t="str">
        <x:v>древесный, зелёный, мускусный, тёмно-фруктовый, цветочный</x:v>
      </x:c>
      <x:c r="D9" s="28" t="str">
        <x:v>C6-альдегиды, иононы, линалоол, эфиры</x:v>
      </x:c>
      <x:c r="E9" s="28" t="str">
        <x:v>кисло-сладкий, умеренно терпкий</x:v>
      </x:c>
      <x:c r="F9" s="28" t="str">
        <x:v>обычно отсутствует; зависит от конкретного продукта</x:v>
      </x:c>
      <x:c r="G9" s="28" t="str">
        <x:v>пигменты и полифенолы дают цвет и терпкость</x:v>
      </x:c>
      <x:c r="H9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9" s="28" t="n">
        <x:f>COUNTIF('Все сочетания'!$C:$C,A9)+COUNTIF('Все сочетания'!$F:$F,A9)</x:f>
        <x:v>44</x:v>
      </x:c>
    </x:row>
    <x:row r="10" ht="54" customHeight="1">
      <x:c r="A10" s="28" t="str">
        <x:v>земляника</x:v>
      </x:c>
      <x:c r="B10" s="28" t="str">
        <x:v>Ягоды и производные</x:v>
      </x:c>
      <x:c r="C10" s="28" t="str">
        <x:v>зелёный, карамельный, фруктовый, цветочный</x:v>
      </x:c>
      <x:c r="D10" s="28" t="str">
        <x:v>линалоол, мезифуран, фуранеол, эфиры</x:v>
      </x:c>
      <x:c r="E10" s="28" t="str">
        <x:v>сладко-кислый</x:v>
      </x:c>
      <x:c r="F10" s="28" t="str">
        <x:v>обычно отсутствует; зависит от конкретного продукта</x:v>
      </x:c>
      <x:c r="G10" s="28" t="str">
        <x:v>очень летучий аромат; лучше щадящая обработка</x:v>
      </x:c>
      <x:c r="H10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0" s="28" t="n">
        <x:f>COUNTIF('Все сочетания'!$C:$C,A10)+COUNTIF('Все сочетания'!$F:$F,A10)</x:f>
        <x:v>8</x:v>
      </x:c>
    </x:row>
    <x:row r="11" ht="54" customHeight="1">
      <x:c r="A11" s="28" t="str">
        <x:v>клубника</x:v>
      </x:c>
      <x:c r="B11" s="28" t="str">
        <x:v>Ягоды и производные</x:v>
      </x:c>
      <x:c r="C11" s="28" t="str">
        <x:v>зелёный, карамельный, сливочный, фруктовый, цветочный</x:v>
      </x:c>
      <x:c r="D11" s="28" t="str">
        <x:v>линалоол, мезифуран, фуранеол, цис-3-гексеналь, этилбутират</x:v>
      </x:c>
      <x:c r="E11" s="28" t="str">
        <x:v>сладко-кислый</x:v>
      </x:c>
      <x:c r="F11" s="28" t="str">
        <x:v>обычно отсутствует; зависит от конкретного продукта</x:v>
      </x:c>
      <x:c r="G11" s="28" t="str">
        <x:v>высокая доля воды; аромат чувствителен к перегреву</x:v>
      </x:c>
      <x:c r="H11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1" s="28" t="n">
        <x:f>COUNTIF('Все сочетания'!$C:$C,A11)+COUNTIF('Все сочетания'!$F:$F,A11)</x:f>
        <x:v>159</x:v>
      </x:c>
    </x:row>
    <x:row r="12" ht="54" customHeight="1">
      <x:c r="A12" s="28" t="str">
        <x:v>клубника сорта Elsanta</x:v>
      </x:c>
      <x:c r="B12" s="28" t="str">
        <x:v>Ягоды и производные</x:v>
      </x:c>
      <x:c r="C12" s="28" t="str">
        <x:v>зелёный, карамельный, сливочный, фруктовый, цветочный</x:v>
      </x:c>
      <x:c r="D12" s="28" t="str">
        <x:v>линалоол, мезифуран, фуранеол, цис-3-гексеналь, этилбутират</x:v>
      </x:c>
      <x:c r="E12" s="28" t="str">
        <x:v>сладко-кислый</x:v>
      </x:c>
      <x:c r="F12" s="28" t="str">
        <x:v>обычно отсутствует; зависит от конкретного продукта</x:v>
      </x:c>
      <x:c r="G12" s="28" t="str">
        <x:v>высокая доля воды; аромат чувствителен к перегреву</x:v>
      </x:c>
      <x:c r="H12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2" s="28" t="n">
        <x:f>COUNTIF('Все сочетания'!$C:$C,A12)+COUNTIF('Все сочетания'!$F:$F,A12)</x:f>
        <x:v>2</x:v>
      </x:c>
    </x:row>
    <x:row r="13" ht="54" customHeight="1">
      <x:c r="A13" s="28" t="str">
        <x:v>клубника сорта Mara des Bois</x:v>
      </x:c>
      <x:c r="B13" s="28" t="str">
        <x:v>Ягоды и производные</x:v>
      </x:c>
      <x:c r="C13" s="28" t="str">
        <x:v>зелёный, карамельный, сливочный, фруктовый, цветочный</x:v>
      </x:c>
      <x:c r="D13" s="28" t="str">
        <x:v>линалоол, мезифуран, фуранеол, цис-3-гексеналь, этилбутират</x:v>
      </x:c>
      <x:c r="E13" s="28" t="str">
        <x:v>сладко-кислый</x:v>
      </x:c>
      <x:c r="F13" s="28" t="str">
        <x:v>обычно отсутствует; зависит от конкретного продукта</x:v>
      </x:c>
      <x:c r="G13" s="28" t="str">
        <x:v>высокая доля воды; аромат чувствителен к перегреву</x:v>
      </x:c>
      <x:c r="H13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3" s="28" t="n">
        <x:f>COUNTIF('Все сочетания'!$C:$C,A13)+COUNTIF('Все сочетания'!$F:$F,A13)</x:f>
        <x:v>3</x:v>
      </x:c>
    </x:row>
    <x:row r="14" ht="54" customHeight="1">
      <x:c r="A14" s="28" t="str">
        <x:v>клюква</x:v>
      </x:c>
      <x:c r="B14" s="28" t="str">
        <x:v>Ягоды и производные</x:v>
      </x:c>
      <x:c r="C14" s="28" t="str">
        <x:v>древесный, зелёный, кислый, красно-фруктовый</x:v>
      </x:c>
      <x:c r="D14" s="28" t="str">
        <x:v>C6-альдегиды, бензойная кислота, терпены, эфиры</x:v>
      </x:c>
      <x:c r="E14" s="28" t="str">
        <x:v>очень кислый, терпкий</x:v>
      </x:c>
      <x:c r="F14" s="28" t="str">
        <x:v>обычно отсутствует; зависит от конкретного продукта</x:v>
      </x:c>
      <x:c r="G14" s="28" t="str">
        <x:v>бензойная кислота нелетучая; важна для вкуса и стабильности, не для аромата</x:v>
      </x:c>
      <x:c r="H14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4" s="28" t="n">
        <x:f>COUNTIF('Все сочетания'!$C:$C,A14)+COUNTIF('Все сочетания'!$F:$F,A14)</x:f>
        <x:v>42</x:v>
      </x:c>
    </x:row>
    <x:row r="15" ht="54" customHeight="1">
      <x:c r="A15" s="28" t="str">
        <x:v>клюквенный сок</x:v>
      </x:c>
      <x:c r="B15" s="28" t="str">
        <x:v>Ягоды и производные</x:v>
      </x:c>
      <x:c r="C15" s="28" t="str">
        <x:v>комплексный</x:v>
      </x:c>
      <x:c r="D15" s="28" t="str">
        <x:v>не конкретизированы</x:v>
      </x:c>
      <x:c r="E15" s="28" t="str">
        <x:v>зависит от ингредиента</x:v>
      </x:c>
      <x:c r="F15" s="28" t="str">
        <x:v>обычно отсутствует; зависит от конкретного продукта</x:v>
      </x:c>
      <x:c r="G15" s="28" t="str">
        <x:v>механизм зависит от конкретного продукта</x:v>
      </x:c>
      <x:c r="H15" s="28" t="str">
        <x:v>Справочный групповой профиль; для точного состава конкретного сорта или бренда нужен инструментальный анализ.</x:v>
      </x:c>
      <x:c r="I15" s="28" t="n">
        <x:f>COUNTIF('Все сочетания'!$C:$C,A15)+COUNTIF('Все сочетания'!$F:$F,A15)</x:f>
        <x:v>4</x:v>
      </x:c>
    </x:row>
    <x:row r="16" ht="54" customHeight="1">
      <x:c r="A16" s="28" t="str">
        <x:v>красная смородина</x:v>
      </x:c>
      <x:c r="B16" s="28" t="str">
        <x:v>Ягоды и производные</x:v>
      </x:c>
      <x:c r="C16" s="28" t="str">
        <x:v>зелёный, кислый, красно-фруктовый</x:v>
      </x:c>
      <x:c r="D16" s="28" t="str">
        <x:v>C6-альдегиды, терпены, эфиры</x:v>
      </x:c>
      <x:c r="E16" s="28" t="str">
        <x:v>ярко-кислый</x:v>
      </x:c>
      <x:c r="F16" s="28" t="str">
        <x:v>обычно отсутствует; зависит от конкретного продукта</x:v>
      </x:c>
      <x:c r="G16" s="28" t="str">
        <x:v>высокая кислотность требует сахара, жира или умами-баланса</x:v>
      </x:c>
      <x:c r="H16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6" s="28" t="n">
        <x:f>COUNTIF('Все сочетания'!$C:$C,A16)+COUNTIF('Все сочетания'!$F:$F,A16)</x:f>
        <x:v>1</x:v>
      </x:c>
    </x:row>
    <x:row r="17" ht="54" customHeight="1">
      <x:c r="A17" s="28" t="str">
        <x:v>крыжовник</x:v>
      </x:c>
      <x:c r="B17" s="28" t="str">
        <x:v>Ягоды и производные</x:v>
      </x:c>
      <x:c r="C17" s="28" t="str">
        <x:v>зелёный, кислый, травянистый, тропический</x:v>
      </x:c>
      <x:c r="D17" s="28" t="str">
        <x:v>C6-альдегиды, следовые тиолы, эфиры</x:v>
      </x:c>
      <x:c r="E17" s="28" t="str">
        <x:v>ярко-кислый</x:v>
      </x:c>
      <x:c r="F17" s="28" t="str">
        <x:v>обычно отсутствует; зависит от конкретного продукта</x:v>
      </x:c>
      <x:c r="G17" s="28" t="str">
        <x:v>незрелый плод даёт более травянистый профиль</x:v>
      </x:c>
      <x:c r="H17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7" s="28" t="n">
        <x:f>COUNTIF('Все сочетания'!$C:$C,A17)+COUNTIF('Все сочетания'!$F:$F,A17)</x:f>
        <x:v>14</x:v>
      </x:c>
    </x:row>
    <x:row r="18" ht="54" customHeight="1">
      <x:c r="A18" s="28" t="str">
        <x:v>лист чёрной смородины</x:v>
      </x:c>
      <x:c r="B18" s="28" t="str">
        <x:v>Ягоды и производные</x:v>
      </x:c>
      <x:c r="C18" s="28" t="str">
        <x:v>комплексный</x:v>
      </x:c>
      <x:c r="D18" s="28" t="str">
        <x:v>не конкретизированы</x:v>
      </x:c>
      <x:c r="E18" s="28" t="str">
        <x:v>зависит от ингредиента</x:v>
      </x:c>
      <x:c r="F18" s="28" t="str">
        <x:v>обычно отсутствует; зависит от конкретного продукта</x:v>
      </x:c>
      <x:c r="G18" s="28" t="str">
        <x:v>механизм зависит от конкретного продукта</x:v>
      </x:c>
      <x:c r="H18" s="28" t="str">
        <x:v>Справочный групповой профиль; для точного состава конкретного сорта или бренда нужен инструментальный анализ.</x:v>
      </x:c>
      <x:c r="I18" s="28" t="n">
        <x:f>COUNTIF('Все сочетания'!$C:$C,A18)+COUNTIF('Все сочетания'!$F:$F,A18)</x:f>
        <x:v>1</x:v>
      </x:c>
    </x:row>
    <x:row r="19" ht="54" customHeight="1">
      <x:c r="A19" s="28" t="str">
        <x:v>логанова ягода</x:v>
      </x:c>
      <x:c r="B19" s="28" t="str">
        <x:v>Ягоды и производные</x:v>
      </x:c>
      <x:c r="C19" s="28" t="str">
        <x:v>комплексный</x:v>
      </x:c>
      <x:c r="D19" s="28" t="str">
        <x:v>не конкретизированы</x:v>
      </x:c>
      <x:c r="E19" s="28" t="str">
        <x:v>зависит от ингредиента</x:v>
      </x:c>
      <x:c r="F19" s="28" t="str">
        <x:v>обычно отсутствует; зависит от конкретного продукта</x:v>
      </x:c>
      <x:c r="G19" s="28" t="str">
        <x:v>механизм зависит от конкретного продукта</x:v>
      </x:c>
      <x:c r="H19" s="28" t="str">
        <x:v>Справочный групповой профиль; для точного состава конкретного сорта или бренда нужен инструментальный анализ.</x:v>
      </x:c>
      <x:c r="I19" s="28" t="n">
        <x:f>COUNTIF('Все сочетания'!$C:$C,A19)+COUNTIF('Все сочетания'!$F:$F,A19)</x:f>
        <x:v>3</x:v>
      </x:c>
    </x:row>
    <x:row r="20" ht="54" customHeight="1">
      <x:c r="A20" s="28" t="str">
        <x:v>малина</x:v>
      </x:c>
      <x:c r="B20" s="28" t="str">
        <x:v>Ягоды и производные</x:v>
      </x:c>
      <x:c r="C20" s="28" t="str">
        <x:v>древесный, зелёный, фиалковый, фруктовый, цветочный</x:v>
      </x:c>
      <x:c r="D20" s="28" t="str">
        <x:v>альфа-ионон, бета-ионон, гераниол, линалоол, малиновый кетон</x:v>
      </x:c>
      <x:c r="E20" s="28" t="str">
        <x:v>кисло-сладкий</x:v>
      </x:c>
      <x:c r="F20" s="28" t="str">
        <x:v>обычно отсутствует; зависит от конкретного продукта</x:v>
      </x:c>
      <x:c r="G20" s="28" t="str">
        <x:v>семена добавляют древесность и лёгкую терпкость</x:v>
      </x:c>
      <x:c r="H20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20" s="28" t="n">
        <x:f>COUNTIF('Все сочетания'!$C:$C,A20)+COUNTIF('Все сочетания'!$F:$F,A20)</x:f>
        <x:v>50</x:v>
      </x:c>
    </x:row>
    <x:row r="21" ht="54" customHeight="1">
      <x:c r="A21" s="28" t="str">
        <x:v>малина сорта Meeker</x:v>
      </x:c>
      <x:c r="B21" s="28" t="str">
        <x:v>Ягоды и производные</x:v>
      </x:c>
      <x:c r="C21" s="28" t="str">
        <x:v>древесный, зелёный, фиалковый, фруктовый, цветочный</x:v>
      </x:c>
      <x:c r="D21" s="28" t="str">
        <x:v>альфа-ионон, бета-ионон, гераниол, линалоол, малиновый кетон</x:v>
      </x:c>
      <x:c r="E21" s="28" t="str">
        <x:v>кисло-сладкий</x:v>
      </x:c>
      <x:c r="F21" s="28" t="str">
        <x:v>обычно отсутствует; зависит от конкретного продукта</x:v>
      </x:c>
      <x:c r="G21" s="28" t="str">
        <x:v>семена добавляют древесность и лёгкую терпкость</x:v>
      </x:c>
      <x:c r="H21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21" s="28" t="n">
        <x:f>COUNTIF('Все сочетания'!$C:$C,A21)+COUNTIF('Все сочетания'!$F:$F,A21)</x:f>
        <x:v>3</x:v>
      </x:c>
    </x:row>
    <x:row r="22" ht="54" customHeight="1">
      <x:c r="A22" s="28" t="str">
        <x:v>малиновое пюре</x:v>
      </x:c>
      <x:c r="B22" s="28" t="str">
        <x:v>Ягоды и производные</x:v>
      </x:c>
      <x:c r="C22" s="28" t="str">
        <x:v>комплексный</x:v>
      </x:c>
      <x:c r="D22" s="28" t="str">
        <x:v>не конкретизированы</x:v>
      </x:c>
      <x:c r="E22" s="28" t="str">
        <x:v>зависит от ингредиента</x:v>
      </x:c>
      <x:c r="F22" s="28" t="str">
        <x:v>обычно отсутствует; зависит от конкретного продукта</x:v>
      </x:c>
      <x:c r="G22" s="28" t="str">
        <x:v>механизм зависит от конкретного продукта</x:v>
      </x:c>
      <x:c r="H22" s="28" t="str">
        <x:v>Справочный групповой профиль; для точного состава конкретного сорта или бренда нужен инструментальный анализ.</x:v>
      </x:c>
      <x:c r="I22" s="28" t="n">
        <x:f>COUNTIF('Все сочетания'!$C:$C,A22)+COUNTIF('Все сочетания'!$F:$F,A22)</x:f>
        <x:v>1</x:v>
      </x:c>
    </x:row>
    <x:row r="23" ht="54" customHeight="1">
      <x:c r="A23" s="28" t="str">
        <x:v>малиновый сок</x:v>
      </x:c>
      <x:c r="B23" s="28" t="str">
        <x:v>Ягоды и производные</x:v>
      </x:c>
      <x:c r="C23" s="28" t="str">
        <x:v>комплексный</x:v>
      </x:c>
      <x:c r="D23" s="28" t="str">
        <x:v>не конкретизированы</x:v>
      </x:c>
      <x:c r="E23" s="28" t="str">
        <x:v>зависит от ингредиента</x:v>
      </x:c>
      <x:c r="F23" s="28" t="str">
        <x:v>обычно отсутствует; зависит от конкретного продукта</x:v>
      </x:c>
      <x:c r="G23" s="28" t="str">
        <x:v>механизм зависит от конкретного продукта</x:v>
      </x:c>
      <x:c r="H23" s="28" t="str">
        <x:v>Справочный групповой профиль; для точного состава конкретного сорта или бренда нужен инструментальный анализ.</x:v>
      </x:c>
      <x:c r="I23" s="28" t="n">
        <x:f>COUNTIF('Все сочетания'!$C:$C,A23)+COUNTIF('Все сочетания'!$F:$F,A23)</x:f>
        <x:v>1</x:v>
      </x:c>
    </x:row>
    <x:row r="24" ht="54" customHeight="1">
      <x:c r="A24" s="28" t="str">
        <x:v>морошка</x:v>
      </x:c>
      <x:c r="B24" s="28" t="str">
        <x:v>Ягоды и производные</x:v>
      </x:c>
      <x:c r="C24" s="28" t="str">
        <x:v>абрикосовый, лактонный, медовый, цветочный</x:v>
      </x:c>
      <x:c r="D24" s="28" t="str">
        <x:v>иононы, лактоны, эфиры</x:v>
      </x:c>
      <x:c r="E24" s="28" t="str">
        <x:v>сладко-кислый</x:v>
      </x:c>
      <x:c r="F24" s="28" t="str">
        <x:v>обычно отсутствует; зависит от конкретного продукта</x:v>
      </x:c>
      <x:c r="G24" s="28" t="str">
        <x:v>аромат хорошо поддерживается сливочными и древесными матрицами</x:v>
      </x:c>
      <x:c r="H24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24" s="28" t="n">
        <x:f>COUNTIF('Все сочетания'!$C:$C,A24)+COUNTIF('Все сочетания'!$F:$F,A24)</x:f>
        <x:v>12</x:v>
      </x:c>
    </x:row>
    <x:row r="25" ht="54" customHeight="1">
      <x:c r="A25" s="28" t="str">
        <x:v>облепиха</x:v>
      </x:c>
      <x:c r="B25" s="28" t="str">
        <x:v>Ягоды и производные</x:v>
      </x:c>
      <x:c r="C25" s="28" t="str">
        <x:v>жирный, тропический, фруктовый, цитрусовый</x:v>
      </x:c>
      <x:c r="D25" s="28" t="str">
        <x:v>альдегиды, терпены, эфиры</x:v>
      </x:c>
      <x:c r="E25" s="28" t="str">
        <x:v>очень кислый, маслянистый</x:v>
      </x:c>
      <x:c r="F25" s="28" t="str">
        <x:v>обычно отсутствует; зависит от конкретного продукта</x:v>
      </x:c>
      <x:c r="G25" s="28" t="str">
        <x:v>собственное масло меняет высвобождение ароматов</x:v>
      </x:c>
      <x:c r="H25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25" s="28" t="n">
        <x:f>COUNTIF('Все сочетания'!$C:$C,A25)+COUNTIF('Все сочетания'!$F:$F,A25)</x:f>
        <x:v>4</x:v>
      </x:c>
    </x:row>
    <x:row r="26" ht="54" customHeight="1">
      <x:c r="A26" s="28" t="str">
        <x:v>смородина</x:v>
      </x:c>
      <x:c r="B26" s="28" t="str">
        <x:v>Ягоды и производные</x:v>
      </x:c>
      <x:c r="C26" s="28" t="str">
        <x:v>зелёный, тёмно-фруктовый, цветочный</x:v>
      </x:c>
      <x:c r="D26" s="28" t="str">
        <x:v>C6-альдегиды, терпены, эфиры</x:v>
      </x:c>
      <x:c r="E26" s="28" t="str">
        <x:v>кисло-сладкий, терпкий</x:v>
      </x:c>
      <x:c r="F26" s="28" t="str">
        <x:v>обычно отсутствует; зависит от конкретного продукта</x:v>
      </x:c>
      <x:c r="G26" s="28" t="str">
        <x:v>профиль зависит от вида смородины</x:v>
      </x:c>
      <x:c r="H26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26" s="28" t="n">
        <x:f>COUNTIF('Все сочетания'!$C:$C,A26)+COUNTIF('Все сочетания'!$F:$F,A26)</x:f>
        <x:v>8</x:v>
      </x:c>
    </x:row>
    <x:row r="27" ht="54" customHeight="1">
      <x:c r="A27" s="28" t="str">
        <x:v>сок чёрной смородины</x:v>
      </x:c>
      <x:c r="B27" s="28" t="str">
        <x:v>Ягоды и производные</x:v>
      </x:c>
      <x:c r="C27" s="28" t="str">
        <x:v>комплексный</x:v>
      </x:c>
      <x:c r="D27" s="28" t="str">
        <x:v>не конкретизированы</x:v>
      </x:c>
      <x:c r="E27" s="28" t="str">
        <x:v>зависит от ингредиента</x:v>
      </x:c>
      <x:c r="F27" s="28" t="str">
        <x:v>обычно отсутствует; зависит от конкретного продукта</x:v>
      </x:c>
      <x:c r="G27" s="28" t="str">
        <x:v>механизм зависит от конкретного продукта</x:v>
      </x:c>
      <x:c r="H27" s="28" t="str">
        <x:v>Справочный групповой профиль; для точного состава конкретного сорта или бренда нужен инструментальный анализ.</x:v>
      </x:c>
      <x:c r="I27" s="28" t="n">
        <x:f>COUNTIF('Все сочетания'!$C:$C,A27)+COUNTIF('Все сочетания'!$F:$F,A27)</x:f>
        <x:v>1</x:v>
      </x:c>
    </x:row>
    <x:row r="28" ht="54" customHeight="1">
      <x:c r="A28" s="28" t="str">
        <x:v>сушёные ягоды годжи</x:v>
      </x:c>
      <x:c r="B28" s="28" t="str">
        <x:v>Ягоды и производные</x:v>
      </x:c>
      <x:c r="C28" s="28" t="str">
        <x:v>комплексный</x:v>
      </x:c>
      <x:c r="D28" s="28" t="str">
        <x:v>не конкретизированы</x:v>
      </x:c>
      <x:c r="E28" s="28" t="str">
        <x:v>зависит от ингредиента</x:v>
      </x:c>
      <x:c r="F28" s="28" t="str">
        <x:v>обычно отсутствует; зависит от конкретного продукта</x:v>
      </x:c>
      <x:c r="G28" s="28" t="str">
        <x:v>механизм зависит от конкретного продукта</x:v>
      </x:c>
      <x:c r="H28" s="28" t="str">
        <x:v>Справочный групповой профиль; для точного состава конкретного сорта или бренда нужен инструментальный анализ.</x:v>
      </x:c>
      <x:c r="I28" s="28" t="n">
        <x:f>COUNTIF('Все сочетания'!$C:$C,A28)+COUNTIF('Все сочетания'!$F:$F,A28)</x:f>
        <x:v>2</x:v>
      </x:c>
    </x:row>
    <x:row r="29" ht="54" customHeight="1">
      <x:c r="A29" s="28" t="str">
        <x:v>черешня</x:v>
      </x:c>
      <x:c r="B29" s="28" t="str">
        <x:v>Ягоды и производные</x:v>
      </x:c>
      <x:c r="C29" s="28" t="str">
        <x:v>миндальный, сладко-фруктовый, цветочный</x:v>
      </x:c>
      <x:c r="D29" s="28" t="str">
        <x:v>бензальдегид, бета-дамасценон, эфиры</x:v>
      </x:c>
      <x:c r="E29" s="28" t="str">
        <x:v>сладкий, умеренно кислый</x:v>
      </x:c>
      <x:c r="F29" s="28" t="str">
        <x:v>обычно отсутствует; зависит от конкретного продукта</x:v>
      </x:c>
      <x:c r="G29" s="28" t="str">
        <x:v>нежнее кислой вишни; легко становится приторной</x:v>
      </x:c>
      <x:c r="H29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29" s="28" t="n">
        <x:f>COUNTIF('Все сочетания'!$C:$C,A29)+COUNTIF('Все сочетания'!$F:$F,A29)</x:f>
        <x:v>21</x:v>
      </x:c>
    </x:row>
    <x:row r="30" ht="54" customHeight="1">
      <x:c r="A30" s="28" t="str">
        <x:v>чёрная смородина</x:v>
      </x:c>
      <x:c r="B30" s="28" t="str">
        <x:v>Ягоды и производные</x:v>
      </x:c>
      <x:c r="C30" s="28" t="str">
        <x:v>зелёный, листовой, сернистый, тёмно-фруктовый, цветочный</x:v>
      </x:c>
      <x:c r="D30" s="28" t="str">
        <x:v>3-меркаптогексанол, 3-меркаптогексилацетат, 4-метокси-2-метил-2-бутантиол, терпены</x:v>
      </x:c>
      <x:c r="E30" s="28" t="str">
        <x:v>ярко-кислый, терпкий</x:v>
      </x:c>
      <x:c r="F30" s="28" t="str">
        <x:v>обычно отсутствует; зависит от конкретного продукта</x:v>
      </x:c>
      <x:c r="G30" s="28" t="str">
        <x:v>следовые тиолы чрезвычайно мощные; передозировка даёт «кошачий» тон</x:v>
      </x:c>
      <x:c r="H30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30" s="28" t="n">
        <x:f>COUNTIF('Все сочетания'!$C:$C,A30)+COUNTIF('Все сочетания'!$F:$F,A30)</x:f>
        <x:v>40</x:v>
      </x:c>
    </x:row>
    <x:row r="31" ht="54" customHeight="1">
      <x:c r="A31" s="28" t="str">
        <x:v>черника</x:v>
      </x:c>
      <x:c r="B31" s="28" t="str">
        <x:v>Ягоды и производные</x:v>
      </x:c>
      <x:c r="C31" s="28" t="str">
        <x:v>древесный, зелёный, тёмно-фруктовый, цветочный</x:v>
      </x:c>
      <x:c r="D31" s="28" t="str">
        <x:v>C6-альдегиды, иононы, терпены, эфиры</x:v>
      </x:c>
      <x:c r="E31" s="28" t="str">
        <x:v>кисло-сладкий, терпкий</x:v>
      </x:c>
      <x:c r="F31" s="28" t="str">
        <x:v>обычно отсутствует; зависит от конкретного продукта</x:v>
      </x:c>
      <x:c r="G31" s="28" t="str">
        <x:v>антоцианы отвечают за цвет, но не за основной запах</x:v>
      </x:c>
      <x:c r="H31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31" s="28" t="n">
        <x:f>COUNTIF('Все сочетания'!$C:$C,A31)+COUNTIF('Все сочетания'!$F:$F,A31)</x:f>
        <x:v>13</x:v>
      </x:c>
    </x:row>
    <x:row r="32" ht="54" customHeight="1">
      <x:c r="A32" s="28" t="str">
        <x:v>шелковица</x:v>
      </x:c>
      <x:c r="B32" s="28" t="str">
        <x:v>Ягоды и производные</x:v>
      </x:c>
      <x:c r="C32" s="28" t="str">
        <x:v>джемовый, фруктовый, цветочный</x:v>
      </x:c>
      <x:c r="D32" s="28" t="str">
        <x:v>иононы, терпены, эфиры</x:v>
      </x:c>
      <x:c r="E32" s="28" t="str">
        <x:v>сладко-кислый</x:v>
      </x:c>
      <x:c r="F32" s="28" t="str">
        <x:v>обычно отсутствует; зависит от конкретного продукта</x:v>
      </x:c>
      <x:c r="G32" s="28" t="str">
        <x:v>мягкий аромат нуждается в кислотной опоре</x:v>
      </x:c>
      <x:c r="H32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32" s="28" t="n">
        <x:f>COUNTIF('Все сочетания'!$C:$C,A32)+COUNTIF('Все сочетания'!$F:$F,A32)</x:f>
        <x:v>12</x:v>
      </x:c>
    </x:row>
    <x:row r="33" ht="54" customHeight="1">
      <x:c r="A33" s="28" t="str">
        <x:v>ягоды асаи</x:v>
      </x:c>
      <x:c r="B33" s="28" t="str">
        <x:v>Ягоды и производные</x:v>
      </x:c>
      <x:c r="C33" s="28" t="str">
        <x:v>комплексный</x:v>
      </x:c>
      <x:c r="D33" s="28" t="str">
        <x:v>не конкретизированы</x:v>
      </x:c>
      <x:c r="E33" s="28" t="str">
        <x:v>зависит от ингредиента</x:v>
      </x:c>
      <x:c r="F33" s="28" t="str">
        <x:v>обычно отсутствует; зависит от конкретного продукта</x:v>
      </x:c>
      <x:c r="G33" s="28" t="str">
        <x:v>механизм зависит от конкретного продукта</x:v>
      </x:c>
      <x:c r="H33" s="28" t="str">
        <x:v>Справочный групповой профиль; для точного состава конкретного сорта или бренда нужен инструментальный анализ.</x:v>
      </x:c>
      <x:c r="I33" s="28" t="n">
        <x:f>COUNTIF('Все сочетания'!$C:$C,A33)+COUNTIF('Все сочетания'!$F:$F,A33)</x:f>
        <x:v>9</x:v>
      </x:c>
    </x:row>
    <x:row r="34" ht="54" customHeight="1">
      <x:c r="A34" s="28" t="str">
        <x:v>ягоды годжи</x:v>
      </x:c>
      <x:c r="B34" s="28" t="str">
        <x:v>Ягоды и производные</x:v>
      </x:c>
      <x:c r="C34" s="28" t="str">
        <x:v>комплексный</x:v>
      </x:c>
      <x:c r="D34" s="28" t="str">
        <x:v>не конкретизированы</x:v>
      </x:c>
      <x:c r="E34" s="28" t="str">
        <x:v>зависит от ингредиента</x:v>
      </x:c>
      <x:c r="F34" s="28" t="str">
        <x:v>обычно отсутствует; зависит от конкретного продукта</x:v>
      </x:c>
      <x:c r="G34" s="28" t="str">
        <x:v>механизм зависит от конкретного продукта</x:v>
      </x:c>
      <x:c r="H34" s="28" t="str">
        <x:v>Справочный групповой профиль; для точного состава конкретного сорта или бренда нужен инструментальный анализ.</x:v>
      </x:c>
      <x:c r="I34" s="28" t="n">
        <x:f>COUNTIF('Все сочетания'!$C:$C,A34)+COUNTIF('Все сочетания'!$F:$F,A34)</x:f>
        <x:v>16</x:v>
      </x:c>
    </x:row>
  </x:sheetData>
  <x:pageMargins left="0.7" right="0.7" top="0.75" bottom="0.75" header="0.3" footer="0.3"/>
  <x:tableParts count="1">
    <x:tablePart xmlns:r="http://schemas.openxmlformats.org/officeDocument/2006/relationships" r:id="R2dd38bc52e19457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4" hidden="0" customWidth="1"/>
    <x:col min="3" max="3" width="34" hidden="0" customWidth="1"/>
    <x:col min="4" max="4" width="43" hidden="0" customWidth="1"/>
    <x:col min="5" max="5" width="28" hidden="0" customWidth="1"/>
    <x:col min="6" max="6" width="40" hidden="0" customWidth="1"/>
    <x:col min="7" max="7" width="46" hidden="0" customWidth="1"/>
    <x:col min="8" max="8" width="52" hidden="0" customWidth="1"/>
    <x:col min="9" max="9" width="15" hidden="0" customWidth="1"/>
  </x:cols>
  <x:sheetData>
    <x:row r="1">
      <x:c r="A1" s="20" t="str">
        <x:v>Ингредиент</x:v>
      </x:c>
      <x:c r="B1" s="20" t="str">
        <x:v>Группа</x:v>
      </x:c>
      <x:c r="C1" s="20" t="str">
        <x:v>Аромапрофиль</x:v>
      </x:c>
      <x:c r="D1" s="20" t="str">
        <x:v>Характерные соединения</x:v>
      </x:c>
      <x:c r="E1" s="20" t="str">
        <x:v>Базовые вкусы</x:v>
      </x:c>
      <x:c r="F1" s="20" t="str">
        <x:v>Тройничный эффект</x:v>
      </x:c>
      <x:c r="G1" s="20" t="str">
        <x:v>Матрица</x:v>
      </x:c>
      <x:c r="H1" s="20" t="str">
        <x:v>Комментарий</x:v>
      </x:c>
      <x:c r="I1" s="20" t="str">
        <x:v>Количество пар</x:v>
      </x:c>
    </x:row>
    <x:row r="2" ht="46" customHeight="1">
      <x:c r="A2" s="28" t="str">
        <x:v>amarillo chilli</x:v>
      </x:c>
      <x:c r="B2" s="28" t="str">
        <x:v>Специи</x:v>
      </x:c>
      <x:c r="C2" s="28" t="str">
        <x:v>древесный, пряный, тёплый</x:v>
      </x:c>
      <x:c r="D2" s="28" t="str">
        <x:v>коричный альдегид, терпены, эвгенол</x:v>
      </x:c>
      <x:c r="E2" s="28" t="str">
        <x:v>пряный, иногда горький</x:v>
      </x:c>
      <x:c r="F2" s="28" t="str">
        <x:v>обычно отсутствует; зависит от конкретного продукта</x:v>
      </x:c>
      <x:c r="G2" s="28" t="str">
        <x:v>эфирные масла хорошо извлекаются спиртом и жиром</x:v>
      </x:c>
      <x:c r="H2" s="28" t="str">
        <x:v>Справочный групповой профиль; для точного состава конкретного сорта или бренда нужен инструментальный анализ.</x:v>
      </x:c>
      <x:c r="I2" s="28" t="n">
        <x:f>COUNTIF('Все сочетания'!$C:$C,A2)+COUNTIF('Все сочетания'!$F:$F,A2)</x:f>
        <x:v>1</x:v>
      </x:c>
    </x:row>
    <x:row r="3" ht="46" customHeight="1">
      <x:c r="A3" s="28" t="str">
        <x:v>anberry</x:v>
      </x:c>
      <x:c r="B3" s="28" t="str">
        <x:v>Ягоды и производные</x:v>
      </x:c>
      <x:c r="C3" s="28" t="str">
        <x:v>комплексный</x:v>
      </x:c>
      <x:c r="D3" s="28" t="str">
        <x:v>не конкретизированы</x:v>
      </x:c>
      <x:c r="E3" s="28" t="str">
        <x:v>зависит от ингредиента</x:v>
      </x:c>
      <x:c r="F3" s="28" t="str">
        <x:v>обычно отсутствует; зависит от конкретного продукта</x:v>
      </x:c>
      <x:c r="G3" s="28" t="str">
        <x:v>механизм зависит от конкретного продукта</x:v>
      </x:c>
      <x:c r="H3" s="28" t="str">
        <x:v>Справочный групповой профиль; для точного состава конкретного сорта или бренда нужен инструментальный анализ.</x:v>
      </x:c>
      <x:c r="I3" s="28" t="n">
        <x:f>COUNTIF('Все сочетания'!$C:$C,A3)+COUNTIF('Все сочетания'!$F:$F,A3)</x:f>
        <x:v>1</x:v>
      </x:c>
    </x:row>
    <x:row r="4" ht="46" customHeight="1">
      <x:c r="A4" s="28" t="str">
        <x:v>ast fillet</x:v>
      </x:c>
      <x:c r="B4" s="28" t="str">
        <x:v>Прочее</x:v>
      </x:c>
      <x:c r="C4" s="28" t="str">
        <x:v>комплексный</x:v>
      </x:c>
      <x:c r="D4" s="28" t="str">
        <x:v>не конкретизированы</x:v>
      </x:c>
      <x:c r="E4" s="28" t="str">
        <x:v>зависит от ингредиента</x:v>
      </x:c>
      <x:c r="F4" s="28" t="str">
        <x:v>обычно отсутствует; зависит от конкретного продукта</x:v>
      </x:c>
      <x:c r="G4" s="28" t="str">
        <x:v>механизм зависит от конкретного продукта</x:v>
      </x:c>
      <x:c r="H4" s="28" t="str">
        <x:v>Справочный групповой профиль; для точного состава конкретного сорта или бренда нужен инструментальный анализ.</x:v>
      </x:c>
      <x:c r="I4" s="28" t="n">
        <x:f>COUNTIF('Все сочетания'!$C:$C,A4)+COUNTIF('Все сочетания'!$F:$F,A4)</x:f>
        <x:v>1</x:v>
      </x:c>
    </x:row>
    <x:row r="5" ht="46" customHeight="1">
      <x:c r="A5" s="28" t="str">
        <x:v>ato ketchup</x:v>
      </x:c>
      <x:c r="B5" s="28" t="str">
        <x:v>Прочее</x:v>
      </x:c>
      <x:c r="C5" s="28" t="str">
        <x:v>комплексный</x:v>
      </x:c>
      <x:c r="D5" s="28" t="str">
        <x:v>не конкретизированы</x:v>
      </x:c>
      <x:c r="E5" s="28" t="str">
        <x:v>зависит от ингредиента</x:v>
      </x:c>
      <x:c r="F5" s="28" t="str">
        <x:v>обычно отсутствует; зависит от конкретного продукта</x:v>
      </x:c>
      <x:c r="G5" s="28" t="str">
        <x:v>механизм зависит от конкретного продукта</x:v>
      </x:c>
      <x:c r="H5" s="28" t="str">
        <x:v>Справочный групповой профиль; для точного состава конкретного сорта или бренда нужен инструментальный анализ.</x:v>
      </x:c>
      <x:c r="I5" s="28" t="n">
        <x:f>COUNTIF('Все сочетания'!$C:$C,A5)+COUNTIF('Все сочетания'!$F:$F,A5)</x:f>
        <x:v>1</x:v>
      </x:c>
    </x:row>
    <x:row r="6" ht="46" customHeight="1">
      <x:c r="A6" s="28" t="str">
        <x:v>avocado</x:v>
      </x:c>
      <x:c r="B6" s="28" t="str">
        <x:v>Прочее</x:v>
      </x:c>
      <x:c r="C6" s="28" t="str">
        <x:v>комплексный</x:v>
      </x:c>
      <x:c r="D6" s="28" t="str">
        <x:v>не конкретизированы</x:v>
      </x:c>
      <x:c r="E6" s="28" t="str">
        <x:v>зависит от ингредиента</x:v>
      </x:c>
      <x:c r="F6" s="28" t="str">
        <x:v>обычно отсутствует; зависит от конкретного продукта</x:v>
      </x:c>
      <x:c r="G6" s="28" t="str">
        <x:v>механизм зависит от конкретного продукта</x:v>
      </x:c>
      <x:c r="H6" s="28" t="str">
        <x:v>Справочный групповой профиль; для точного состава конкретного сорта или бренда нужен инструментальный анализ.</x:v>
      </x:c>
      <x:c r="I6" s="28" t="n">
        <x:f>COUNTIF('Все сочетания'!$C:$C,A6)+COUNTIF('Все сочетания'!$F:$F,A6)</x:f>
        <x:v>1</x:v>
      </x:c>
    </x:row>
    <x:row r="7" ht="46" customHeight="1">
      <x:c r="A7" s="28" t="str">
        <x:v>banana chips</x:v>
      </x:c>
      <x:c r="B7" s="28" t="str">
        <x:v>Фрукты</x:v>
      </x:c>
      <x:c r="C7" s="28" t="str">
        <x:v>зелёный, фруктовый, цветочный</x:v>
      </x:c>
      <x:c r="D7" s="28" t="str">
        <x:v>лактоны, терпены, эфиры</x:v>
      </x:c>
      <x:c r="E7" s="28" t="str">
        <x:v>сладко-кислый</x:v>
      </x:c>
      <x:c r="F7" s="28" t="str">
        <x:v>обычно отсутствует; зависит от конкретного продукта</x:v>
      </x:c>
      <x:c r="G7" s="28" t="str">
        <x:v>водная фруктовая матрица</x:v>
      </x:c>
      <x:c r="H7" s="28" t="str">
        <x:v>Справочный групповой профиль; для точного состава конкретного сорта или бренда нужен инструментальный анализ.</x:v>
      </x:c>
      <x:c r="I7" s="28" t="n">
        <x:f>COUNTIF('Все сочетания'!$C:$C,A7)+COUNTIF('Все сочетания'!$F:$F,A7)</x:f>
        <x:v>1</x:v>
      </x:c>
    </x:row>
    <x:row r="8" ht="46" customHeight="1">
      <x:c r="A8" s="28" t="str">
        <x:v>bayonne ham</x:v>
      </x:c>
      <x:c r="B8" s="28" t="str">
        <x:v>Мясо и птица</x:v>
      </x:c>
      <x:c r="C8" s="28" t="str">
        <x:v>жареный, жирный, сернистый, умами</x:v>
      </x:c>
      <x:c r="D8" s="28" t="str">
        <x:v>альдегиды, пиразины, сернистые соединения</x:v>
      </x:c>
      <x:c r="E8" s="28" t="str">
        <x:v>умами, солёный, жирный</x:v>
      </x:c>
      <x:c r="F8" s="28" t="str">
        <x:v>обычно отсутствует; зависит от конкретного продукта</x:v>
      </x:c>
      <x:c r="G8" s="28" t="str">
        <x:v>жир переносит аромат; реакция Майяра создаёт новые одоранты</x:v>
      </x:c>
      <x:c r="H8" s="28" t="str">
        <x:v>Справочный групповой профиль; для точного состава конкретного сорта или бренда нужен инструментальный анализ.</x:v>
      </x:c>
      <x:c r="I8" s="28" t="n">
        <x:f>COUNTIF('Все сочетания'!$C:$C,A8)+COUNTIF('Все сочетания'!$F:$F,A8)</x:f>
        <x:v>1</x:v>
      </x:c>
    </x:row>
    <x:row r="9" ht="46" customHeight="1">
      <x:c r="A9" s="28" t="str">
        <x:v>belgian endive)</x:v>
      </x:c>
      <x:c r="B9" s="28" t="str">
        <x:v>Прочее</x:v>
      </x:c>
      <x:c r="C9" s="28" t="str">
        <x:v>комплексный</x:v>
      </x:c>
      <x:c r="D9" s="28" t="str">
        <x:v>не конкретизированы</x:v>
      </x:c>
      <x:c r="E9" s="28" t="str">
        <x:v>зависит от ингредиента</x:v>
      </x:c>
      <x:c r="F9" s="28" t="str">
        <x:v>обычно отсутствует; зависит от конкретного продукта</x:v>
      </x:c>
      <x:c r="G9" s="28" t="str">
        <x:v>механизм зависит от конкретного продукта</x:v>
      </x:c>
      <x:c r="H9" s="28" t="str">
        <x:v>Справочный групповой профиль; для точного состава конкретного сорта или бренда нужен инструментальный анализ.</x:v>
      </x:c>
      <x:c r="I9" s="28" t="n">
        <x:f>COUNTIF('Все сочетания'!$C:$C,A9)+COUNTIF('Все сочетания'!$F:$F,A9)</x:f>
        <x:v>1</x:v>
      </x:c>
    </x:row>
    <x:row r="10" ht="46" customHeight="1">
      <x:c r="A10" s="28" t="str">
        <x:v>berry</x:v>
      </x:c>
      <x:c r="B10" s="28" t="str">
        <x:v>Ягоды и производные</x:v>
      </x:c>
      <x:c r="C10" s="28" t="str">
        <x:v>комплексный</x:v>
      </x:c>
      <x:c r="D10" s="28" t="str">
        <x:v>не конкретизированы</x:v>
      </x:c>
      <x:c r="E10" s="28" t="str">
        <x:v>зависит от ингредиента</x:v>
      </x:c>
      <x:c r="F10" s="28" t="str">
        <x:v>обычно отсутствует; зависит от конкретного продукта</x:v>
      </x:c>
      <x:c r="G10" s="28" t="str">
        <x:v>механизм зависит от конкретного продукта</x:v>
      </x:c>
      <x:c r="H10" s="28" t="str">
        <x:v>Справочный групповой профиль; для точного состава конкретного сорта или бренда нужен инструментальный анализ.</x:v>
      </x:c>
      <x:c r="I10" s="28" t="n">
        <x:f>COUNTIF('Все сочетания'!$C:$C,A10)+COUNTIF('Все сочетания'!$F:$F,A10)</x:f>
        <x:v>1</x:v>
      </x:c>
    </x:row>
    <x:row r="11" ht="46" customHeight="1">
      <x:c r="A11" s="28" t="str">
        <x:v>berry vinegar</x:v>
      </x:c>
      <x:c r="B11" s="28" t="str">
        <x:v>Ягоды и производные</x:v>
      </x:c>
      <x:c r="C11" s="28" t="str">
        <x:v>комплексный</x:v>
      </x:c>
      <x:c r="D11" s="28" t="str">
        <x:v>не конкретизированы</x:v>
      </x:c>
      <x:c r="E11" s="28" t="str">
        <x:v>зависит от ингредиента</x:v>
      </x:c>
      <x:c r="F11" s="28" t="str">
        <x:v>обычно отсутствует; зависит от конкретного продукта</x:v>
      </x:c>
      <x:c r="G11" s="28" t="str">
        <x:v>механизм зависит от конкретного продукта</x:v>
      </x:c>
      <x:c r="H11" s="28" t="str">
        <x:v>Справочный групповой профиль; для точного состава конкретного сорта или бренда нужен инструментальный анализ.</x:v>
      </x:c>
      <x:c r="I11" s="28" t="n">
        <x:f>COUNTIF('Все сочетания'!$C:$C,A11)+COUNTIF('Все сочетания'!$F:$F,A11)</x:f>
        <x:v>1</x:v>
      </x:c>
    </x:row>
    <x:row r="12" ht="46" customHeight="1">
      <x:c r="A12" s="28" t="str">
        <x:v>black-eyed peas) cro</x:v>
      </x:c>
      <x:c r="B12" s="28" t="str">
        <x:v>Прочее</x:v>
      </x:c>
      <x:c r="C12" s="28" t="str">
        <x:v>комплексный</x:v>
      </x:c>
      <x:c r="D12" s="28" t="str">
        <x:v>не конкретизированы</x:v>
      </x:c>
      <x:c r="E12" s="28" t="str">
        <x:v>зависит от ингредиента</x:v>
      </x:c>
      <x:c r="F12" s="28" t="str">
        <x:v>обычно отсутствует; зависит от конкретного продукта</x:v>
      </x:c>
      <x:c r="G12" s="28" t="str">
        <x:v>механизм зависит от конкретного продукта</x:v>
      </x:c>
      <x:c r="H12" s="28" t="str">
        <x:v>Справочный групповой профиль; для точного состава конкретного сорта или бренда нужен инструментальный анализ.</x:v>
      </x:c>
      <x:c r="I12" s="28" t="n">
        <x:f>COUNTIF('Все сочетания'!$C:$C,A12)+COUNTIF('Все сочетания'!$F:$F,A12)</x:f>
        <x:v>1</x:v>
      </x:c>
    </x:row>
    <x:row r="13" ht="46" customHeight="1">
      <x:c r="A13" s="28" t="str">
        <x:v>black tea gri</x:v>
      </x:c>
      <x:c r="B13" s="28" t="str">
        <x:v>Чай и безалкогольные напитки</x:v>
      </x:c>
      <x:c r="C13" s="28" t="str">
        <x:v>терпкий, травянистый, цветочный</x:v>
      </x:c>
      <x:c r="D13" s="28" t="str">
        <x:v>гераниол, линалоол, полифенолы</x:v>
      </x:c>
      <x:c r="E13" s="28" t="str">
        <x:v>горьковатый, терпкий</x:v>
      </x:c>
      <x:c r="F13" s="28" t="str">
        <x:v>обычно отсутствует; зависит от конкретного продукта</x:v>
      </x:c>
      <x:c r="G13" s="28" t="str">
        <x:v>водная матрица; температура определяет экстракцию</x:v>
      </x:c>
      <x:c r="H13" s="28" t="str">
        <x:v>Справочный групповой профиль; для точного состава конкретного сорта или бренда нужен инструментальный анализ.</x:v>
      </x:c>
      <x:c r="I13" s="28" t="n">
        <x:f>COUNTIF('Все сочетания'!$C:$C,A13)+COUNTIF('Все сочетания'!$F:$F,A13)</x:f>
        <x:v>1</x:v>
      </x:c>
    </x:row>
    <x:row r="14" ht="46" customHeight="1">
      <x:c r="A14" s="28" t="str">
        <x:v>blood orange</x:v>
      </x:c>
      <x:c r="B14" s="28" t="str">
        <x:v>Цитрусовые</x:v>
      </x:c>
      <x:c r="C14" s="28" t="str">
        <x:v>зелёный, цветочный, цитрусовый</x:v>
      </x:c>
      <x:c r="D14" s="28" t="str">
        <x:v>лимонен, линалоол, цитраль</x:v>
      </x:c>
      <x:c r="E14" s="28" t="str">
        <x:v>кислый, свежий</x:v>
      </x:c>
      <x:c r="F14" s="28" t="str">
        <x:v>обычно отсутствует; зависит от конкретного продукта</x:v>
      </x:c>
      <x:c r="G14" s="28" t="str">
        <x:v>вода и эфирные масла; цедра гидрофобна</x:v>
      </x:c>
      <x:c r="H14" s="28" t="str">
        <x:v>Справочный групповой профиль; для точного состава конкретного сорта или бренда нужен инструментальный анализ.</x:v>
      </x:c>
      <x:c r="I14" s="28" t="n">
        <x:f>COUNTIF('Все сочетания'!$C:$C,A14)+COUNTIF('Все сочетания'!$F:$F,A14)</x:f>
        <x:v>1</x:v>
      </x:c>
    </x:row>
    <x:row r="15" ht="46" customHeight="1">
      <x:c r="A15" s="28" t="str">
        <x:v>borage</x:v>
      </x:c>
      <x:c r="B15" s="28" t="str">
        <x:v>Прочее</x:v>
      </x:c>
      <x:c r="C15" s="28" t="str">
        <x:v>комплексный</x:v>
      </x:c>
      <x:c r="D15" s="28" t="str">
        <x:v>не конкретизированы</x:v>
      </x:c>
      <x:c r="E15" s="28" t="str">
        <x:v>зависит от ингредиента</x:v>
      </x:c>
      <x:c r="F15" s="28" t="str">
        <x:v>обычно отсутствует; зависит от конкретного продукта</x:v>
      </x:c>
      <x:c r="G15" s="28" t="str">
        <x:v>механизм зависит от конкретного продукта</x:v>
      </x:c>
      <x:c r="H15" s="28" t="str">
        <x:v>Справочный групповой профиль; для точного состава конкретного сорта или бренда нужен инструментальный анализ.</x:v>
      </x:c>
      <x:c r="I15" s="28" t="n">
        <x:f>COUNTIF('Все сочетания'!$C:$C,A15)+COUNTIF('Все сочетания'!$F:$F,A15)</x:f>
        <x:v>1</x:v>
      </x:c>
    </x:row>
    <x:row r="16" ht="46" customHeight="1">
      <x:c r="A16" s="28" t="str">
        <x:v>brioche kiw</x:v>
      </x:c>
      <x:c r="B16" s="28" t="str">
        <x:v>Злаки и выпечка</x:v>
      </x:c>
      <x:c r="C16" s="28" t="str">
        <x:v>жареный, зерновой, солодовый</x:v>
      </x:c>
      <x:c r="D16" s="28" t="str">
        <x:v>мальтол, пиразины, фураны</x:v>
      </x:c>
      <x:c r="E16" s="28" t="str">
        <x:v>крахмалистый, сладковатый</x:v>
      </x:c>
      <x:c r="F16" s="28" t="str">
        <x:v>обычно отсутствует; зависит от конкретного продукта</x:v>
      </x:c>
      <x:c r="G16" s="28" t="str">
        <x:v>крахмал и сухая пористая матрица</x:v>
      </x:c>
      <x:c r="H16" s="28" t="str">
        <x:v>Справочный групповой профиль; для точного состава конкретного сорта или бренда нужен инструментальный анализ.</x:v>
      </x:c>
      <x:c r="I16" s="28" t="n">
        <x:f>COUNTIF('Все сочетания'!$C:$C,A16)+COUNTIF('Все сочетания'!$F:$F,A16)</x:f>
        <x:v>1</x:v>
      </x:c>
    </x:row>
    <x:row r="17" ht="46" customHeight="1">
      <x:c r="A17" s="28" t="str">
        <x:v>brown chicken stock (fond brun)</x:v>
      </x:c>
      <x:c r="B17" s="28" t="str">
        <x:v>Мясо и птица</x:v>
      </x:c>
      <x:c r="C17" s="28" t="str">
        <x:v>жареный, жирный, сернистый, умами</x:v>
      </x:c>
      <x:c r="D17" s="28" t="str">
        <x:v>альдегиды, пиразины, сернистые соединения</x:v>
      </x:c>
      <x:c r="E17" s="28" t="str">
        <x:v>умами, солёный, жирный</x:v>
      </x:c>
      <x:c r="F17" s="28" t="str">
        <x:v>обычно отсутствует; зависит от конкретного продукта</x:v>
      </x:c>
      <x:c r="G17" s="28" t="str">
        <x:v>жир переносит аромат; реакция Майяра создаёт новые одоранты</x:v>
      </x:c>
      <x:c r="H17" s="28" t="str">
        <x:v>Справочный групповой профиль; для точного состава конкретного сорта или бренда нужен инструментальный анализ.</x:v>
      </x:c>
      <x:c r="I17" s="28" t="n">
        <x:f>COUNTIF('Все сочетания'!$C:$C,A17)+COUNTIF('Все сочетания'!$F:$F,A17)</x:f>
        <x:v>1</x:v>
      </x:c>
    </x:row>
    <x:row r="18" ht="46" customHeight="1">
      <x:c r="A18" s="28" t="str">
        <x:v>calendula flower</x:v>
      </x:c>
      <x:c r="B18" s="28" t="str">
        <x:v>Травы и цветы</x:v>
      </x:c>
      <x:c r="C18" s="28" t="str">
        <x:v>зелёный, травянистый, цветочный</x:v>
      </x:c>
      <x:c r="D18" s="28" t="str">
        <x:v>гераниол, линалоол, терпены, эвгенол</x:v>
      </x:c>
      <x:c r="E18" s="28" t="str">
        <x:v>горьковатый, свежий</x:v>
      </x:c>
      <x:c r="F18" s="28" t="str">
        <x:v>обычно отсутствует; зависит от конкретного продукта</x:v>
      </x:c>
      <x:c r="G18" s="28" t="str">
        <x:v>летучие масла чувствительны к нагреву</x:v>
      </x:c>
      <x:c r="H18" s="28" t="str">
        <x:v>Справочный групповой профиль; для точного состава конкретного сорта или бренда нужен инструментальный анализ.</x:v>
      </x:c>
      <x:c r="I18" s="28" t="n">
        <x:f>COUNTIF('Все сочетания'!$C:$C,A18)+COUNTIF('Все сочетания'!$F:$F,A18)</x:f>
        <x:v>1</x:v>
      </x:c>
    </x:row>
    <x:row r="19" ht="46" customHeight="1">
      <x:c r="A19" s="28" t="str">
        <x:v>cantaloupe</x:v>
      </x:c>
      <x:c r="B19" s="28" t="str">
        <x:v>Прочее</x:v>
      </x:c>
      <x:c r="C19" s="28" t="str">
        <x:v>комплексный</x:v>
      </x:c>
      <x:c r="D19" s="28" t="str">
        <x:v>не конкретизированы</x:v>
      </x:c>
      <x:c r="E19" s="28" t="str">
        <x:v>зависит от ингредиента</x:v>
      </x:c>
      <x:c r="F19" s="28" t="str">
        <x:v>обычно отсутствует; зависит от конкретного продукта</x:v>
      </x:c>
      <x:c r="G19" s="28" t="str">
        <x:v>механизм зависит от конкретного продукта</x:v>
      </x:c>
      <x:c r="H19" s="28" t="str">
        <x:v>Справочный групповой профиль; для точного состава конкретного сорта или бренда нужен инструментальный анализ.</x:v>
      </x:c>
      <x:c r="I19" s="28" t="n">
        <x:f>COUNTIF('Все сочетания'!$C:$C,A19)+COUNTIF('Все сочетания'!$F:$F,A19)</x:f>
        <x:v>1</x:v>
      </x:c>
    </x:row>
    <x:row r="20" ht="46" customHeight="1">
      <x:c r="A20" s="28" t="str">
        <x:v>catay (Peruvian black mint)</x:v>
      </x:c>
      <x:c r="B20" s="28" t="str">
        <x:v>Прочее</x:v>
      </x:c>
      <x:c r="C20" s="28" t="str">
        <x:v>комплексный</x:v>
      </x:c>
      <x:c r="D20" s="28" t="str">
        <x:v>не конкретизированы</x:v>
      </x:c>
      <x:c r="E20" s="28" t="str">
        <x:v>зависит от ингредиента</x:v>
      </x:c>
      <x:c r="F20" s="28" t="str">
        <x:v>обычно отсутствует; зависит от конкретного продукта</x:v>
      </x:c>
      <x:c r="G20" s="28" t="str">
        <x:v>механизм зависит от конкретного продукта</x:v>
      </x:c>
      <x:c r="H20" s="28" t="str">
        <x:v>Справочный групповой профиль; для точного состава конкретного сорта или бренда нужен инструментальный анализ.</x:v>
      </x:c>
      <x:c r="I20" s="28" t="n">
        <x:f>COUNTIF('Все сочетания'!$C:$C,A20)+COUNTIF('Все сочетания'!$F:$F,A20)</x:f>
        <x:v>1</x:v>
      </x:c>
    </x:row>
    <x:row r="21" ht="46" customHeight="1">
      <x:c r="A21" s="28" t="str">
        <x:v>celery leaves</x:v>
      </x:c>
      <x:c r="B21" s="28" t="str">
        <x:v>Прочее</x:v>
      </x:c>
      <x:c r="C21" s="28" t="str">
        <x:v>комплексный</x:v>
      </x:c>
      <x:c r="D21" s="28" t="str">
        <x:v>не конкретизированы</x:v>
      </x:c>
      <x:c r="E21" s="28" t="str">
        <x:v>зависит от ингредиента</x:v>
      </x:c>
      <x:c r="F21" s="28" t="str">
        <x:v>обычно отсутствует; зависит от конкретного продукта</x:v>
      </x:c>
      <x:c r="G21" s="28" t="str">
        <x:v>механизм зависит от конкретного продукта</x:v>
      </x:c>
      <x:c r="H21" s="28" t="str">
        <x:v>Справочный групповой профиль; для точного состава конкретного сорта или бренда нужен инструментальный анализ.</x:v>
      </x:c>
      <x:c r="I21" s="28" t="n">
        <x:f>COUNTIF('Все сочетания'!$C:$C,A21)+COUNTIF('Все сочетания'!$F:$F,A21)</x:f>
        <x:v>1</x:v>
      </x:c>
    </x:row>
    <x:row r="22" ht="46" customHeight="1">
      <x:c r="A22" s="28" t="str">
        <x:v>chard</x:v>
      </x:c>
      <x:c r="B22" s="28" t="str">
        <x:v>Прочее</x:v>
      </x:c>
      <x:c r="C22" s="28" t="str">
        <x:v>комплексный</x:v>
      </x:c>
      <x:c r="D22" s="28" t="str">
        <x:v>не конкретизированы</x:v>
      </x:c>
      <x:c r="E22" s="28" t="str">
        <x:v>зависит от ингредиента</x:v>
      </x:c>
      <x:c r="F22" s="28" t="str">
        <x:v>обычно отсутствует; зависит от конкретного продукта</x:v>
      </x:c>
      <x:c r="G22" s="28" t="str">
        <x:v>механизм зависит от конкретного продукта</x:v>
      </x:c>
      <x:c r="H22" s="28" t="str">
        <x:v>Справочный групповой профиль; для точного состава конкретного сорта или бренда нужен инструментальный анализ.</x:v>
      </x:c>
      <x:c r="I22" s="28" t="n">
        <x:f>COUNTIF('Все сочетания'!$C:$C,A22)+COUNTIF('Все сочетания'!$F:$F,A22)</x:f>
        <x:v>1</x:v>
      </x:c>
    </x:row>
    <x:row r="23" ht="46" customHeight="1">
      <x:c r="A23" s="28" t="str">
        <x:v>chicory</x:v>
      </x:c>
      <x:c r="B23" s="28" t="str">
        <x:v>Прочее</x:v>
      </x:c>
      <x:c r="C23" s="28" t="str">
        <x:v>комплексный</x:v>
      </x:c>
      <x:c r="D23" s="28" t="str">
        <x:v>не конкретизированы</x:v>
      </x:c>
      <x:c r="E23" s="28" t="str">
        <x:v>зависит от ингредиента</x:v>
      </x:c>
      <x:c r="F23" s="28" t="str">
        <x:v>обычно отсутствует; зависит от конкретного продукта</x:v>
      </x:c>
      <x:c r="G23" s="28" t="str">
        <x:v>механизм зависит от конкретного продукта</x:v>
      </x:c>
      <x:c r="H23" s="28" t="str">
        <x:v>Справочный групповой профиль; для точного состава конкретного сорта или бренда нужен инструментальный анализ.</x:v>
      </x:c>
      <x:c r="I23" s="28" t="n">
        <x:f>COUNTIF('Все сочетания'!$C:$C,A23)+COUNTIF('Все сочетания'!$F:$F,A23)</x:f>
        <x:v>1</x:v>
      </x:c>
    </x:row>
    <x:row r="24" ht="46" customHeight="1">
      <x:c r="A24" s="28" t="str">
        <x:v>chicory (Belgian endive)</x:v>
      </x:c>
      <x:c r="B24" s="28" t="str">
        <x:v>Прочее</x:v>
      </x:c>
      <x:c r="C24" s="28" t="str">
        <x:v>комплексный</x:v>
      </x:c>
      <x:c r="D24" s="28" t="str">
        <x:v>не конкретизированы</x:v>
      </x:c>
      <x:c r="E24" s="28" t="str">
        <x:v>зависит от ингредиента</x:v>
      </x:c>
      <x:c r="F24" s="28" t="str">
        <x:v>обычно отсутствует; зависит от конкретного продукта</x:v>
      </x:c>
      <x:c r="G24" s="28" t="str">
        <x:v>механизм зависит от конкретного продукта</x:v>
      </x:c>
      <x:c r="H24" s="28" t="str">
        <x:v>Справочный групповой профиль; для точного состава конкретного сорта или бренда нужен инструментальный анализ.</x:v>
      </x:c>
      <x:c r="I24" s="28" t="n">
        <x:f>COUNTIF('Все сочетания'!$C:$C,A24)+COUNTIF('Все сочетания'!$F:$F,A24)</x:f>
        <x:v>1</x:v>
      </x:c>
    </x:row>
    <x:row r="25" ht="46" customHeight="1">
      <x:c r="A25" s="28" t="str">
        <x:v>coconut drink</x:v>
      </x:c>
      <x:c r="B25" s="28" t="str">
        <x:v>Орехи и семена</x:v>
      </x:c>
      <x:c r="C25" s="28" t="str">
        <x:v>жареный, миндальный, ореховый</x:v>
      </x:c>
      <x:c r="D25" s="28" t="str">
        <x:v>бензальдегид, пиразины, фураны</x:v>
      </x:c>
      <x:c r="E25" s="28" t="str">
        <x:v>сладковатый, жирный</x:v>
      </x:c>
      <x:c r="F25" s="28" t="str">
        <x:v>обычно отсутствует; зависит от конкретного продукта</x:v>
      </x:c>
      <x:c r="G25" s="28" t="str">
        <x:v>жир хорошо удерживает гидрофобные одоранты</x:v>
      </x:c>
      <x:c r="H25" s="28" t="str">
        <x:v>Справочный групповой профиль; для точного состава конкретного сорта или бренда нужен инструментальный анализ.</x:v>
      </x:c>
      <x:c r="I25" s="28" t="n">
        <x:f>COUNTIF('Все сочетания'!$C:$C,A25)+COUNTIF('Все сочетания'!$F:$F,A25)</x:f>
        <x:v>1</x:v>
      </x:c>
    </x:row>
    <x:row r="26" ht="46" customHeight="1">
      <x:c r="A26" s="28" t="str">
        <x:v>codium seaweed</x:v>
      </x:c>
      <x:c r="B26" s="28" t="str">
        <x:v>Рыба и морепродукты</x:v>
      </x:c>
      <x:c r="C26" s="28" t="str">
        <x:v>жирный, морской, умами</x:v>
      </x:c>
      <x:c r="D26" s="28" t="str">
        <x:v>альдегиды, амины, сернистые соединения</x:v>
      </x:c>
      <x:c r="E26" s="28" t="str">
        <x:v>умами, солёный</x:v>
      </x:c>
      <x:c r="F26" s="28" t="str">
        <x:v>обычно отсутствует; зависит от конкретного продукта</x:v>
      </x:c>
      <x:c r="G26" s="28" t="str">
        <x:v>белковая/жировая матрица; кислота снижает рыбные ноты</x:v>
      </x:c>
      <x:c r="H26" s="28" t="str">
        <x:v>Справочный групповой профиль; для точного состава конкретного сорта или бренда нужен инструментальный анализ.</x:v>
      </x:c>
      <x:c r="I26" s="28" t="n">
        <x:f>COUNTIF('Все сочетания'!$C:$C,A26)+COUNTIF('Все сочетания'!$F:$F,A26)</x:f>
        <x:v>1</x:v>
      </x:c>
    </x:row>
    <x:row r="27" ht="46" customHeight="1">
      <x:c r="A27" s="28" t="str">
        <x:v>cointreau</x:v>
      </x:c>
      <x:c r="B27" s="28" t="str">
        <x:v>Прочее</x:v>
      </x:c>
      <x:c r="C27" s="28" t="str">
        <x:v>комплексный</x:v>
      </x:c>
      <x:c r="D27" s="28" t="str">
        <x:v>не конкретизированы</x:v>
      </x:c>
      <x:c r="E27" s="28" t="str">
        <x:v>зависит от ингредиента</x:v>
      </x:c>
      <x:c r="F27" s="28" t="str">
        <x:v>обычно отсутствует; зависит от конкретного продукта</x:v>
      </x:c>
      <x:c r="G27" s="28" t="str">
        <x:v>механизм зависит от конкретного продукта</x:v>
      </x:c>
      <x:c r="H27" s="28" t="str">
        <x:v>Справочный групповой профиль; для точного состава конкретного сорта или бренда нужен инструментальный анализ.</x:v>
      </x:c>
      <x:c r="I27" s="28" t="n">
        <x:f>COUNTIF('Все сочетания'!$C:$C,A27)+COUNTIF('Все сочетания'!$F:$F,A27)</x:f>
        <x:v>1</x:v>
      </x:c>
    </x:row>
    <x:row r="28" ht="46" customHeight="1">
      <x:c r="A28" s="28" t="str">
        <x:v>d eucalyptus leaves</x:v>
      </x:c>
      <x:c r="B28" s="28" t="str">
        <x:v>Прочее</x:v>
      </x:c>
      <x:c r="C28" s="28" t="str">
        <x:v>комплексный</x:v>
      </x:c>
      <x:c r="D28" s="28" t="str">
        <x:v>не конкретизированы</x:v>
      </x:c>
      <x:c r="E28" s="28" t="str">
        <x:v>зависит от ингредиента</x:v>
      </x:c>
      <x:c r="F28" s="28" t="str">
        <x:v>обычно отсутствует; зависит от конкретного продукта</x:v>
      </x:c>
      <x:c r="G28" s="28" t="str">
        <x:v>механизм зависит от конкретного продукта</x:v>
      </x:c>
      <x:c r="H28" s="28" t="str">
        <x:v>Справочный групповой профиль; для точного состава конкретного сорта или бренда нужен инструментальный анализ.</x:v>
      </x:c>
      <x:c r="I28" s="28" t="n">
        <x:f>COUNTIF('Все сочетания'!$C:$C,A28)+COUNTIF('Все сочетания'!$F:$F,A28)</x:f>
        <x:v>1</x:v>
      </x:c>
    </x:row>
    <x:row r="29" ht="46" customHeight="1">
      <x:c r="A29" s="28" t="str">
        <x:v>darin peel</x:v>
      </x:c>
      <x:c r="B29" s="28" t="str">
        <x:v>Прочее</x:v>
      </x:c>
      <x:c r="C29" s="28" t="str">
        <x:v>комплексный</x:v>
      </x:c>
      <x:c r="D29" s="28" t="str">
        <x:v>не конкретизированы</x:v>
      </x:c>
      <x:c r="E29" s="28" t="str">
        <x:v>зависит от ингредиента</x:v>
      </x:c>
      <x:c r="F29" s="28" t="str">
        <x:v>обычно отсутствует; зависит от конкретного продукта</x:v>
      </x:c>
      <x:c r="G29" s="28" t="str">
        <x:v>механизм зависит от конкретного продукта</x:v>
      </x:c>
      <x:c r="H29" s="28" t="str">
        <x:v>Справочный групповой профиль; для точного состава конкретного сорта или бренда нужен инструментальный анализ.</x:v>
      </x:c>
      <x:c r="I29" s="28" t="n">
        <x:f>COUNTIF('Все сочетания'!$C:$C,A29)+COUNTIF('Все сочетания'!$F:$F,A29)</x:f>
        <x:v>1</x:v>
      </x:c>
    </x:row>
    <x:row r="30" ht="46" customHeight="1">
      <x:c r="A30" s="28" t="str">
        <x:v>dark chocolate log</x:v>
      </x:c>
      <x:c r="B30" s="28" t="str">
        <x:v>Шоколад, кофе и жареные продукты</x:v>
      </x:c>
      <x:c r="C30" s="28" t="str">
        <x:v>горький, жареный, карамельный, ореховый</x:v>
      </x:c>
      <x:c r="D30" s="28" t="str">
        <x:v>ванилин, пиразины, фураны</x:v>
      </x:c>
      <x:c r="E30" s="28" t="str">
        <x:v>горько-сладкий</x:v>
      </x:c>
      <x:c r="F30" s="28" t="str">
        <x:v>обычно отсутствует; зависит от конкретного продукта</x:v>
      </x:c>
      <x:c r="G30" s="28" t="str">
        <x:v>жир и обжаренные твёрдые частицы</x:v>
      </x:c>
      <x:c r="H30" s="28" t="str">
        <x:v>Справочный групповой профиль; для точного состава конкретного сорта или бренда нужен инструментальный анализ.</x:v>
      </x:c>
      <x:c r="I30" s="28" t="n">
        <x:f>COUNTIF('Все сочетания'!$C:$C,A30)+COUNTIF('Все сочетания'!$F:$F,A30)</x:f>
        <x:v>1</x:v>
      </x:c>
    </x:row>
    <x:row r="31" ht="46" customHeight="1">
      <x:c r="A31" s="28" t="str">
        <x:v>ed caraway leaves</x:v>
      </x:c>
      <x:c r="B31" s="28" t="str">
        <x:v>Прочее</x:v>
      </x:c>
      <x:c r="C31" s="28" t="str">
        <x:v>комплексный</x:v>
      </x:c>
      <x:c r="D31" s="28" t="str">
        <x:v>не конкретизированы</x:v>
      </x:c>
      <x:c r="E31" s="28" t="str">
        <x:v>зависит от ингредиента</x:v>
      </x:c>
      <x:c r="F31" s="28" t="str">
        <x:v>обычно отсутствует; зависит от конкретного продукта</x:v>
      </x:c>
      <x:c r="G31" s="28" t="str">
        <x:v>механизм зависит от конкретного продукта</x:v>
      </x:c>
      <x:c r="H31" s="28" t="str">
        <x:v>Справочный групповой профиль; для точного состава конкретного сорта или бренда нужен инструментальный анализ.</x:v>
      </x:c>
      <x:c r="I31" s="28" t="n">
        <x:f>COUNTIF('Все сочетания'!$C:$C,A31)+COUNTIF('Все сочетания'!$F:$F,A31)</x:f>
        <x:v>1</x:v>
      </x:c>
    </x:row>
    <x:row r="32" ht="46" customHeight="1">
      <x:c r="A32" s="28" t="str">
        <x:v>ed fig</x:v>
      </x:c>
      <x:c r="B32" s="28" t="str">
        <x:v>Фрукты</x:v>
      </x:c>
      <x:c r="C32" s="28" t="str">
        <x:v>зелёный, фруктовый, цветочный</x:v>
      </x:c>
      <x:c r="D32" s="28" t="str">
        <x:v>лактоны, терпены, эфиры</x:v>
      </x:c>
      <x:c r="E32" s="28" t="str">
        <x:v>сладко-кислый</x:v>
      </x:c>
      <x:c r="F32" s="28" t="str">
        <x:v>обычно отсутствует; зависит от конкретного продукта</x:v>
      </x:c>
      <x:c r="G32" s="28" t="str">
        <x:v>водная фруктовая матрица</x:v>
      </x:c>
      <x:c r="H32" s="28" t="str">
        <x:v>Справочный групповой профиль; для точного состава конкретного сорта или бренда нужен инструментальный анализ.</x:v>
      </x:c>
      <x:c r="I32" s="28" t="n">
        <x:f>COUNTIF('Все сочетания'!$C:$C,A32)+COUNTIF('Все сочетания'!$F:$F,A32)</x:f>
        <x:v>1</x:v>
      </x:c>
    </x:row>
    <x:row r="33" ht="46" customHeight="1">
      <x:c r="A33" s="28" t="str">
        <x:v>ed tomato</x:v>
      </x:c>
      <x:c r="B33" s="28" t="str">
        <x:v>Овощи и грибы</x:v>
      </x:c>
      <x:c r="C33" s="28" t="str">
        <x:v>зелёный, землистый, сернистый</x:v>
      </x:c>
      <x:c r="D33" s="28" t="str">
        <x:v>C6-альдегиды, пиразины, сернистые соединения</x:v>
      </x:c>
      <x:c r="E33" s="28" t="str">
        <x:v>растительный, иногда умами</x:v>
      </x:c>
      <x:c r="F33" s="28" t="str">
        <x:v>обычно отсутствует; зависит от конкретного продукта</x:v>
      </x:c>
      <x:c r="G33" s="28" t="str">
        <x:v>высокая доля воды; нагрев меняет зелёный профиль</x:v>
      </x:c>
      <x:c r="H33" s="28" t="str">
        <x:v>Справочный групповой профиль; для точного состава конкретного сорта или бренда нужен инструментальный анализ.</x:v>
      </x:c>
      <x:c r="I33" s="28" t="n">
        <x:f>COUNTIF('Все сочетания'!$C:$C,A33)+COUNTIF('Все сочетания'!$F:$F,A33)</x:f>
        <x:v>1</x:v>
      </x:c>
    </x:row>
    <x:row r="34" ht="46" customHeight="1">
      <x:c r="A34" s="28" t="str">
        <x:v>edamame nut</x:v>
      </x:c>
      <x:c r="B34" s="28" t="str">
        <x:v>Орехи и семена</x:v>
      </x:c>
      <x:c r="C34" s="28" t="str">
        <x:v>жареный, миндальный, ореховый</x:v>
      </x:c>
      <x:c r="D34" s="28" t="str">
        <x:v>бензальдегид, пиразины, фураны</x:v>
      </x:c>
      <x:c r="E34" s="28" t="str">
        <x:v>сладковатый, жирный</x:v>
      </x:c>
      <x:c r="F34" s="28" t="str">
        <x:v>обычно отсутствует; зависит от конкретного продукта</x:v>
      </x:c>
      <x:c r="G34" s="28" t="str">
        <x:v>жир хорошо удерживает гидрофобные одоранты</x:v>
      </x:c>
      <x:c r="H34" s="28" t="str">
        <x:v>Справочный групповой профиль; для точного состава конкретного сорта или бренда нужен инструментальный анализ.</x:v>
      </x:c>
      <x:c r="I34" s="28" t="n">
        <x:f>COUNTIF('Все сочетания'!$C:$C,A34)+COUNTIF('Все сочетания'!$F:$F,A34)</x:f>
        <x:v>1</x:v>
      </x:c>
    </x:row>
    <x:row r="35" ht="46" customHeight="1">
      <x:c r="A35" s="28" t="str">
        <x:v>emmental</x:v>
      </x:c>
      <x:c r="B35" s="28" t="str">
        <x:v>Прочее</x:v>
      </x:c>
      <x:c r="C35" s="28" t="str">
        <x:v>комплексный</x:v>
      </x:c>
      <x:c r="D35" s="28" t="str">
        <x:v>не конкретизированы</x:v>
      </x:c>
      <x:c r="E35" s="28" t="str">
        <x:v>зависит от ингредиента</x:v>
      </x:c>
      <x:c r="F35" s="28" t="str">
        <x:v>обычно отсутствует; зависит от конкретного продукта</x:v>
      </x:c>
      <x:c r="G35" s="28" t="str">
        <x:v>механизм зависит от конкретного продукта</x:v>
      </x:c>
      <x:c r="H35" s="28" t="str">
        <x:v>Справочный групповой профиль; для точного состава конкретного сорта или бренда нужен инструментальный анализ.</x:v>
      </x:c>
      <x:c r="I35" s="28" t="n">
        <x:f>COUNTIF('Все сочетания'!$C:$C,A35)+COUNTIF('Все сочетания'!$F:$F,A35)</x:f>
        <x:v>1</x:v>
      </x:c>
    </x:row>
    <x:row r="36" ht="46" customHeight="1">
      <x:c r="A36" s="28" t="str">
        <x:v>farmhouse Cheddar</x:v>
      </x:c>
      <x:c r="B36" s="28" t="str">
        <x:v>Прочее</x:v>
      </x:c>
      <x:c r="C36" s="28" t="str">
        <x:v>комплексный</x:v>
      </x:c>
      <x:c r="D36" s="28" t="str">
        <x:v>не конкретизированы</x:v>
      </x:c>
      <x:c r="E36" s="28" t="str">
        <x:v>зависит от ингредиента</x:v>
      </x:c>
      <x:c r="F36" s="28" t="str">
        <x:v>обычно отсутствует; зависит от конкретного продукта</x:v>
      </x:c>
      <x:c r="G36" s="28" t="str">
        <x:v>механизм зависит от конкретного продукта</x:v>
      </x:c>
      <x:c r="H36" s="28" t="str">
        <x:v>Справочный групповой профиль; для точного состава конкретного сорта или бренда нужен инструментальный анализ.</x:v>
      </x:c>
      <x:c r="I36" s="28" t="n">
        <x:f>COUNTIF('Все сочетания'!$C:$C,A36)+COUNTIF('Все сочетания'!$F:$F,A36)</x:f>
        <x:v>1</x:v>
      </x:c>
    </x:row>
    <x:row r="37" ht="46" customHeight="1">
      <x:c r="A37" s="28" t="str">
        <x:v>fried quail</x:v>
      </x:c>
      <x:c r="B37" s="28" t="str">
        <x:v>Прочее</x:v>
      </x:c>
      <x:c r="C37" s="28" t="str">
        <x:v>комплексный</x:v>
      </x:c>
      <x:c r="D37" s="28" t="str">
        <x:v>не конкретизированы</x:v>
      </x:c>
      <x:c r="E37" s="28" t="str">
        <x:v>зависит от ингредиента</x:v>
      </x:c>
      <x:c r="F37" s="28" t="str">
        <x:v>обычно отсутствует; зависит от конкретного продукта</x:v>
      </x:c>
      <x:c r="G37" s="28" t="str">
        <x:v>механизм зависит от конкретного продукта</x:v>
      </x:c>
      <x:c r="H37" s="28" t="str">
        <x:v>Справочный групповой профиль; для точного состава конкретного сорта или бренда нужен инструментальный анализ.</x:v>
      </x:c>
      <x:c r="I37" s="28" t="n">
        <x:f>COUNTIF('Все сочетания'!$C:$C,A37)+COUNTIF('Все сочетания'!$F:$F,A37)</x:f>
        <x:v>1</x:v>
      </x:c>
    </x:row>
    <x:row r="38" ht="46" customHeight="1">
      <x:c r="A38" s="28" t="str">
        <x:v>Gin Mare</x:v>
      </x:c>
      <x:c r="B38" s="28" t="str">
        <x:v>Алкогольные напитки</x:v>
      </x:c>
      <x:c r="C38" s="28" t="str">
        <x:v>древесный, фруктовый, эфирный</x:v>
      </x:c>
      <x:c r="D38" s="28" t="str">
        <x:v>ванилин, дубовые лактоны, этиловые эфиры</x:v>
      </x:c>
      <x:c r="E38" s="28" t="str">
        <x:v>зависит от напитка</x:v>
      </x:c>
      <x:c r="F38" s="28" t="str">
        <x:v>обычно отсутствует; зависит от конкретного продукта</x:v>
      </x:c>
      <x:c r="G38" s="28" t="str">
        <x:v>этанол растворяет гидрофобные ароматические вещества</x:v>
      </x:c>
      <x:c r="H38" s="28" t="str">
        <x:v>Справочный групповой профиль; для точного состава конкретного сорта или бренда нужен инструментальный анализ.</x:v>
      </x:c>
      <x:c r="I38" s="28" t="n">
        <x:f>COUNTIF('Все сочетания'!$C:$C,A38)+COUNTIF('Все сочетания'!$F:$F,A38)</x:f>
        <x:v>1</x:v>
      </x:c>
    </x:row>
    <x:row r="39" ht="46" customHeight="1">
      <x:c r="A39" s="28" t="str">
        <x:v>goats' cheese</x:v>
      </x:c>
      <x:c r="B39" s="28" t="str">
        <x:v>Молочные продукты и сыры</x:v>
      </x:c>
      <x:c r="C39" s="28" t="str">
        <x:v>масляный, молочный, сливочный, сырный</x:v>
      </x:c>
      <x:c r="D39" s="28" t="str">
        <x:v>диацетил, жирные кислоты, лактоны</x:v>
      </x:c>
      <x:c r="E39" s="28" t="str">
        <x:v>жирный, кислый/солёный</x:v>
      </x:c>
      <x:c r="F39" s="28" t="str">
        <x:v>обычно отсутствует; зависит от конкретного продукта</x:v>
      </x:c>
      <x:c r="G39" s="28" t="str">
        <x:v>жировая и белковая матрица смягчает кислотность</x:v>
      </x:c>
      <x:c r="H39" s="28" t="str">
        <x:v>Справочный групповой профиль; для точного состава конкретного сорта или бренда нужен инструментальный анализ.</x:v>
      </x:c>
      <x:c r="I39" s="28" t="n">
        <x:f>COUNTIF('Все сочетания'!$C:$C,A39)+COUNTIF('Все сочетания'!$F:$F,A39)</x:f>
        <x:v>1</x:v>
      </x:c>
    </x:row>
    <x:row r="40" ht="46" customHeight="1">
      <x:c r="A40" s="28" t="str">
        <x:v>guava</x:v>
      </x:c>
      <x:c r="B40" s="28" t="str">
        <x:v>Прочее</x:v>
      </x:c>
      <x:c r="C40" s="28" t="str">
        <x:v>комплексный</x:v>
      </x:c>
      <x:c r="D40" s="28" t="str">
        <x:v>не конкретизированы</x:v>
      </x:c>
      <x:c r="E40" s="28" t="str">
        <x:v>зависит от ингредиента</x:v>
      </x:c>
      <x:c r="F40" s="28" t="str">
        <x:v>обычно отсутствует; зависит от конкретного продукта</x:v>
      </x:c>
      <x:c r="G40" s="28" t="str">
        <x:v>механизм зависит от конкретного продукта</x:v>
      </x:c>
      <x:c r="H40" s="28" t="str">
        <x:v>Справочный групповой профиль; для точного состава конкретного сорта или бренда нужен инструментальный анализ.</x:v>
      </x:c>
      <x:c r="I40" s="28" t="n">
        <x:f>COUNTIF('Все сочетания'!$C:$C,A40)+COUNTIF('Все сочетания'!$F:$F,A40)</x:f>
        <x:v>1</x:v>
      </x:c>
    </x:row>
    <x:row r="41" ht="46" customHeight="1">
      <x:c r="A41" s="28" t="str">
        <x:v>honeydew melon</x:v>
      </x:c>
      <x:c r="B41" s="28" t="str">
        <x:v>Фрукты</x:v>
      </x:c>
      <x:c r="C41" s="28" t="str">
        <x:v>зелёный, фруктовый, цветочный</x:v>
      </x:c>
      <x:c r="D41" s="28" t="str">
        <x:v>лактоны, терпены, эфиры</x:v>
      </x:c>
      <x:c r="E41" s="28" t="str">
        <x:v>сладко-кислый</x:v>
      </x:c>
      <x:c r="F41" s="28" t="str">
        <x:v>обычно отсутствует; зависит от конкретного продукта</x:v>
      </x:c>
      <x:c r="G41" s="28" t="str">
        <x:v>водная фруктовая матрица</x:v>
      </x:c>
      <x:c r="H41" s="28" t="str">
        <x:v>Справочный групповой профиль; для точного состава конкретного сорта или бренда нужен инструментальный анализ.</x:v>
      </x:c>
      <x:c r="I41" s="28" t="n">
        <x:f>COUNTIF('Все сочетания'!$C:$C,A41)+COUNTIF('Все сочетания'!$F:$F,A41)</x:f>
        <x:v>1</x:v>
      </x:c>
    </x:row>
    <x:row r="42" ht="46" customHeight="1">
      <x:c r="A42" s="28" t="str">
        <x:v>hop shoot) bre</x:v>
      </x:c>
      <x:c r="B42" s="28" t="str">
        <x:v>Прочее</x:v>
      </x:c>
      <x:c r="C42" s="28" t="str">
        <x:v>комплексный</x:v>
      </x:c>
      <x:c r="D42" s="28" t="str">
        <x:v>не конкретизированы</x:v>
      </x:c>
      <x:c r="E42" s="28" t="str">
        <x:v>зависит от ингредиента</x:v>
      </x:c>
      <x:c r="F42" s="28" t="str">
        <x:v>обычно отсутствует; зависит от конкретного продукта</x:v>
      </x:c>
      <x:c r="G42" s="28" t="str">
        <x:v>механизм зависит от конкретного продукта</x:v>
      </x:c>
      <x:c r="H42" s="28" t="str">
        <x:v>Справочный групповой профиль; для точного состава конкретного сорта или бренда нужен инструментальный анализ.</x:v>
      </x:c>
      <x:c r="I42" s="28" t="n">
        <x:f>COUNTIF('Все сочетания'!$C:$C,A42)+COUNTIF('Все сочетания'!$F:$F,A42)</x:f>
        <x:v>1</x:v>
      </x:c>
    </x:row>
    <x:row r="43" ht="46" customHeight="1">
      <x:c r="A43" s="28" t="str">
        <x:v>huacatay (Peruvian black mint)</x:v>
      </x:c>
      <x:c r="B43" s="28" t="str">
        <x:v>Прочее</x:v>
      </x:c>
      <x:c r="C43" s="28" t="str">
        <x:v>комплексный</x:v>
      </x:c>
      <x:c r="D43" s="28" t="str">
        <x:v>не конкретизированы</x:v>
      </x:c>
      <x:c r="E43" s="28" t="str">
        <x:v>зависит от ингредиента</x:v>
      </x:c>
      <x:c r="F43" s="28" t="str">
        <x:v>обычно отсутствует; зависит от конкретного продукта</x:v>
      </x:c>
      <x:c r="G43" s="28" t="str">
        <x:v>механизм зависит от конкретного продукта</x:v>
      </x:c>
      <x:c r="H43" s="28" t="str">
        <x:v>Справочный групповой профиль; для точного состава конкретного сорта или бренда нужен инструментальный анализ.</x:v>
      </x:c>
      <x:c r="I43" s="28" t="n">
        <x:f>COUNTIF('Все сочетания'!$C:$C,A43)+COUNTIF('Все сочетания'!$F:$F,A43)</x:f>
        <x:v>1</x:v>
      </x:c>
    </x:row>
    <x:row r="44" ht="46" customHeight="1">
      <x:c r="A44" s="28" t="str">
        <x:v>humulus shoot roa</x:v>
      </x:c>
      <x:c r="B44" s="28" t="str">
        <x:v>Прочее</x:v>
      </x:c>
      <x:c r="C44" s="28" t="str">
        <x:v>комплексный</x:v>
      </x:c>
      <x:c r="D44" s="28" t="str">
        <x:v>не конкретизированы</x:v>
      </x:c>
      <x:c r="E44" s="28" t="str">
        <x:v>зависит от ингредиента</x:v>
      </x:c>
      <x:c r="F44" s="28" t="str">
        <x:v>обычно отсутствует; зависит от конкретного продукта</x:v>
      </x:c>
      <x:c r="G44" s="28" t="str">
        <x:v>механизм зависит от конкретного продукта</x:v>
      </x:c>
      <x:c r="H44" s="28" t="str">
        <x:v>Справочный групповой профиль; для точного состава конкретного сорта или бренда нужен инструментальный анализ.</x:v>
      </x:c>
      <x:c r="I44" s="28" t="n">
        <x:f>COUNTIF('Все сочетания'!$C:$C,A44)+COUNTIF('Все сочетания'!$F:$F,A44)</x:f>
        <x:v>1</x:v>
      </x:c>
    </x:row>
    <x:row r="45" ht="46" customHeight="1">
      <x:c r="A45" s="28" t="str">
        <x:v>iander leaves</x:v>
      </x:c>
      <x:c r="B45" s="28" t="str">
        <x:v>Прочее</x:v>
      </x:c>
      <x:c r="C45" s="28" t="str">
        <x:v>комплексный</x:v>
      </x:c>
      <x:c r="D45" s="28" t="str">
        <x:v>не конкретизированы</x:v>
      </x:c>
      <x:c r="E45" s="28" t="str">
        <x:v>зависит от ингредиента</x:v>
      </x:c>
      <x:c r="F45" s="28" t="str">
        <x:v>обычно отсутствует; зависит от конкретного продукта</x:v>
      </x:c>
      <x:c r="G45" s="28" t="str">
        <x:v>механизм зависит от конкретного продукта</x:v>
      </x:c>
      <x:c r="H45" s="28" t="str">
        <x:v>Справочный групповой профиль; для точного состава конкретного сорта или бренда нужен инструментальный анализ.</x:v>
      </x:c>
      <x:c r="I45" s="28" t="n">
        <x:f>COUNTIF('Все сочетания'!$C:$C,A45)+COUNTIF('Все сочетания'!$F:$F,A45)</x:f>
        <x:v>1</x:v>
      </x:c>
    </x:row>
    <x:row r="46" ht="46" customHeight="1">
      <x:c r="A46" s="28" t="str">
        <x:v>icot brandy</x:v>
      </x:c>
      <x:c r="B46" s="28" t="str">
        <x:v>Прочее</x:v>
      </x:c>
      <x:c r="C46" s="28" t="str">
        <x:v>комплексный</x:v>
      </x:c>
      <x:c r="D46" s="28" t="str">
        <x:v>не конкретизированы</x:v>
      </x:c>
      <x:c r="E46" s="28" t="str">
        <x:v>зависит от ингредиента</x:v>
      </x:c>
      <x:c r="F46" s="28" t="str">
        <x:v>обычно отсутствует; зависит от конкретного продукта</x:v>
      </x:c>
      <x:c r="G46" s="28" t="str">
        <x:v>механизм зависит от конкретного продукта</x:v>
      </x:c>
      <x:c r="H46" s="28" t="str">
        <x:v>Справочный групповой профиль; для точного состава конкретного сорта или бренда нужен инструментальный анализ.</x:v>
      </x:c>
      <x:c r="I46" s="28" t="n">
        <x:f>COUNTIF('Все сочетания'!$C:$C,A46)+COUNTIF('Все сочетания'!$F:$F,A46)</x:f>
        <x:v>1</x:v>
      </x:c>
    </x:row>
    <x:row r="47" ht="46" customHeight="1">
      <x:c r="A47" s="28" t="str">
        <x:v>italian vine tomato</x:v>
      </x:c>
      <x:c r="B47" s="28" t="str">
        <x:v>Овощи и грибы</x:v>
      </x:c>
      <x:c r="C47" s="28" t="str">
        <x:v>зелёный, землистый, сернистый</x:v>
      </x:c>
      <x:c r="D47" s="28" t="str">
        <x:v>C6-альдегиды, пиразины, сернистые соединения</x:v>
      </x:c>
      <x:c r="E47" s="28" t="str">
        <x:v>растительный, иногда умами</x:v>
      </x:c>
      <x:c r="F47" s="28" t="str">
        <x:v>обычно отсутствует; зависит от конкретного продукта</x:v>
      </x:c>
      <x:c r="G47" s="28" t="str">
        <x:v>высокая доля воды; нагрев меняет зелёный профиль</x:v>
      </x:c>
      <x:c r="H47" s="28" t="str">
        <x:v>Справочный групповой профиль; для точного состава конкретного сорта или бренда нужен инструментальный анализ.</x:v>
      </x:c>
      <x:c r="I47" s="28" t="n">
        <x:f>COUNTIF('Все сочетания'!$C:$C,A47)+COUNTIF('Все сочетания'!$F:$F,A47)</x:f>
        <x:v>1</x:v>
      </x:c>
    </x:row>
    <x:row r="48" ht="46" customHeight="1">
      <x:c r="A48" s="28" t="str">
        <x:v>iu</x:v>
      </x:c>
      <x:c r="B48" s="28" t="str">
        <x:v>Прочее</x:v>
      </x:c>
      <x:c r="C48" s="28" t="str">
        <x:v>комплексный</x:v>
      </x:c>
      <x:c r="D48" s="28" t="str">
        <x:v>не конкретизированы</x:v>
      </x:c>
      <x:c r="E48" s="28" t="str">
        <x:v>зависит от ингредиента</x:v>
      </x:c>
      <x:c r="F48" s="28" t="str">
        <x:v>обычно отсутствует; зависит от конкретного продукта</x:v>
      </x:c>
      <x:c r="G48" s="28" t="str">
        <x:v>механизм зависит от конкретного продукта</x:v>
      </x:c>
      <x:c r="H48" s="28" t="str">
        <x:v>Справочный групповой профиль; для точного состава конкретного сорта или бренда нужен инструментальный анализ.</x:v>
      </x:c>
      <x:c r="I48" s="28" t="n">
        <x:f>COUNTIF('Все сочетания'!$C:$C,A48)+COUNTIF('Все сочетания'!$F:$F,A48)</x:f>
        <x:v>1</x:v>
      </x:c>
    </x:row>
    <x:row r="49" ht="46" customHeight="1">
      <x:c r="A49" s="28" t="str">
        <x:v>japanese plum (ume)</x:v>
      </x:c>
      <x:c r="B49" s="28" t="str">
        <x:v>Прочее</x:v>
      </x:c>
      <x:c r="C49" s="28" t="str">
        <x:v>комплексный</x:v>
      </x:c>
      <x:c r="D49" s="28" t="str">
        <x:v>не конкретизированы</x:v>
      </x:c>
      <x:c r="E49" s="28" t="str">
        <x:v>зависит от ингредиента</x:v>
      </x:c>
      <x:c r="F49" s="28" t="str">
        <x:v>обычно отсутствует; зависит от конкретного продукта</x:v>
      </x:c>
      <x:c r="G49" s="28" t="str">
        <x:v>механизм зависит от конкретного продукта</x:v>
      </x:c>
      <x:c r="H49" s="28" t="str">
        <x:v>Справочный групповой профиль; для точного состава конкретного сорта или бренда нужен инструментальный анализ.</x:v>
      </x:c>
      <x:c r="I49" s="28" t="n">
        <x:f>COUNTIF('Все сочетания'!$C:$C,A49)+COUNTIF('Все сочетания'!$F:$F,A49)</x:f>
        <x:v>2</x:v>
      </x:c>
    </x:row>
    <x:row r="50" ht="46" customHeight="1">
      <x:c r="A50" s="28" t="str">
        <x:v>kefir</x:v>
      </x:c>
      <x:c r="B50" s="28" t="str">
        <x:v>Прочее</x:v>
      </x:c>
      <x:c r="C50" s="28" t="str">
        <x:v>комплексный</x:v>
      </x:c>
      <x:c r="D50" s="28" t="str">
        <x:v>не конкретизированы</x:v>
      </x:c>
      <x:c r="E50" s="28" t="str">
        <x:v>зависит от ингредиента</x:v>
      </x:c>
      <x:c r="F50" s="28" t="str">
        <x:v>обычно отсутствует; зависит от конкретного продукта</x:v>
      </x:c>
      <x:c r="G50" s="28" t="str">
        <x:v>механизм зависит от конкретного продукта</x:v>
      </x:c>
      <x:c r="H50" s="28" t="str">
        <x:v>Справочный групповой профиль; для точного состава конкретного сорта или бренда нужен инструментальный анализ.</x:v>
      </x:c>
      <x:c r="I50" s="28" t="n">
        <x:f>COUNTIF('Все сочетания'!$C:$C,A50)+COUNTIF('Все сочетания'!$F:$F,A50)</x:f>
        <x:v>1</x:v>
      </x:c>
    </x:row>
    <x:row r="51" ht="46" customHeight="1">
      <x:c r="A51" s="28" t="str">
        <x:v>kent mango</x:v>
      </x:c>
      <x:c r="B51" s="28" t="str">
        <x:v>Фрукты</x:v>
      </x:c>
      <x:c r="C51" s="28" t="str">
        <x:v>зелёный, фруктовый, цветочный</x:v>
      </x:c>
      <x:c r="D51" s="28" t="str">
        <x:v>лактоны, терпены, эфиры</x:v>
      </x:c>
      <x:c r="E51" s="28" t="str">
        <x:v>сладко-кислый</x:v>
      </x:c>
      <x:c r="F51" s="28" t="str">
        <x:v>обычно отсутствует; зависит от конкретного продукта</x:v>
      </x:c>
      <x:c r="G51" s="28" t="str">
        <x:v>водная фруктовая матрица</x:v>
      </x:c>
      <x:c r="H51" s="28" t="str">
        <x:v>Справочный групповой профиль; для точного состава конкретного сорта или бренда нужен инструментальный анализ.</x:v>
      </x:c>
      <x:c r="I51" s="28" t="n">
        <x:f>COUNTIF('Все сочетания'!$C:$C,A51)+COUNTIF('Все сочетания'!$F:$F,A51)</x:f>
        <x:v>1</x:v>
      </x:c>
    </x:row>
    <x:row r="52" ht="46" customHeight="1">
      <x:c r="A52" s="28" t="str">
        <x:v>king scallop</x:v>
      </x:c>
      <x:c r="B52" s="28" t="str">
        <x:v>Прочее</x:v>
      </x:c>
      <x:c r="C52" s="28" t="str">
        <x:v>комплексный</x:v>
      </x:c>
      <x:c r="D52" s="28" t="str">
        <x:v>не конкретизированы</x:v>
      </x:c>
      <x:c r="E52" s="28" t="str">
        <x:v>зависит от ингредиента</x:v>
      </x:c>
      <x:c r="F52" s="28" t="str">
        <x:v>обычно отсутствует; зависит от конкретного продукта</x:v>
      </x:c>
      <x:c r="G52" s="28" t="str">
        <x:v>механизм зависит от конкретного продукта</x:v>
      </x:c>
      <x:c r="H52" s="28" t="str">
        <x:v>Справочный групповой профиль; для точного состава конкретного сорта или бренда нужен инструментальный анализ.</x:v>
      </x:c>
      <x:c r="I52" s="28" t="n">
        <x:f>COUNTIF('Все сочетания'!$C:$C,A52)+COUNTIF('Все сочетания'!$F:$F,A52)</x:f>
        <x:v>1</x:v>
      </x:c>
    </x:row>
    <x:row r="53" ht="46" customHeight="1">
      <x:c r="A53" s="28" t="str">
        <x:v>kombu (сушёный kelp)</x:v>
      </x:c>
      <x:c r="B53" s="28" t="str">
        <x:v>Прочее</x:v>
      </x:c>
      <x:c r="C53" s="28" t="str">
        <x:v>комплексный</x:v>
      </x:c>
      <x:c r="D53" s="28" t="str">
        <x:v>не конкретизированы</x:v>
      </x:c>
      <x:c r="E53" s="28" t="str">
        <x:v>зависит от ингредиента</x:v>
      </x:c>
      <x:c r="F53" s="28" t="str">
        <x:v>обычно отсутствует; зависит от конкретного продукта</x:v>
      </x:c>
      <x:c r="G53" s="28" t="str">
        <x:v>механизм зависит от конкретного продукта</x:v>
      </x:c>
      <x:c r="H53" s="28" t="str">
        <x:v>Справочный групповой профиль; для точного состава конкретного сорта или бренда нужен инструментальный анализ.</x:v>
      </x:c>
      <x:c r="I53" s="28" t="n">
        <x:f>COUNTIF('Все сочетания'!$C:$C,A53)+COUNTIF('Все сочетания'!$F:$F,A53)</x:f>
        <x:v>1</x:v>
      </x:c>
    </x:row>
    <x:row r="54" ht="46" customHeight="1">
      <x:c r="A54" s="28" t="str">
        <x:v>lavender honey</x:v>
      </x:c>
      <x:c r="B54" s="28" t="str">
        <x:v>Травы и цветы</x:v>
      </x:c>
      <x:c r="C54" s="28" t="str">
        <x:v>зелёный, травянистый, цветочный</x:v>
      </x:c>
      <x:c r="D54" s="28" t="str">
        <x:v>гераниол, линалоол, терпены, эвгенол</x:v>
      </x:c>
      <x:c r="E54" s="28" t="str">
        <x:v>горьковатый, свежий</x:v>
      </x:c>
      <x:c r="F54" s="28" t="str">
        <x:v>обычно отсутствует; зависит от конкретного продукта</x:v>
      </x:c>
      <x:c r="G54" s="28" t="str">
        <x:v>летучие масла чувствительны к нагреву</x:v>
      </x:c>
      <x:c r="H54" s="28" t="str">
        <x:v>Справочный групповой профиль; для точного состава конкретного сорта или бренда нужен инструментальный анализ.</x:v>
      </x:c>
      <x:c r="I54" s="28" t="n">
        <x:f>COUNTIF('Все сочетания'!$C:$C,A54)+COUNTIF('Все сочетания'!$F:$F,A54)</x:f>
        <x:v>1</x:v>
      </x:c>
    </x:row>
    <x:row r="55" ht="46" customHeight="1">
      <x:c r="A55" s="28" t="str">
        <x:v>led mitten crab</x:v>
      </x:c>
      <x:c r="B55" s="28" t="str">
        <x:v>Рыба и морепродукты</x:v>
      </x:c>
      <x:c r="C55" s="28" t="str">
        <x:v>жирный, морской, умами</x:v>
      </x:c>
      <x:c r="D55" s="28" t="str">
        <x:v>альдегиды, амины, сернистые соединения</x:v>
      </x:c>
      <x:c r="E55" s="28" t="str">
        <x:v>умами, солёный</x:v>
      </x:c>
      <x:c r="F55" s="28" t="str">
        <x:v>обычно отсутствует; зависит от конкретного продукта</x:v>
      </x:c>
      <x:c r="G55" s="28" t="str">
        <x:v>белковая/жировая матрица; кислота снижает рыбные ноты</x:v>
      </x:c>
      <x:c r="H55" s="28" t="str">
        <x:v>Справочный групповой профиль; для точного состава конкретного сорта или бренда нужен инструментальный анализ.</x:v>
      </x:c>
      <x:c r="I55" s="28" t="n">
        <x:f>COUNTIF('Все сочетания'!$C:$C,A55)+COUNTIF('Все сочетания'!$F:$F,A55)</x:f>
        <x:v>1</x:v>
      </x:c>
    </x:row>
    <x:row r="56" ht="46" customHeight="1">
      <x:c r="A56" s="28" t="str">
        <x:v>led parsnip</x:v>
      </x:c>
      <x:c r="B56" s="28" t="str">
        <x:v>Прочее</x:v>
      </x:c>
      <x:c r="C56" s="28" t="str">
        <x:v>комплексный</x:v>
      </x:c>
      <x:c r="D56" s="28" t="str">
        <x:v>не конкретизированы</x:v>
      </x:c>
      <x:c r="E56" s="28" t="str">
        <x:v>зависит от ингредиента</x:v>
      </x:c>
      <x:c r="F56" s="28" t="str">
        <x:v>обычно отсутствует; зависит от конкретного продукта</x:v>
      </x:c>
      <x:c r="G56" s="28" t="str">
        <x:v>механизм зависит от конкретного продукта</x:v>
      </x:c>
      <x:c r="H56" s="28" t="str">
        <x:v>Справочный групповой профиль; для точного состава конкретного сорта или бренда нужен инструментальный анализ.</x:v>
      </x:c>
      <x:c r="I56" s="28" t="n">
        <x:f>COUNTIF('Все сочетания'!$C:$C,A56)+COUNTIF('Все сочетания'!$F:$F,A56)</x:f>
        <x:v>1</x:v>
      </x:c>
    </x:row>
    <x:row r="57" ht="46" customHeight="1">
      <x:c r="A57" s="28" t="str">
        <x:v>lemon-scented geranium leaves</x:v>
      </x:c>
      <x:c r="B57" s="28" t="str">
        <x:v>Цитрусовые</x:v>
      </x:c>
      <x:c r="C57" s="28" t="str">
        <x:v>зелёный, цветочный, цитрусовый</x:v>
      </x:c>
      <x:c r="D57" s="28" t="str">
        <x:v>лимонен, линалоол, цитраль</x:v>
      </x:c>
      <x:c r="E57" s="28" t="str">
        <x:v>кислый, свежий</x:v>
      </x:c>
      <x:c r="F57" s="28" t="str">
        <x:v>обычно отсутствует; зависит от конкретного продукта</x:v>
      </x:c>
      <x:c r="G57" s="28" t="str">
        <x:v>вода и эфирные масла; цедра гидрофобна</x:v>
      </x:c>
      <x:c r="H57" s="28" t="str">
        <x:v>Справочный групповой профиль; для точного состава конкретного сорта или бренда нужен инструментальный анализ.</x:v>
      </x:c>
      <x:c r="I57" s="28" t="n">
        <x:f>COUNTIF('Все сочетания'!$C:$C,A57)+COUNTIF('Все сочетания'!$F:$F,A57)</x:f>
        <x:v>1</x:v>
      </x:c>
    </x:row>
    <x:row r="58" ht="46" customHeight="1">
      <x:c r="A58" s="28" t="str">
        <x:v>lled aubergine</x:v>
      </x:c>
      <x:c r="B58" s="28" t="str">
        <x:v>Алкогольные напитки</x:v>
      </x:c>
      <x:c r="C58" s="28" t="str">
        <x:v>древесный, фруктовый, эфирный</x:v>
      </x:c>
      <x:c r="D58" s="28" t="str">
        <x:v>ванилин, дубовые лактоны, этиловые эфиры</x:v>
      </x:c>
      <x:c r="E58" s="28" t="str">
        <x:v>зависит от напитка</x:v>
      </x:c>
      <x:c r="F58" s="28" t="str">
        <x:v>обычно отсутствует; зависит от конкретного продукта</x:v>
      </x:c>
      <x:c r="G58" s="28" t="str">
        <x:v>этанол растворяет гидрофобные ароматические вещества</x:v>
      </x:c>
      <x:c r="H58" s="28" t="str">
        <x:v>Справочный групповой профиль; для точного состава конкретного сорта или бренда нужен инструментальный анализ.</x:v>
      </x:c>
      <x:c r="I58" s="28" t="n">
        <x:f>COUNTIF('Все сочетания'!$C:$C,A58)+COUNTIF('Все сочетания'!$F:$F,A58)</x:f>
        <x:v>1</x:v>
      </x:c>
    </x:row>
    <x:row r="59" ht="46" customHeight="1">
      <x:c r="A59" s="28" t="str">
        <x:v>lled turbot</x:v>
      </x:c>
      <x:c r="B59" s="28" t="str">
        <x:v>Рыба и морепродукты</x:v>
      </x:c>
      <x:c r="C59" s="28" t="str">
        <x:v>жирный, морской, умами</x:v>
      </x:c>
      <x:c r="D59" s="28" t="str">
        <x:v>альдегиды, амины, сернистые соединения</x:v>
      </x:c>
      <x:c r="E59" s="28" t="str">
        <x:v>умами, солёный</x:v>
      </x:c>
      <x:c r="F59" s="28" t="str">
        <x:v>обычно отсутствует; зависит от конкретного продукта</x:v>
      </x:c>
      <x:c r="G59" s="28" t="str">
        <x:v>белковая/жировая матрица; кислота снижает рыбные ноты</x:v>
      </x:c>
      <x:c r="H59" s="28" t="str">
        <x:v>Справочный групповой профиль; для точного состава конкретного сорта или бренда нужен инструментальный анализ.</x:v>
      </x:c>
      <x:c r="I59" s="28" t="n">
        <x:f>COUNTIF('Все сочетания'!$C:$C,A59)+COUNTIF('Все сочетания'!$F:$F,A59)</x:f>
        <x:v>1</x:v>
      </x:c>
    </x:row>
    <x:row r="60" ht="46" customHeight="1">
      <x:c r="A60" s="28" t="str">
        <x:v>makrut lime leaf</x:v>
      </x:c>
      <x:c r="B60" s="28" t="str">
        <x:v>Цитрусовые</x:v>
      </x:c>
      <x:c r="C60" s="28" t="str">
        <x:v>зелёный, цветочный, цитрусовый</x:v>
      </x:c>
      <x:c r="D60" s="28" t="str">
        <x:v>лимонен, линалоол, цитраль</x:v>
      </x:c>
      <x:c r="E60" s="28" t="str">
        <x:v>кислый, свежий</x:v>
      </x:c>
      <x:c r="F60" s="28" t="str">
        <x:v>обычно отсутствует; зависит от конкретного продукта</x:v>
      </x:c>
      <x:c r="G60" s="28" t="str">
        <x:v>вода и эфирные масла; цедра гидрофобна</x:v>
      </x:c>
      <x:c r="H60" s="28" t="str">
        <x:v>Справочный групповой профиль; для точного состава конкретного сорта или бренда нужен инструментальный анализ.</x:v>
      </x:c>
      <x:c r="I60" s="28" t="n">
        <x:f>COUNTIF('Все сочетания'!$C:$C,A60)+COUNTIF('Все сочетания'!$F:$F,A60)</x:f>
        <x:v>1</x:v>
      </x:c>
    </x:row>
    <x:row r="61" ht="46" customHeight="1">
      <x:c r="A61" s="28" t="str">
        <x:v>Malvasia Madeira, 10 years old</x:v>
      </x:c>
      <x:c r="B61" s="28" t="str">
        <x:v>Прочее</x:v>
      </x:c>
      <x:c r="C61" s="28" t="str">
        <x:v>комплексный</x:v>
      </x:c>
      <x:c r="D61" s="28" t="str">
        <x:v>не конкретизированы</x:v>
      </x:c>
      <x:c r="E61" s="28" t="str">
        <x:v>зависит от ингредиента</x:v>
      </x:c>
      <x:c r="F61" s="28" t="str">
        <x:v>обычно отсутствует; зависит от конкретного продукта</x:v>
      </x:c>
      <x:c r="G61" s="28" t="str">
        <x:v>механизм зависит от конкретного продукта</x:v>
      </x:c>
      <x:c r="H61" s="28" t="str">
        <x:v>Справочный групповой профиль; для точного состава конкретного сорта или бренда нужен инструментальный анализ.</x:v>
      </x:c>
      <x:c r="I61" s="28" t="n">
        <x:f>COUNTIF('Все сочетания'!$C:$C,A61)+COUNTIF('Все сочетания'!$F:$F,A61)</x:f>
        <x:v>1</x:v>
      </x:c>
    </x:row>
    <x:row r="62" ht="46" customHeight="1">
      <x:c r="A62" s="28" t="str">
        <x:v>maracuja</x:v>
      </x:c>
      <x:c r="B62" s="28" t="str">
        <x:v>Прочее</x:v>
      </x:c>
      <x:c r="C62" s="28" t="str">
        <x:v>комплексный</x:v>
      </x:c>
      <x:c r="D62" s="28" t="str">
        <x:v>не конкретизированы</x:v>
      </x:c>
      <x:c r="E62" s="28" t="str">
        <x:v>зависит от ингредиента</x:v>
      </x:c>
      <x:c r="F62" s="28" t="str">
        <x:v>обычно отсутствует; зависит от конкретного продукта</x:v>
      </x:c>
      <x:c r="G62" s="28" t="str">
        <x:v>механизм зависит от конкретного продукта</x:v>
      </x:c>
      <x:c r="H62" s="28" t="str">
        <x:v>Справочный групповой профиль; для точного состава конкретного сорта или бренда нужен инструментальный анализ.</x:v>
      </x:c>
      <x:c r="I62" s="28" t="n">
        <x:f>COUNTIF('Все сочетания'!$C:$C,A62)+COUNTIF('Все сочетания'!$F:$F,A62)</x:f>
        <x:v>1</x:v>
      </x:c>
    </x:row>
    <x:row r="63" ht="46" customHeight="1">
      <x:c r="A63" s="28" t="str">
        <x:v>meg</x:v>
      </x:c>
      <x:c r="B63" s="28" t="str">
        <x:v>Прочее</x:v>
      </x:c>
      <x:c r="C63" s="28" t="str">
        <x:v>комплексный</x:v>
      </x:c>
      <x:c r="D63" s="28" t="str">
        <x:v>не конкретизированы</x:v>
      </x:c>
      <x:c r="E63" s="28" t="str">
        <x:v>зависит от ингредиента</x:v>
      </x:c>
      <x:c r="F63" s="28" t="str">
        <x:v>обычно отсутствует; зависит от конкретного продукта</x:v>
      </x:c>
      <x:c r="G63" s="28" t="str">
        <x:v>механизм зависит от конкретного продукта</x:v>
      </x:c>
      <x:c r="H63" s="28" t="str">
        <x:v>Справочный групповой профиль; для точного состава конкретного сорта или бренда нужен инструментальный анализ.</x:v>
      </x:c>
      <x:c r="I63" s="28" t="n">
        <x:f>COUNTIF('Все сочетания'!$C:$C,A63)+COUNTIF('Все сочетания'!$F:$F,A63)</x:f>
        <x:v>1</x:v>
      </x:c>
    </x:row>
    <x:row r="64" ht="46" customHeight="1">
      <x:c r="A64" s="28" t="str">
        <x:v>melted butter</x:v>
      </x:c>
      <x:c r="B64" s="28" t="str">
        <x:v>Молочные продукты и сыры</x:v>
      </x:c>
      <x:c r="C64" s="28" t="str">
        <x:v>масляный, молочный, сливочный, сырный</x:v>
      </x:c>
      <x:c r="D64" s="28" t="str">
        <x:v>диацетил, жирные кислоты, лактоны</x:v>
      </x:c>
      <x:c r="E64" s="28" t="str">
        <x:v>жирный, кислый/солёный</x:v>
      </x:c>
      <x:c r="F64" s="28" t="str">
        <x:v>обычно отсутствует; зависит от конкретного продукта</x:v>
      </x:c>
      <x:c r="G64" s="28" t="str">
        <x:v>жировая и белковая матрица смягчает кислотность</x:v>
      </x:c>
      <x:c r="H64" s="28" t="str">
        <x:v>Справочный групповой профиль; для точного состава конкретного сорта или бренда нужен инструментальный анализ.</x:v>
      </x:c>
      <x:c r="I64" s="28" t="n">
        <x:f>COUNTIF('Все сочетания'!$C:$C,A64)+COUNTIF('Все сочетания'!$F:$F,A64)</x:f>
        <x:v>1</x:v>
      </x:c>
    </x:row>
    <x:row r="65" ht="46" customHeight="1">
      <x:c r="A65" s="28" t="str">
        <x:v>mint Sich</x:v>
      </x:c>
      <x:c r="B65" s="28" t="str">
        <x:v>Травы и цветы</x:v>
      </x:c>
      <x:c r="C65" s="28" t="str">
        <x:v>зелёный, травянистый, цветочный</x:v>
      </x:c>
      <x:c r="D65" s="28" t="str">
        <x:v>гераниол, линалоол, терпены, эвгенол</x:v>
      </x:c>
      <x:c r="E65" s="28" t="str">
        <x:v>горьковатый, свежий</x:v>
      </x:c>
      <x:c r="F65" s="28" t="str">
        <x:v>обычно отсутствует; зависит от конкретного продукта</x:v>
      </x:c>
      <x:c r="G65" s="28" t="str">
        <x:v>летучие масла чувствительны к нагреву</x:v>
      </x:c>
      <x:c r="H65" s="28" t="str">
        <x:v>Справочный групповой профиль; для точного состава конкретного сорта или бренда нужен инструментальный анализ.</x:v>
      </x:c>
      <x:c r="I65" s="28" t="n">
        <x:f>COUNTIF('Все сочетания'!$C:$C,A65)+COUNTIF('Все сочетания'!$F:$F,A65)</x:f>
        <x:v>1</x:v>
      </x:c>
    </x:row>
    <x:row r="66" ht="46" customHeight="1">
      <x:c r="A66" s="28" t="str">
        <x:v>ot</x:v>
      </x:c>
      <x:c r="B66" s="28" t="str">
        <x:v>Прочее</x:v>
      </x:c>
      <x:c r="C66" s="28" t="str">
        <x:v>комплексный</x:v>
      </x:c>
      <x:c r="D66" s="28" t="str">
        <x:v>не конкретизированы</x:v>
      </x:c>
      <x:c r="E66" s="28" t="str">
        <x:v>зависит от ингредиента</x:v>
      </x:c>
      <x:c r="F66" s="28" t="str">
        <x:v>обычно отсутствует; зависит от конкретного продукта</x:v>
      </x:c>
      <x:c r="G66" s="28" t="str">
        <x:v>механизм зависит от конкретного продукта</x:v>
      </x:c>
      <x:c r="H66" s="28" t="str">
        <x:v>Справочный групповой профиль; для точного состава конкретного сорта или бренда нужен инструментальный анализ.</x:v>
      </x:c>
      <x:c r="I66" s="28" t="n">
        <x:f>COUNTIF('Все сочетания'!$C:$C,A66)+COUNTIF('Все сочетания'!$F:$F,A66)</x:f>
        <x:v>1</x:v>
      </x:c>
    </x:row>
    <x:row r="67" ht="46" customHeight="1">
      <x:c r="A67" s="28" t="str">
        <x:v>oven-жареный potato</x:v>
      </x:c>
      <x:c r="B67" s="28" t="str">
        <x:v>Прочее</x:v>
      </x:c>
      <x:c r="C67" s="28" t="str">
        <x:v>комплексный</x:v>
      </x:c>
      <x:c r="D67" s="28" t="str">
        <x:v>не конкретизированы</x:v>
      </x:c>
      <x:c r="E67" s="28" t="str">
        <x:v>зависит от ингредиента</x:v>
      </x:c>
      <x:c r="F67" s="28" t="str">
        <x:v>обычно отсутствует; зависит от конкретного продукта</x:v>
      </x:c>
      <x:c r="G67" s="28" t="str">
        <x:v>механизм зависит от конкретного продукта</x:v>
      </x:c>
      <x:c r="H67" s="28" t="str">
        <x:v>Справочный групповой профиль; для точного состава конкретного сорта или бренда нужен инструментальный анализ.</x:v>
      </x:c>
      <x:c r="I67" s="28" t="n">
        <x:f>COUNTIF('Все сочетания'!$C:$C,A67)+COUNTIF('Все сочетания'!$F:$F,A67)</x:f>
        <x:v>1</x:v>
      </x:c>
    </x:row>
    <x:row r="68" ht="46" customHeight="1">
      <x:c r="A68" s="28" t="str">
        <x:v>oven-приготовленный steak</x:v>
      </x:c>
      <x:c r="B68" s="28" t="str">
        <x:v>Чай и безалкогольные напитки</x:v>
      </x:c>
      <x:c r="C68" s="28" t="str">
        <x:v>терпкий, травянистый, цветочный</x:v>
      </x:c>
      <x:c r="D68" s="28" t="str">
        <x:v>гераниол, линалоол, полифенолы</x:v>
      </x:c>
      <x:c r="E68" s="28" t="str">
        <x:v>горьковатый, терпкий</x:v>
      </x:c>
      <x:c r="F68" s="28" t="str">
        <x:v>обычно отсутствует; зависит от конкретного продукта</x:v>
      </x:c>
      <x:c r="G68" s="28" t="str">
        <x:v>водная матрица; температура определяет экстракцию</x:v>
      </x:c>
      <x:c r="H68" s="28" t="str">
        <x:v>Справочный групповой профиль; для точного состава конкретного сорта или бренда нужен инструментальный анализ.</x:v>
      </x:c>
      <x:c r="I68" s="28" t="n">
        <x:f>COUNTIF('Все сочетания'!$C:$C,A68)+COUNTIF('Все сочетания'!$F:$F,A68)</x:f>
        <x:v>1</x:v>
      </x:c>
    </x:row>
    <x:row r="69" ht="46" customHeight="1">
      <x:c r="A69" s="28" t="str">
        <x:v>parma ham</x:v>
      </x:c>
      <x:c r="B69" s="28" t="str">
        <x:v>Мясо и птица</x:v>
      </x:c>
      <x:c r="C69" s="28" t="str">
        <x:v>жареный, жирный, сернистый, умами</x:v>
      </x:c>
      <x:c r="D69" s="28" t="str">
        <x:v>альдегиды, пиразины, сернистые соединения</x:v>
      </x:c>
      <x:c r="E69" s="28" t="str">
        <x:v>умами, солёный, жирный</x:v>
      </x:c>
      <x:c r="F69" s="28" t="str">
        <x:v>обычно отсутствует; зависит от конкретного продукта</x:v>
      </x:c>
      <x:c r="G69" s="28" t="str">
        <x:v>жир переносит аромат; реакция Майяра создаёт новые одоранты</x:v>
      </x:c>
      <x:c r="H69" s="28" t="str">
        <x:v>Справочный групповой профиль; для точного состава конкретного сорта или бренда нужен инструментальный анализ.</x:v>
      </x:c>
      <x:c r="I69" s="28" t="n">
        <x:f>COUNTIF('Все сочетания'!$C:$C,A69)+COUNTIF('Все сочетания'!$F:$F,A69)</x:f>
        <x:v>1</x:v>
      </x:c>
    </x:row>
    <x:row r="70" ht="46" customHeight="1">
      <x:c r="A70" s="28" t="str">
        <x:v>parmesan-style cheese</x:v>
      </x:c>
      <x:c r="B70" s="28" t="str">
        <x:v>Молочные продукты и сыры</x:v>
      </x:c>
      <x:c r="C70" s="28" t="str">
        <x:v>масляный, молочный, сливочный, сырный</x:v>
      </x:c>
      <x:c r="D70" s="28" t="str">
        <x:v>диацетил, жирные кислоты, лактоны</x:v>
      </x:c>
      <x:c r="E70" s="28" t="str">
        <x:v>жирный, кислый/солёный</x:v>
      </x:c>
      <x:c r="F70" s="28" t="str">
        <x:v>обычно отсутствует; зависит от конкретного продукта</x:v>
      </x:c>
      <x:c r="G70" s="28" t="str">
        <x:v>жировая и белковая матрица смягчает кислотность</x:v>
      </x:c>
      <x:c r="H70" s="28" t="str">
        <x:v>Справочный групповой профиль; для точного состава конкретного сорта или бренда нужен инструментальный анализ.</x:v>
      </x:c>
      <x:c r="I70" s="28" t="n">
        <x:f>COUNTIF('Все сочетания'!$C:$C,A70)+COUNTIF('Все сочетания'!$F:$F,A70)</x:f>
        <x:v>1</x:v>
      </x:c>
    </x:row>
    <x:row r="71" ht="46" customHeight="1">
      <x:c r="A71" s="28" t="str">
        <x:v>physalis</x:v>
      </x:c>
      <x:c r="B71" s="28" t="str">
        <x:v>Прочее</x:v>
      </x:c>
      <x:c r="C71" s="28" t="str">
        <x:v>комплексный</x:v>
      </x:c>
      <x:c r="D71" s="28" t="str">
        <x:v>не конкретизированы</x:v>
      </x:c>
      <x:c r="E71" s="28" t="str">
        <x:v>зависит от ингредиента</x:v>
      </x:c>
      <x:c r="F71" s="28" t="str">
        <x:v>обычно отсутствует; зависит от конкретного продукта</x:v>
      </x:c>
      <x:c r="G71" s="28" t="str">
        <x:v>механизм зависит от конкретного продукта</x:v>
      </x:c>
      <x:c r="H71" s="28" t="str">
        <x:v>Справочный групповой профиль; для точного состава конкретного сорта или бренда нужен инструментальный анализ.</x:v>
      </x:c>
      <x:c r="I71" s="28" t="n">
        <x:f>COUNTIF('Все сочетания'!$C:$C,A71)+COUNTIF('Все сочетания'!$F:$F,A71)</x:f>
        <x:v>1</x:v>
      </x:c>
    </x:row>
    <x:row r="72" ht="46" customHeight="1">
      <x:c r="A72" s="28" t="str">
        <x:v>pickled sakura leaf drie</x:v>
      </x:c>
      <x:c r="B72" s="28" t="str">
        <x:v>Травы и цветы</x:v>
      </x:c>
      <x:c r="C72" s="28" t="str">
        <x:v>зелёный, травянистый, цветочный</x:v>
      </x:c>
      <x:c r="D72" s="28" t="str">
        <x:v>гераниол, линалоол, терпены, эвгенол</x:v>
      </x:c>
      <x:c r="E72" s="28" t="str">
        <x:v>горьковатый, свежий</x:v>
      </x:c>
      <x:c r="F72" s="28" t="str">
        <x:v>обычно отсутствует; зависит от конкретного продукта</x:v>
      </x:c>
      <x:c r="G72" s="28" t="str">
        <x:v>летучие масла чувствительны к нагреву</x:v>
      </x:c>
      <x:c r="H72" s="28" t="str">
        <x:v>Справочный групповой профиль; для точного состава конкретного сорта или бренда нужен инструментальный анализ.</x:v>
      </x:c>
      <x:c r="I72" s="28" t="n">
        <x:f>COUNTIF('Все сочетания'!$C:$C,A72)+COUNTIF('Все сочетания'!$F:$F,A72)</x:f>
        <x:v>1</x:v>
      </x:c>
    </x:row>
    <x:row r="73" ht="46" customHeight="1">
      <x:c r="A73" s="28" t="str">
        <x:v>ple sec</x:v>
      </x:c>
      <x:c r="B73" s="28" t="str">
        <x:v>Прочее</x:v>
      </x:c>
      <x:c r="C73" s="28" t="str">
        <x:v>комплексный</x:v>
      </x:c>
      <x:c r="D73" s="28" t="str">
        <x:v>не конкретизированы</x:v>
      </x:c>
      <x:c r="E73" s="28" t="str">
        <x:v>зависит от ингредиента</x:v>
      </x:c>
      <x:c r="F73" s="28" t="str">
        <x:v>обычно отсутствует; зависит от конкретного продукта</x:v>
      </x:c>
      <x:c r="G73" s="28" t="str">
        <x:v>механизм зависит от конкретного продукта</x:v>
      </x:c>
      <x:c r="H73" s="28" t="str">
        <x:v>Справочный групповой профиль; для точного состава конкретного сорта или бренда нужен инструментальный анализ.</x:v>
      </x:c>
      <x:c r="I73" s="28" t="n">
        <x:f>COUNTIF('Все сочетания'!$C:$C,A73)+COUNTIF('Все сочетания'!$F:$F,A73)</x:f>
        <x:v>1</x:v>
      </x:c>
    </x:row>
    <x:row r="74" ht="46" customHeight="1">
      <x:c r="A74" s="28" t="str">
        <x:v>polish blue cheese</x:v>
      </x:c>
      <x:c r="B74" s="28" t="str">
        <x:v>Молочные продукты и сыры</x:v>
      </x:c>
      <x:c r="C74" s="28" t="str">
        <x:v>масляный, молочный, сливочный, сырный</x:v>
      </x:c>
      <x:c r="D74" s="28" t="str">
        <x:v>диацетил, жирные кислоты, лактоны</x:v>
      </x:c>
      <x:c r="E74" s="28" t="str">
        <x:v>жирный, кислый/солёный</x:v>
      </x:c>
      <x:c r="F74" s="28" t="str">
        <x:v>обычно отсутствует; зависит от конкретного продукта</x:v>
      </x:c>
      <x:c r="G74" s="28" t="str">
        <x:v>жировая и белковая матрица смягчает кислотность</x:v>
      </x:c>
      <x:c r="H74" s="28" t="str">
        <x:v>Справочный групповой профиль; для точного состава конкретного сорта или бренда нужен инструментальный анализ.</x:v>
      </x:c>
      <x:c r="I74" s="28" t="n">
        <x:f>COUNTIF('Все сочетания'!$C:$C,A74)+COUNTIF('Все сочетания'!$F:$F,A74)</x:f>
        <x:v>1</x:v>
      </x:c>
    </x:row>
    <x:row r="75" ht="46" customHeight="1">
      <x:c r="A75" s="28" t="str">
        <x:v>radicchio</x:v>
      </x:c>
      <x:c r="B75" s="28" t="str">
        <x:v>Прочее</x:v>
      </x:c>
      <x:c r="C75" s="28" t="str">
        <x:v>комплексный</x:v>
      </x:c>
      <x:c r="D75" s="28" t="str">
        <x:v>не конкретизированы</x:v>
      </x:c>
      <x:c r="E75" s="28" t="str">
        <x:v>зависит от ингредиента</x:v>
      </x:c>
      <x:c r="F75" s="28" t="str">
        <x:v>обычно отсутствует; зависит от конкретного продукта</x:v>
      </x:c>
      <x:c r="G75" s="28" t="str">
        <x:v>механизм зависит от конкретного продукта</x:v>
      </x:c>
      <x:c r="H75" s="28" t="str">
        <x:v>Справочный групповой профиль; для точного состава конкретного сорта или бренда нужен инструментальный анализ.</x:v>
      </x:c>
      <x:c r="I75" s="28" t="n">
        <x:f>COUNTIF('Все сочетания'!$C:$C,A75)+COUNTIF('Все сочетания'!$F:$F,A75)</x:f>
        <x:v>1</x:v>
      </x:c>
    </x:row>
    <x:row r="76" ht="46" customHeight="1">
      <x:c r="A76" s="28" t="str">
        <x:v>red bell pepper</x:v>
      </x:c>
      <x:c r="B76" s="28" t="str">
        <x:v>Специи</x:v>
      </x:c>
      <x:c r="C76" s="28" t="str">
        <x:v>древесный, пряный, тёплый</x:v>
      </x:c>
      <x:c r="D76" s="28" t="str">
        <x:v>коричный альдегид, терпены, эвгенол</x:v>
      </x:c>
      <x:c r="E76" s="28" t="str">
        <x:v>пряный, иногда горький</x:v>
      </x:c>
      <x:c r="F76" s="28" t="str">
        <x:v>обычно отсутствует; зависит от конкретного продукта</x:v>
      </x:c>
      <x:c r="G76" s="28" t="str">
        <x:v>эфирные масла хорошо извлекаются спиртом и жиром</x:v>
      </x:c>
      <x:c r="H76" s="28" t="str">
        <x:v>Справочный групповой профиль; для точного состава конкретного сорта или бренда нужен инструментальный анализ.</x:v>
      </x:c>
      <x:c r="I76" s="28" t="n">
        <x:f>COUNTIF('Все сочетания'!$C:$C,A76)+COUNTIF('Все сочетания'!$F:$F,A76)</x:f>
        <x:v>1</x:v>
      </x:c>
    </x:row>
    <x:row r="77" ht="46" customHeight="1">
      <x:c r="A77" s="28" t="str">
        <x:v>San Daniele ham</x:v>
      </x:c>
      <x:c r="B77" s="28" t="str">
        <x:v>Мясо и птица</x:v>
      </x:c>
      <x:c r="C77" s="28" t="str">
        <x:v>жареный, жирный, сернистый, умами</x:v>
      </x:c>
      <x:c r="D77" s="28" t="str">
        <x:v>альдегиды, пиразины, сернистые соединения</x:v>
      </x:c>
      <x:c r="E77" s="28" t="str">
        <x:v>умами, солёный, жирный</x:v>
      </x:c>
      <x:c r="F77" s="28" t="str">
        <x:v>обычно отсутствует; зависит от конкретного продукта</x:v>
      </x:c>
      <x:c r="G77" s="28" t="str">
        <x:v>жир переносит аромат; реакция Майяра создаёт новые одоранты</x:v>
      </x:c>
      <x:c r="H77" s="28" t="str">
        <x:v>Справочный групповой профиль; для точного состава конкретного сорта или бренда нужен инструментальный анализ.</x:v>
      </x:c>
      <x:c r="I77" s="28" t="n">
        <x:f>COUNTIF('Все сочетания'!$C:$C,A77)+COUNTIF('Все сочетания'!$F:$F,A77)</x:f>
        <x:v>1</x:v>
      </x:c>
    </x:row>
    <x:row r="78" ht="46" customHeight="1">
      <x:c r="A78" s="28" t="str">
        <x:v>sea fennel (rock samphire)</x:v>
      </x:c>
      <x:c r="B78" s="28" t="str">
        <x:v>Прочее</x:v>
      </x:c>
      <x:c r="C78" s="28" t="str">
        <x:v>комплексный</x:v>
      </x:c>
      <x:c r="D78" s="28" t="str">
        <x:v>не конкретизированы</x:v>
      </x:c>
      <x:c r="E78" s="28" t="str">
        <x:v>зависит от ингредиента</x:v>
      </x:c>
      <x:c r="F78" s="28" t="str">
        <x:v>обычно отсутствует; зависит от конкретного продукта</x:v>
      </x:c>
      <x:c r="G78" s="28" t="str">
        <x:v>механизм зависит от конкретного продукта</x:v>
      </x:c>
      <x:c r="H78" s="28" t="str">
        <x:v>Справочный групповой профиль; для точного состава конкретного сорта или бренда нужен инструментальный анализ.</x:v>
      </x:c>
      <x:c r="I78" s="28" t="n">
        <x:f>COUNTIF('Все сочетания'!$C:$C,A78)+COUNTIF('Все сочетания'!$F:$F,A78)</x:f>
        <x:v>1</x:v>
      </x:c>
    </x:row>
    <x:row r="79" ht="46" customHeight="1">
      <x:c r="A79" s="28" t="str">
        <x:v>shu (Japanese plum liqueur)</x:v>
      </x:c>
      <x:c r="B79" s="28" t="str">
        <x:v>Прочее</x:v>
      </x:c>
      <x:c r="C79" s="28" t="str">
        <x:v>комплексный</x:v>
      </x:c>
      <x:c r="D79" s="28" t="str">
        <x:v>не конкретизированы</x:v>
      </x:c>
      <x:c r="E79" s="28" t="str">
        <x:v>зависит от ингредиента</x:v>
      </x:c>
      <x:c r="F79" s="28" t="str">
        <x:v>обычно отсутствует; зависит от конкретного продукта</x:v>
      </x:c>
      <x:c r="G79" s="28" t="str">
        <x:v>механизм зависит от конкретного продукта</x:v>
      </x:c>
      <x:c r="H79" s="28" t="str">
        <x:v>Справочный групповой профиль; для точного состава конкретного сорта или бренда нужен инструментальный анализ.</x:v>
      </x:c>
      <x:c r="I79" s="28" t="n">
        <x:f>COUNTIF('Все сочетания'!$C:$C,A79)+COUNTIF('Все сочетания'!$F:$F,A79)</x:f>
        <x:v>1</x:v>
      </x:c>
    </x:row>
    <x:row r="80" ht="46" customHeight="1">
      <x:c r="A80" s="28" t="str">
        <x:v>st chicken</x:v>
      </x:c>
      <x:c r="B80" s="28" t="str">
        <x:v>Мясо и птица</x:v>
      </x:c>
      <x:c r="C80" s="28" t="str">
        <x:v>жареный, жирный, сернистый, умами</x:v>
      </x:c>
      <x:c r="D80" s="28" t="str">
        <x:v>альдегиды, пиразины, сернистые соединения</x:v>
      </x:c>
      <x:c r="E80" s="28" t="str">
        <x:v>умами, солёный, жирный</x:v>
      </x:c>
      <x:c r="F80" s="28" t="str">
        <x:v>обычно отсутствует; зависит от конкретного продукта</x:v>
      </x:c>
      <x:c r="G80" s="28" t="str">
        <x:v>жир переносит аромат; реакция Майяра создаёт новые одоранты</x:v>
      </x:c>
      <x:c r="H80" s="28" t="str">
        <x:v>Справочный групповой профиль; для точного состава конкретного сорта или бренда нужен инструментальный анализ.</x:v>
      </x:c>
      <x:c r="I80" s="28" t="n">
        <x:f>COUNTIF('Все сочетания'!$C:$C,A80)+COUNTIF('Все сочетания'!$F:$F,A80)</x:f>
        <x:v>1</x:v>
      </x:c>
    </x:row>
    <x:row r="81" ht="46" customHeight="1">
      <x:c r="A81" s="28" t="str">
        <x:v>t Peking duck</x:v>
      </x:c>
      <x:c r="B81" s="28" t="str">
        <x:v>Прочее</x:v>
      </x:c>
      <x:c r="C81" s="28" t="str">
        <x:v>комплексный</x:v>
      </x:c>
      <x:c r="D81" s="28" t="str">
        <x:v>не конкретизированы</x:v>
      </x:c>
      <x:c r="E81" s="28" t="str">
        <x:v>зависит от ингредиента</x:v>
      </x:c>
      <x:c r="F81" s="28" t="str">
        <x:v>обычно отсутствует; зависит от конкретного продукта</x:v>
      </x:c>
      <x:c r="G81" s="28" t="str">
        <x:v>механизм зависит от конкретного продукта</x:v>
      </x:c>
      <x:c r="H81" s="28" t="str">
        <x:v>Справочный групповой профиль; для точного состава конкретного сорта или бренда нужен инструментальный анализ.</x:v>
      </x:c>
      <x:c r="I81" s="28" t="n">
        <x:f>COUNTIF('Все сочетания'!$C:$C,A81)+COUNTIF('Все сочетания'!$F:$F,A81)</x:f>
        <x:v>1</x:v>
      </x:c>
    </x:row>
    <x:row r="82" ht="46" customHeight="1">
      <x:c r="A82" s="28" t="str">
        <x:v>table broth</x:v>
      </x:c>
      <x:c r="B82" s="28" t="str">
        <x:v>Ферментированные продукты, соусы и уксусы</x:v>
      </x:c>
      <x:c r="C82" s="28" t="str">
        <x:v>кислый, умами, ферментированный</x:v>
      </x:c>
      <x:c r="D82" s="28" t="str">
        <x:v>аминокислоты, органические кислоты, эфиры</x:v>
      </x:c>
      <x:c r="E82" s="28" t="str">
        <x:v>кислый/солёный/умами</x:v>
      </x:c>
      <x:c r="F82" s="28" t="str">
        <x:v>обычно отсутствует; зависит от конкретного продукта</x:v>
      </x:c>
      <x:c r="G82" s="28" t="str">
        <x:v>вода, соль и продукты ферментации</x:v>
      </x:c>
      <x:c r="H82" s="28" t="str">
        <x:v>Справочный групповой профиль; для точного состава конкретного сорта или бренда нужен инструментальный анализ.</x:v>
      </x:c>
      <x:c r="I82" s="28" t="n">
        <x:f>COUNTIF('Все сочетания'!$C:$C,A82)+COUNTIF('Все сочетания'!$F:$F,A82)</x:f>
        <x:v>1</x:v>
      </x:c>
    </x:row>
    <x:row r="83" ht="46" customHeight="1">
      <x:c r="A83" s="28" t="str">
        <x:v>tangerine</x:v>
      </x:c>
      <x:c r="B83" s="28" t="str">
        <x:v>Прочее</x:v>
      </x:c>
      <x:c r="C83" s="28" t="str">
        <x:v>комплексный</x:v>
      </x:c>
      <x:c r="D83" s="28" t="str">
        <x:v>не конкретизированы</x:v>
      </x:c>
      <x:c r="E83" s="28" t="str">
        <x:v>зависит от ингредиента</x:v>
      </x:c>
      <x:c r="F83" s="28" t="str">
        <x:v>обычно отсутствует; зависит от конкретного продукта</x:v>
      </x:c>
      <x:c r="G83" s="28" t="str">
        <x:v>механизм зависит от конкретного продукта</x:v>
      </x:c>
      <x:c r="H83" s="28" t="str">
        <x:v>Справочный групповой профиль; для точного состава конкретного сорта или бренда нужен инструментальный анализ.</x:v>
      </x:c>
      <x:c r="I83" s="28" t="n">
        <x:f>COUNTIF('Все сочетания'!$C:$C,A83)+COUNTIF('Все сочетания'!$F:$F,A83)</x:f>
        <x:v>1</x:v>
      </x:c>
    </x:row>
    <x:row r="84" ht="46" customHeight="1">
      <x:c r="A84" s="28" t="str">
        <x:v>tarocco blood orange</x:v>
      </x:c>
      <x:c r="B84" s="28" t="str">
        <x:v>Цитрусовые</x:v>
      </x:c>
      <x:c r="C84" s="28" t="str">
        <x:v>зелёный, цветочный, цитрусовый</x:v>
      </x:c>
      <x:c r="D84" s="28" t="str">
        <x:v>лимонен, линалоол, цитраль</x:v>
      </x:c>
      <x:c r="E84" s="28" t="str">
        <x:v>кислый, свежий</x:v>
      </x:c>
      <x:c r="F84" s="28" t="str">
        <x:v>обычно отсутствует; зависит от конкретного продукта</x:v>
      </x:c>
      <x:c r="G84" s="28" t="str">
        <x:v>вода и эфирные масла; цедра гидрофобна</x:v>
      </x:c>
      <x:c r="H84" s="28" t="str">
        <x:v>Справочный групповой профиль; для точного состава конкретного сорта или бренда нужен инструментальный анализ.</x:v>
      </x:c>
      <x:c r="I84" s="28" t="n">
        <x:f>COUNTIF('Все сочетания'!$C:$C,A84)+COUNTIF('Все сочетания'!$F:$F,A84)</x:f>
        <x:v>1</x:v>
      </x:c>
    </x:row>
    <x:row r="85" ht="46" customHeight="1">
      <x:c r="A85" s="28" t="str">
        <x:v>te button mushroom</x:v>
      </x:c>
      <x:c r="B85" s="28" t="str">
        <x:v>Овощи и грибы</x:v>
      </x:c>
      <x:c r="C85" s="28" t="str">
        <x:v>зелёный, землистый, сернистый</x:v>
      </x:c>
      <x:c r="D85" s="28" t="str">
        <x:v>C6-альдегиды, пиразины, сернистые соединения</x:v>
      </x:c>
      <x:c r="E85" s="28" t="str">
        <x:v>растительный, иногда умами</x:v>
      </x:c>
      <x:c r="F85" s="28" t="str">
        <x:v>обычно отсутствует; зависит от конкретного продукта</x:v>
      </x:c>
      <x:c r="G85" s="28" t="str">
        <x:v>высокая доля воды; нагрев меняет зелёный профиль</x:v>
      </x:c>
      <x:c r="H85" s="28" t="str">
        <x:v>Справочный групповой профиль; для точного состава конкретного сорта или бренда нужен инструментальный анализ.</x:v>
      </x:c>
      <x:c r="I85" s="28" t="n">
        <x:f>COUNTIF('Все сочетания'!$C:$C,A85)+COUNTIF('Все сочетания'!$F:$F,A85)</x:f>
        <x:v>1</x:v>
      </x:c>
    </x:row>
    <x:row r="86" ht="46" customHeight="1">
      <x:c r="A86" s="28" t="str">
        <x:v>tikka masala paste dri</x:v>
      </x:c>
      <x:c r="B86" s="28" t="str">
        <x:v>Ферментированные продукты, соусы и уксусы</x:v>
      </x:c>
      <x:c r="C86" s="28" t="str">
        <x:v>кислый, умами, ферментированный</x:v>
      </x:c>
      <x:c r="D86" s="28" t="str">
        <x:v>аминокислоты, органические кислоты, эфиры</x:v>
      </x:c>
      <x:c r="E86" s="28" t="str">
        <x:v>кислый/солёный/умами</x:v>
      </x:c>
      <x:c r="F86" s="28" t="str">
        <x:v>обычно отсутствует; зависит от конкретного продукта</x:v>
      </x:c>
      <x:c r="G86" s="28" t="str">
        <x:v>вода, соль и продукты ферментации</x:v>
      </x:c>
      <x:c r="H86" s="28" t="str">
        <x:v>Справочный групповой профиль; для точного состава конкретного сорта или бренда нужен инструментальный анализ.</x:v>
      </x:c>
      <x:c r="I86" s="28" t="n">
        <x:f>COUNTIF('Все сочетания'!$C:$C,A86)+COUNTIF('Все сочетания'!$F:$F,A86)</x:f>
        <x:v>1</x:v>
      </x:c>
    </x:row>
    <x:row r="87" ht="46" customHeight="1">
      <x:c r="A87" s="28" t="str">
        <x:v>turmeric</x:v>
      </x:c>
      <x:c r="B87" s="28" t="str">
        <x:v>Прочее</x:v>
      </x:c>
      <x:c r="C87" s="28" t="str">
        <x:v>комплексный</x:v>
      </x:c>
      <x:c r="D87" s="28" t="str">
        <x:v>не конкретизированы</x:v>
      </x:c>
      <x:c r="E87" s="28" t="str">
        <x:v>зависит от ингредиента</x:v>
      </x:c>
      <x:c r="F87" s="28" t="str">
        <x:v>обычно отсутствует; зависит от конкретного продукта</x:v>
      </x:c>
      <x:c r="G87" s="28" t="str">
        <x:v>механизм зависит от конкретного продукта</x:v>
      </x:c>
      <x:c r="H87" s="28" t="str">
        <x:v>Справочный групповой профиль; для точного состава конкретного сорта или бренда нужен инструментальный анализ.</x:v>
      </x:c>
      <x:c r="I87" s="28" t="n">
        <x:f>COUNTIF('Все сочетания'!$C:$C,A87)+COUNTIF('Все сочетания'!$F:$F,A87)</x:f>
        <x:v>1</x:v>
      </x:c>
    </x:row>
    <x:row r="88" ht="46" customHeight="1">
      <x:c r="A88" s="28" t="str">
        <x:v>turnip-rooted chervil</x:v>
      </x:c>
      <x:c r="B88" s="28" t="str">
        <x:v>Овощи и грибы</x:v>
      </x:c>
      <x:c r="C88" s="28" t="str">
        <x:v>зелёный, землистый, сернистый</x:v>
      </x:c>
      <x:c r="D88" s="28" t="str">
        <x:v>C6-альдегиды, пиразины, сернистые соединения</x:v>
      </x:c>
      <x:c r="E88" s="28" t="str">
        <x:v>растительный, иногда умами</x:v>
      </x:c>
      <x:c r="F88" s="28" t="str">
        <x:v>обычно отсутствует; зависит от конкретного продукта</x:v>
      </x:c>
      <x:c r="G88" s="28" t="str">
        <x:v>высокая доля воды; нагрев меняет зелёный профиль</x:v>
      </x:c>
      <x:c r="H88" s="28" t="str">
        <x:v>Справочный групповой профиль; для точного состава конкретного сорта или бренда нужен инструментальный анализ.</x:v>
      </x:c>
      <x:c r="I88" s="28" t="n">
        <x:f>COUNTIF('Все сочетания'!$C:$C,A88)+COUNTIF('Все сочетания'!$F:$F,A88)</x:f>
        <x:v>1</x:v>
      </x:c>
    </x:row>
    <x:row r="89" ht="46" customHeight="1">
      <x:c r="A89" s="28" t="str">
        <x:v>uan pepper</x:v>
      </x:c>
      <x:c r="B89" s="28" t="str">
        <x:v>Специи</x:v>
      </x:c>
      <x:c r="C89" s="28" t="str">
        <x:v>древесный, пряный, тёплый</x:v>
      </x:c>
      <x:c r="D89" s="28" t="str">
        <x:v>коричный альдегид, терпены, эвгенол</x:v>
      </x:c>
      <x:c r="E89" s="28" t="str">
        <x:v>пряный, иногда горький</x:v>
      </x:c>
      <x:c r="F89" s="28" t="str">
        <x:v>обычно отсутствует; зависит от конкретного продукта</x:v>
      </x:c>
      <x:c r="G89" s="28" t="str">
        <x:v>эфирные масла хорошо извлекаются спиртом и жиром</x:v>
      </x:c>
      <x:c r="H89" s="28" t="str">
        <x:v>Справочный групповой профиль; для точного состава конкретного сорта или бренда нужен инструментальный анализ.</x:v>
      </x:c>
      <x:c r="I89" s="28" t="n">
        <x:f>COUNTIF('Все сочетания'!$C:$C,A89)+COUNTIF('Все сочетания'!$F:$F,A89)</x:f>
        <x:v>1</x:v>
      </x:c>
    </x:row>
    <x:row r="90" ht="46" customHeight="1">
      <x:c r="A90" s="28" t="str">
        <x:v>wagyu beef hua</x:v>
      </x:c>
      <x:c r="B90" s="28" t="str">
        <x:v>Мясо и птица</x:v>
      </x:c>
      <x:c r="C90" s="28" t="str">
        <x:v>жареный, жирный, сернистый, умами</x:v>
      </x:c>
      <x:c r="D90" s="28" t="str">
        <x:v>альдегиды, пиразины, сернистые соединения</x:v>
      </x:c>
      <x:c r="E90" s="28" t="str">
        <x:v>умами, солёный, жирный</x:v>
      </x:c>
      <x:c r="F90" s="28" t="str">
        <x:v>обычно отсутствует; зависит от конкретного продукта</x:v>
      </x:c>
      <x:c r="G90" s="28" t="str">
        <x:v>жир переносит аромат; реакция Майяра создаёт новые одоранты</x:v>
      </x:c>
      <x:c r="H90" s="28" t="str">
        <x:v>Справочный групповой профиль; для точного состава конкретного сорта или бренда нужен инструментальный анализ.</x:v>
      </x:c>
      <x:c r="I90" s="28" t="n">
        <x:f>COUNTIF('Все сочетания'!$C:$C,A90)+COUNTIF('Все сочетания'!$F:$F,A90)</x:f>
        <x:v>1</x:v>
      </x:c>
    </x:row>
    <x:row r="91" ht="46" customHeight="1">
      <x:c r="A91" s="28" t="str">
        <x:v>wberry</x:v>
      </x:c>
      <x:c r="B91" s="28" t="str">
        <x:v>Ягоды и производные</x:v>
      </x:c>
      <x:c r="C91" s="28" t="str">
        <x:v>комплексный</x:v>
      </x:c>
      <x:c r="D91" s="28" t="str">
        <x:v>не конкретизированы</x:v>
      </x:c>
      <x:c r="E91" s="28" t="str">
        <x:v>зависит от ингредиента</x:v>
      </x:c>
      <x:c r="F91" s="28" t="str">
        <x:v>обычно отсутствует; зависит от конкретного продукта</x:v>
      </x:c>
      <x:c r="G91" s="28" t="str">
        <x:v>механизм зависит от конкретного продукта</x:v>
      </x:c>
      <x:c r="H91" s="28" t="str">
        <x:v>Справочный групповой профиль; для точного состава конкретного сорта или бренда нужен инструментальный анализ.</x:v>
      </x:c>
      <x:c r="I91" s="28" t="n">
        <x:f>COUNTIF('Все сочетания'!$C:$C,A91)+COUNTIF('Все сочетания'!$F:$F,A91)</x:f>
        <x:v>1</x:v>
      </x:c>
    </x:row>
    <x:row r="92" ht="46" customHeight="1">
      <x:c r="A92" s="28" t="str">
        <x:v>абрикос</x:v>
      </x:c>
      <x:c r="B92" s="28" t="str">
        <x:v>Фрукты</x:v>
      </x:c>
      <x:c r="C92" s="28" t="str">
        <x:v>зелёный, фруктовый, цветочный</x:v>
      </x:c>
      <x:c r="D92" s="28" t="str">
        <x:v>лактоны, терпены, эфиры</x:v>
      </x:c>
      <x:c r="E92" s="28" t="str">
        <x:v>сладко-кислый</x:v>
      </x:c>
      <x:c r="F92" s="28" t="str">
        <x:v>обычно отсутствует; зависит от конкретного продукта</x:v>
      </x:c>
      <x:c r="G92" s="28" t="str">
        <x:v>водная фруктовая матрица</x:v>
      </x:c>
      <x:c r="H92" s="28" t="str">
        <x:v>Справочный групповой профиль; для точного состава конкретного сорта или бренда нужен инструментальный анализ.</x:v>
      </x:c>
      <x:c r="I92" s="28" t="n">
        <x:f>COUNTIF('Все сочетания'!$C:$C,A92)+COUNTIF('Все сочетания'!$F:$F,A92)</x:f>
        <x:v>4</x:v>
      </x:c>
    </x:row>
    <x:row r="93" ht="46" customHeight="1">
      <x:c r="A93" s="28" t="str">
        <x:v>авокадо</x:v>
      </x:c>
      <x:c r="B93" s="28" t="str">
        <x:v>Прочее</x:v>
      </x:c>
      <x:c r="C93" s="28" t="str">
        <x:v>комплексный</x:v>
      </x:c>
      <x:c r="D93" s="28" t="str">
        <x:v>не конкретизированы</x:v>
      </x:c>
      <x:c r="E93" s="28" t="str">
        <x:v>зависит от ингредиента</x:v>
      </x:c>
      <x:c r="F93" s="28" t="str">
        <x:v>обычно отсутствует; зависит от конкретного продукта</x:v>
      </x:c>
      <x:c r="G93" s="28" t="str">
        <x:v>механизм зависит от конкретного продукта</x:v>
      </x:c>
      <x:c r="H93" s="28" t="str">
        <x:v>Справочный групповой профиль; для точного состава конкретного сорта или бренда нужен инструментальный анализ.</x:v>
      </x:c>
      <x:c r="I93" s="28" t="n">
        <x:f>COUNTIF('Все сочетания'!$C:$C,A93)+COUNTIF('Все сочетания'!$F:$F,A93)</x:f>
        <x:v>6</x:v>
      </x:c>
    </x:row>
    <x:row r="94" ht="46" customHeight="1">
      <x:c r="A94" s="28" t="str">
        <x:v>агава</x:v>
      </x:c>
      <x:c r="B94" s="28" t="str">
        <x:v>Прочее</x:v>
      </x:c>
      <x:c r="C94" s="28" t="str">
        <x:v>комплексный</x:v>
      </x:c>
      <x:c r="D94" s="28" t="str">
        <x:v>не конкретизированы</x:v>
      </x:c>
      <x:c r="E94" s="28" t="str">
        <x:v>зависит от ингредиента</x:v>
      </x:c>
      <x:c r="F94" s="28" t="str">
        <x:v>обычно отсутствует; зависит от конкретного продукта</x:v>
      </x:c>
      <x:c r="G94" s="28" t="str">
        <x:v>механизм зависит от конкретного продукта</x:v>
      </x:c>
      <x:c r="H94" s="28" t="str">
        <x:v>Справочный групповой профиль; для точного состава конкретного сорта или бренда нужен инструментальный анализ.</x:v>
      </x:c>
      <x:c r="I94" s="28" t="n">
        <x:f>COUNTIF('Все сочетания'!$C:$C,A94)+COUNTIF('Все сочетания'!$F:$F,A94)</x:f>
        <x:v>2</x:v>
      </x:c>
    </x:row>
    <x:row r="95" ht="46" customHeight="1">
      <x:c r="A95" s="28" t="str">
        <x:v>айва</x:v>
      </x:c>
      <x:c r="B95" s="28" t="str">
        <x:v>Прочее</x:v>
      </x:c>
      <x:c r="C95" s="28" t="str">
        <x:v>комплексный</x:v>
      </x:c>
      <x:c r="D95" s="28" t="str">
        <x:v>не конкретизированы</x:v>
      </x:c>
      <x:c r="E95" s="28" t="str">
        <x:v>зависит от ингредиента</x:v>
      </x:c>
      <x:c r="F95" s="28" t="str">
        <x:v>обычно отсутствует; зависит от конкретного продукта</x:v>
      </x:c>
      <x:c r="G95" s="28" t="str">
        <x:v>механизм зависит от конкретного продукта</x:v>
      </x:c>
      <x:c r="H95" s="28" t="str">
        <x:v>Справочный групповой профиль; для точного состава конкретного сорта или бренда нужен инструментальный анализ.</x:v>
      </x:c>
      <x:c r="I95" s="28" t="n">
        <x:f>COUNTIF('Все сочетания'!$C:$C,A95)+COUNTIF('Все сочетания'!$F:$F,A95)</x:f>
        <x:v>3</x:v>
      </x:c>
    </x:row>
    <x:row r="96" ht="46" customHeight="1">
      <x:c r="A96" s="28" t="str">
        <x:v>ананас</x:v>
      </x:c>
      <x:c r="B96" s="28" t="str">
        <x:v>Фрукты</x:v>
      </x:c>
      <x:c r="C96" s="28" t="str">
        <x:v>зелёный, фруктовый, цветочный</x:v>
      </x:c>
      <x:c r="D96" s="28" t="str">
        <x:v>лактоны, терпены, эфиры</x:v>
      </x:c>
      <x:c r="E96" s="28" t="str">
        <x:v>сладко-кислый</x:v>
      </x:c>
      <x:c r="F96" s="28" t="str">
        <x:v>обычно отсутствует; зависит от конкретного продукта</x:v>
      </x:c>
      <x:c r="G96" s="28" t="str">
        <x:v>водная фруктовая матрица</x:v>
      </x:c>
      <x:c r="H96" s="28" t="str">
        <x:v>Справочный групповой профиль; для точного состава конкретного сорта или бренда нужен инструментальный анализ.</x:v>
      </x:c>
      <x:c r="I96" s="28" t="n">
        <x:f>COUNTIF('Все сочетания'!$C:$C,A96)+COUNTIF('Все сочетания'!$F:$F,A96)</x:f>
        <x:v>10</x:v>
      </x:c>
    </x:row>
    <x:row r="97" ht="46" customHeight="1">
      <x:c r="A97" s="28" t="str">
        <x:v>анис</x:v>
      </x:c>
      <x:c r="B97" s="28" t="str">
        <x:v>Специи</x:v>
      </x:c>
      <x:c r="C97" s="28" t="str">
        <x:v>древесный, пряный, тёплый</x:v>
      </x:c>
      <x:c r="D97" s="28" t="str">
        <x:v>коричный альдегид, терпены, эвгенол</x:v>
      </x:c>
      <x:c r="E97" s="28" t="str">
        <x:v>пряный, иногда горький</x:v>
      </x:c>
      <x:c r="F97" s="28" t="str">
        <x:v>обычно отсутствует; зависит от конкретного продукта</x:v>
      </x:c>
      <x:c r="G97" s="28" t="str">
        <x:v>эфирные масла хорошо извлекаются спиртом и жиром</x:v>
      </x:c>
      <x:c r="H97" s="28" t="str">
        <x:v>Справочный групповой профиль; для точного состава конкретного сорта или бренда нужен инструментальный анализ.</x:v>
      </x:c>
      <x:c r="I97" s="28" t="n">
        <x:f>COUNTIF('Все сочетания'!$C:$C,A97)+COUNTIF('Все сочетания'!$F:$F,A97)</x:f>
        <x:v>2</x:v>
      </x:c>
    </x:row>
    <x:row r="98" ht="46" customHeight="1">
      <x:c r="A98" s="28" t="str">
        <x:v>апельсин</x:v>
      </x:c>
      <x:c r="B98" s="28" t="str">
        <x:v>Цитрусовые</x:v>
      </x:c>
      <x:c r="C98" s="28" t="str">
        <x:v>зелёный, цветочный, цитрусовый</x:v>
      </x:c>
      <x:c r="D98" s="28" t="str">
        <x:v>лимонен, линалоол, цитраль</x:v>
      </x:c>
      <x:c r="E98" s="28" t="str">
        <x:v>кислый, свежий</x:v>
      </x:c>
      <x:c r="F98" s="28" t="str">
        <x:v>обычно отсутствует; зависит от конкретного продукта</x:v>
      </x:c>
      <x:c r="G98" s="28" t="str">
        <x:v>вода и эфирные масла; цедра гидрофобна</x:v>
      </x:c>
      <x:c r="H98" s="28" t="str">
        <x:v>Справочный групповой профиль; для точного состава конкретного сорта или бренда нужен инструментальный анализ.</x:v>
      </x:c>
      <x:c r="I98" s="28" t="n">
        <x:f>COUNTIF('Все сочетания'!$C:$C,A98)+COUNTIF('Все сочетания'!$F:$F,A98)</x:f>
        <x:v>9</x:v>
      </x:c>
    </x:row>
    <x:row r="99" ht="46" customHeight="1">
      <x:c r="A99" s="28" t="str">
        <x:v>апельсиновая</x:v>
      </x:c>
      <x:c r="B99" s="28" t="str">
        <x:v>Цитрусовые</x:v>
      </x:c>
      <x:c r="C99" s="28" t="str">
        <x:v>зелёный, цветочный, цитрусовый</x:v>
      </x:c>
      <x:c r="D99" s="28" t="str">
        <x:v>лимонен, линалоол, цитраль</x:v>
      </x:c>
      <x:c r="E99" s="28" t="str">
        <x:v>кислый, свежий</x:v>
      </x:c>
      <x:c r="F99" s="28" t="str">
        <x:v>обычно отсутствует; зависит от конкретного продукта</x:v>
      </x:c>
      <x:c r="G99" s="28" t="str">
        <x:v>вода и эфирные масла; цедра гидрофобна</x:v>
      </x:c>
      <x:c r="H99" s="28" t="str">
        <x:v>Справочный групповой профиль; для точного состава конкретного сорта или бренда нужен инструментальный анализ.</x:v>
      </x:c>
      <x:c r="I99" s="28" t="n">
        <x:f>COUNTIF('Все сочетания'!$C:$C,A99)+COUNTIF('Все сочетания'!$F:$F,A99)</x:f>
        <x:v>1</x:v>
      </x:c>
    </x:row>
    <x:row r="100" ht="46" customHeight="1">
      <x:c r="A100" s="28" t="str">
        <x:v>арахис</x:v>
      </x:c>
      <x:c r="B100" s="28" t="str">
        <x:v>Прочее</x:v>
      </x:c>
      <x:c r="C100" s="28" t="str">
        <x:v>комплексный</x:v>
      </x:c>
      <x:c r="D100" s="28" t="str">
        <x:v>не конкретизированы</x:v>
      </x:c>
      <x:c r="E100" s="28" t="str">
        <x:v>зависит от ингредиента</x:v>
      </x:c>
      <x:c r="F100" s="28" t="str">
        <x:v>обычно отсутствует; зависит от конкретного продукта</x:v>
      </x:c>
      <x:c r="G100" s="28" t="str">
        <x:v>механизм зависит от конкретного продукта</x:v>
      </x:c>
      <x:c r="H100" s="28" t="str">
        <x:v>Справочный групповой профиль; для точного состава конкретного сорта или бренда нужен инструментальный анализ.</x:v>
      </x:c>
      <x:c r="I100" s="28" t="n">
        <x:f>COUNTIF('Все сочетания'!$C:$C,A100)+COUNTIF('Все сочетания'!$F:$F,A100)</x:f>
        <x:v>2</x:v>
      </x:c>
    </x:row>
    <x:row r="101" ht="46" customHeight="1">
      <x:c r="A101" s="28" t="str">
        <x:v>арбуз</x:v>
      </x:c>
      <x:c r="B101" s="28" t="str">
        <x:v>Фрукты</x:v>
      </x:c>
      <x:c r="C101" s="28" t="str">
        <x:v>зелёный, фруктовый, цветочный</x:v>
      </x:c>
      <x:c r="D101" s="28" t="str">
        <x:v>лактоны, терпены, эфиры</x:v>
      </x:c>
      <x:c r="E101" s="28" t="str">
        <x:v>сладко-кислый</x:v>
      </x:c>
      <x:c r="F101" s="28" t="str">
        <x:v>обычно отсутствует; зависит от конкретного продукта</x:v>
      </x:c>
      <x:c r="G101" s="28" t="str">
        <x:v>водная фруктовая матрица</x:v>
      </x:c>
      <x:c r="H101" s="28" t="str">
        <x:v>Справочный групповой профиль; для точного состава конкретного сорта или бренда нужен инструментальный анализ.</x:v>
      </x:c>
      <x:c r="I101" s="28" t="n">
        <x:f>COUNTIF('Все сочетания'!$C:$C,A101)+COUNTIF('Все сочетания'!$F:$F,A101)</x:f>
        <x:v>3</x:v>
      </x:c>
    </x:row>
    <x:row r="102" ht="46" customHeight="1">
      <x:c r="A102" s="28" t="str">
        <x:v>артишок</x:v>
      </x:c>
      <x:c r="B102" s="28" t="str">
        <x:v>Овощи и грибы</x:v>
      </x:c>
      <x:c r="C102" s="28" t="str">
        <x:v>зелёный, землистый, сернистый</x:v>
      </x:c>
      <x:c r="D102" s="28" t="str">
        <x:v>C6-альдегиды, пиразины, сернистые соединения</x:v>
      </x:c>
      <x:c r="E102" s="28" t="str">
        <x:v>растительный, иногда умами</x:v>
      </x:c>
      <x:c r="F102" s="28" t="str">
        <x:v>обычно отсутствует; зависит от конкретного продукта</x:v>
      </x:c>
      <x:c r="G102" s="28" t="str">
        <x:v>высокая доля воды; нагрев меняет зелёный профиль</x:v>
      </x:c>
      <x:c r="H102" s="28" t="str">
        <x:v>Справочный групповой профиль; для точного состава конкретного сорта или бренда нужен инструментальный анализ.</x:v>
      </x:c>
      <x:c r="I102" s="28" t="n">
        <x:f>COUNTIF('Все сочетания'!$C:$C,A102)+COUNTIF('Все сочетания'!$F:$F,A102)</x:f>
        <x:v>3</x:v>
      </x:c>
    </x:row>
    <x:row r="103" ht="46" customHeight="1">
      <x:c r="A103" s="28" t="str">
        <x:v>базилик</x:v>
      </x:c>
      <x:c r="B103" s="28" t="str">
        <x:v>Травы и цветы</x:v>
      </x:c>
      <x:c r="C103" s="28" t="str">
        <x:v>зелёный, травянистый, цветочный</x:v>
      </x:c>
      <x:c r="D103" s="28" t="str">
        <x:v>гераниол, линалоол, терпены, эвгенол</x:v>
      </x:c>
      <x:c r="E103" s="28" t="str">
        <x:v>горьковатый, свежий</x:v>
      </x:c>
      <x:c r="F103" s="28" t="str">
        <x:v>обычно отсутствует; зависит от конкретного продукта</x:v>
      </x:c>
      <x:c r="G103" s="28" t="str">
        <x:v>летучие масла чувствительны к нагреву</x:v>
      </x:c>
      <x:c r="H103" s="28" t="str">
        <x:v>Справочный групповой профиль; для точного состава конкретного сорта или бренда нужен инструментальный анализ.</x:v>
      </x:c>
      <x:c r="I103" s="28" t="n">
        <x:f>COUNTIF('Все сочетания'!$C:$C,A103)+COUNTIF('Все сочетания'!$F:$F,A103)</x:f>
        <x:v>8</x:v>
      </x:c>
    </x:row>
    <x:row r="104" ht="46" customHeight="1">
      <x:c r="A104" s="28" t="str">
        <x:v>бальзамический уксус</x:v>
      </x:c>
      <x:c r="B104" s="28" t="str">
        <x:v>Ферментированные продукты, соусы и уксусы</x:v>
      </x:c>
      <x:c r="C104" s="28" t="str">
        <x:v>кислый, умами, ферментированный</x:v>
      </x:c>
      <x:c r="D104" s="28" t="str">
        <x:v>аминокислоты, органические кислоты, эфиры</x:v>
      </x:c>
      <x:c r="E104" s="28" t="str">
        <x:v>кислый/солёный/умами</x:v>
      </x:c>
      <x:c r="F104" s="28" t="str">
        <x:v>обычно отсутствует; зависит от конкретного продукта</x:v>
      </x:c>
      <x:c r="G104" s="28" t="str">
        <x:v>вода, соль и продукты ферментации</x:v>
      </x:c>
      <x:c r="H104" s="28" t="str">
        <x:v>Справочный групповой профиль; для точного состава конкретного сорта или бренда нужен инструментальный анализ.</x:v>
      </x:c>
      <x:c r="I104" s="28" t="n">
        <x:f>COUNTIF('Все сочетания'!$C:$C,A104)+COUNTIF('Все сочетания'!$F:$F,A104)</x:f>
        <x:v>2</x:v>
      </x:c>
    </x:row>
    <x:row r="105" ht="46" customHeight="1">
      <x:c r="A105" s="28" t="str">
        <x:v>банан</x:v>
      </x:c>
      <x:c r="B105" s="28" t="str">
        <x:v>Фрукты</x:v>
      </x:c>
      <x:c r="C105" s="28" t="str">
        <x:v>зелёный, фруктовый, цветочный</x:v>
      </x:c>
      <x:c r="D105" s="28" t="str">
        <x:v>лактоны, терпены, эфиры</x:v>
      </x:c>
      <x:c r="E105" s="28" t="str">
        <x:v>сладко-кислый</x:v>
      </x:c>
      <x:c r="F105" s="28" t="str">
        <x:v>обычно отсутствует; зависит от конкретного продукта</x:v>
      </x:c>
      <x:c r="G105" s="28" t="str">
        <x:v>водная фруктовая матрица</x:v>
      </x:c>
      <x:c r="H105" s="28" t="str">
        <x:v>Справочный групповой профиль; для точного состава конкретного сорта или бренда нужен инструментальный анализ.</x:v>
      </x:c>
      <x:c r="I105" s="28" t="n">
        <x:f>COUNTIF('Все сочетания'!$C:$C,A105)+COUNTIF('Все сочетания'!$F:$F,A105)</x:f>
        <x:v>4</x:v>
      </x:c>
    </x:row>
    <x:row r="106" ht="46" customHeight="1">
      <x:c r="A106" s="28" t="str">
        <x:v>банановое пюре</x:v>
      </x:c>
      <x:c r="B106" s="28" t="str">
        <x:v>Фрукты</x:v>
      </x:c>
      <x:c r="C106" s="28" t="str">
        <x:v>зелёный, фруктовый, цветочный</x:v>
      </x:c>
      <x:c r="D106" s="28" t="str">
        <x:v>лактоны, терпены, эфиры</x:v>
      </x:c>
      <x:c r="E106" s="28" t="str">
        <x:v>сладко-кислый</x:v>
      </x:c>
      <x:c r="F106" s="28" t="str">
        <x:v>обычно отсутствует; зависит от конкретного продукта</x:v>
      </x:c>
      <x:c r="G106" s="28" t="str">
        <x:v>водная фруктовая матрица</x:v>
      </x:c>
      <x:c r="H106" s="28" t="str">
        <x:v>Справочный групповой профиль; для точного состава конкретного сорта или бренда нужен инструментальный анализ.</x:v>
      </x:c>
      <x:c r="I106" s="28" t="n">
        <x:f>COUNTIF('Все сочетания'!$C:$C,A106)+COUNTIF('Все сочетания'!$F:$F,A106)</x:f>
        <x:v>1</x:v>
      </x:c>
    </x:row>
    <x:row r="107" ht="46" customHeight="1">
      <x:c r="A107" s="28" t="str">
        <x:v>баранина</x:v>
      </x:c>
      <x:c r="B107" s="28" t="str">
        <x:v>Мясо и птица</x:v>
      </x:c>
      <x:c r="C107" s="28" t="str">
        <x:v>жареный, жирный, сернистый, умами</x:v>
      </x:c>
      <x:c r="D107" s="28" t="str">
        <x:v>альдегиды, пиразины, сернистые соединения</x:v>
      </x:c>
      <x:c r="E107" s="28" t="str">
        <x:v>умами, солёный, жирный</x:v>
      </x:c>
      <x:c r="F107" s="28" t="str">
        <x:v>обычно отсутствует; зависит от конкретного продукта</x:v>
      </x:c>
      <x:c r="G107" s="28" t="str">
        <x:v>жир переносит аромат; реакция Майяра создаёт новые одоранты</x:v>
      </x:c>
      <x:c r="H107" s="28" t="str">
        <x:v>Справочный групповой профиль; для точного состава конкретного сорта или бренда нужен инструментальный анализ.</x:v>
      </x:c>
      <x:c r="I107" s="28" t="n">
        <x:f>COUNTIF('Все сочетания'!$C:$C,A107)+COUNTIF('Все сочетания'!$F:$F,A107)</x:f>
        <x:v>1</x:v>
      </x:c>
    </x:row>
    <x:row r="108" ht="46" customHeight="1">
      <x:c r="A108" s="28" t="str">
        <x:v>баранина на гриле</x:v>
      </x:c>
      <x:c r="B108" s="28" t="str">
        <x:v>Мясо и птица</x:v>
      </x:c>
      <x:c r="C108" s="28" t="str">
        <x:v>жареный, жирный, сернистый, умами</x:v>
      </x:c>
      <x:c r="D108" s="28" t="str">
        <x:v>альдегиды, пиразины, сернистые соединения</x:v>
      </x:c>
      <x:c r="E108" s="28" t="str">
        <x:v>умами, солёный, жирный</x:v>
      </x:c>
      <x:c r="F108" s="28" t="str">
        <x:v>обычно отсутствует; зависит от конкретного продукта</x:v>
      </x:c>
      <x:c r="G108" s="28" t="str">
        <x:v>жир переносит аромат; реакция Майяра создаёт новые одоранты</x:v>
      </x:c>
      <x:c r="H108" s="28" t="str">
        <x:v>Справочный групповой профиль; для точного состава конкретного сорта или бренда нужен инструментальный анализ.</x:v>
      </x:c>
      <x:c r="I108" s="28" t="n">
        <x:f>COUNTIF('Все сочетания'!$C:$C,A108)+COUNTIF('Все сочетания'!$F:$F,A108)</x:f>
        <x:v>1</x:v>
      </x:c>
    </x:row>
    <x:row r="109" ht="46" customHeight="1">
      <x:c r="A109" s="28" t="str">
        <x:v>барбарис</x:v>
      </x:c>
      <x:c r="B109" s="28" t="str">
        <x:v>Ягоды и производные</x:v>
      </x:c>
      <x:c r="C109" s="28" t="str">
        <x:v>кислый, красно-фруктовый, цветочный</x:v>
      </x:c>
      <x:c r="D109" s="28" t="str">
        <x:v>терпены, эфиры</x:v>
      </x:c>
      <x:c r="E109" s="28" t="str">
        <x:v>очень кислый</x:v>
      </x:c>
      <x:c r="F109" s="28" t="str">
        <x:v>обычно отсутствует; зависит от конкретного продукта</x:v>
      </x:c>
      <x:c r="G109" s="28" t="str">
        <x:v>лучше работает как кислотный акцент</x:v>
      </x:c>
      <x:c r="H109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09" s="28" t="n">
        <x:f>COUNTIF('Все сочетания'!$C:$C,A109)+COUNTIF('Все сочетания'!$F:$F,A109)</x:f>
        <x:v>5</x:v>
      </x:c>
    </x:row>
    <x:row r="110" ht="46" customHeight="1">
      <x:c r="A110" s="28" t="str">
        <x:v>батат</x:v>
      </x:c>
      <x:c r="B110" s="28" t="str">
        <x:v>Прочее</x:v>
      </x:c>
      <x:c r="C110" s="28" t="str">
        <x:v>комплексный</x:v>
      </x:c>
      <x:c r="D110" s="28" t="str">
        <x:v>не конкретизированы</x:v>
      </x:c>
      <x:c r="E110" s="28" t="str">
        <x:v>зависит от ингредиента</x:v>
      </x:c>
      <x:c r="F110" s="28" t="str">
        <x:v>обычно отсутствует; зависит от конкретного продукта</x:v>
      </x:c>
      <x:c r="G110" s="28" t="str">
        <x:v>механизм зависит от конкретного продукта</x:v>
      </x:c>
      <x:c r="H110" s="28" t="str">
        <x:v>Справочный групповой профиль; для точного состава конкретного сорта или бренда нужен инструментальный анализ.</x:v>
      </x:c>
      <x:c r="I110" s="28" t="n">
        <x:f>COUNTIF('Все сочетания'!$C:$C,A110)+COUNTIF('Все сочетания'!$F:$F,A110)</x:f>
        <x:v>3</x:v>
      </x:c>
    </x:row>
    <x:row r="111" ht="46" customHeight="1">
      <x:c r="A111" s="28" t="str">
        <x:v>белый шоколад</x:v>
      </x:c>
      <x:c r="B111" s="28" t="str">
        <x:v>Шоколад, кофе и жареные продукты</x:v>
      </x:c>
      <x:c r="C111" s="28" t="str">
        <x:v>горький, жареный, карамельный, ореховый</x:v>
      </x:c>
      <x:c r="D111" s="28" t="str">
        <x:v>ванилин, пиразины, фураны</x:v>
      </x:c>
      <x:c r="E111" s="28" t="str">
        <x:v>горько-сладкий</x:v>
      </x:c>
      <x:c r="F111" s="28" t="str">
        <x:v>обычно отсутствует; зависит от конкретного продукта</x:v>
      </x:c>
      <x:c r="G111" s="28" t="str">
        <x:v>жир и обжаренные твёрдые частицы</x:v>
      </x:c>
      <x:c r="H111" s="28" t="str">
        <x:v>Справочный групповой профиль; для точного состава конкретного сорта или бренда нужен инструментальный анализ.</x:v>
      </x:c>
      <x:c r="I111" s="28" t="n">
        <x:f>COUNTIF('Все сочетания'!$C:$C,A111)+COUNTIF('Все сочетания'!$F:$F,A111)</x:f>
        <x:v>6</x:v>
      </x:c>
    </x:row>
    <x:row r="112" ht="46" customHeight="1">
      <x:c r="A112" s="28" t="str">
        <x:v>бергамот</x:v>
      </x:c>
      <x:c r="B112" s="28" t="str">
        <x:v>Цитрусовые</x:v>
      </x:c>
      <x:c r="C112" s="28" t="str">
        <x:v>зелёный, цветочный, цитрусовый</x:v>
      </x:c>
      <x:c r="D112" s="28" t="str">
        <x:v>лимонен, линалоол, цитраль</x:v>
      </x:c>
      <x:c r="E112" s="28" t="str">
        <x:v>кислый, свежий</x:v>
      </x:c>
      <x:c r="F112" s="28" t="str">
        <x:v>обычно отсутствует; зависит от конкретного продукта</x:v>
      </x:c>
      <x:c r="G112" s="28" t="str">
        <x:v>вода и эфирные масла; цедра гидрофобна</x:v>
      </x:c>
      <x:c r="H112" s="28" t="str">
        <x:v>Справочный групповой профиль; для точного состава конкретного сорта или бренда нужен инструментальный анализ.</x:v>
      </x:c>
      <x:c r="I112" s="28" t="n">
        <x:f>COUNTIF('Все сочетания'!$C:$C,A112)+COUNTIF('Все сочетания'!$F:$F,A112)</x:f>
        <x:v>1</x:v>
      </x:c>
    </x:row>
    <x:row r="113" ht="46" customHeight="1">
      <x:c r="A113" s="28" t="str">
        <x:v>бобы</x:v>
      </x:c>
      <x:c r="B113" s="28" t="str">
        <x:v>Овощи и грибы</x:v>
      </x:c>
      <x:c r="C113" s="28" t="str">
        <x:v>зелёный, землистый, сернистый</x:v>
      </x:c>
      <x:c r="D113" s="28" t="str">
        <x:v>C6-альдегиды, пиразины, сернистые соединения</x:v>
      </x:c>
      <x:c r="E113" s="28" t="str">
        <x:v>растительный, иногда умами</x:v>
      </x:c>
      <x:c r="F113" s="28" t="str">
        <x:v>обычно отсутствует; зависит от конкретного продукта</x:v>
      </x:c>
      <x:c r="G113" s="28" t="str">
        <x:v>высокая доля воды; нагрев меняет зелёный профиль</x:v>
      </x:c>
      <x:c r="H113" s="28" t="str">
        <x:v>Справочный групповой профиль; для точного состава конкретного сорта или бренда нужен инструментальный анализ.</x:v>
      </x:c>
      <x:c r="I113" s="28" t="n">
        <x:f>COUNTIF('Все сочетания'!$C:$C,A113)+COUNTIF('Все сочетания'!$F:$F,A113)</x:f>
        <x:v>1</x:v>
      </x:c>
    </x:row>
    <x:row r="114" ht="46" customHeight="1">
      <x:c r="A114" s="28" t="str">
        <x:v>бойзенова ягода</x:v>
      </x:c>
      <x:c r="B114" s="28" t="str">
        <x:v>Ягоды и производные</x:v>
      </x:c>
      <x:c r="C114" s="28" t="str">
        <x:v>комплексный</x:v>
      </x:c>
      <x:c r="D114" s="28" t="str">
        <x:v>не конкретизированы</x:v>
      </x:c>
      <x:c r="E114" s="28" t="str">
        <x:v>зависит от ингредиента</x:v>
      </x:c>
      <x:c r="F114" s="28" t="str">
        <x:v>обычно отсутствует; зависит от конкретного продукта</x:v>
      </x:c>
      <x:c r="G114" s="28" t="str">
        <x:v>механизм зависит от конкретного продукта</x:v>
      </x:c>
      <x:c r="H114" s="28" t="str">
        <x:v>Справочный групповой профиль; для точного состава конкретного сорта или бренда нужен инструментальный анализ.</x:v>
      </x:c>
      <x:c r="I114" s="28" t="n">
        <x:f>COUNTIF('Все сочетания'!$C:$C,A114)+COUNTIF('Все сочетания'!$F:$F,A114)</x:f>
        <x:v>1</x:v>
      </x:c>
    </x:row>
    <x:row r="115" ht="46" customHeight="1">
      <x:c r="A115" s="28" t="str">
        <x:v>бри</x:v>
      </x:c>
      <x:c r="B115" s="28" t="str">
        <x:v>Молочные продукты и сыры</x:v>
      </x:c>
      <x:c r="C115" s="28" t="str">
        <x:v>масляный, молочный, сливочный, сырный</x:v>
      </x:c>
      <x:c r="D115" s="28" t="str">
        <x:v>диацетил, жирные кислоты, лактоны</x:v>
      </x:c>
      <x:c r="E115" s="28" t="str">
        <x:v>жирный, кислый/солёный</x:v>
      </x:c>
      <x:c r="F115" s="28" t="str">
        <x:v>обычно отсутствует; зависит от конкретного продукта</x:v>
      </x:c>
      <x:c r="G115" s="28" t="str">
        <x:v>жировая и белковая матрица смягчает кислотность</x:v>
      </x:c>
      <x:c r="H115" s="28" t="str">
        <x:v>Справочный групповой профиль; для точного состава конкретного сорта или бренда нужен инструментальный анализ.</x:v>
      </x:c>
      <x:c r="I115" s="28" t="n">
        <x:f>COUNTIF('Все сочетания'!$C:$C,A115)+COUNTIF('Все сочетания'!$F:$F,A115)</x:f>
        <x:v>4</x:v>
      </x:c>
    </x:row>
    <x:row r="116" ht="46" customHeight="1">
      <x:c r="A116" s="28" t="str">
        <x:v>брусника</x:v>
      </x:c>
      <x:c r="B116" s="28" t="str">
        <x:v>Ягоды и производные</x:v>
      </x:c>
      <x:c r="C116" s="28" t="str">
        <x:v>древесный, зелёный, кислый, красно-фруктовый</x:v>
      </x:c>
      <x:c r="D116" s="28" t="str">
        <x:v>C6-альдегиды, бензойная кислота, эфиры</x:v>
      </x:c>
      <x:c r="E116" s="28" t="str">
        <x:v>кислый, терпкий</x:v>
      </x:c>
      <x:c r="F116" s="28" t="str">
        <x:v>обычно отсутствует; зависит от конкретного продукта</x:v>
      </x:c>
      <x:c r="G116" s="28" t="str">
        <x:v>хорошо выдерживает нагрев, но требует баланса сладостью/жиром</x:v>
      </x:c>
      <x:c r="H116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16" s="28" t="n">
        <x:f>COUNTIF('Все сочетания'!$C:$C,A116)+COUNTIF('Все сочетания'!$F:$F,A116)</x:f>
        <x:v>2</x:v>
      </x:c>
    </x:row>
    <x:row r="117" ht="46" customHeight="1">
      <x:c r="A117" s="28" t="str">
        <x:v>бузина</x:v>
      </x:c>
      <x:c r="B117" s="28" t="str">
        <x:v>Ягоды и производные</x:v>
      </x:c>
      <x:c r="C117" s="28" t="str">
        <x:v>зелёный, тёмно-фруктовый, цветочный</x:v>
      </x:c>
      <x:c r="D117" s="28" t="str">
        <x:v>альдегиды, терпены, эфиры</x:v>
      </x:c>
      <x:c r="E117" s="28" t="str">
        <x:v>кисло-сладкий, терпкий</x:v>
      </x:c>
      <x:c r="F117" s="28" t="str">
        <x:v>обычно отсутствует; зависит от конкретного продукта</x:v>
      </x:c>
      <x:c r="G117" s="28" t="str">
        <x:v>ягоды обычно требуют термообработки; цветы и ягоды имеют разные профили</x:v>
      </x:c>
      <x:c r="H117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17" s="28" t="n">
        <x:f>COUNTIF('Все сочетания'!$C:$C,A117)+COUNTIF('Все сочетания'!$F:$F,A117)</x:f>
        <x:v>39</x:v>
      </x:c>
    </x:row>
    <x:row r="118" ht="46" customHeight="1">
      <x:c r="A118" s="28" t="str">
        <x:v>бузиновый сок</x:v>
      </x:c>
      <x:c r="B118" s="28" t="str">
        <x:v>Ягоды и производные</x:v>
      </x:c>
      <x:c r="C118" s="28" t="str">
        <x:v>комплексный</x:v>
      </x:c>
      <x:c r="D118" s="28" t="str">
        <x:v>не конкретизированы</x:v>
      </x:c>
      <x:c r="E118" s="28" t="str">
        <x:v>зависит от ингредиента</x:v>
      </x:c>
      <x:c r="F118" s="28" t="str">
        <x:v>обычно отсутствует; зависит от конкретного продукта</x:v>
      </x:c>
      <x:c r="G118" s="28" t="str">
        <x:v>механизм зависит от конкретного продукта</x:v>
      </x:c>
      <x:c r="H118" s="28" t="str">
        <x:v>Справочный групповой профиль; для точного состава конкретного сорта или бренда нужен инструментальный анализ.</x:v>
      </x:c>
      <x:c r="I118" s="28" t="n">
        <x:f>COUNTIF('Все сочетания'!$C:$C,A118)+COUNTIF('Все сочетания'!$F:$F,A118)</x:f>
        <x:v>6</x:v>
      </x:c>
    </x:row>
    <x:row r="119" ht="46" customHeight="1">
      <x:c r="A119" s="28" t="str">
        <x:v>бурбон Kentucky Straight</x:v>
      </x:c>
      <x:c r="B119" s="28" t="str">
        <x:v>Алкогольные напитки</x:v>
      </x:c>
      <x:c r="C119" s="28" t="str">
        <x:v>древесный, фруктовый, эфирный</x:v>
      </x:c>
      <x:c r="D119" s="28" t="str">
        <x:v>ванилин, дубовые лактоны, этиловые эфиры</x:v>
      </x:c>
      <x:c r="E119" s="28" t="str">
        <x:v>зависит от напитка</x:v>
      </x:c>
      <x:c r="F119" s="28" t="str">
        <x:v>обычно отсутствует; зависит от конкретного продукта</x:v>
      </x:c>
      <x:c r="G119" s="28" t="str">
        <x:v>этанол растворяет гидрофобные ароматические вещества</x:v>
      </x:c>
      <x:c r="H119" s="28" t="str">
        <x:v>Справочный групповой профиль; для точного состава конкретного сорта или бренда нужен инструментальный анализ.</x:v>
      </x:c>
      <x:c r="I119" s="28" t="n">
        <x:f>COUNTIF('Все сочетания'!$C:$C,A119)+COUNTIF('Все сочетания'!$F:$F,A119)</x:f>
        <x:v>1</x:v>
      </x:c>
    </x:row>
    <x:row r="120" ht="46" customHeight="1">
      <x:c r="A120" s="28" t="str">
        <x:v>ваниль</x:v>
      </x:c>
      <x:c r="B120" s="28" t="str">
        <x:v>Прочее</x:v>
      </x:c>
      <x:c r="C120" s="28" t="str">
        <x:v>комплексный</x:v>
      </x:c>
      <x:c r="D120" s="28" t="str">
        <x:v>не конкретизированы</x:v>
      </x:c>
      <x:c r="E120" s="28" t="str">
        <x:v>зависит от ингредиента</x:v>
      </x:c>
      <x:c r="F120" s="28" t="str">
        <x:v>обычно отсутствует; зависит от конкретного продукта</x:v>
      </x:c>
      <x:c r="G120" s="28" t="str">
        <x:v>механизм зависит от конкретного продукта</x:v>
      </x:c>
      <x:c r="H120" s="28" t="str">
        <x:v>Справочный групповой профиль; для точного состава конкретного сорта или бренда нужен инструментальный анализ.</x:v>
      </x:c>
      <x:c r="I120" s="28" t="n">
        <x:f>COUNTIF('Все сочетания'!$C:$C,A120)+COUNTIF('Все сочетания'!$F:$F,A120)</x:f>
        <x:v>6</x:v>
      </x:c>
    </x:row>
    <x:row r="121" ht="46" customHeight="1">
      <x:c r="A121" s="28" t="str">
        <x:v>виноград</x:v>
      </x:c>
      <x:c r="B121" s="28" t="str">
        <x:v>Фрукты</x:v>
      </x:c>
      <x:c r="C121" s="28" t="str">
        <x:v>зелёный, фруктовый, цветочный</x:v>
      </x:c>
      <x:c r="D121" s="28" t="str">
        <x:v>лактоны, терпены, эфиры</x:v>
      </x:c>
      <x:c r="E121" s="28" t="str">
        <x:v>сладко-кислый</x:v>
      </x:c>
      <x:c r="F121" s="28" t="str">
        <x:v>обычно отсутствует; зависит от конкретного продукта</x:v>
      </x:c>
      <x:c r="G121" s="28" t="str">
        <x:v>водная фруктовая матрица</x:v>
      </x:c>
      <x:c r="H121" s="28" t="str">
        <x:v>Справочный групповой профиль; для точного состава конкретного сорта или бренда нужен инструментальный анализ.</x:v>
      </x:c>
      <x:c r="I121" s="28" t="n">
        <x:f>COUNTIF('Все сочетания'!$C:$C,A121)+COUNTIF('Все сочетания'!$F:$F,A121)</x:f>
        <x:v>1</x:v>
      </x:c>
    </x:row>
    <x:row r="122" ht="46" customHeight="1">
      <x:c r="A122" s="28" t="str">
        <x:v>вишня</x:v>
      </x:c>
      <x:c r="B122" s="28" t="str">
        <x:v>Ягоды и производные</x:v>
      </x:c>
      <x:c r="C122" s="28" t="str">
        <x:v>миндальный, пряный, фруктовый, цветочный</x:v>
      </x:c>
      <x:c r="D122" s="28" t="str">
        <x:v>бензальдегид, бета-дамасценон, линалоол, эвгенол</x:v>
      </x:c>
      <x:c r="E122" s="28" t="str">
        <x:v>сладко-кислый, иногда терпкий</x:v>
      </x:c>
      <x:c r="F122" s="28" t="str">
        <x:v>обычно отсутствует; зависит от конкретного продукта</x:v>
      </x:c>
      <x:c r="G122" s="28" t="str">
        <x:v>косточка усиливает миндальный тон, но требует контроля безопасности</x:v>
      </x:c>
      <x:c r="H122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22" s="28" t="n">
        <x:f>COUNTIF('Все сочетания'!$C:$C,A122)+COUNTIF('Все сочетания'!$F:$F,A122)</x:f>
        <x:v>66</x:v>
      </x:c>
    </x:row>
    <x:row r="123" ht="46" customHeight="1">
      <x:c r="A123" s="28" t="str">
        <x:v>вода/флёрдоранж</x:v>
      </x:c>
      <x:c r="B123" s="28" t="str">
        <x:v>Прочее</x:v>
      </x:c>
      <x:c r="C123" s="28" t="str">
        <x:v>комплексный</x:v>
      </x:c>
      <x:c r="D123" s="28" t="str">
        <x:v>не конкретизированы</x:v>
      </x:c>
      <x:c r="E123" s="28" t="str">
        <x:v>зависит от ингредиента</x:v>
      </x:c>
      <x:c r="F123" s="28" t="str">
        <x:v>обычно отсутствует; зависит от конкретного продукта</x:v>
      </x:c>
      <x:c r="G123" s="28" t="str">
        <x:v>механизм зависит от конкретного продукта</x:v>
      </x:c>
      <x:c r="H123" s="28" t="str">
        <x:v>Справочный групповой профиль; для точного состава конкретного сорта или бренда нужен инструментальный анализ.</x:v>
      </x:c>
      <x:c r="I123" s="28" t="n">
        <x:f>COUNTIF('Все сочетания'!$C:$C,A123)+COUNTIF('Все сочетания'!$F:$F,A123)</x:f>
        <x:v>1</x:v>
      </x:c>
    </x:row>
    <x:row r="124" ht="46" customHeight="1">
      <x:c r="A124" s="28" t="str">
        <x:v>гвоздика</x:v>
      </x:c>
      <x:c r="B124" s="28" t="str">
        <x:v>Специи</x:v>
      </x:c>
      <x:c r="C124" s="28" t="str">
        <x:v>древесный, пряный, тёплый</x:v>
      </x:c>
      <x:c r="D124" s="28" t="str">
        <x:v>коричный альдегид, терпены, эвгенол</x:v>
      </x:c>
      <x:c r="E124" s="28" t="str">
        <x:v>пряный, иногда горький</x:v>
      </x:c>
      <x:c r="F124" s="28" t="str">
        <x:v>обычно отсутствует; зависит от конкретного продукта</x:v>
      </x:c>
      <x:c r="G124" s="28" t="str">
        <x:v>эфирные масла хорошо извлекаются спиртом и жиром</x:v>
      </x:c>
      <x:c r="H124" s="28" t="str">
        <x:v>Справочный групповой профиль; для точного состава конкретного сорта или бренда нужен инструментальный анализ.</x:v>
      </x:c>
      <x:c r="I124" s="28" t="n">
        <x:f>COUNTIF('Все сочетания'!$C:$C,A124)+COUNTIF('Все сочетания'!$F:$F,A124)</x:f>
        <x:v>3</x:v>
      </x:c>
    </x:row>
    <x:row r="125" ht="46" customHeight="1">
      <x:c r="A125" s="28" t="str">
        <x:v>гибискус</x:v>
      </x:c>
      <x:c r="B125" s="28" t="str">
        <x:v>Прочее</x:v>
      </x:c>
      <x:c r="C125" s="28" t="str">
        <x:v>комплексный</x:v>
      </x:c>
      <x:c r="D125" s="28" t="str">
        <x:v>не конкретизированы</x:v>
      </x:c>
      <x:c r="E125" s="28" t="str">
        <x:v>зависит от ингредиента</x:v>
      </x:c>
      <x:c r="F125" s="28" t="str">
        <x:v>обычно отсутствует; зависит от конкретного продукта</x:v>
      </x:c>
      <x:c r="G125" s="28" t="str">
        <x:v>механизм зависит от конкретного продукта</x:v>
      </x:c>
      <x:c r="H125" s="28" t="str">
        <x:v>Справочный групповой профиль; для точного состава конкретного сорта или бренда нужен инструментальный анализ.</x:v>
      </x:c>
      <x:c r="I125" s="28" t="n">
        <x:f>COUNTIF('Все сочетания'!$C:$C,A125)+COUNTIF('Все сочетания'!$F:$F,A125)</x:f>
        <x:v>4</x:v>
      </x:c>
    </x:row>
    <x:row r="126" ht="46" customHeight="1">
      <x:c r="A126" s="28" t="str">
        <x:v>говядина</x:v>
      </x:c>
      <x:c r="B126" s="28" t="str">
        <x:v>Мясо и птица</x:v>
      </x:c>
      <x:c r="C126" s="28" t="str">
        <x:v>жареный, жирный, сернистый, умами</x:v>
      </x:c>
      <x:c r="D126" s="28" t="str">
        <x:v>альдегиды, пиразины, сернистые соединения</x:v>
      </x:c>
      <x:c r="E126" s="28" t="str">
        <x:v>умами, солёный, жирный</x:v>
      </x:c>
      <x:c r="F126" s="28" t="str">
        <x:v>обычно отсутствует; зависит от конкретного продукта</x:v>
      </x:c>
      <x:c r="G126" s="28" t="str">
        <x:v>жир переносит аромат; реакция Майяра создаёт новые одоранты</x:v>
      </x:c>
      <x:c r="H126" s="28" t="str">
        <x:v>Справочный групповой профиль; для точного состава конкретного сорта или бренда нужен инструментальный анализ.</x:v>
      </x:c>
      <x:c r="I126" s="28" t="n">
        <x:f>COUNTIF('Все сочетания'!$C:$C,A126)+COUNTIF('Все сочетания'!$F:$F,A126)</x:f>
        <x:v>1</x:v>
      </x:c>
    </x:row>
    <x:row r="127" ht="46" customHeight="1">
      <x:c r="A127" s="28" t="str">
        <x:v>голубика</x:v>
      </x:c>
      <x:c r="B127" s="28" t="str">
        <x:v>Ягоды и производные</x:v>
      </x:c>
      <x:c r="C127" s="28" t="str">
        <x:v>зелёный, фруктовый, цветочный, цитрусовый</x:v>
      </x:c>
      <x:c r="D127" s="28" t="str">
        <x:v>C6-альдегиды, гераниол, линалоол, цитронеллол</x:v>
      </x:c>
      <x:c r="E127" s="28" t="str">
        <x:v>сладко-кислый, мягкий</x:v>
      </x:c>
      <x:c r="F127" s="28" t="str">
        <x:v>обычно отсутствует; зависит от конкретного продукта</x:v>
      </x:c>
      <x:c r="G127" s="28" t="str">
        <x:v>нежный аромат легко теряется на фоне сильной сладости</x:v>
      </x:c>
      <x:c r="H127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27" s="28" t="n">
        <x:f>COUNTIF('Все сочетания'!$C:$C,A127)+COUNTIF('Все сочетания'!$F:$F,A127)</x:f>
        <x:v>146</x:v>
      </x:c>
    </x:row>
    <x:row r="128" ht="46" customHeight="1">
      <x:c r="A128" s="28" t="str">
        <x:v>голубой сыр</x:v>
      </x:c>
      <x:c r="B128" s="28" t="str">
        <x:v>Молочные продукты и сыры</x:v>
      </x:c>
      <x:c r="C128" s="28" t="str">
        <x:v>масляный, молочный, сливочный, сырный</x:v>
      </x:c>
      <x:c r="D128" s="28" t="str">
        <x:v>диацетил, жирные кислоты, лактоны</x:v>
      </x:c>
      <x:c r="E128" s="28" t="str">
        <x:v>жирный, кислый/солёный</x:v>
      </x:c>
      <x:c r="F128" s="28" t="str">
        <x:v>обычно отсутствует; зависит от конкретного продукта</x:v>
      </x:c>
      <x:c r="G128" s="28" t="str">
        <x:v>жировая и белковая матрица смягчает кислотность</x:v>
      </x:c>
      <x:c r="H128" s="28" t="str">
        <x:v>Справочный групповой профиль; для точного состава конкретного сорта или бренда нужен инструментальный анализ.</x:v>
      </x:c>
      <x:c r="I128" s="28" t="n">
        <x:f>COUNTIF('Все сочетания'!$C:$C,A128)+COUNTIF('Все сочетания'!$F:$F,A128)</x:f>
        <x:v>6</x:v>
      </x:c>
    </x:row>
    <x:row r="129" ht="46" customHeight="1">
      <x:c r="A129" s="28" t="str">
        <x:v>гранат</x:v>
      </x:c>
      <x:c r="B129" s="28" t="str">
        <x:v>Фрукты</x:v>
      </x:c>
      <x:c r="C129" s="28" t="str">
        <x:v>зелёный, фруктовый, цветочный</x:v>
      </x:c>
      <x:c r="D129" s="28" t="str">
        <x:v>лактоны, терпены, эфиры</x:v>
      </x:c>
      <x:c r="E129" s="28" t="str">
        <x:v>сладко-кислый</x:v>
      </x:c>
      <x:c r="F129" s="28" t="str">
        <x:v>обычно отсутствует; зависит от конкретного продукта</x:v>
      </x:c>
      <x:c r="G129" s="28" t="str">
        <x:v>водная фруктовая матрица</x:v>
      </x:c>
      <x:c r="H129" s="28" t="str">
        <x:v>Справочный групповой профиль; для точного состава конкретного сорта или бренда нужен инструментальный анализ.</x:v>
      </x:c>
      <x:c r="I129" s="28" t="n">
        <x:f>COUNTIF('Все сочетания'!$C:$C,A129)+COUNTIF('Все сочетания'!$F:$F,A129)</x:f>
        <x:v>4</x:v>
      </x:c>
    </x:row>
    <x:row r="130" ht="46" customHeight="1">
      <x:c r="A130" s="28" t="str">
        <x:v>гранатовый сок</x:v>
      </x:c>
      <x:c r="B130" s="28" t="str">
        <x:v>Фрукты</x:v>
      </x:c>
      <x:c r="C130" s="28" t="str">
        <x:v>зелёный, фруктовый, цветочный</x:v>
      </x:c>
      <x:c r="D130" s="28" t="str">
        <x:v>лактоны, терпены, эфиры</x:v>
      </x:c>
      <x:c r="E130" s="28" t="str">
        <x:v>сладко-кислый</x:v>
      </x:c>
      <x:c r="F130" s="28" t="str">
        <x:v>обычно отсутствует; зависит от конкретного продукта</x:v>
      </x:c>
      <x:c r="G130" s="28" t="str">
        <x:v>водная фруктовая матрица</x:v>
      </x:c>
      <x:c r="H130" s="28" t="str">
        <x:v>Справочный групповой профиль; для точного состава конкретного сорта или бренда нужен инструментальный анализ.</x:v>
      </x:c>
      <x:c r="I130" s="28" t="n">
        <x:f>COUNTIF('Все сочетания'!$C:$C,A130)+COUNTIF('Все сочетания'!$F:$F,A130)</x:f>
        <x:v>1</x:v>
      </x:c>
    </x:row>
    <x:row r="131" ht="46" customHeight="1">
      <x:c r="A131" s="28" t="str">
        <x:v>грейпфрут</x:v>
      </x:c>
      <x:c r="B131" s="28" t="str">
        <x:v>Цитрусовые</x:v>
      </x:c>
      <x:c r="C131" s="28" t="str">
        <x:v>зелёный, цветочный, цитрусовый</x:v>
      </x:c>
      <x:c r="D131" s="28" t="str">
        <x:v>лимонен, линалоол, цитраль</x:v>
      </x:c>
      <x:c r="E131" s="28" t="str">
        <x:v>кислый, свежий</x:v>
      </x:c>
      <x:c r="F131" s="28" t="str">
        <x:v>обычно отсутствует; зависит от конкретного продукта</x:v>
      </x:c>
      <x:c r="G131" s="28" t="str">
        <x:v>вода и эфирные масла; цедра гидрофобна</x:v>
      </x:c>
      <x:c r="H131" s="28" t="str">
        <x:v>Справочный групповой профиль; для точного состава конкретного сорта или бренда нужен инструментальный анализ.</x:v>
      </x:c>
      <x:c r="I131" s="28" t="n">
        <x:f>COUNTIF('Все сочетания'!$C:$C,A131)+COUNTIF('Все сочетания'!$F:$F,A131)</x:f>
        <x:v>8</x:v>
      </x:c>
    </x:row>
    <x:row r="132" ht="46" customHeight="1">
      <x:c r="A132" s="28" t="str">
        <x:v>грецкий орех</x:v>
      </x:c>
      <x:c r="B132" s="28" t="str">
        <x:v>Орехи и семена</x:v>
      </x:c>
      <x:c r="C132" s="28" t="str">
        <x:v>жареный, миндальный, ореховый</x:v>
      </x:c>
      <x:c r="D132" s="28" t="str">
        <x:v>бензальдегид, пиразины, фураны</x:v>
      </x:c>
      <x:c r="E132" s="28" t="str">
        <x:v>сладковатый, жирный</x:v>
      </x:c>
      <x:c r="F132" s="28" t="str">
        <x:v>обычно отсутствует; зависит от конкретного продукта</x:v>
      </x:c>
      <x:c r="G132" s="28" t="str">
        <x:v>жир хорошо удерживает гидрофобные одоранты</x:v>
      </x:c>
      <x:c r="H132" s="28" t="str">
        <x:v>Справочный групповой профиль; для точного состава конкретного сорта или бренда нужен инструментальный анализ.</x:v>
      </x:c>
      <x:c r="I132" s="28" t="n">
        <x:f>COUNTIF('Все сочетания'!$C:$C,A132)+COUNTIF('Все сочетания'!$F:$F,A132)</x:f>
        <x:v>3</x:v>
      </x:c>
    </x:row>
    <x:row r="133" ht="46" customHeight="1">
      <x:c r="A133" s="28" t="str">
        <x:v>грибы</x:v>
      </x:c>
      <x:c r="B133" s="28" t="str">
        <x:v>Овощи и грибы</x:v>
      </x:c>
      <x:c r="C133" s="28" t="str">
        <x:v>зелёный, землистый, сернистый</x:v>
      </x:c>
      <x:c r="D133" s="28" t="str">
        <x:v>C6-альдегиды, пиразины, сернистые соединения</x:v>
      </x:c>
      <x:c r="E133" s="28" t="str">
        <x:v>растительный, иногда умами</x:v>
      </x:c>
      <x:c r="F133" s="28" t="str">
        <x:v>обычно отсутствует; зависит от конкретного продукта</x:v>
      </x:c>
      <x:c r="G133" s="28" t="str">
        <x:v>высокая доля воды; нагрев меняет зелёный профиль</x:v>
      </x:c>
      <x:c r="H133" s="28" t="str">
        <x:v>Справочный групповой профиль; для точного состава конкретного сорта или бренда нужен инструментальный анализ.</x:v>
      </x:c>
      <x:c r="I133" s="28" t="n">
        <x:f>COUNTIF('Все сочетания'!$C:$C,A133)+COUNTIF('Все сочетания'!$F:$F,A133)</x:f>
        <x:v>1</x:v>
      </x:c>
    </x:row>
    <x:row r="134" ht="46" customHeight="1">
      <x:c r="A134" s="28" t="str">
        <x:v>груша</x:v>
      </x:c>
      <x:c r="B134" s="28" t="str">
        <x:v>Фрукты</x:v>
      </x:c>
      <x:c r="C134" s="28" t="str">
        <x:v>зелёный, фруктовый, цветочный</x:v>
      </x:c>
      <x:c r="D134" s="28" t="str">
        <x:v>лактоны, терпены, эфиры</x:v>
      </x:c>
      <x:c r="E134" s="28" t="str">
        <x:v>сладко-кислый</x:v>
      </x:c>
      <x:c r="F134" s="28" t="str">
        <x:v>обычно отсутствует; зависит от конкретного продукта</x:v>
      </x:c>
      <x:c r="G134" s="28" t="str">
        <x:v>водная фруктовая матрица</x:v>
      </x:c>
      <x:c r="H134" s="28" t="str">
        <x:v>Справочный групповой профиль; для точного состава конкретного сорта или бренда нужен инструментальный анализ.</x:v>
      </x:c>
      <x:c r="I134" s="28" t="n">
        <x:f>COUNTIF('Все сочетания'!$C:$C,A134)+COUNTIF('Все сочетания'!$F:$F,A134)</x:f>
        <x:v>10</x:v>
      </x:c>
    </x:row>
    <x:row r="135" ht="46" customHeight="1">
      <x:c r="A135" s="28" t="str">
        <x:v>груша Conference</x:v>
      </x:c>
      <x:c r="B135" s="28" t="str">
        <x:v>Фрукты</x:v>
      </x:c>
      <x:c r="C135" s="28" t="str">
        <x:v>зелёный, фруктовый, цветочный</x:v>
      </x:c>
      <x:c r="D135" s="28" t="str">
        <x:v>лактоны, терпены, эфиры</x:v>
      </x:c>
      <x:c r="E135" s="28" t="str">
        <x:v>сладко-кислый</x:v>
      </x:c>
      <x:c r="F135" s="28" t="str">
        <x:v>обычно отсутствует; зависит от конкретного продукта</x:v>
      </x:c>
      <x:c r="G135" s="28" t="str">
        <x:v>водная фруктовая матрица</x:v>
      </x:c>
      <x:c r="H135" s="28" t="str">
        <x:v>Справочный групповой профиль; для точного состава конкретного сорта или бренда нужен инструментальный анализ.</x:v>
      </x:c>
      <x:c r="I135" s="28" t="n">
        <x:f>COUNTIF('Все сочетания'!$C:$C,A135)+COUNTIF('Все сочетания'!$F:$F,A135)</x:f>
        <x:v>1</x:v>
      </x:c>
    </x:row>
    <x:row r="136" ht="46" customHeight="1">
      <x:c r="A136" s="28" t="str">
        <x:v>грюйер</x:v>
      </x:c>
      <x:c r="B136" s="28" t="str">
        <x:v>Молочные продукты и сыры</x:v>
      </x:c>
      <x:c r="C136" s="28" t="str">
        <x:v>масляный, молочный, сливочный, сырный</x:v>
      </x:c>
      <x:c r="D136" s="28" t="str">
        <x:v>диацетил, жирные кислоты, лактоны</x:v>
      </x:c>
      <x:c r="E136" s="28" t="str">
        <x:v>жирный, кислый/солёный</x:v>
      </x:c>
      <x:c r="F136" s="28" t="str">
        <x:v>обычно отсутствует; зависит от конкретного продукта</x:v>
      </x:c>
      <x:c r="G136" s="28" t="str">
        <x:v>жировая и белковая матрица смягчает кислотность</x:v>
      </x:c>
      <x:c r="H136" s="28" t="str">
        <x:v>Справочный групповой профиль; для точного состава конкретного сорта или бренда нужен инструментальный анализ.</x:v>
      </x:c>
      <x:c r="I136" s="28" t="n">
        <x:f>COUNTIF('Все сочетания'!$C:$C,A136)+COUNTIF('Все сочетания'!$F:$F,A136)</x:f>
        <x:v>1</x:v>
      </x:c>
    </x:row>
    <x:row r="137" ht="46" customHeight="1">
      <x:c r="A137" s="28" t="str">
        <x:v>гуава</x:v>
      </x:c>
      <x:c r="B137" s="28" t="str">
        <x:v>Прочее</x:v>
      </x:c>
      <x:c r="C137" s="28" t="str">
        <x:v>комплексный</x:v>
      </x:c>
      <x:c r="D137" s="28" t="str">
        <x:v>не конкретизированы</x:v>
      </x:c>
      <x:c r="E137" s="28" t="str">
        <x:v>зависит от ингредиента</x:v>
      </x:c>
      <x:c r="F137" s="28" t="str">
        <x:v>обычно отсутствует; зависит от конкретного продукта</x:v>
      </x:c>
      <x:c r="G137" s="28" t="str">
        <x:v>механизм зависит от конкретного продукта</x:v>
      </x:c>
      <x:c r="H137" s="28" t="str">
        <x:v>Справочный групповой профиль; для точного состава конкретного сорта или бренда нужен инструментальный анализ.</x:v>
      </x:c>
      <x:c r="I137" s="28" t="n">
        <x:f>COUNTIF('Все сочетания'!$C:$C,A137)+COUNTIF('Все сочетания'!$F:$F,A137)</x:f>
        <x:v>1</x:v>
      </x:c>
    </x:row>
    <x:row r="138" ht="46" customHeight="1">
      <x:c r="A138" s="28" t="str">
        <x:v>джин</x:v>
      </x:c>
      <x:c r="B138" s="28" t="str">
        <x:v>Алкогольные напитки</x:v>
      </x:c>
      <x:c r="C138" s="28" t="str">
        <x:v>древесный, фруктовый, эфирный</x:v>
      </x:c>
      <x:c r="D138" s="28" t="str">
        <x:v>ванилин, дубовые лактоны, этиловые эфиры</x:v>
      </x:c>
      <x:c r="E138" s="28" t="str">
        <x:v>зависит от напитка</x:v>
      </x:c>
      <x:c r="F138" s="28" t="str">
        <x:v>обычно отсутствует; зависит от конкретного продукта</x:v>
      </x:c>
      <x:c r="G138" s="28" t="str">
        <x:v>этанол растворяет гидрофобные ароматические вещества</x:v>
      </x:c>
      <x:c r="H138" s="28" t="str">
        <x:v>Справочный групповой профиль; для точного состава конкретного сорта или бренда нужен инструментальный анализ.</x:v>
      </x:c>
      <x:c r="I138" s="28" t="n">
        <x:f>COUNTIF('Все сочетания'!$C:$C,A138)+COUNTIF('Все сочетания'!$F:$F,A138)</x:f>
        <x:v>2</x:v>
      </x:c>
    </x:row>
    <x:row r="139" ht="46" customHeight="1">
      <x:c r="A139" s="28" t="str">
        <x:v>доджанг</x:v>
      </x:c>
      <x:c r="B139" s="28" t="str">
        <x:v>Ферментированные продукты, соусы и уксусы</x:v>
      </x:c>
      <x:c r="C139" s="28" t="str">
        <x:v>кислый, умами, ферментированный</x:v>
      </x:c>
      <x:c r="D139" s="28" t="str">
        <x:v>аминокислоты, органические кислоты, эфиры</x:v>
      </x:c>
      <x:c r="E139" s="28" t="str">
        <x:v>кислый/солёный/умами</x:v>
      </x:c>
      <x:c r="F139" s="28" t="str">
        <x:v>обычно отсутствует; зависит от конкретного продукта</x:v>
      </x:c>
      <x:c r="G139" s="28" t="str">
        <x:v>вода, соль и продукты ферментации</x:v>
      </x:c>
      <x:c r="H139" s="28" t="str">
        <x:v>Справочный групповой профиль; для точного состава конкретного сорта или бренда нужен инструментальный анализ.</x:v>
      </x:c>
      <x:c r="I139" s="28" t="n">
        <x:f>COUNTIF('Все сочетания'!$C:$C,A139)+COUNTIF('Все сочетания'!$F:$F,A139)</x:f>
        <x:v>6</x:v>
      </x:c>
    </x:row>
    <x:row r="140" ht="46" customHeight="1">
      <x:c r="A140" s="28" t="str">
        <x:v>другие ягоды</x:v>
      </x:c>
      <x:c r="B140" s="28" t="str">
        <x:v>Прочее</x:v>
      </x:c>
      <x:c r="C140" s="28" t="str">
        <x:v>комплексный</x:v>
      </x:c>
      <x:c r="D140" s="28" t="str">
        <x:v>не конкретизированы</x:v>
      </x:c>
      <x:c r="E140" s="28" t="str">
        <x:v>зависит от ингредиента</x:v>
      </x:c>
      <x:c r="F140" s="28" t="str">
        <x:v>обычно отсутствует; зависит от конкретного продукта</x:v>
      </x:c>
      <x:c r="G140" s="28" t="str">
        <x:v>механизм зависит от конкретного продукта</x:v>
      </x:c>
      <x:c r="H140" s="28" t="str">
        <x:v>Справочный групповой профиль; для точного состава конкретного сорта или бренда нужен инструментальный анализ.</x:v>
      </x:c>
      <x:c r="I140" s="28" t="n">
        <x:f>COUNTIF('Все сочетания'!$C:$C,A140)+COUNTIF('Все сочетания'!$F:$F,A140)</x:f>
        <x:v>1</x:v>
      </x:c>
    </x:row>
    <x:row r="141" ht="46" customHeight="1">
      <x:c r="A141" s="28" t="str">
        <x:v>дуриан</x:v>
      </x:c>
      <x:c r="B141" s="28" t="str">
        <x:v>Прочее</x:v>
      </x:c>
      <x:c r="C141" s="28" t="str">
        <x:v>комплексный</x:v>
      </x:c>
      <x:c r="D141" s="28" t="str">
        <x:v>не конкретизированы</x:v>
      </x:c>
      <x:c r="E141" s="28" t="str">
        <x:v>зависит от ингредиента</x:v>
      </x:c>
      <x:c r="F141" s="28" t="str">
        <x:v>обычно отсутствует; зависит от конкретного продукта</x:v>
      </x:c>
      <x:c r="G141" s="28" t="str">
        <x:v>механизм зависит от конкретного продукта</x:v>
      </x:c>
      <x:c r="H141" s="28" t="str">
        <x:v>Справочный групповой профиль; для точного состава конкретного сорта или бренда нужен инструментальный анализ.</x:v>
      </x:c>
      <x:c r="I141" s="28" t="n">
        <x:f>COUNTIF('Все сочетания'!$C:$C,A141)+COUNTIF('Все сочетания'!$F:$F,A141)</x:f>
        <x:v>1</x:v>
      </x:c>
    </x:row>
    <x:row r="142" ht="46" customHeight="1">
      <x:c r="A142" s="28" t="str">
        <x:v>дыня</x:v>
      </x:c>
      <x:c r="B142" s="28" t="str">
        <x:v>Фрукты</x:v>
      </x:c>
      <x:c r="C142" s="28" t="str">
        <x:v>зелёный, фруктовый, цветочный</x:v>
      </x:c>
      <x:c r="D142" s="28" t="str">
        <x:v>лактоны, терпены, эфиры</x:v>
      </x:c>
      <x:c r="E142" s="28" t="str">
        <x:v>сладко-кислый</x:v>
      </x:c>
      <x:c r="F142" s="28" t="str">
        <x:v>обычно отсутствует; зависит от конкретного продукта</x:v>
      </x:c>
      <x:c r="G142" s="28" t="str">
        <x:v>водная фруктовая матрица</x:v>
      </x:c>
      <x:c r="H142" s="28" t="str">
        <x:v>Справочный групповой профиль; для точного состава конкретного сорта или бренда нужен инструментальный анализ.</x:v>
      </x:c>
      <x:c r="I142" s="28" t="n">
        <x:f>COUNTIF('Все сочетания'!$C:$C,A142)+COUNTIF('Все сочетания'!$F:$F,A142)</x:f>
        <x:v>1</x:v>
      </x:c>
    </x:row>
    <x:row r="143" ht="46" customHeight="1">
      <x:c r="A143" s="28" t="str">
        <x:v>ежевика</x:v>
      </x:c>
      <x:c r="B143" s="28" t="str">
        <x:v>Ягоды и производные</x:v>
      </x:c>
      <x:c r="C143" s="28" t="str">
        <x:v>древесный, зелёный, мускусный, тёмно-фруктовый, цветочный</x:v>
      </x:c>
      <x:c r="D143" s="28" t="str">
        <x:v>C6-альдегиды, иононы, линалоол, эфиры</x:v>
      </x:c>
      <x:c r="E143" s="28" t="str">
        <x:v>кисло-сладкий, умеренно терпкий</x:v>
      </x:c>
      <x:c r="F143" s="28" t="str">
        <x:v>обычно отсутствует; зависит от конкретного продукта</x:v>
      </x:c>
      <x:c r="G143" s="28" t="str">
        <x:v>пигменты и полифенолы дают цвет и терпкость</x:v>
      </x:c>
      <x:c r="H143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43" s="28" t="n">
        <x:f>COUNTIF('Все сочетания'!$C:$C,A143)+COUNTIF('Все сочетания'!$F:$F,A143)</x:f>
        <x:v>44</x:v>
      </x:c>
    </x:row>
    <x:row r="144" ht="46" customHeight="1">
      <x:c r="A144" s="28" t="str">
        <x:v>жареная макадамия</x:v>
      </x:c>
      <x:c r="B144" s="28" t="str">
        <x:v>Орехи и семена</x:v>
      </x:c>
      <x:c r="C144" s="28" t="str">
        <x:v>жареный, миндальный, ореховый</x:v>
      </x:c>
      <x:c r="D144" s="28" t="str">
        <x:v>бензальдегид, пиразины, фураны</x:v>
      </x:c>
      <x:c r="E144" s="28" t="str">
        <x:v>сладковатый, жирный</x:v>
      </x:c>
      <x:c r="F144" s="28" t="str">
        <x:v>обычно отсутствует; зависит от конкретного продукта</x:v>
      </x:c>
      <x:c r="G144" s="28" t="str">
        <x:v>жир хорошо удерживает гидрофобные одоранты</x:v>
      </x:c>
      <x:c r="H144" s="28" t="str">
        <x:v>Справочный групповой профиль; для точного состава конкретного сорта или бренда нужен инструментальный анализ.</x:v>
      </x:c>
      <x:c r="I144" s="28" t="n">
        <x:f>COUNTIF('Все сочетания'!$C:$C,A144)+COUNTIF('Все сочетания'!$F:$F,A144)</x:f>
        <x:v>1</x:v>
      </x:c>
    </x:row>
    <x:row r="145" ht="46" customHeight="1">
      <x:c r="A145" s="28" t="str">
        <x:v>жареные телячьи зобные железы</x:v>
      </x:c>
      <x:c r="B145" s="28" t="str">
        <x:v>Мясо и птица</x:v>
      </x:c>
      <x:c r="C145" s="28" t="str">
        <x:v>жареный, жирный, сернистый, умами</x:v>
      </x:c>
      <x:c r="D145" s="28" t="str">
        <x:v>альдегиды, пиразины, сернистые соединения</x:v>
      </x:c>
      <x:c r="E145" s="28" t="str">
        <x:v>умами, солёный, жирный</x:v>
      </x:c>
      <x:c r="F145" s="28" t="str">
        <x:v>обычно отсутствует; зависит от конкретного продукта</x:v>
      </x:c>
      <x:c r="G145" s="28" t="str">
        <x:v>жир переносит аромат; реакция Майяра создаёт новые одоранты</x:v>
      </x:c>
      <x:c r="H145" s="28" t="str">
        <x:v>Справочный групповой профиль; для точного состава конкретного сорта или бренда нужен инструментальный анализ.</x:v>
      </x:c>
      <x:c r="I145" s="28" t="n">
        <x:f>COUNTIF('Все сочетания'!$C:$C,A145)+COUNTIF('Все сочетания'!$F:$F,A145)</x:f>
        <x:v>2</x:v>
      </x:c>
    </x:row>
    <x:row r="146" ht="46" customHeight="1">
      <x:c r="A146" s="28" t="str">
        <x:v>жареный фундук</x:v>
      </x:c>
      <x:c r="B146" s="28" t="str">
        <x:v>Орехи и семена</x:v>
      </x:c>
      <x:c r="C146" s="28" t="str">
        <x:v>жареный, миндальный, ореховый</x:v>
      </x:c>
      <x:c r="D146" s="28" t="str">
        <x:v>бензальдегид, пиразины, фураны</x:v>
      </x:c>
      <x:c r="E146" s="28" t="str">
        <x:v>сладковатый, жирный</x:v>
      </x:c>
      <x:c r="F146" s="28" t="str">
        <x:v>обычно отсутствует; зависит от конкретного продукта</x:v>
      </x:c>
      <x:c r="G146" s="28" t="str">
        <x:v>жир хорошо удерживает гидрофобные одоранты</x:v>
      </x:c>
      <x:c r="H146" s="28" t="str">
        <x:v>Справочный групповой профиль; для точного состава конкретного сорта или бренда нужен инструментальный анализ.</x:v>
      </x:c>
      <x:c r="I146" s="28" t="n">
        <x:f>COUNTIF('Все сочетания'!$C:$C,A146)+COUNTIF('Все сочетания'!$F:$F,A146)</x:f>
        <x:v>1</x:v>
      </x:c>
    </x:row>
    <x:row r="147" ht="46" customHeight="1">
      <x:c r="A147" s="28" t="str">
        <x:v>жасмин</x:v>
      </x:c>
      <x:c r="B147" s="28" t="str">
        <x:v>Травы и цветы</x:v>
      </x:c>
      <x:c r="C147" s="28" t="str">
        <x:v>зелёный, травянистый, цветочный</x:v>
      </x:c>
      <x:c r="D147" s="28" t="str">
        <x:v>гераниол, линалоол, терпены, эвгенол</x:v>
      </x:c>
      <x:c r="E147" s="28" t="str">
        <x:v>горьковатый, свежий</x:v>
      </x:c>
      <x:c r="F147" s="28" t="str">
        <x:v>обычно отсутствует; зависит от конкретного продукта</x:v>
      </x:c>
      <x:c r="G147" s="28" t="str">
        <x:v>летучие масла чувствительны к нагреву</x:v>
      </x:c>
      <x:c r="H147" s="28" t="str">
        <x:v>Справочный групповой профиль; для точного состава конкретного сорта или бренда нужен инструментальный анализ.</x:v>
      </x:c>
      <x:c r="I147" s="28" t="n">
        <x:f>COUNTIF('Все сочетания'!$C:$C,A147)+COUNTIF('Все сочетания'!$F:$F,A147)</x:f>
        <x:v>2</x:v>
      </x:c>
    </x:row>
    <x:row r="148" ht="46" customHeight="1">
      <x:c r="A148" s="28" t="str">
        <x:v>запечённая лиманда</x:v>
      </x:c>
      <x:c r="B148" s="28" t="str">
        <x:v>Прочее</x:v>
      </x:c>
      <x:c r="C148" s="28" t="str">
        <x:v>комплексный</x:v>
      </x:c>
      <x:c r="D148" s="28" t="str">
        <x:v>не конкретизированы</x:v>
      </x:c>
      <x:c r="E148" s="28" t="str">
        <x:v>зависит от ингредиента</x:v>
      </x:c>
      <x:c r="F148" s="28" t="str">
        <x:v>обычно отсутствует; зависит от конкретного продукта</x:v>
      </x:c>
      <x:c r="G148" s="28" t="str">
        <x:v>механизм зависит от конкретного продукта</x:v>
      </x:c>
      <x:c r="H148" s="28" t="str">
        <x:v>Справочный групповой профиль; для точного состава конкретного сорта или бренда нужен инструментальный анализ.</x:v>
      </x:c>
      <x:c r="I148" s="28" t="n">
        <x:f>COUNTIF('Все сочетания'!$C:$C,A148)+COUNTIF('Все сочетания'!$F:$F,A148)</x:f>
        <x:v>1</x:v>
      </x:c>
    </x:row>
    <x:row r="149" ht="46" customHeight="1">
      <x:c r="A149" s="28" t="str">
        <x:v>запечённая морская камбала</x:v>
      </x:c>
      <x:c r="B149" s="28" t="str">
        <x:v>Рыба и морепродукты</x:v>
      </x:c>
      <x:c r="C149" s="28" t="str">
        <x:v>жирный, морской, умами</x:v>
      </x:c>
      <x:c r="D149" s="28" t="str">
        <x:v>альдегиды, амины, сернистые соединения</x:v>
      </x:c>
      <x:c r="E149" s="28" t="str">
        <x:v>умами, солёный</x:v>
      </x:c>
      <x:c r="F149" s="28" t="str">
        <x:v>обычно отсутствует; зависит от конкретного продукта</x:v>
      </x:c>
      <x:c r="G149" s="28" t="str">
        <x:v>белковая/жировая матрица; кислота снижает рыбные ноты</x:v>
      </x:c>
      <x:c r="H149" s="28" t="str">
        <x:v>Справочный групповой профиль; для точного состава конкретного сорта или бренда нужен инструментальный анализ.</x:v>
      </x:c>
      <x:c r="I149" s="28" t="n">
        <x:f>COUNTIF('Все сочетания'!$C:$C,A149)+COUNTIF('Все сочетания'!$F:$F,A149)</x:f>
        <x:v>1</x:v>
      </x:c>
    </x:row>
    <x:row r="150" ht="46" customHeight="1">
      <x:c r="A150" s="28" t="str">
        <x:v>запечённый langoustine</x:v>
      </x:c>
      <x:c r="B150" s="28" t="str">
        <x:v>Прочее</x:v>
      </x:c>
      <x:c r="C150" s="28" t="str">
        <x:v>комплексный</x:v>
      </x:c>
      <x:c r="D150" s="28" t="str">
        <x:v>не конкретизированы</x:v>
      </x:c>
      <x:c r="E150" s="28" t="str">
        <x:v>зависит от ингредиента</x:v>
      </x:c>
      <x:c r="F150" s="28" t="str">
        <x:v>обычно отсутствует; зависит от конкретного продукта</x:v>
      </x:c>
      <x:c r="G150" s="28" t="str">
        <x:v>механизм зависит от конкретного продукта</x:v>
      </x:c>
      <x:c r="H150" s="28" t="str">
        <x:v>Справочный групповой профиль; для точного состава конкретного сорта или бренда нужен инструментальный анализ.</x:v>
      </x:c>
      <x:c r="I150" s="28" t="n">
        <x:f>COUNTIF('Все сочетания'!$C:$C,A150)+COUNTIF('Все сочетания'!$F:$F,A150)</x:f>
        <x:v>2</x:v>
      </x:c>
    </x:row>
    <x:row r="151" ht="46" customHeight="1">
      <x:c r="A151" s="28" t="str">
        <x:v>зелёная фасоль</x:v>
      </x:c>
      <x:c r="B151" s="28" t="str">
        <x:v>Овощи и грибы</x:v>
      </x:c>
      <x:c r="C151" s="28" t="str">
        <x:v>зелёный, землистый, сернистый</x:v>
      </x:c>
      <x:c r="D151" s="28" t="str">
        <x:v>C6-альдегиды, пиразины, сернистые соединения</x:v>
      </x:c>
      <x:c r="E151" s="28" t="str">
        <x:v>растительный, иногда умами</x:v>
      </x:c>
      <x:c r="F151" s="28" t="str">
        <x:v>обычно отсутствует; зависит от конкретного продукта</x:v>
      </x:c>
      <x:c r="G151" s="28" t="str">
        <x:v>высокая доля воды; нагрев меняет зелёный профиль</x:v>
      </x:c>
      <x:c r="H151" s="28" t="str">
        <x:v>Справочный групповой профиль; для точного состава конкретного сорта или бренда нужен инструментальный анализ.</x:v>
      </x:c>
      <x:c r="I151" s="28" t="n">
        <x:f>COUNTIF('Все сочетания'!$C:$C,A151)+COUNTIF('Все сочетания'!$F:$F,A151)</x:f>
        <x:v>4</x:v>
      </x:c>
    </x:row>
    <x:row r="152" ht="46" customHeight="1">
      <x:c r="A152" s="28" t="str">
        <x:v>земляника</x:v>
      </x:c>
      <x:c r="B152" s="28" t="str">
        <x:v>Ягоды и производные</x:v>
      </x:c>
      <x:c r="C152" s="28" t="str">
        <x:v>зелёный, карамельный, фруктовый, цветочный</x:v>
      </x:c>
      <x:c r="D152" s="28" t="str">
        <x:v>линалоол, мезифуран, фуранеол, эфиры</x:v>
      </x:c>
      <x:c r="E152" s="28" t="str">
        <x:v>сладко-кислый</x:v>
      </x:c>
      <x:c r="F152" s="28" t="str">
        <x:v>обычно отсутствует; зависит от конкретного продукта</x:v>
      </x:c>
      <x:c r="G152" s="28" t="str">
        <x:v>очень летучий аромат; лучше щадящая обработка</x:v>
      </x:c>
      <x:c r="H152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52" s="28" t="n">
        <x:f>COUNTIF('Все сочетания'!$C:$C,A152)+COUNTIF('Все сочетания'!$F:$F,A152)</x:f>
        <x:v>8</x:v>
      </x:c>
    </x:row>
    <x:row r="153" ht="46" customHeight="1">
      <x:c r="A153" s="28" t="str">
        <x:v>изюм</x:v>
      </x:c>
      <x:c r="B153" s="28" t="str">
        <x:v>Фрукты</x:v>
      </x:c>
      <x:c r="C153" s="28" t="str">
        <x:v>зелёный, фруктовый, цветочный</x:v>
      </x:c>
      <x:c r="D153" s="28" t="str">
        <x:v>лактоны, терпены, эфиры</x:v>
      </x:c>
      <x:c r="E153" s="28" t="str">
        <x:v>сладко-кислый</x:v>
      </x:c>
      <x:c r="F153" s="28" t="str">
        <x:v>обычно отсутствует; зависит от конкретного продукта</x:v>
      </x:c>
      <x:c r="G153" s="28" t="str">
        <x:v>водная фруктовая матрица</x:v>
      </x:c>
      <x:c r="H153" s="28" t="str">
        <x:v>Справочный групповой профиль; для точного состава конкретного сорта или бренда нужен инструментальный анализ.</x:v>
      </x:c>
      <x:c r="I153" s="28" t="n">
        <x:f>COUNTIF('Все сочетания'!$C:$C,A153)+COUNTIF('Все сочетания'!$F:$F,A153)</x:f>
        <x:v>1</x:v>
      </x:c>
    </x:row>
    <x:row r="154" ht="46" customHeight="1">
      <x:c r="A154" s="28" t="str">
        <x:v>имбирь</x:v>
      </x:c>
      <x:c r="B154" s="28" t="str">
        <x:v>Специи</x:v>
      </x:c>
      <x:c r="C154" s="28" t="str">
        <x:v>древесный, пряный, тёплый</x:v>
      </x:c>
      <x:c r="D154" s="28" t="str">
        <x:v>коричный альдегид, терпены, эвгенол</x:v>
      </x:c>
      <x:c r="E154" s="28" t="str">
        <x:v>пряный, иногда горький</x:v>
      </x:c>
      <x:c r="F154" s="28" t="str">
        <x:v>обычно отсутствует; зависит от конкретного продукта</x:v>
      </x:c>
      <x:c r="G154" s="28" t="str">
        <x:v>эфирные масла хорошо извлекаются спиртом и жиром</x:v>
      </x:c>
      <x:c r="H154" s="28" t="str">
        <x:v>Справочный групповой профиль; для точного состава конкретного сорта или бренда нужен инструментальный анализ.</x:v>
      </x:c>
      <x:c r="I154" s="28" t="n">
        <x:f>COUNTIF('Все сочетания'!$C:$C,A154)+COUNTIF('Все сочетания'!$F:$F,A154)</x:f>
        <x:v>10</x:v>
      </x:c>
    </x:row>
    <x:row r="155" ht="46" customHeight="1">
      <x:c r="A155" s="28" t="str">
        <x:v>инжир</x:v>
      </x:c>
      <x:c r="B155" s="28" t="str">
        <x:v>Фрукты</x:v>
      </x:c>
      <x:c r="C155" s="28" t="str">
        <x:v>зелёный, фруктовый, цветочный</x:v>
      </x:c>
      <x:c r="D155" s="28" t="str">
        <x:v>лактоны, терпены, эфиры</x:v>
      </x:c>
      <x:c r="E155" s="28" t="str">
        <x:v>сладко-кислый</x:v>
      </x:c>
      <x:c r="F155" s="28" t="str">
        <x:v>обычно отсутствует; зависит от конкретного продукта</x:v>
      </x:c>
      <x:c r="G155" s="28" t="str">
        <x:v>водная фруктовая матрица</x:v>
      </x:c>
      <x:c r="H155" s="28" t="str">
        <x:v>Справочный групповой профиль; для точного состава конкретного сорта или бренда нужен инструментальный анализ.</x:v>
      </x:c>
      <x:c r="I155" s="28" t="n">
        <x:f>COUNTIF('Все сочетания'!$C:$C,A155)+COUNTIF('Все сочетания'!$F:$F,A155)</x:f>
        <x:v>4</x:v>
      </x:c>
    </x:row>
    <x:row r="156" ht="46" customHeight="1">
      <x:c r="A156" s="28" t="str">
        <x:v>кабачок</x:v>
      </x:c>
      <x:c r="B156" s="28" t="str">
        <x:v>Овощи и грибы</x:v>
      </x:c>
      <x:c r="C156" s="28" t="str">
        <x:v>зелёный, землистый, сернистый</x:v>
      </x:c>
      <x:c r="D156" s="28" t="str">
        <x:v>C6-альдегиды, пиразины, сернистые соединения</x:v>
      </x:c>
      <x:c r="E156" s="28" t="str">
        <x:v>растительный, иногда умами</x:v>
      </x:c>
      <x:c r="F156" s="28" t="str">
        <x:v>обычно отсутствует; зависит от конкретного продукта</x:v>
      </x:c>
      <x:c r="G156" s="28" t="str">
        <x:v>высокая доля воды; нагрев меняет зелёный профиль</x:v>
      </x:c>
      <x:c r="H156" s="28" t="str">
        <x:v>Справочный групповой профиль; для точного состава конкретного сорта или бренда нужен инструментальный анализ.</x:v>
      </x:c>
      <x:c r="I156" s="28" t="n">
        <x:f>COUNTIF('Все сочетания'!$C:$C,A156)+COUNTIF('Все сочетания'!$F:$F,A156)</x:f>
        <x:v>1</x:v>
      </x:c>
    </x:row>
    <x:row r="157" ht="46" customHeight="1">
      <x:c r="A157" s="28" t="str">
        <x:v>камамбер</x:v>
      </x:c>
      <x:c r="B157" s="28" t="str">
        <x:v>Молочные продукты и сыры</x:v>
      </x:c>
      <x:c r="C157" s="28" t="str">
        <x:v>масляный, молочный, сливочный, сырный</x:v>
      </x:c>
      <x:c r="D157" s="28" t="str">
        <x:v>диацетил, жирные кислоты, лактоны</x:v>
      </x:c>
      <x:c r="E157" s="28" t="str">
        <x:v>жирный, кислый/солёный</x:v>
      </x:c>
      <x:c r="F157" s="28" t="str">
        <x:v>обычно отсутствует; зависит от конкретного продукта</x:v>
      </x:c>
      <x:c r="G157" s="28" t="str">
        <x:v>жировая и белковая матрица смягчает кислотность</x:v>
      </x:c>
      <x:c r="H157" s="28" t="str">
        <x:v>Справочный групповой профиль; для точного состава конкретного сорта или бренда нужен инструментальный анализ.</x:v>
      </x:c>
      <x:c r="I157" s="28" t="n">
        <x:f>COUNTIF('Все сочетания'!$C:$C,A157)+COUNTIF('Все сочетания'!$F:$F,A157)</x:f>
        <x:v>1</x:v>
      </x:c>
    </x:row>
    <x:row r="158" ht="46" customHeight="1">
      <x:c r="A158" s="28" t="str">
        <x:v>карамель</x:v>
      </x:c>
      <x:c r="B158" s="28" t="str">
        <x:v>Шоколад, кофе и жареные продукты</x:v>
      </x:c>
      <x:c r="C158" s="28" t="str">
        <x:v>горький, жареный, карамельный, ореховый</x:v>
      </x:c>
      <x:c r="D158" s="28" t="str">
        <x:v>ванилин, пиразины, фураны</x:v>
      </x:c>
      <x:c r="E158" s="28" t="str">
        <x:v>горько-сладкий</x:v>
      </x:c>
      <x:c r="F158" s="28" t="str">
        <x:v>обычно отсутствует; зависит от конкретного продукта</x:v>
      </x:c>
      <x:c r="G158" s="28" t="str">
        <x:v>жир и обжаренные твёрдые частицы</x:v>
      </x:c>
      <x:c r="H158" s="28" t="str">
        <x:v>Справочный групповой профиль; для точного состава конкретного сорта или бренда нужен инструментальный анализ.</x:v>
      </x:c>
      <x:c r="I158" s="28" t="n">
        <x:f>COUNTIF('Все сочетания'!$C:$C,A158)+COUNTIF('Все сочетания'!$F:$F,A158)</x:f>
        <x:v>3</x:v>
      </x:c>
    </x:row>
    <x:row r="159" ht="46" customHeight="1">
      <x:c r="A159" s="28" t="str">
        <x:v>кардамон</x:v>
      </x:c>
      <x:c r="B159" s="28" t="str">
        <x:v>Специи</x:v>
      </x:c>
      <x:c r="C159" s="28" t="str">
        <x:v>древесный, пряный, тёплый</x:v>
      </x:c>
      <x:c r="D159" s="28" t="str">
        <x:v>коричный альдегид, терпены, эвгенол</x:v>
      </x:c>
      <x:c r="E159" s="28" t="str">
        <x:v>пряный, иногда горький</x:v>
      </x:c>
      <x:c r="F159" s="28" t="str">
        <x:v>обычно отсутствует; зависит от конкретного продукта</x:v>
      </x:c>
      <x:c r="G159" s="28" t="str">
        <x:v>эфирные масла хорошо извлекаются спиртом и жиром</x:v>
      </x:c>
      <x:c r="H159" s="28" t="str">
        <x:v>Справочный групповой профиль; для точного состава конкретного сорта или бренда нужен инструментальный анализ.</x:v>
      </x:c>
      <x:c r="I159" s="28" t="n">
        <x:f>COUNTIF('Все сочетания'!$C:$C,A159)+COUNTIF('Все сочетания'!$F:$F,A159)</x:f>
        <x:v>6</x:v>
      </x:c>
    </x:row>
    <x:row r="160" ht="46" customHeight="1">
      <x:c r="A160" s="28" t="str">
        <x:v>картофель фри</x:v>
      </x:c>
      <x:c r="B160" s="28" t="str">
        <x:v>Злаки и выпечка</x:v>
      </x:c>
      <x:c r="C160" s="28" t="str">
        <x:v>жареный, зерновой, солодовый</x:v>
      </x:c>
      <x:c r="D160" s="28" t="str">
        <x:v>мальтол, пиразины, фураны</x:v>
      </x:c>
      <x:c r="E160" s="28" t="str">
        <x:v>крахмалистый, сладковатый</x:v>
      </x:c>
      <x:c r="F160" s="28" t="str">
        <x:v>обычно отсутствует; зависит от конкретного продукта</x:v>
      </x:c>
      <x:c r="G160" s="28" t="str">
        <x:v>крахмал и сухая пористая матрица</x:v>
      </x:c>
      <x:c r="H160" s="28" t="str">
        <x:v>Справочный групповой профиль; для точного состава конкретного сорта или бренда нужен инструментальный анализ.</x:v>
      </x:c>
      <x:c r="I160" s="28" t="n">
        <x:f>COUNTIF('Все сочетания'!$C:$C,A160)+COUNTIF('Все сочетания'!$F:$F,A160)</x:f>
        <x:v>3</x:v>
      </x:c>
    </x:row>
    <x:row r="161" ht="46" customHeight="1">
      <x:c r="A161" s="28" t="str">
        <x:v>кешью</x:v>
      </x:c>
      <x:c r="B161" s="28" t="str">
        <x:v>Орехи и семена</x:v>
      </x:c>
      <x:c r="C161" s="28" t="str">
        <x:v>жареный, миндальный, ореховый</x:v>
      </x:c>
      <x:c r="D161" s="28" t="str">
        <x:v>бензальдегид, пиразины, фураны</x:v>
      </x:c>
      <x:c r="E161" s="28" t="str">
        <x:v>сладковатый, жирный</x:v>
      </x:c>
      <x:c r="F161" s="28" t="str">
        <x:v>обычно отсутствует; зависит от конкретного продукта</x:v>
      </x:c>
      <x:c r="G161" s="28" t="str">
        <x:v>жир хорошо удерживает гидрофобные одоранты</x:v>
      </x:c>
      <x:c r="H161" s="28" t="str">
        <x:v>Справочный групповой профиль; для точного состава конкретного сорта или бренда нужен инструментальный анализ.</x:v>
      </x:c>
      <x:c r="I161" s="28" t="n">
        <x:f>COUNTIF('Все сочетания'!$C:$C,A161)+COUNTIF('Все сочетания'!$F:$F,A161)</x:f>
        <x:v>1</x:v>
      </x:c>
    </x:row>
    <x:row r="162" ht="46" customHeight="1">
      <x:c r="A162" s="28" t="str">
        <x:v>киви</x:v>
      </x:c>
      <x:c r="B162" s="28" t="str">
        <x:v>Фрукты</x:v>
      </x:c>
      <x:c r="C162" s="28" t="str">
        <x:v>зелёный, фруктовый, цветочный</x:v>
      </x:c>
      <x:c r="D162" s="28" t="str">
        <x:v>лактоны, терпены, эфиры</x:v>
      </x:c>
      <x:c r="E162" s="28" t="str">
        <x:v>сладко-кислый</x:v>
      </x:c>
      <x:c r="F162" s="28" t="str">
        <x:v>обычно отсутствует; зависит от конкретного продукта</x:v>
      </x:c>
      <x:c r="G162" s="28" t="str">
        <x:v>водная фруктовая матрица</x:v>
      </x:c>
      <x:c r="H162" s="28" t="str">
        <x:v>Справочный групповой профиль; для точного состава конкретного сорта или бренда нужен инструментальный анализ.</x:v>
      </x:c>
      <x:c r="I162" s="28" t="n">
        <x:f>COUNTIF('Все сочетания'!$C:$C,A162)+COUNTIF('Все сочетания'!$F:$F,A162)</x:f>
        <x:v>4</x:v>
      </x:c>
    </x:row>
    <x:row r="163" ht="46" customHeight="1">
      <x:c r="A163" s="28" t="str">
        <x:v>кимчи</x:v>
      </x:c>
      <x:c r="B163" s="28" t="str">
        <x:v>Ферментированные продукты, соусы и уксусы</x:v>
      </x:c>
      <x:c r="C163" s="28" t="str">
        <x:v>кислый, умами, ферментированный</x:v>
      </x:c>
      <x:c r="D163" s="28" t="str">
        <x:v>аминокислоты, органические кислоты, эфиры</x:v>
      </x:c>
      <x:c r="E163" s="28" t="str">
        <x:v>кислый/солёный/умами</x:v>
      </x:c>
      <x:c r="F163" s="28" t="str">
        <x:v>обычно отсутствует; зависит от конкретного продукта</x:v>
      </x:c>
      <x:c r="G163" s="28" t="str">
        <x:v>вода, соль и продукты ферментации</x:v>
      </x:c>
      <x:c r="H163" s="28" t="str">
        <x:v>Справочный групповой профиль; для точного состава конкретного сорта или бренда нужен инструментальный анализ.</x:v>
      </x:c>
      <x:c r="I163" s="28" t="n">
        <x:f>COUNTIF('Все сочетания'!$C:$C,A163)+COUNTIF('Все сочетания'!$F:$F,A163)</x:f>
        <x:v>3</x:v>
      </x:c>
    </x:row>
    <x:row r="164" ht="46" customHeight="1">
      <x:c r="A164" s="28" t="str">
        <x:v>кленовый сироп</x:v>
      </x:c>
      <x:c r="B164" s="28" t="str">
        <x:v>Подсластители</x:v>
      </x:c>
      <x:c r="C164" s="28" t="str">
        <x:v>карамельный, медовый, сладкий</x:v>
      </x:c>
      <x:c r="D164" s="28" t="str">
        <x:v>норизопреноиды, фураны, цветочные одоранты</x:v>
      </x:c>
      <x:c r="E164" s="28" t="str">
        <x:v>сладкий</x:v>
      </x:c>
      <x:c r="F164" s="28" t="str">
        <x:v>обычно отсутствует; зависит от конкретного продукта</x:v>
      </x:c>
      <x:c r="G164" s="28" t="str">
        <x:v>вязкая водная матрица снижает летучесть</x:v>
      </x:c>
      <x:c r="H164" s="28" t="str">
        <x:v>Справочный групповой профиль; для точного состава конкретного сорта или бренда нужен инструментальный анализ.</x:v>
      </x:c>
      <x:c r="I164" s="28" t="n">
        <x:f>COUNTIF('Все сочетания'!$C:$C,A164)+COUNTIF('Все сочетания'!$F:$F,A164)</x:f>
        <x:v>2</x:v>
      </x:c>
    </x:row>
    <x:row r="165" ht="46" customHeight="1">
      <x:c r="A165" s="28" t="str">
        <x:v>клубника</x:v>
      </x:c>
      <x:c r="B165" s="28" t="str">
        <x:v>Ягоды и производные</x:v>
      </x:c>
      <x:c r="C165" s="28" t="str">
        <x:v>зелёный, карамельный, сливочный, фруктовый, цветочный</x:v>
      </x:c>
      <x:c r="D165" s="28" t="str">
        <x:v>линалоол, мезифуран, фуранеол, цис-3-гексеналь, этилбутират</x:v>
      </x:c>
      <x:c r="E165" s="28" t="str">
        <x:v>сладко-кислый</x:v>
      </x:c>
      <x:c r="F165" s="28" t="str">
        <x:v>обычно отсутствует; зависит от конкретного продукта</x:v>
      </x:c>
      <x:c r="G165" s="28" t="str">
        <x:v>высокая доля воды; аромат чувствителен к перегреву</x:v>
      </x:c>
      <x:c r="H165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65" s="28" t="n">
        <x:f>COUNTIF('Все сочетания'!$C:$C,A165)+COUNTIF('Все сочетания'!$F:$F,A165)</x:f>
        <x:v>159</x:v>
      </x:c>
    </x:row>
    <x:row r="166" ht="46" customHeight="1">
      <x:c r="A166" s="28" t="str">
        <x:v>клубника сорта Elsanta</x:v>
      </x:c>
      <x:c r="B166" s="28" t="str">
        <x:v>Ягоды и производные</x:v>
      </x:c>
      <x:c r="C166" s="28" t="str">
        <x:v>зелёный, карамельный, сливочный, фруктовый, цветочный</x:v>
      </x:c>
      <x:c r="D166" s="28" t="str">
        <x:v>линалоол, мезифуран, фуранеол, цис-3-гексеналь, этилбутират</x:v>
      </x:c>
      <x:c r="E166" s="28" t="str">
        <x:v>сладко-кислый</x:v>
      </x:c>
      <x:c r="F166" s="28" t="str">
        <x:v>обычно отсутствует; зависит от конкретного продукта</x:v>
      </x:c>
      <x:c r="G166" s="28" t="str">
        <x:v>высокая доля воды; аромат чувствителен к перегреву</x:v>
      </x:c>
      <x:c r="H166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66" s="28" t="n">
        <x:f>COUNTIF('Все сочетания'!$C:$C,A166)+COUNTIF('Все сочетания'!$F:$F,A166)</x:f>
        <x:v>2</x:v>
      </x:c>
    </x:row>
    <x:row r="167" ht="46" customHeight="1">
      <x:c r="A167" s="28" t="str">
        <x:v>клубника сорта Mara des Bois</x:v>
      </x:c>
      <x:c r="B167" s="28" t="str">
        <x:v>Ягоды и производные</x:v>
      </x:c>
      <x:c r="C167" s="28" t="str">
        <x:v>зелёный, карамельный, сливочный, фруктовый, цветочный</x:v>
      </x:c>
      <x:c r="D167" s="28" t="str">
        <x:v>линалоол, мезифуран, фуранеол, цис-3-гексеналь, этилбутират</x:v>
      </x:c>
      <x:c r="E167" s="28" t="str">
        <x:v>сладко-кислый</x:v>
      </x:c>
      <x:c r="F167" s="28" t="str">
        <x:v>обычно отсутствует; зависит от конкретного продукта</x:v>
      </x:c>
      <x:c r="G167" s="28" t="str">
        <x:v>высокая доля воды; аромат чувствителен к перегреву</x:v>
      </x:c>
      <x:c r="H167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67" s="28" t="n">
        <x:f>COUNTIF('Все сочетания'!$C:$C,A167)+COUNTIF('Все сочетания'!$F:$F,A167)</x:f>
        <x:v>3</x:v>
      </x:c>
    </x:row>
    <x:row r="168" ht="46" customHeight="1">
      <x:c r="A168" s="28" t="str">
        <x:v>клюква</x:v>
      </x:c>
      <x:c r="B168" s="28" t="str">
        <x:v>Ягоды и производные</x:v>
      </x:c>
      <x:c r="C168" s="28" t="str">
        <x:v>древесный, зелёный, кислый, красно-фруктовый</x:v>
      </x:c>
      <x:c r="D168" s="28" t="str">
        <x:v>C6-альдегиды, бензойная кислота, терпены, эфиры</x:v>
      </x:c>
      <x:c r="E168" s="28" t="str">
        <x:v>очень кислый, терпкий</x:v>
      </x:c>
      <x:c r="F168" s="28" t="str">
        <x:v>обычно отсутствует; зависит от конкретного продукта</x:v>
      </x:c>
      <x:c r="G168" s="28" t="str">
        <x:v>бензойная кислота нелетучая; важна для вкуса и стабильности, не для аромата</x:v>
      </x:c>
      <x:c r="H168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68" s="28" t="n">
        <x:f>COUNTIF('Все сочетания'!$C:$C,A168)+COUNTIF('Все сочетания'!$F:$F,A168)</x:f>
        <x:v>42</x:v>
      </x:c>
    </x:row>
    <x:row r="169" ht="46" customHeight="1">
      <x:c r="A169" s="28" t="str">
        <x:v>клюквенный сок</x:v>
      </x:c>
      <x:c r="B169" s="28" t="str">
        <x:v>Ягоды и производные</x:v>
      </x:c>
      <x:c r="C169" s="28" t="str">
        <x:v>комплексный</x:v>
      </x:c>
      <x:c r="D169" s="28" t="str">
        <x:v>не конкретизированы</x:v>
      </x:c>
      <x:c r="E169" s="28" t="str">
        <x:v>зависит от ингредиента</x:v>
      </x:c>
      <x:c r="F169" s="28" t="str">
        <x:v>обычно отсутствует; зависит от конкретного продукта</x:v>
      </x:c>
      <x:c r="G169" s="28" t="str">
        <x:v>механизм зависит от конкретного продукта</x:v>
      </x:c>
      <x:c r="H169" s="28" t="str">
        <x:v>Справочный групповой профиль; для точного состава конкретного сорта или бренда нужен инструментальный анализ.</x:v>
      </x:c>
      <x:c r="I169" s="28" t="n">
        <x:f>COUNTIF('Все сочетания'!$C:$C,A169)+COUNTIF('Все сочетания'!$F:$F,A169)</x:f>
        <x:v>4</x:v>
      </x:c>
    </x:row>
    <x:row r="170" ht="46" customHeight="1">
      <x:c r="A170" s="28" t="str">
        <x:v>козий сыр</x:v>
      </x:c>
      <x:c r="B170" s="28" t="str">
        <x:v>Молочные продукты и сыры</x:v>
      </x:c>
      <x:c r="C170" s="28" t="str">
        <x:v>масляный, молочный, сливочный, сырный</x:v>
      </x:c>
      <x:c r="D170" s="28" t="str">
        <x:v>диацетил, жирные кислоты, лактоны</x:v>
      </x:c>
      <x:c r="E170" s="28" t="str">
        <x:v>жирный, кислый/солёный</x:v>
      </x:c>
      <x:c r="F170" s="28" t="str">
        <x:v>обычно отсутствует; зависит от конкретного продукта</x:v>
      </x:c>
      <x:c r="G170" s="28" t="str">
        <x:v>жировая и белковая матрица смягчает кислотность</x:v>
      </x:c>
      <x:c r="H170" s="28" t="str">
        <x:v>Справочный групповой профиль; для точного состава конкретного сорта или бренда нужен инструментальный анализ.</x:v>
      </x:c>
      <x:c r="I170" s="28" t="n">
        <x:f>COUNTIF('Все сочетания'!$C:$C,A170)+COUNTIF('Все сочетания'!$F:$F,A170)</x:f>
        <x:v>6</x:v>
      </x:c>
    </x:row>
    <x:row r="171" ht="46" customHeight="1">
      <x:c r="A171" s="28" t="str">
        <x:v>кокос</x:v>
      </x:c>
      <x:c r="B171" s="28" t="str">
        <x:v>Прочее</x:v>
      </x:c>
      <x:c r="C171" s="28" t="str">
        <x:v>комплексный</x:v>
      </x:c>
      <x:c r="D171" s="28" t="str">
        <x:v>не конкретизированы</x:v>
      </x:c>
      <x:c r="E171" s="28" t="str">
        <x:v>зависит от ингредиента</x:v>
      </x:c>
      <x:c r="F171" s="28" t="str">
        <x:v>обычно отсутствует; зависит от конкретного продукта</x:v>
      </x:c>
      <x:c r="G171" s="28" t="str">
        <x:v>механизм зависит от конкретного продукта</x:v>
      </x:c>
      <x:c r="H171" s="28" t="str">
        <x:v>Справочный групповой профиль; для точного состава конкретного сорта или бренда нужен инструментальный анализ.</x:v>
      </x:c>
      <x:c r="I171" s="28" t="n">
        <x:f>COUNTIF('Все сочетания'!$C:$C,A171)+COUNTIF('Все сочетания'!$F:$F,A171)</x:f>
        <x:v>5</x:v>
      </x:c>
    </x:row>
    <x:row r="172" ht="46" customHeight="1">
      <x:c r="A172" s="28" t="str">
        <x:v>коньяк</x:v>
      </x:c>
      <x:c r="B172" s="28" t="str">
        <x:v>Алкогольные напитки</x:v>
      </x:c>
      <x:c r="C172" s="28" t="str">
        <x:v>древесный, фруктовый, эфирный</x:v>
      </x:c>
      <x:c r="D172" s="28" t="str">
        <x:v>ванилин, дубовые лактоны, этиловые эфиры</x:v>
      </x:c>
      <x:c r="E172" s="28" t="str">
        <x:v>зависит от напитка</x:v>
      </x:c>
      <x:c r="F172" s="28" t="str">
        <x:v>обычно отсутствует; зависит от конкретного продукта</x:v>
      </x:c>
      <x:c r="G172" s="28" t="str">
        <x:v>этанол растворяет гидрофобные ароматические вещества</x:v>
      </x:c>
      <x:c r="H172" s="28" t="str">
        <x:v>Справочный групповой профиль; для точного состава конкретного сорта или бренда нужен инструментальный анализ.</x:v>
      </x:c>
      <x:c r="I172" s="28" t="n">
        <x:f>COUNTIF('Все сочетания'!$C:$C,A172)+COUNTIF('Все сочетания'!$F:$F,A172)</x:f>
        <x:v>2</x:v>
      </x:c>
    </x:row>
    <x:row r="173" ht="46" customHeight="1">
      <x:c r="A173" s="28" t="str">
        <x:v>копченая рыба</x:v>
      </x:c>
      <x:c r="B173" s="28" t="str">
        <x:v>Рыба и морепродукты</x:v>
      </x:c>
      <x:c r="C173" s="28" t="str">
        <x:v>жирный, морской, умами</x:v>
      </x:c>
      <x:c r="D173" s="28" t="str">
        <x:v>альдегиды, амины, сернистые соединения</x:v>
      </x:c>
      <x:c r="E173" s="28" t="str">
        <x:v>умами, солёный</x:v>
      </x:c>
      <x:c r="F173" s="28" t="str">
        <x:v>обычно отсутствует; зависит от конкретного продукта</x:v>
      </x:c>
      <x:c r="G173" s="28" t="str">
        <x:v>белковая/жировая матрица; кислота снижает рыбные ноты</x:v>
      </x:c>
      <x:c r="H173" s="28" t="str">
        <x:v>Справочный групповой профиль; для точного состава конкретного сорта или бренда нужен инструментальный анализ.</x:v>
      </x:c>
      <x:c r="I173" s="28" t="n">
        <x:f>COUNTIF('Все сочетания'!$C:$C,A173)+COUNTIF('Все сочетания'!$F:$F,A173)</x:f>
        <x:v>1</x:v>
      </x:c>
    </x:row>
    <x:row r="174" ht="46" customHeight="1">
      <x:c r="A174" s="28" t="str">
        <x:v>копчёный Atlantic salmon</x:v>
      </x:c>
      <x:c r="B174" s="28" t="str">
        <x:v>Рыба и морепродукты</x:v>
      </x:c>
      <x:c r="C174" s="28" t="str">
        <x:v>жирный, морской, умами</x:v>
      </x:c>
      <x:c r="D174" s="28" t="str">
        <x:v>альдегиды, амины, сернистые соединения</x:v>
      </x:c>
      <x:c r="E174" s="28" t="str">
        <x:v>умами, солёный</x:v>
      </x:c>
      <x:c r="F174" s="28" t="str">
        <x:v>обычно отсутствует; зависит от конкретного продукта</x:v>
      </x:c>
      <x:c r="G174" s="28" t="str">
        <x:v>белковая/жировая матрица; кислота снижает рыбные ноты</x:v>
      </x:c>
      <x:c r="H174" s="28" t="str">
        <x:v>Справочный групповой профиль; для точного состава конкретного сорта или бренда нужен инструментальный анализ.</x:v>
      </x:c>
      <x:c r="I174" s="28" t="n">
        <x:f>COUNTIF('Все сочетания'!$C:$C,A174)+COUNTIF('Все сочетания'!$F:$F,A174)</x:f>
        <x:v>1</x:v>
      </x:c>
    </x:row>
    <x:row r="175" ht="46" customHeight="1">
      <x:c r="A175" s="28" t="str">
        <x:v>копчёный bacon</x:v>
      </x:c>
      <x:c r="B175" s="28" t="str">
        <x:v>Прочее</x:v>
      </x:c>
      <x:c r="C175" s="28" t="str">
        <x:v>комплексный</x:v>
      </x:c>
      <x:c r="D175" s="28" t="str">
        <x:v>не конкретизированы</x:v>
      </x:c>
      <x:c r="E175" s="28" t="str">
        <x:v>зависит от ингредиента</x:v>
      </x:c>
      <x:c r="F175" s="28" t="str">
        <x:v>обычно отсутствует; зависит от конкретного продукта</x:v>
      </x:c>
      <x:c r="G175" s="28" t="str">
        <x:v>механизм зависит от конкретного продукта</x:v>
      </x:c>
      <x:c r="H175" s="28" t="str">
        <x:v>Справочный групповой профиль; для точного состава конкретного сорта или бренда нужен инструментальный анализ.</x:v>
      </x:c>
      <x:c r="I175" s="28" t="n">
        <x:f>COUNTIF('Все сочетания'!$C:$C,A175)+COUNTIF('Все сочетания'!$F:$F,A175)</x:f>
        <x:v>1</x:v>
      </x:c>
    </x:row>
    <x:row r="176" ht="46" customHeight="1">
      <x:c r="A176" s="28" t="str">
        <x:v>кориандр</x:v>
      </x:c>
      <x:c r="B176" s="28" t="str">
        <x:v>Прочее</x:v>
      </x:c>
      <x:c r="C176" s="28" t="str">
        <x:v>комплексный</x:v>
      </x:c>
      <x:c r="D176" s="28" t="str">
        <x:v>не конкретизированы</x:v>
      </x:c>
      <x:c r="E176" s="28" t="str">
        <x:v>зависит от ингредиента</x:v>
      </x:c>
      <x:c r="F176" s="28" t="str">
        <x:v>обычно отсутствует; зависит от конкретного продукта</x:v>
      </x:c>
      <x:c r="G176" s="28" t="str">
        <x:v>механизм зависит от конкретного продукта</x:v>
      </x:c>
      <x:c r="H176" s="28" t="str">
        <x:v>Справочный групповой профиль; для точного состава конкретного сорта или бренда нужен инструментальный анализ.</x:v>
      </x:c>
      <x:c r="I176" s="28" t="n">
        <x:f>COUNTIF('Все сочетания'!$C:$C,A176)+COUNTIF('Все сочетания'!$F:$F,A176)</x:f>
        <x:v>6</x:v>
      </x:c>
    </x:row>
    <x:row r="177" ht="46" customHeight="1">
      <x:c r="A177" s="28" t="str">
        <x:v>корица</x:v>
      </x:c>
      <x:c r="B177" s="28" t="str">
        <x:v>Специи</x:v>
      </x:c>
      <x:c r="C177" s="28" t="str">
        <x:v>древесный, пряный, тёплый</x:v>
      </x:c>
      <x:c r="D177" s="28" t="str">
        <x:v>коричный альдегид, терпены, эвгенол</x:v>
      </x:c>
      <x:c r="E177" s="28" t="str">
        <x:v>пряный, иногда горький</x:v>
      </x:c>
      <x:c r="F177" s="28" t="str">
        <x:v>обычно отсутствует; зависит от конкретного продукта</x:v>
      </x:c>
      <x:c r="G177" s="28" t="str">
        <x:v>эфирные масла хорошо извлекаются спиртом и жиром</x:v>
      </x:c>
      <x:c r="H177" s="28" t="str">
        <x:v>Справочный групповой профиль; для точного состава конкретного сорта или бренда нужен инструментальный анализ.</x:v>
      </x:c>
      <x:c r="I177" s="28" t="n">
        <x:f>COUNTIF('Все сочетания'!$C:$C,A177)+COUNTIF('Все сочетания'!$F:$F,A177)</x:f>
        <x:v>10</x:v>
      </x:c>
    </x:row>
    <x:row r="178" ht="46" customHeight="1">
      <x:c r="A178" s="28" t="str">
        <x:v>корневой сельдерей</x:v>
      </x:c>
      <x:c r="B178" s="28" t="str">
        <x:v>Овощи и грибы</x:v>
      </x:c>
      <x:c r="C178" s="28" t="str">
        <x:v>зелёный, землистый, сернистый</x:v>
      </x:c>
      <x:c r="D178" s="28" t="str">
        <x:v>C6-альдегиды, пиразины, сернистые соединения</x:v>
      </x:c>
      <x:c r="E178" s="28" t="str">
        <x:v>растительный, иногда умами</x:v>
      </x:c>
      <x:c r="F178" s="28" t="str">
        <x:v>обычно отсутствует; зависит от конкретного продукта</x:v>
      </x:c>
      <x:c r="G178" s="28" t="str">
        <x:v>высокая доля воды; нагрев меняет зелёный профиль</x:v>
      </x:c>
      <x:c r="H178" s="28" t="str">
        <x:v>Справочный групповой профиль; для точного состава конкретного сорта или бренда нужен инструментальный анализ.</x:v>
      </x:c>
      <x:c r="I178" s="28" t="n">
        <x:f>COUNTIF('Все сочетания'!$C:$C,A178)+COUNTIF('Все сочетания'!$F:$F,A178)</x:f>
        <x:v>1</x:v>
      </x:c>
    </x:row>
    <x:row r="179" ht="46" customHeight="1">
      <x:c r="A179" s="28" t="str">
        <x:v>кофе</x:v>
      </x:c>
      <x:c r="B179" s="28" t="str">
        <x:v>Шоколад, кофе и жареные продукты</x:v>
      </x:c>
      <x:c r="C179" s="28" t="str">
        <x:v>горький, жареный, карамельный, ореховый</x:v>
      </x:c>
      <x:c r="D179" s="28" t="str">
        <x:v>ванилин, пиразины, фураны</x:v>
      </x:c>
      <x:c r="E179" s="28" t="str">
        <x:v>горько-сладкий</x:v>
      </x:c>
      <x:c r="F179" s="28" t="str">
        <x:v>обычно отсутствует; зависит от конкретного продукта</x:v>
      </x:c>
      <x:c r="G179" s="28" t="str">
        <x:v>жир и обжаренные твёрдые частицы</x:v>
      </x:c>
      <x:c r="H179" s="28" t="str">
        <x:v>Справочный групповой профиль; для точного состава конкретного сорта или бренда нужен инструментальный анализ.</x:v>
      </x:c>
      <x:c r="I179" s="28" t="n">
        <x:f>COUNTIF('Все сочетания'!$C:$C,A179)+COUNTIF('Все сочетания'!$F:$F,A179)</x:f>
        <x:v>5</x:v>
      </x:c>
    </x:row>
    <x:row r="180" ht="46" customHeight="1">
      <x:c r="A180" s="28" t="str">
        <x:v>красная смородина</x:v>
      </x:c>
      <x:c r="B180" s="28" t="str">
        <x:v>Ягоды и производные</x:v>
      </x:c>
      <x:c r="C180" s="28" t="str">
        <x:v>зелёный, кислый, красно-фруктовый</x:v>
      </x:c>
      <x:c r="D180" s="28" t="str">
        <x:v>C6-альдегиды, терпены, эфиры</x:v>
      </x:c>
      <x:c r="E180" s="28" t="str">
        <x:v>ярко-кислый</x:v>
      </x:c>
      <x:c r="F180" s="28" t="str">
        <x:v>обычно отсутствует; зависит от конкретного продукта</x:v>
      </x:c>
      <x:c r="G180" s="28" t="str">
        <x:v>высокая кислотность требует сахара, жира или умами-баланса</x:v>
      </x:c>
      <x:c r="H180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80" s="28" t="n">
        <x:f>COUNTIF('Все сочетания'!$C:$C,A180)+COUNTIF('Все сочетания'!$F:$F,A180)</x:f>
        <x:v>1</x:v>
      </x:c>
    </x:row>
    <x:row r="181" ht="46" customHeight="1">
      <x:c r="A181" s="28" t="str">
        <x:v>красный сладкий перец</x:v>
      </x:c>
      <x:c r="B181" s="28" t="str">
        <x:v>Специи</x:v>
      </x:c>
      <x:c r="C181" s="28" t="str">
        <x:v>древесный, пряный, тёплый</x:v>
      </x:c>
      <x:c r="D181" s="28" t="str">
        <x:v>коричный альдегид, терпены, эвгенол</x:v>
      </x:c>
      <x:c r="E181" s="28" t="str">
        <x:v>пряный, иногда горький</x:v>
      </x:c>
      <x:c r="F181" s="28" t="str">
        <x:v>обычно отсутствует; зависит от конкретного продукта</x:v>
      </x:c>
      <x:c r="G181" s="28" t="str">
        <x:v>эфирные масла хорошо извлекаются спиртом и жиром</x:v>
      </x:c>
      <x:c r="H181" s="28" t="str">
        <x:v>Справочный групповой профиль; для точного состава конкретного сорта или бренда нужен инструментальный анализ.</x:v>
      </x:c>
      <x:c r="I181" s="28" t="n">
        <x:f>COUNTIF('Все сочетания'!$C:$C,A181)+COUNTIF('Все сочетания'!$F:$F,A181)</x:f>
        <x:v>3</x:v>
      </x:c>
    </x:row>
    <x:row r="182" ht="46" customHeight="1">
      <x:c r="A182" s="28" t="str">
        <x:v>крыжовник</x:v>
      </x:c>
      <x:c r="B182" s="28" t="str">
        <x:v>Ягоды и производные</x:v>
      </x:c>
      <x:c r="C182" s="28" t="str">
        <x:v>зелёный, кислый, травянистый, тропический</x:v>
      </x:c>
      <x:c r="D182" s="28" t="str">
        <x:v>C6-альдегиды, следовые тиолы, эфиры</x:v>
      </x:c>
      <x:c r="E182" s="28" t="str">
        <x:v>ярко-кислый</x:v>
      </x:c>
      <x:c r="F182" s="28" t="str">
        <x:v>обычно отсутствует; зависит от конкретного продукта</x:v>
      </x:c>
      <x:c r="G182" s="28" t="str">
        <x:v>незрелый плод даёт более травянистый профиль</x:v>
      </x:c>
      <x:c r="H182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82" s="28" t="n">
        <x:f>COUNTIF('Все сочетания'!$C:$C,A182)+COUNTIF('Все сочетания'!$F:$F,A182)</x:f>
        <x:v>14</x:v>
      </x:c>
    </x:row>
    <x:row r="183" ht="46" customHeight="1">
      <x:c r="A183" s="28" t="str">
        <x:v>кумкват</x:v>
      </x:c>
      <x:c r="B183" s="28" t="str">
        <x:v>Прочее</x:v>
      </x:c>
      <x:c r="C183" s="28" t="str">
        <x:v>комплексный</x:v>
      </x:c>
      <x:c r="D183" s="28" t="str">
        <x:v>не конкретизированы</x:v>
      </x:c>
      <x:c r="E183" s="28" t="str">
        <x:v>зависит от ингредиента</x:v>
      </x:c>
      <x:c r="F183" s="28" t="str">
        <x:v>обычно отсутствует; зависит от конкретного продукта</x:v>
      </x:c>
      <x:c r="G183" s="28" t="str">
        <x:v>механизм зависит от конкретного продукта</x:v>
      </x:c>
      <x:c r="H183" s="28" t="str">
        <x:v>Справочный групповой профиль; для точного состава конкретного сорта или бренда нужен инструментальный анализ.</x:v>
      </x:c>
      <x:c r="I183" s="28" t="n">
        <x:f>COUNTIF('Все сочетания'!$C:$C,A183)+COUNTIF('Все сочетания'!$F:$F,A183)</x:f>
        <x:v>2</x:v>
      </x:c>
    </x:row>
    <x:row r="184" ht="46" customHeight="1">
      <x:c r="A184" s="28" t="str">
        <x:v>кунжут</x:v>
      </x:c>
      <x:c r="B184" s="28" t="str">
        <x:v>Орехи и семена</x:v>
      </x:c>
      <x:c r="C184" s="28" t="str">
        <x:v>жареный, миндальный, ореховый</x:v>
      </x:c>
      <x:c r="D184" s="28" t="str">
        <x:v>бензальдегид, пиразины, фураны</x:v>
      </x:c>
      <x:c r="E184" s="28" t="str">
        <x:v>сладковатый, жирный</x:v>
      </x:c>
      <x:c r="F184" s="28" t="str">
        <x:v>обычно отсутствует; зависит от конкретного продукта</x:v>
      </x:c>
      <x:c r="G184" s="28" t="str">
        <x:v>жир хорошо удерживает гидрофобные одоранты</x:v>
      </x:c>
      <x:c r="H184" s="28" t="str">
        <x:v>Справочный групповой профиль; для точного состава конкретного сорта или бренда нужен инструментальный анализ.</x:v>
      </x:c>
      <x:c r="I184" s="28" t="n">
        <x:f>COUNTIF('Все сочетания'!$C:$C,A184)+COUNTIF('Все сочетания'!$F:$F,A184)</x:f>
        <x:v>2</x:v>
      </x:c>
    </x:row>
    <x:row r="185" ht="46" customHeight="1">
      <x:c r="A185" s="28" t="str">
        <x:v>лаванда</x:v>
      </x:c>
      <x:c r="B185" s="28" t="str">
        <x:v>Травы и цветы</x:v>
      </x:c>
      <x:c r="C185" s="28" t="str">
        <x:v>зелёный, травянистый, цветочный</x:v>
      </x:c>
      <x:c r="D185" s="28" t="str">
        <x:v>гераниол, линалоол, терпены, эвгенол</x:v>
      </x:c>
      <x:c r="E185" s="28" t="str">
        <x:v>горьковатый, свежий</x:v>
      </x:c>
      <x:c r="F185" s="28" t="str">
        <x:v>обычно отсутствует; зависит от конкретного продукта</x:v>
      </x:c>
      <x:c r="G185" s="28" t="str">
        <x:v>летучие масла чувствительны к нагреву</x:v>
      </x:c>
      <x:c r="H185" s="28" t="str">
        <x:v>Справочный групповой профиль; для точного состава конкретного сорта или бренда нужен инструментальный анализ.</x:v>
      </x:c>
      <x:c r="I185" s="28" t="n">
        <x:f>COUNTIF('Все сочетания'!$C:$C,A185)+COUNTIF('Все сочетания'!$F:$F,A185)</x:f>
        <x:v>1</x:v>
      </x:c>
    </x:row>
    <x:row r="186" ht="46" customHeight="1">
      <x:c r="A186" s="28" t="str">
        <x:v>лайм</x:v>
      </x:c>
      <x:c r="B186" s="28" t="str">
        <x:v>Цитрусовые</x:v>
      </x:c>
      <x:c r="C186" s="28" t="str">
        <x:v>зелёный, цветочный, цитрусовый</x:v>
      </x:c>
      <x:c r="D186" s="28" t="str">
        <x:v>лимонен, линалоол, цитраль</x:v>
      </x:c>
      <x:c r="E186" s="28" t="str">
        <x:v>кислый, свежий</x:v>
      </x:c>
      <x:c r="F186" s="28" t="str">
        <x:v>обычно отсутствует; зависит от конкретного продукта</x:v>
      </x:c>
      <x:c r="G186" s="28" t="str">
        <x:v>вода и эфирные масла; цедра гидрофобна</x:v>
      </x:c>
      <x:c r="H186" s="28" t="str">
        <x:v>Справочный групповой профиль; для точного состава конкретного сорта или бренда нужен инструментальный анализ.</x:v>
      </x:c>
      <x:c r="I186" s="28" t="n">
        <x:f>COUNTIF('Все сочетания'!$C:$C,A186)+COUNTIF('Все сочетания'!$F:$F,A186)</x:f>
        <x:v>2</x:v>
      </x:c>
    </x:row>
    <x:row r="187" ht="46" customHeight="1">
      <x:c r="A187" s="28" t="str">
        <x:v>лемонграсс</x:v>
      </x:c>
      <x:c r="B187" s="28" t="str">
        <x:v>Прочее</x:v>
      </x:c>
      <x:c r="C187" s="28" t="str">
        <x:v>комплексный</x:v>
      </x:c>
      <x:c r="D187" s="28" t="str">
        <x:v>не конкретизированы</x:v>
      </x:c>
      <x:c r="E187" s="28" t="str">
        <x:v>зависит от ингредиента</x:v>
      </x:c>
      <x:c r="F187" s="28" t="str">
        <x:v>обычно отсутствует; зависит от конкретного продукта</x:v>
      </x:c>
      <x:c r="G187" s="28" t="str">
        <x:v>механизм зависит от конкретного продукта</x:v>
      </x:c>
      <x:c r="H187" s="28" t="str">
        <x:v>Справочный групповой профиль; для точного состава конкретного сорта или бренда нужен инструментальный анализ.</x:v>
      </x:c>
      <x:c r="I187" s="28" t="n">
        <x:f>COUNTIF('Все сочетания'!$C:$C,A187)+COUNTIF('Все сочетания'!$F:$F,A187)</x:f>
        <x:v>7</x:v>
      </x:c>
    </x:row>
    <x:row r="188" ht="46" customHeight="1">
      <x:c r="A188" s="28" t="str">
        <x:v>лимон</x:v>
      </x:c>
      <x:c r="B188" s="28" t="str">
        <x:v>Цитрусовые</x:v>
      </x:c>
      <x:c r="C188" s="28" t="str">
        <x:v>зелёный, цветочный, цитрусовый</x:v>
      </x:c>
      <x:c r="D188" s="28" t="str">
        <x:v>лимонен, линалоол, цитраль</x:v>
      </x:c>
      <x:c r="E188" s="28" t="str">
        <x:v>кислый, свежий</x:v>
      </x:c>
      <x:c r="F188" s="28" t="str">
        <x:v>обычно отсутствует; зависит от конкретного продукта</x:v>
      </x:c>
      <x:c r="G188" s="28" t="str">
        <x:v>вода и эфирные масла; цедра гидрофобна</x:v>
      </x:c>
      <x:c r="H188" s="28" t="str">
        <x:v>Справочный групповой профиль; для точного состава конкретного сорта или бренда нужен инструментальный анализ.</x:v>
      </x:c>
      <x:c r="I188" s="28" t="n">
        <x:f>COUNTIF('Все сочетания'!$C:$C,A188)+COUNTIF('Все сочетания'!$F:$F,A188)</x:f>
        <x:v>9</x:v>
      </x:c>
    </x:row>
    <x:row r="189" ht="46" customHeight="1">
      <x:c r="A189" s="28" t="str">
        <x:v>лимон и лайм</x:v>
      </x:c>
      <x:c r="B189" s="28" t="str">
        <x:v>Цитрусовые</x:v>
      </x:c>
      <x:c r="C189" s="28" t="str">
        <x:v>зелёный, цветочный, цитрусовый</x:v>
      </x:c>
      <x:c r="D189" s="28" t="str">
        <x:v>лимонен, линалоол, цитраль</x:v>
      </x:c>
      <x:c r="E189" s="28" t="str">
        <x:v>кислый, свежий</x:v>
      </x:c>
      <x:c r="F189" s="28" t="str">
        <x:v>обычно отсутствует; зависит от конкретного продукта</x:v>
      </x:c>
      <x:c r="G189" s="28" t="str">
        <x:v>вода и эфирные масла; цедра гидрофобна</x:v>
      </x:c>
      <x:c r="H189" s="28" t="str">
        <x:v>Справочный групповой профиль; для точного состава конкретного сорта или бренда нужен инструментальный анализ.</x:v>
      </x:c>
      <x:c r="I189" s="28" t="n">
        <x:f>COUNTIF('Все сочетания'!$C:$C,A189)+COUNTIF('Все сочетания'!$F:$F,A189)</x:f>
        <x:v>9</x:v>
      </x:c>
    </x:row>
    <x:row r="190" ht="46" customHeight="1">
      <x:c r="A190" s="28" t="str">
        <x:v>лимонный тимьян</x:v>
      </x:c>
      <x:c r="B190" s="28" t="str">
        <x:v>Цитрусовые</x:v>
      </x:c>
      <x:c r="C190" s="28" t="str">
        <x:v>зелёный, цветочный, цитрусовый</x:v>
      </x:c>
      <x:c r="D190" s="28" t="str">
        <x:v>лимонен, линалоол, цитраль</x:v>
      </x:c>
      <x:c r="E190" s="28" t="str">
        <x:v>кислый, свежий</x:v>
      </x:c>
      <x:c r="F190" s="28" t="str">
        <x:v>обычно отсутствует; зависит от конкретного продукта</x:v>
      </x:c>
      <x:c r="G190" s="28" t="str">
        <x:v>вода и эфирные масла; цедра гидрофобна</x:v>
      </x:c>
      <x:c r="H190" s="28" t="str">
        <x:v>Справочный групповой профиль; для точного состава конкретного сорта или бренда нужен инструментальный анализ.</x:v>
      </x:c>
      <x:c r="I190" s="28" t="n">
        <x:f>COUNTIF('Все сочетания'!$C:$C,A190)+COUNTIF('Все сочетания'!$F:$F,A190)</x:f>
        <x:v>2</x:v>
      </x:c>
    </x:row>
    <x:row r="191" ht="46" customHeight="1">
      <x:c r="A191" s="28" t="str">
        <x:v>лист чёрной смородины</x:v>
      </x:c>
      <x:c r="B191" s="28" t="str">
        <x:v>Ягоды и производные</x:v>
      </x:c>
      <x:c r="C191" s="28" t="str">
        <x:v>комплексный</x:v>
      </x:c>
      <x:c r="D191" s="28" t="str">
        <x:v>не конкретизированы</x:v>
      </x:c>
      <x:c r="E191" s="28" t="str">
        <x:v>зависит от ингредиента</x:v>
      </x:c>
      <x:c r="F191" s="28" t="str">
        <x:v>обычно отсутствует; зависит от конкретного продукта</x:v>
      </x:c>
      <x:c r="G191" s="28" t="str">
        <x:v>механизм зависит от конкретного продукта</x:v>
      </x:c>
      <x:c r="H191" s="28" t="str">
        <x:v>Справочный групповой профиль; для точного состава конкретного сорта или бренда нужен инструментальный анализ.</x:v>
      </x:c>
      <x:c r="I191" s="28" t="n">
        <x:f>COUNTIF('Все сочетания'!$C:$C,A191)+COUNTIF('Все сочетания'!$F:$F,A191)</x:f>
        <x:v>1</x:v>
      </x:c>
    </x:row>
    <x:row r="192" ht="46" customHeight="1">
      <x:c r="A192" s="28" t="str">
        <x:v>личи</x:v>
      </x:c>
      <x:c r="B192" s="28" t="str">
        <x:v>Фрукты</x:v>
      </x:c>
      <x:c r="C192" s="28" t="str">
        <x:v>зелёный, фруктовый, цветочный</x:v>
      </x:c>
      <x:c r="D192" s="28" t="str">
        <x:v>лактоны, терпены, эфиры</x:v>
      </x:c>
      <x:c r="E192" s="28" t="str">
        <x:v>сладко-кислый</x:v>
      </x:c>
      <x:c r="F192" s="28" t="str">
        <x:v>обычно отсутствует; зависит от конкретного продукта</x:v>
      </x:c>
      <x:c r="G192" s="28" t="str">
        <x:v>водная фруктовая матрица</x:v>
      </x:c>
      <x:c r="H192" s="28" t="str">
        <x:v>Справочный групповой профиль; для точного состава конкретного сорта или бренда нужен инструментальный анализ.</x:v>
      </x:c>
      <x:c r="I192" s="28" t="n">
        <x:f>COUNTIF('Все сочетания'!$C:$C,A192)+COUNTIF('Все сочетания'!$F:$F,A192)</x:f>
        <x:v>4</x:v>
      </x:c>
    </x:row>
    <x:row r="193" ht="46" customHeight="1">
      <x:c r="A193" s="28" t="str">
        <x:v>логанова ягода</x:v>
      </x:c>
      <x:c r="B193" s="28" t="str">
        <x:v>Ягоды и производные</x:v>
      </x:c>
      <x:c r="C193" s="28" t="str">
        <x:v>комплексный</x:v>
      </x:c>
      <x:c r="D193" s="28" t="str">
        <x:v>не конкретизированы</x:v>
      </x:c>
      <x:c r="E193" s="28" t="str">
        <x:v>зависит от ингредиента</x:v>
      </x:c>
      <x:c r="F193" s="28" t="str">
        <x:v>обычно отсутствует; зависит от конкретного продукта</x:v>
      </x:c>
      <x:c r="G193" s="28" t="str">
        <x:v>механизм зависит от конкретного продукта</x:v>
      </x:c>
      <x:c r="H193" s="28" t="str">
        <x:v>Справочный групповой профиль; для точного состава конкретного сорта или бренда нужен инструментальный анализ.</x:v>
      </x:c>
      <x:c r="I193" s="28" t="n">
        <x:f>COUNTIF('Все сочетания'!$C:$C,A193)+COUNTIF('Все сочетания'!$F:$F,A193)</x:f>
        <x:v>3</x:v>
      </x:c>
    </x:row>
    <x:row r="194" ht="46" customHeight="1">
      <x:c r="A194" s="28" t="str">
        <x:v>лонган</x:v>
      </x:c>
      <x:c r="B194" s="28" t="str">
        <x:v>Прочее</x:v>
      </x:c>
      <x:c r="C194" s="28" t="str">
        <x:v>комплексный</x:v>
      </x:c>
      <x:c r="D194" s="28" t="str">
        <x:v>не конкретизированы</x:v>
      </x:c>
      <x:c r="E194" s="28" t="str">
        <x:v>зависит от ингредиента</x:v>
      </x:c>
      <x:c r="F194" s="28" t="str">
        <x:v>обычно отсутствует; зависит от конкретного продукта</x:v>
      </x:c>
      <x:c r="G194" s="28" t="str">
        <x:v>механизм зависит от конкретного продукта</x:v>
      </x:c>
      <x:c r="H194" s="28" t="str">
        <x:v>Справочный групповой профиль; для точного состава конкретного сорта или бренда нужен инструментальный анализ.</x:v>
      </x:c>
      <x:c r="I194" s="28" t="n">
        <x:f>COUNTIF('Все сочетания'!$C:$C,A194)+COUNTIF('Все сочетания'!$F:$F,A194)</x:f>
        <x:v>1</x:v>
      </x:c>
    </x:row>
    <x:row r="195" ht="46" customHeight="1">
      <x:c r="A195" s="28" t="str">
        <x:v>макадамия</x:v>
      </x:c>
      <x:c r="B195" s="28" t="str">
        <x:v>Орехи и семена</x:v>
      </x:c>
      <x:c r="C195" s="28" t="str">
        <x:v>жареный, миндальный, ореховый</x:v>
      </x:c>
      <x:c r="D195" s="28" t="str">
        <x:v>бензальдегид, пиразины, фураны</x:v>
      </x:c>
      <x:c r="E195" s="28" t="str">
        <x:v>сладковатый, жирный</x:v>
      </x:c>
      <x:c r="F195" s="28" t="str">
        <x:v>обычно отсутствует; зависит от конкретного продукта</x:v>
      </x:c>
      <x:c r="G195" s="28" t="str">
        <x:v>жир хорошо удерживает гидрофобные одоранты</x:v>
      </x:c>
      <x:c r="H195" s="28" t="str">
        <x:v>Справочный групповой профиль; для точного состава конкретного сорта или бренда нужен инструментальный анализ.</x:v>
      </x:c>
      <x:c r="I195" s="28" t="n">
        <x:f>COUNTIF('Все сочетания'!$C:$C,A195)+COUNTIF('Все сочетания'!$F:$F,A195)</x:f>
        <x:v>2</x:v>
      </x:c>
    </x:row>
    <x:row r="196" ht="46" customHeight="1">
      <x:c r="A196" s="28" t="str">
        <x:v>малина</x:v>
      </x:c>
      <x:c r="B196" s="28" t="str">
        <x:v>Ягоды и производные</x:v>
      </x:c>
      <x:c r="C196" s="28" t="str">
        <x:v>древесный, зелёный, фиалковый, фруктовый, цветочный</x:v>
      </x:c>
      <x:c r="D196" s="28" t="str">
        <x:v>альфа-ионон, бета-ионон, гераниол, линалоол, малиновый кетон</x:v>
      </x:c>
      <x:c r="E196" s="28" t="str">
        <x:v>кисло-сладкий</x:v>
      </x:c>
      <x:c r="F196" s="28" t="str">
        <x:v>обычно отсутствует; зависит от конкретного продукта</x:v>
      </x:c>
      <x:c r="G196" s="28" t="str">
        <x:v>семена добавляют древесность и лёгкую терпкость</x:v>
      </x:c>
      <x:c r="H196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96" s="28" t="n">
        <x:f>COUNTIF('Все сочетания'!$C:$C,A196)+COUNTIF('Все сочетания'!$F:$F,A196)</x:f>
        <x:v>50</x:v>
      </x:c>
    </x:row>
    <x:row r="197" ht="46" customHeight="1">
      <x:c r="A197" s="28" t="str">
        <x:v>малина сорта Meeker</x:v>
      </x:c>
      <x:c r="B197" s="28" t="str">
        <x:v>Ягоды и производные</x:v>
      </x:c>
      <x:c r="C197" s="28" t="str">
        <x:v>древесный, зелёный, фиалковый, фруктовый, цветочный</x:v>
      </x:c>
      <x:c r="D197" s="28" t="str">
        <x:v>альфа-ионон, бета-ионон, гераниол, линалоол, малиновый кетон</x:v>
      </x:c>
      <x:c r="E197" s="28" t="str">
        <x:v>кисло-сладкий</x:v>
      </x:c>
      <x:c r="F197" s="28" t="str">
        <x:v>обычно отсутствует; зависит от конкретного продукта</x:v>
      </x:c>
      <x:c r="G197" s="28" t="str">
        <x:v>семена добавляют древесность и лёгкую терпкость</x:v>
      </x:c>
      <x:c r="H197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197" s="28" t="n">
        <x:f>COUNTIF('Все сочетания'!$C:$C,A197)+COUNTIF('Все сочетания'!$F:$F,A197)</x:f>
        <x:v>3</x:v>
      </x:c>
    </x:row>
    <x:row r="198" ht="46" customHeight="1">
      <x:c r="A198" s="28" t="str">
        <x:v>малиновое пюре</x:v>
      </x:c>
      <x:c r="B198" s="28" t="str">
        <x:v>Ягоды и производные</x:v>
      </x:c>
      <x:c r="C198" s="28" t="str">
        <x:v>комплексный</x:v>
      </x:c>
      <x:c r="D198" s="28" t="str">
        <x:v>не конкретизированы</x:v>
      </x:c>
      <x:c r="E198" s="28" t="str">
        <x:v>зависит от ингредиента</x:v>
      </x:c>
      <x:c r="F198" s="28" t="str">
        <x:v>обычно отсутствует; зависит от конкретного продукта</x:v>
      </x:c>
      <x:c r="G198" s="28" t="str">
        <x:v>механизм зависит от конкретного продукта</x:v>
      </x:c>
      <x:c r="H198" s="28" t="str">
        <x:v>Справочный групповой профиль; для точного состава конкретного сорта или бренда нужен инструментальный анализ.</x:v>
      </x:c>
      <x:c r="I198" s="28" t="n">
        <x:f>COUNTIF('Все сочетания'!$C:$C,A198)+COUNTIF('Все сочетания'!$F:$F,A198)</x:f>
        <x:v>1</x:v>
      </x:c>
    </x:row>
    <x:row r="199" ht="46" customHeight="1">
      <x:c r="A199" s="28" t="str">
        <x:v>малиновый сок</x:v>
      </x:c>
      <x:c r="B199" s="28" t="str">
        <x:v>Ягоды и производные</x:v>
      </x:c>
      <x:c r="C199" s="28" t="str">
        <x:v>комплексный</x:v>
      </x:c>
      <x:c r="D199" s="28" t="str">
        <x:v>не конкретизированы</x:v>
      </x:c>
      <x:c r="E199" s="28" t="str">
        <x:v>зависит от ингредиента</x:v>
      </x:c>
      <x:c r="F199" s="28" t="str">
        <x:v>обычно отсутствует; зависит от конкретного продукта</x:v>
      </x:c>
      <x:c r="G199" s="28" t="str">
        <x:v>механизм зависит от конкретного продукта</x:v>
      </x:c>
      <x:c r="H199" s="28" t="str">
        <x:v>Справочный групповой профиль; для точного состава конкретного сорта или бренда нужен инструментальный анализ.</x:v>
      </x:c>
      <x:c r="I199" s="28" t="n">
        <x:f>COUNTIF('Все сочетания'!$C:$C,A199)+COUNTIF('Все сочетания'!$F:$F,A199)</x:f>
        <x:v>1</x:v>
      </x:c>
    </x:row>
    <x:row r="200" ht="46" customHeight="1">
      <x:c r="A200" s="28" t="str">
        <x:v>манго</x:v>
      </x:c>
      <x:c r="B200" s="28" t="str">
        <x:v>Фрукты</x:v>
      </x:c>
      <x:c r="C200" s="28" t="str">
        <x:v>зелёный, фруктовый, цветочный</x:v>
      </x:c>
      <x:c r="D200" s="28" t="str">
        <x:v>лактоны, терпены, эфиры</x:v>
      </x:c>
      <x:c r="E200" s="28" t="str">
        <x:v>сладко-кислый</x:v>
      </x:c>
      <x:c r="F200" s="28" t="str">
        <x:v>обычно отсутствует; зависит от конкретного продукта</x:v>
      </x:c>
      <x:c r="G200" s="28" t="str">
        <x:v>водная фруктовая матрица</x:v>
      </x:c>
      <x:c r="H200" s="28" t="str">
        <x:v>Справочный групповой профиль; для точного состава конкретного сорта или бренда нужен инструментальный анализ.</x:v>
      </x:c>
      <x:c r="I200" s="28" t="n">
        <x:f>COUNTIF('Все сочетания'!$C:$C,A200)+COUNTIF('Все сочетания'!$F:$F,A200)</x:f>
        <x:v>7</x:v>
      </x:c>
    </x:row>
    <x:row r="201" ht="46" customHeight="1">
      <x:c r="A201" s="28" t="str">
        <x:v>манго Alphonso</x:v>
      </x:c>
      <x:c r="B201" s="28" t="str">
        <x:v>Фрукты</x:v>
      </x:c>
      <x:c r="C201" s="28" t="str">
        <x:v>зелёный, фруктовый, цветочный</x:v>
      </x:c>
      <x:c r="D201" s="28" t="str">
        <x:v>лактоны, терпены, эфиры</x:v>
      </x:c>
      <x:c r="E201" s="28" t="str">
        <x:v>сладко-кислый</x:v>
      </x:c>
      <x:c r="F201" s="28" t="str">
        <x:v>обычно отсутствует; зависит от конкретного продукта</x:v>
      </x:c>
      <x:c r="G201" s="28" t="str">
        <x:v>водная фруктовая матрица</x:v>
      </x:c>
      <x:c r="H201" s="28" t="str">
        <x:v>Справочный групповой профиль; для точного состава конкретного сорта или бренда нужен инструментальный анализ.</x:v>
      </x:c>
      <x:c r="I201" s="28" t="n">
        <x:f>COUNTIF('Все сочетания'!$C:$C,A201)+COUNTIF('Все сочетания'!$F:$F,A201)</x:f>
        <x:v>2</x:v>
      </x:c>
    </x:row>
    <x:row r="202" ht="46" customHeight="1">
      <x:c r="A202" s="28" t="str">
        <x:v>мандарин</x:v>
      </x:c>
      <x:c r="B202" s="28" t="str">
        <x:v>Цитрусовые</x:v>
      </x:c>
      <x:c r="C202" s="28" t="str">
        <x:v>зелёный, цветочный, цитрусовый</x:v>
      </x:c>
      <x:c r="D202" s="28" t="str">
        <x:v>лимонен, линалоол, цитраль</x:v>
      </x:c>
      <x:c r="E202" s="28" t="str">
        <x:v>кислый, свежий</x:v>
      </x:c>
      <x:c r="F202" s="28" t="str">
        <x:v>обычно отсутствует; зависит от конкретного продукта</x:v>
      </x:c>
      <x:c r="G202" s="28" t="str">
        <x:v>вода и эфирные масла; цедра гидрофобна</x:v>
      </x:c>
      <x:c r="H202" s="28" t="str">
        <x:v>Справочный групповой профиль; для точного состава конкретного сорта или бренда нужен инструментальный анализ.</x:v>
      </x:c>
      <x:c r="I202" s="28" t="n">
        <x:f>COUNTIF('Все сочетания'!$C:$C,A202)+COUNTIF('Все сочетания'!$F:$F,A202)</x:f>
        <x:v>2</x:v>
      </x:c>
    </x:row>
    <x:row r="203" ht="46" customHeight="1">
      <x:c r="A203" s="28" t="str">
        <x:v>маниок</x:v>
      </x:c>
      <x:c r="B203" s="28" t="str">
        <x:v>Прочее</x:v>
      </x:c>
      <x:c r="C203" s="28" t="str">
        <x:v>комплексный</x:v>
      </x:c>
      <x:c r="D203" s="28" t="str">
        <x:v>не конкретизированы</x:v>
      </x:c>
      <x:c r="E203" s="28" t="str">
        <x:v>зависит от ингредиента</x:v>
      </x:c>
      <x:c r="F203" s="28" t="str">
        <x:v>обычно отсутствует; зависит от конкретного продукта</x:v>
      </x:c>
      <x:c r="G203" s="28" t="str">
        <x:v>механизм зависит от конкретного продукта</x:v>
      </x:c>
      <x:c r="H203" s="28" t="str">
        <x:v>Справочный групповой профиль; для точного состава конкретного сорта или бренда нужен инструментальный анализ.</x:v>
      </x:c>
      <x:c r="I203" s="28" t="n">
        <x:f>COUNTIF('Все сочетания'!$C:$C,A203)+COUNTIF('Все сочетания'!$F:$F,A203)</x:f>
        <x:v>2</x:v>
      </x:c>
    </x:row>
    <x:row r="204" ht="46" customHeight="1">
      <x:c r="A204" s="28" t="str">
        <x:v>маракуйя</x:v>
      </x:c>
      <x:c r="B204" s="28" t="str">
        <x:v>Прочее</x:v>
      </x:c>
      <x:c r="C204" s="28" t="str">
        <x:v>комплексный</x:v>
      </x:c>
      <x:c r="D204" s="28" t="str">
        <x:v>не конкретизированы</x:v>
      </x:c>
      <x:c r="E204" s="28" t="str">
        <x:v>зависит от ингредиента</x:v>
      </x:c>
      <x:c r="F204" s="28" t="str">
        <x:v>обычно отсутствует; зависит от конкретного продукта</x:v>
      </x:c>
      <x:c r="G204" s="28" t="str">
        <x:v>механизм зависит от конкретного продукта</x:v>
      </x:c>
      <x:c r="H204" s="28" t="str">
        <x:v>Справочный групповой профиль; для точного состава конкретного сорта или бренда нужен инструментальный анализ.</x:v>
      </x:c>
      <x:c r="I204" s="28" t="n">
        <x:f>COUNTIF('Все сочетания'!$C:$C,A204)+COUNTIF('Все сочетания'!$F:$F,A204)</x:f>
        <x:v>2</x:v>
      </x:c>
    </x:row>
    <x:row r="205" ht="46" customHeight="1">
      <x:c r="A205" s="28" t="str">
        <x:v>мёд</x:v>
      </x:c>
      <x:c r="B205" s="28" t="str">
        <x:v>Прочее</x:v>
      </x:c>
      <x:c r="C205" s="28" t="str">
        <x:v>комплексный</x:v>
      </x:c>
      <x:c r="D205" s="28" t="str">
        <x:v>не конкретизированы</x:v>
      </x:c>
      <x:c r="E205" s="28" t="str">
        <x:v>зависит от ингредиента</x:v>
      </x:c>
      <x:c r="F205" s="28" t="str">
        <x:v>обычно отсутствует; зависит от конкретного продукта</x:v>
      </x:c>
      <x:c r="G205" s="28" t="str">
        <x:v>механизм зависит от конкретного продукта</x:v>
      </x:c>
      <x:c r="H205" s="28" t="str">
        <x:v>Справочный групповой профиль; для точного состава конкретного сорта или бренда нужен инструментальный анализ.</x:v>
      </x:c>
      <x:c r="I205" s="28" t="n">
        <x:f>COUNTIF('Все сочетания'!$C:$C,A205)+COUNTIF('Все сочетания'!$F:$F,A205)</x:f>
        <x:v>7</x:v>
      </x:c>
    </x:row>
    <x:row r="206" ht="46" customHeight="1">
      <x:c r="A206" s="28" t="str">
        <x:v>мелисса</x:v>
      </x:c>
      <x:c r="B206" s="28" t="str">
        <x:v>Травы и цветы</x:v>
      </x:c>
      <x:c r="C206" s="28" t="str">
        <x:v>зелёный, травянистый, цветочный</x:v>
      </x:c>
      <x:c r="D206" s="28" t="str">
        <x:v>гераниол, линалоол, терпены, эвгенол</x:v>
      </x:c>
      <x:c r="E206" s="28" t="str">
        <x:v>горьковатый, свежий</x:v>
      </x:c>
      <x:c r="F206" s="28" t="str">
        <x:v>обычно отсутствует; зависит от конкретного продукта</x:v>
      </x:c>
      <x:c r="G206" s="28" t="str">
        <x:v>летучие масла чувствительны к нагреву</x:v>
      </x:c>
      <x:c r="H206" s="28" t="str">
        <x:v>Справочный групповой профиль; для точного состава конкретного сорта или бренда нужен инструментальный анализ.</x:v>
      </x:c>
      <x:c r="I206" s="28" t="n">
        <x:f>COUNTIF('Все сочетания'!$C:$C,A206)+COUNTIF('Все сочетания'!$F:$F,A206)</x:f>
        <x:v>2</x:v>
      </x:c>
    </x:row>
    <x:row r="207" ht="46" customHeight="1">
      <x:c r="A207" s="28" t="str">
        <x:v>миндаль</x:v>
      </x:c>
      <x:c r="B207" s="28" t="str">
        <x:v>Орехи и семена</x:v>
      </x:c>
      <x:c r="C207" s="28" t="str">
        <x:v>жареный, миндальный, ореховый</x:v>
      </x:c>
      <x:c r="D207" s="28" t="str">
        <x:v>бензальдегид, пиразины, фураны</x:v>
      </x:c>
      <x:c r="E207" s="28" t="str">
        <x:v>сладковатый, жирный</x:v>
      </x:c>
      <x:c r="F207" s="28" t="str">
        <x:v>обычно отсутствует; зависит от конкретного продукта</x:v>
      </x:c>
      <x:c r="G207" s="28" t="str">
        <x:v>жир хорошо удерживает гидрофобные одоранты</x:v>
      </x:c>
      <x:c r="H207" s="28" t="str">
        <x:v>Справочный групповой профиль; для точного состава конкретного сорта или бренда нужен инструментальный анализ.</x:v>
      </x:c>
      <x:c r="I207" s="28" t="n">
        <x:f>COUNTIF('Все сочетания'!$C:$C,A207)+COUNTIF('Все сочетания'!$F:$F,A207)</x:f>
        <x:v>9</x:v>
      </x:c>
    </x:row>
    <x:row r="208" ht="46" customHeight="1">
      <x:c r="A208" s="28" t="str">
        <x:v>можжевельник</x:v>
      </x:c>
      <x:c r="B208" s="28" t="str">
        <x:v>Прочее</x:v>
      </x:c>
      <x:c r="C208" s="28" t="str">
        <x:v>комплексный</x:v>
      </x:c>
      <x:c r="D208" s="28" t="str">
        <x:v>не конкретизированы</x:v>
      </x:c>
      <x:c r="E208" s="28" t="str">
        <x:v>зависит от ингредиента</x:v>
      </x:c>
      <x:c r="F208" s="28" t="str">
        <x:v>обычно отсутствует; зависит от конкретного продукта</x:v>
      </x:c>
      <x:c r="G208" s="28" t="str">
        <x:v>механизм зависит от конкретного продукта</x:v>
      </x:c>
      <x:c r="H208" s="28" t="str">
        <x:v>Справочный групповой профиль; для точного состава конкретного сорта или бренда нужен инструментальный анализ.</x:v>
      </x:c>
      <x:c r="I208" s="28" t="n">
        <x:f>COUNTIF('Все сочетания'!$C:$C,A208)+COUNTIF('Все сочетания'!$F:$F,A208)</x:f>
        <x:v>3</x:v>
      </x:c>
    </x:row>
    <x:row r="209" ht="46" customHeight="1">
      <x:c r="A209" s="28" t="str">
        <x:v>морковь</x:v>
      </x:c>
      <x:c r="B209" s="28" t="str">
        <x:v>Овощи и грибы</x:v>
      </x:c>
      <x:c r="C209" s="28" t="str">
        <x:v>зелёный, землистый, сернистый</x:v>
      </x:c>
      <x:c r="D209" s="28" t="str">
        <x:v>C6-альдегиды, пиразины, сернистые соединения</x:v>
      </x:c>
      <x:c r="E209" s="28" t="str">
        <x:v>растительный, иногда умами</x:v>
      </x:c>
      <x:c r="F209" s="28" t="str">
        <x:v>обычно отсутствует; зависит от конкретного продукта</x:v>
      </x:c>
      <x:c r="G209" s="28" t="str">
        <x:v>высокая доля воды; нагрев меняет зелёный профиль</x:v>
      </x:c>
      <x:c r="H209" s="28" t="str">
        <x:v>Справочный групповой профиль; для точного состава конкретного сорта или бренда нужен инструментальный анализ.</x:v>
      </x:c>
      <x:c r="I209" s="28" t="n">
        <x:f>COUNTIF('Все сочетания'!$C:$C,A209)+COUNTIF('Все сочетания'!$F:$F,A209)</x:f>
        <x:v>8</x:v>
      </x:c>
    </x:row>
    <x:row r="210" ht="46" customHeight="1">
      <x:c r="A210" s="28" t="str">
        <x:v>морошка</x:v>
      </x:c>
      <x:c r="B210" s="28" t="str">
        <x:v>Ягоды и производные</x:v>
      </x:c>
      <x:c r="C210" s="28" t="str">
        <x:v>абрикосовый, лактонный, медовый, цветочный</x:v>
      </x:c>
      <x:c r="D210" s="28" t="str">
        <x:v>иононы, лактоны, эфиры</x:v>
      </x:c>
      <x:c r="E210" s="28" t="str">
        <x:v>сладко-кислый</x:v>
      </x:c>
      <x:c r="F210" s="28" t="str">
        <x:v>обычно отсутствует; зависит от конкретного продукта</x:v>
      </x:c>
      <x:c r="G210" s="28" t="str">
        <x:v>аромат хорошо поддерживается сливочными и древесными матрицами</x:v>
      </x:c>
      <x:c r="H210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210" s="28" t="n">
        <x:f>COUNTIF('Все сочетания'!$C:$C,A210)+COUNTIF('Все сочетания'!$F:$F,A210)</x:f>
        <x:v>12</x:v>
      </x:c>
    </x:row>
    <x:row r="211" ht="46" customHeight="1">
      <x:c r="A211" s="28" t="str">
        <x:v>мускатный орех</x:v>
      </x:c>
      <x:c r="B211" s="28" t="str">
        <x:v>Орехи и семена</x:v>
      </x:c>
      <x:c r="C211" s="28" t="str">
        <x:v>жареный, миндальный, ореховый</x:v>
      </x:c>
      <x:c r="D211" s="28" t="str">
        <x:v>бензальдегид, пиразины, фураны</x:v>
      </x:c>
      <x:c r="E211" s="28" t="str">
        <x:v>сладковатый, жирный</x:v>
      </x:c>
      <x:c r="F211" s="28" t="str">
        <x:v>обычно отсутствует; зависит от конкретного продукта</x:v>
      </x:c>
      <x:c r="G211" s="28" t="str">
        <x:v>жир хорошо удерживает гидрофобные одоранты</x:v>
      </x:c>
      <x:c r="H211" s="28" t="str">
        <x:v>Справочный групповой профиль; для точного состава конкретного сорта или бренда нужен инструментальный анализ.</x:v>
      </x:c>
      <x:c r="I211" s="28" t="n">
        <x:f>COUNTIF('Все сочетания'!$C:$C,A211)+COUNTIF('Все сочетания'!$F:$F,A211)</x:f>
        <x:v>3</x:v>
      </x:c>
    </x:row>
    <x:row r="212" ht="46" customHeight="1">
      <x:c r="A212" s="28" t="str">
        <x:v>мускусная дыня</x:v>
      </x:c>
      <x:c r="B212" s="28" t="str">
        <x:v>Фрукты</x:v>
      </x:c>
      <x:c r="C212" s="28" t="str">
        <x:v>зелёный, фруктовый, цветочный</x:v>
      </x:c>
      <x:c r="D212" s="28" t="str">
        <x:v>лактоны, терпены, эфиры</x:v>
      </x:c>
      <x:c r="E212" s="28" t="str">
        <x:v>сладко-кислый</x:v>
      </x:c>
      <x:c r="F212" s="28" t="str">
        <x:v>обычно отсутствует; зависит от конкретного продукта</x:v>
      </x:c>
      <x:c r="G212" s="28" t="str">
        <x:v>водная фруктовая матрица</x:v>
      </x:c>
      <x:c r="H212" s="28" t="str">
        <x:v>Справочный групповой профиль; для точного состава конкретного сорта или бренда нужен инструментальный анализ.</x:v>
      </x:c>
      <x:c r="I212" s="28" t="n">
        <x:f>COUNTIF('Все сочетания'!$C:$C,A212)+COUNTIF('Все сочетания'!$F:$F,A212)</x:f>
        <x:v>1</x:v>
      </x:c>
    </x:row>
    <x:row r="213" ht="46" customHeight="1">
      <x:c r="A213" s="28" t="str">
        <x:v>мушмула (loquat)</x:v>
      </x:c>
      <x:c r="B213" s="28" t="str">
        <x:v>Прочее</x:v>
      </x:c>
      <x:c r="C213" s="28" t="str">
        <x:v>комплексный</x:v>
      </x:c>
      <x:c r="D213" s="28" t="str">
        <x:v>не конкретизированы</x:v>
      </x:c>
      <x:c r="E213" s="28" t="str">
        <x:v>зависит от ингредиента</x:v>
      </x:c>
      <x:c r="F213" s="28" t="str">
        <x:v>обычно отсутствует; зависит от конкретного продукта</x:v>
      </x:c>
      <x:c r="G213" s="28" t="str">
        <x:v>механизм зависит от конкретного продукта</x:v>
      </x:c>
      <x:c r="H213" s="28" t="str">
        <x:v>Справочный групповой профиль; для точного состава конкретного сорта или бренда нужен инструментальный анализ.</x:v>
      </x:c>
      <x:c r="I213" s="28" t="n">
        <x:f>COUNTIF('Все сочетания'!$C:$C,A213)+COUNTIF('Все сочетания'!$F:$F,A213)</x:f>
        <x:v>1</x:v>
      </x:c>
    </x:row>
    <x:row r="214" ht="46" customHeight="1">
      <x:c r="A214" s="28" t="str">
        <x:v>мягкий сыр</x:v>
      </x:c>
      <x:c r="B214" s="28" t="str">
        <x:v>Молочные продукты и сыры</x:v>
      </x:c>
      <x:c r="C214" s="28" t="str">
        <x:v>масляный, молочный, сливочный, сырный</x:v>
      </x:c>
      <x:c r="D214" s="28" t="str">
        <x:v>диацетил, жирные кислоты, лактоны</x:v>
      </x:c>
      <x:c r="E214" s="28" t="str">
        <x:v>жирный, кислый/солёный</x:v>
      </x:c>
      <x:c r="F214" s="28" t="str">
        <x:v>обычно отсутствует; зависит от конкретного продукта</x:v>
      </x:c>
      <x:c r="G214" s="28" t="str">
        <x:v>жировая и белковая матрица смягчает кислотность</x:v>
      </x:c>
      <x:c r="H214" s="28" t="str">
        <x:v>Справочный групповой профиль; для точного состава конкретного сорта или бренда нужен инструментальный анализ.</x:v>
      </x:c>
      <x:c r="I214" s="28" t="n">
        <x:f>COUNTIF('Все сочетания'!$C:$C,A214)+COUNTIF('Все сочетания'!$F:$F,A214)</x:f>
        <x:v>2</x:v>
      </x:c>
    </x:row>
    <x:row r="215" ht="46" customHeight="1">
      <x:c r="A215" s="28" t="str">
        <x:v>мясо</x:v>
      </x:c>
      <x:c r="B215" s="28" t="str">
        <x:v>Мясо и птица</x:v>
      </x:c>
      <x:c r="C215" s="28" t="str">
        <x:v>жареный, жирный, сернистый, умами</x:v>
      </x:c>
      <x:c r="D215" s="28" t="str">
        <x:v>альдегиды, пиразины, сернистые соединения</x:v>
      </x:c>
      <x:c r="E215" s="28" t="str">
        <x:v>умами, солёный, жирный</x:v>
      </x:c>
      <x:c r="F215" s="28" t="str">
        <x:v>обычно отсутствует; зависит от конкретного продукта</x:v>
      </x:c>
      <x:c r="G215" s="28" t="str">
        <x:v>жир переносит аромат; реакция Майяра создаёт новые одоранты</x:v>
      </x:c>
      <x:c r="H215" s="28" t="str">
        <x:v>Справочный групповой профиль; для точного состава конкретного сорта или бренда нужен инструментальный анализ.</x:v>
      </x:c>
      <x:c r="I215" s="28" t="n">
        <x:f>COUNTIF('Все сочетания'!$C:$C,A215)+COUNTIF('Все сочетания'!$F:$F,A215)</x:f>
        <x:v>6</x:v>
      </x:c>
    </x:row>
    <x:row r="216" ht="46" customHeight="1">
      <x:c r="A216" s="28" t="str">
        <x:v>мята</x:v>
      </x:c>
      <x:c r="B216" s="28" t="str">
        <x:v>Травы и цветы</x:v>
      </x:c>
      <x:c r="C216" s="28" t="str">
        <x:v>зелёный, травянистый, цветочный</x:v>
      </x:c>
      <x:c r="D216" s="28" t="str">
        <x:v>гераниол, линалоол, терпены, эвгенол</x:v>
      </x:c>
      <x:c r="E216" s="28" t="str">
        <x:v>горьковатый, свежий</x:v>
      </x:c>
      <x:c r="F216" s="28" t="str">
        <x:v>обычно отсутствует; зависит от конкретного продукта</x:v>
      </x:c>
      <x:c r="G216" s="28" t="str">
        <x:v>летучие масла чувствительны к нагреву</x:v>
      </x:c>
      <x:c r="H216" s="28" t="str">
        <x:v>Справочный групповой профиль; для точного состава конкретного сорта или бренда нужен инструментальный анализ.</x:v>
      </x:c>
      <x:c r="I216" s="28" t="n">
        <x:f>COUNTIF('Все сочетания'!$C:$C,A216)+COUNTIF('Все сочетания'!$F:$F,A216)</x:f>
        <x:v>10</x:v>
      </x:c>
    </x:row>
    <x:row r="217" ht="46" customHeight="1">
      <x:c r="A217" s="28" t="str">
        <x:v>на гриле beef</x:v>
      </x:c>
      <x:c r="B217" s="28" t="str">
        <x:v>Мясо и птица</x:v>
      </x:c>
      <x:c r="C217" s="28" t="str">
        <x:v>жареный, жирный, сернистый, умами</x:v>
      </x:c>
      <x:c r="D217" s="28" t="str">
        <x:v>альдегиды, пиразины, сернистые соединения</x:v>
      </x:c>
      <x:c r="E217" s="28" t="str">
        <x:v>умами, солёный, жирный</x:v>
      </x:c>
      <x:c r="F217" s="28" t="str">
        <x:v>обычно отсутствует; зависит от конкретного продукта</x:v>
      </x:c>
      <x:c r="G217" s="28" t="str">
        <x:v>жир переносит аромат; реакция Майяра создаёт новые одоранты</x:v>
      </x:c>
      <x:c r="H217" s="28" t="str">
        <x:v>Справочный групповой профиль; для точного состава конкретного сорта или бренда нужен инструментальный анализ.</x:v>
      </x:c>
      <x:c r="I217" s="28" t="n">
        <x:f>COUNTIF('Все сочетания'!$C:$C,A217)+COUNTIF('Все сочетания'!$F:$F,A217)</x:f>
        <x:v>1</x:v>
      </x:c>
    </x:row>
    <x:row r="218" ht="46" customHeight="1">
      <x:c r="A218" s="28" t="str">
        <x:v>на гриле courgette boi</x:v>
      </x:c>
      <x:c r="B218" s="28" t="str">
        <x:v>Овощи и грибы</x:v>
      </x:c>
      <x:c r="C218" s="28" t="str">
        <x:v>зелёный, землистый, сернистый</x:v>
      </x:c>
      <x:c r="D218" s="28" t="str">
        <x:v>C6-альдегиды, пиразины, сернистые соединения</x:v>
      </x:c>
      <x:c r="E218" s="28" t="str">
        <x:v>растительный, иногда умами</x:v>
      </x:c>
      <x:c r="F218" s="28" t="str">
        <x:v>обычно отсутствует; зависит от конкретного продукта</x:v>
      </x:c>
      <x:c r="G218" s="28" t="str">
        <x:v>высокая доля воды; нагрев меняет зелёный профиль</x:v>
      </x:c>
      <x:c r="H218" s="28" t="str">
        <x:v>Справочный групповой профиль; для точного состава конкретного сорта или бренда нужен инструментальный анализ.</x:v>
      </x:c>
      <x:c r="I218" s="28" t="n">
        <x:f>COUNTIF('Все сочетания'!$C:$C,A218)+COUNTIF('Все сочетания'!$F:$F,A218)</x:f>
        <x:v>1</x:v>
      </x:c>
    </x:row>
    <x:row r="219" ht="46" customHeight="1">
      <x:c r="A219" s="28" t="str">
        <x:v>на гриле turbot</x:v>
      </x:c>
      <x:c r="B219" s="28" t="str">
        <x:v>Рыба и морепродукты</x:v>
      </x:c>
      <x:c r="C219" s="28" t="str">
        <x:v>жирный, морской, умами</x:v>
      </x:c>
      <x:c r="D219" s="28" t="str">
        <x:v>альдегиды, амины, сернистые соединения</x:v>
      </x:c>
      <x:c r="E219" s="28" t="str">
        <x:v>умами, солёный</x:v>
      </x:c>
      <x:c r="F219" s="28" t="str">
        <x:v>обычно отсутствует; зависит от конкретного продукта</x:v>
      </x:c>
      <x:c r="G219" s="28" t="str">
        <x:v>белковая/жировая матрица; кислота снижает рыбные ноты</x:v>
      </x:c>
      <x:c r="H219" s="28" t="str">
        <x:v>Справочный групповой профиль; для точного состава конкретного сорта или бренда нужен инструментальный анализ.</x:v>
      </x:c>
      <x:c r="I219" s="28" t="n">
        <x:f>COUNTIF('Все сочетания'!$C:$C,A219)+COUNTIF('Все сочетания'!$F:$F,A219)</x:f>
        <x:v>1</x:v>
      </x:c>
    </x:row>
    <x:row r="220" ht="46" customHeight="1">
      <x:c r="A220" s="28" t="str">
        <x:v>на гриле turbot dri</x:v>
      </x:c>
      <x:c r="B220" s="28" t="str">
        <x:v>Рыба и морепродукты</x:v>
      </x:c>
      <x:c r="C220" s="28" t="str">
        <x:v>жирный, морской, умами</x:v>
      </x:c>
      <x:c r="D220" s="28" t="str">
        <x:v>альдегиды, амины, сернистые соединения</x:v>
      </x:c>
      <x:c r="E220" s="28" t="str">
        <x:v>умами, солёный</x:v>
      </x:c>
      <x:c r="F220" s="28" t="str">
        <x:v>обычно отсутствует; зависит от конкретного продукта</x:v>
      </x:c>
      <x:c r="G220" s="28" t="str">
        <x:v>белковая/жировая матрица; кислота снижает рыбные ноты</x:v>
      </x:c>
      <x:c r="H220" s="28" t="str">
        <x:v>Справочный групповой профиль; для точного состава конкретного сорта или бренда нужен инструментальный анализ.</x:v>
      </x:c>
      <x:c r="I220" s="28" t="n">
        <x:f>COUNTIF('Все сочетания'!$C:$C,A220)+COUNTIF('Все сочетания'!$F:$F,A220)</x:f>
        <x:v>1</x:v>
      </x:c>
    </x:row>
    <x:row r="221" ht="46" customHeight="1">
      <x:c r="A221" s="28" t="str">
        <x:v>нектарин</x:v>
      </x:c>
      <x:c r="B221" s="28" t="str">
        <x:v>Прочее</x:v>
      </x:c>
      <x:c r="C221" s="28" t="str">
        <x:v>комплексный</x:v>
      </x:c>
      <x:c r="D221" s="28" t="str">
        <x:v>не конкретизированы</x:v>
      </x:c>
      <x:c r="E221" s="28" t="str">
        <x:v>зависит от ингредиента</x:v>
      </x:c>
      <x:c r="F221" s="28" t="str">
        <x:v>обычно отсутствует; зависит от конкретного продукта</x:v>
      </x:c>
      <x:c r="G221" s="28" t="str">
        <x:v>механизм зависит от конкретного продукта</x:v>
      </x:c>
      <x:c r="H221" s="28" t="str">
        <x:v>Справочный групповой профиль; для точного состава конкретного сорта или бренда нужен инструментальный анализ.</x:v>
      </x:c>
      <x:c r="I221" s="28" t="n">
        <x:f>COUNTIF('Все сочетания'!$C:$C,A221)+COUNTIF('Все сочетания'!$F:$F,A221)</x:f>
        <x:v>6</x:v>
      </x:c>
    </x:row>
    <x:row r="222" ht="46" customHeight="1">
      <x:c r="A222" s="28" t="str">
        <x:v>обжаренный bacon</x:v>
      </x:c>
      <x:c r="B222" s="28" t="str">
        <x:v>Прочее</x:v>
      </x:c>
      <x:c r="C222" s="28" t="str">
        <x:v>комплексный</x:v>
      </x:c>
      <x:c r="D222" s="28" t="str">
        <x:v>не конкретизированы</x:v>
      </x:c>
      <x:c r="E222" s="28" t="str">
        <x:v>зависит от ингредиента</x:v>
      </x:c>
      <x:c r="F222" s="28" t="str">
        <x:v>обычно отсутствует; зависит от конкретного продукта</x:v>
      </x:c>
      <x:c r="G222" s="28" t="str">
        <x:v>механизм зависит от конкретного продукта</x:v>
      </x:c>
      <x:c r="H222" s="28" t="str">
        <x:v>Справочный групповой профиль; для точного состава конкретного сорта или бренда нужен инструментальный анализ.</x:v>
      </x:c>
      <x:c r="I222" s="28" t="n">
        <x:f>COUNTIF('Все сочетания'!$C:$C,A222)+COUNTIF('Все сочетания'!$F:$F,A222)</x:f>
        <x:v>1</x:v>
      </x:c>
    </x:row>
    <x:row r="223" ht="46" customHeight="1">
      <x:c r="A223" s="28" t="str">
        <x:v>обжаренный chicken breast fillet</x:v>
      </x:c>
      <x:c r="B223" s="28" t="str">
        <x:v>Мясо и птица</x:v>
      </x:c>
      <x:c r="C223" s="28" t="str">
        <x:v>жареный, жирный, сернистый, умами</x:v>
      </x:c>
      <x:c r="D223" s="28" t="str">
        <x:v>альдегиды, пиразины, сернистые соединения</x:v>
      </x:c>
      <x:c r="E223" s="28" t="str">
        <x:v>умами, солёный, жирный</x:v>
      </x:c>
      <x:c r="F223" s="28" t="str">
        <x:v>обычно отсутствует; зависит от конкретного продукта</x:v>
      </x:c>
      <x:c r="G223" s="28" t="str">
        <x:v>жир переносит аромат; реакция Майяра создаёт новые одоранты</x:v>
      </x:c>
      <x:c r="H223" s="28" t="str">
        <x:v>Справочный групповой профиль; для точного состава конкретного сорта или бренда нужен инструментальный анализ.</x:v>
      </x:c>
      <x:c r="I223" s="28" t="n">
        <x:f>COUNTIF('Все сочетания'!$C:$C,A223)+COUNTIF('Все сочетания'!$F:$F,A223)</x:f>
        <x:v>1</x:v>
      </x:c>
    </x:row>
    <x:row r="224" ht="46" customHeight="1">
      <x:c r="A224" s="28" t="str">
        <x:v>обжаренный duck breast</x:v>
      </x:c>
      <x:c r="B224" s="28" t="str">
        <x:v>Прочее</x:v>
      </x:c>
      <x:c r="C224" s="28" t="str">
        <x:v>комплексный</x:v>
      </x:c>
      <x:c r="D224" s="28" t="str">
        <x:v>не конкретизированы</x:v>
      </x:c>
      <x:c r="E224" s="28" t="str">
        <x:v>зависит от ингредиента</x:v>
      </x:c>
      <x:c r="F224" s="28" t="str">
        <x:v>обычно отсутствует; зависит от конкретного продукта</x:v>
      </x:c>
      <x:c r="G224" s="28" t="str">
        <x:v>механизм зависит от конкретного продукта</x:v>
      </x:c>
      <x:c r="H224" s="28" t="str">
        <x:v>Справочный групповой профиль; для точного состава конкретного сорта или бренда нужен инструментальный анализ.</x:v>
      </x:c>
      <x:c r="I224" s="28" t="n">
        <x:f>COUNTIF('Все сочетания'!$C:$C,A224)+COUNTIF('Все сочетания'!$F:$F,A224)</x:f>
        <x:v>1</x:v>
      </x:c>
    </x:row>
    <x:row r="225" ht="46" customHeight="1">
      <x:c r="A225" s="28" t="str">
        <x:v>обжаренный duck foie gras cann</x:v>
      </x:c>
      <x:c r="B225" s="28" t="str">
        <x:v>Прочее</x:v>
      </x:c>
      <x:c r="C225" s="28" t="str">
        <x:v>комплексный</x:v>
      </x:c>
      <x:c r="D225" s="28" t="str">
        <x:v>не конкретизированы</x:v>
      </x:c>
      <x:c r="E225" s="28" t="str">
        <x:v>зависит от ингредиента</x:v>
      </x:c>
      <x:c r="F225" s="28" t="str">
        <x:v>обычно отсутствует; зависит от конкретного продукта</x:v>
      </x:c>
      <x:c r="G225" s="28" t="str">
        <x:v>механизм зависит от конкретного продукта</x:v>
      </x:c>
      <x:c r="H225" s="28" t="str">
        <x:v>Справочный групповой профиль; для точного состава конкретного сорта или бренда нужен инструментальный анализ.</x:v>
      </x:c>
      <x:c r="I225" s="28" t="n">
        <x:f>COUNTIF('Все сочетания'!$C:$C,A225)+COUNTIF('Все сочетания'!$F:$F,A225)</x:f>
        <x:v>1</x:v>
      </x:c>
    </x:row>
    <x:row r="226" ht="46" customHeight="1">
      <x:c r="A226" s="28" t="str">
        <x:v>обжаренный pheasant</x:v>
      </x:c>
      <x:c r="B226" s="28" t="str">
        <x:v>Мясо и птица</x:v>
      </x:c>
      <x:c r="C226" s="28" t="str">
        <x:v>жареный, жирный, сернистый, умами</x:v>
      </x:c>
      <x:c r="D226" s="28" t="str">
        <x:v>альдегиды, пиразины, сернистые соединения</x:v>
      </x:c>
      <x:c r="E226" s="28" t="str">
        <x:v>умами, солёный, жирный</x:v>
      </x:c>
      <x:c r="F226" s="28" t="str">
        <x:v>обычно отсутствует; зависит от конкретного продукта</x:v>
      </x:c>
      <x:c r="G226" s="28" t="str">
        <x:v>жир переносит аромат; реакция Майяра создаёт новые одоранты</x:v>
      </x:c>
      <x:c r="H226" s="28" t="str">
        <x:v>Справочный групповой профиль; для точного состава конкретного сорта или бренда нужен инструментальный анализ.</x:v>
      </x:c>
      <x:c r="I226" s="28" t="n">
        <x:f>COUNTIF('Все сочетания'!$C:$C,A226)+COUNTIF('Все сочетания'!$F:$F,A226)</x:f>
        <x:v>1</x:v>
      </x:c>
    </x:row>
    <x:row r="227" ht="46" customHeight="1">
      <x:c r="A227" s="28" t="str">
        <x:v>обжаренный venison</x:v>
      </x:c>
      <x:c r="B227" s="28" t="str">
        <x:v>Мясо и птица</x:v>
      </x:c>
      <x:c r="C227" s="28" t="str">
        <x:v>жареный, жирный, сернистый, умами</x:v>
      </x:c>
      <x:c r="D227" s="28" t="str">
        <x:v>альдегиды, пиразины, сернистые соединения</x:v>
      </x:c>
      <x:c r="E227" s="28" t="str">
        <x:v>умами, солёный, жирный</x:v>
      </x:c>
      <x:c r="F227" s="28" t="str">
        <x:v>обычно отсутствует; зависит от конкретного продукта</x:v>
      </x:c>
      <x:c r="G227" s="28" t="str">
        <x:v>жир переносит аромат; реакция Майяра создаёт новые одоранты</x:v>
      </x:c>
      <x:c r="H227" s="28" t="str">
        <x:v>Справочный групповой профиль; для точного состава конкретного сорта или бренда нужен инструментальный анализ.</x:v>
      </x:c>
      <x:c r="I227" s="28" t="n">
        <x:f>COUNTIF('Все сочетания'!$C:$C,A227)+COUNTIF('Все сочетания'!$F:$F,A227)</x:f>
        <x:v>1</x:v>
      </x:c>
    </x:row>
    <x:row r="228" ht="46" customHeight="1">
      <x:c r="A228" s="28" t="str">
        <x:v>обжаренный wild wood pigeon boi</x:v>
      </x:c>
      <x:c r="B228" s="28" t="str">
        <x:v>Прочее</x:v>
      </x:c>
      <x:c r="C228" s="28" t="str">
        <x:v>комплексный</x:v>
      </x:c>
      <x:c r="D228" s="28" t="str">
        <x:v>не конкретизированы</x:v>
      </x:c>
      <x:c r="E228" s="28" t="str">
        <x:v>зависит от ингредиента</x:v>
      </x:c>
      <x:c r="F228" s="28" t="str">
        <x:v>обычно отсутствует; зависит от конкретного продукта</x:v>
      </x:c>
      <x:c r="G228" s="28" t="str">
        <x:v>механизм зависит от конкретного продукта</x:v>
      </x:c>
      <x:c r="H228" s="28" t="str">
        <x:v>Справочный групповой профиль; для точного состава конкретного сорта или бренда нужен инструментальный анализ.</x:v>
      </x:c>
      <x:c r="I228" s="28" t="n">
        <x:f>COUNTIF('Все сочетания'!$C:$C,A228)+COUNTIF('Все сочетания'!$F:$F,A228)</x:f>
        <x:v>1</x:v>
      </x:c>
    </x:row>
    <x:row r="229" ht="46" customHeight="1">
      <x:c r="A229" s="28" t="str">
        <x:v>облепиха</x:v>
      </x:c>
      <x:c r="B229" s="28" t="str">
        <x:v>Ягоды и производные</x:v>
      </x:c>
      <x:c r="C229" s="28" t="str">
        <x:v>жирный, тропический, фруктовый, цитрусовый</x:v>
      </x:c>
      <x:c r="D229" s="28" t="str">
        <x:v>альдегиды, терпены, эфиры</x:v>
      </x:c>
      <x:c r="E229" s="28" t="str">
        <x:v>очень кислый, маслянистый</x:v>
      </x:c>
      <x:c r="F229" s="28" t="str">
        <x:v>обычно отсутствует; зависит от конкретного продукта</x:v>
      </x:c>
      <x:c r="G229" s="28" t="str">
        <x:v>собственное масло меняет высвобождение ароматов</x:v>
      </x:c>
      <x:c r="H229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229" s="28" t="n">
        <x:f>COUNTIF('Все сочетания'!$C:$C,A229)+COUNTIF('Все сочетания'!$F:$F,A229)</x:f>
        <x:v>4</x:v>
      </x:c>
    </x:row>
    <x:row r="230" ht="46" customHeight="1">
      <x:c r="A230" s="28" t="str">
        <x:v>огурец</x:v>
      </x:c>
      <x:c r="B230" s="28" t="str">
        <x:v>Овощи и грибы</x:v>
      </x:c>
      <x:c r="C230" s="28" t="str">
        <x:v>зелёный, землистый, сернистый</x:v>
      </x:c>
      <x:c r="D230" s="28" t="str">
        <x:v>C6-альдегиды, пиразины, сернистые соединения</x:v>
      </x:c>
      <x:c r="E230" s="28" t="str">
        <x:v>растительный, иногда умами</x:v>
      </x:c>
      <x:c r="F230" s="28" t="str">
        <x:v>обычно отсутствует; зависит от конкретного продукта</x:v>
      </x:c>
      <x:c r="G230" s="28" t="str">
        <x:v>высокая доля воды; нагрев меняет зелёный профиль</x:v>
      </x:c>
      <x:c r="H230" s="28" t="str">
        <x:v>Справочный групповой профиль; для точного состава конкретного сорта или бренда нужен инструментальный анализ.</x:v>
      </x:c>
      <x:c r="I230" s="28" t="n">
        <x:f>COUNTIF('Все сочетания'!$C:$C,A230)+COUNTIF('Все сочетания'!$F:$F,A230)</x:f>
        <x:v>5</x:v>
      </x:c>
    </x:row>
    <x:row r="231" ht="46" customHeight="1">
      <x:c r="A231" s="28" t="str">
        <x:v>огурцы</x:v>
      </x:c>
      <x:c r="B231" s="28" t="str">
        <x:v>Овощи и грибы</x:v>
      </x:c>
      <x:c r="C231" s="28" t="str">
        <x:v>зелёный, землистый, сернистый</x:v>
      </x:c>
      <x:c r="D231" s="28" t="str">
        <x:v>C6-альдегиды, пиразины, сернистые соединения</x:v>
      </x:c>
      <x:c r="E231" s="28" t="str">
        <x:v>растительный, иногда умами</x:v>
      </x:c>
      <x:c r="F231" s="28" t="str">
        <x:v>обычно отсутствует; зависит от конкретного продукта</x:v>
      </x:c>
      <x:c r="G231" s="28" t="str">
        <x:v>высокая доля воды; нагрев меняет зелёный профиль</x:v>
      </x:c>
      <x:c r="H231" s="28" t="str">
        <x:v>Справочный групповой профиль; для точного состава конкретного сорта или бренда нужен инструментальный анализ.</x:v>
      </x:c>
      <x:c r="I231" s="28" t="n">
        <x:f>COUNTIF('Все сочетания'!$C:$C,A231)+COUNTIF('Все сочетания'!$F:$F,A231)</x:f>
        <x:v>1</x:v>
      </x:c>
    </x:row>
    <x:row r="232" ht="46" customHeight="1">
      <x:c r="A232" s="28" t="str">
        <x:v>оливковое масло</x:v>
      </x:c>
      <x:c r="B232" s="28" t="str">
        <x:v>Молочные продукты и сыры</x:v>
      </x:c>
      <x:c r="C232" s="28" t="str">
        <x:v>масляный, молочный, сливочный, сырный</x:v>
      </x:c>
      <x:c r="D232" s="28" t="str">
        <x:v>диацетил, жирные кислоты, лактоны</x:v>
      </x:c>
      <x:c r="E232" s="28" t="str">
        <x:v>жирный, кислый/солёный</x:v>
      </x:c>
      <x:c r="F232" s="28" t="str">
        <x:v>обычно отсутствует; зависит от конкретного продукта</x:v>
      </x:c>
      <x:c r="G232" s="28" t="str">
        <x:v>жировая и белковая матрица смягчает кислотность</x:v>
      </x:c>
      <x:c r="H232" s="28" t="str">
        <x:v>Справочный групповой профиль; для точного состава конкретного сорта или бренда нужен инструментальный анализ.</x:v>
      </x:c>
      <x:c r="I232" s="28" t="n">
        <x:f>COUNTIF('Все сочетания'!$C:$C,A232)+COUNTIF('Все сочетания'!$F:$F,A232)</x:f>
        <x:v>3</x:v>
      </x:c>
    </x:row>
    <x:row r="233" ht="46" customHeight="1">
      <x:c r="A233" s="28" t="str">
        <x:v>оливковое масло Cornicabra</x:v>
      </x:c>
      <x:c r="B233" s="28" t="str">
        <x:v>Молочные продукты и сыры</x:v>
      </x:c>
      <x:c r="C233" s="28" t="str">
        <x:v>масляный, молочный, сливочный, сырный</x:v>
      </x:c>
      <x:c r="D233" s="28" t="str">
        <x:v>диацетил, жирные кислоты, лактоны</x:v>
      </x:c>
      <x:c r="E233" s="28" t="str">
        <x:v>жирный, кислый/солёный</x:v>
      </x:c>
      <x:c r="F233" s="28" t="str">
        <x:v>обычно отсутствует; зависит от конкретного продукта</x:v>
      </x:c>
      <x:c r="G233" s="28" t="str">
        <x:v>жировая и белковая матрица смягчает кислотность</x:v>
      </x:c>
      <x:c r="H233" s="28" t="str">
        <x:v>Справочный групповой профиль; для точного состава конкретного сорта или бренда нужен инструментальный анализ.</x:v>
      </x:c>
      <x:c r="I233" s="28" t="n">
        <x:f>COUNTIF('Все сочетания'!$C:$C,A233)+COUNTIF('Все сочетания'!$F:$F,A233)</x:f>
        <x:v>1</x:v>
      </x:c>
    </x:row>
    <x:row r="234" ht="46" customHeight="1">
      <x:c r="A234" s="28" t="str">
        <x:v>оливковое масло Picholine</x:v>
      </x:c>
      <x:c r="B234" s="28" t="str">
        <x:v>Молочные продукты и сыры</x:v>
      </x:c>
      <x:c r="C234" s="28" t="str">
        <x:v>масляный, молочный, сливочный, сырный</x:v>
      </x:c>
      <x:c r="D234" s="28" t="str">
        <x:v>диацетил, жирные кислоты, лактоны</x:v>
      </x:c>
      <x:c r="E234" s="28" t="str">
        <x:v>жирный, кислый/солёный</x:v>
      </x:c>
      <x:c r="F234" s="28" t="str">
        <x:v>обычно отсутствует; зависит от конкретного продукта</x:v>
      </x:c>
      <x:c r="G234" s="28" t="str">
        <x:v>жировая и белковая матрица смягчает кислотность</x:v>
      </x:c>
      <x:c r="H234" s="28" t="str">
        <x:v>Справочный групповой профиль; для точного состава конкретного сорта или бренда нужен инструментальный анализ.</x:v>
      </x:c>
      <x:c r="I234" s="28" t="n">
        <x:f>COUNTIF('Все сочетания'!$C:$C,A234)+COUNTIF('Все сочетания'!$F:$F,A234)</x:f>
        <x:v>1</x:v>
      </x:c>
    </x:row>
    <x:row r="235" ht="46" customHeight="1">
      <x:c r="A235" s="28" t="str">
        <x:v>оливковое масло Picual</x:v>
      </x:c>
      <x:c r="B235" s="28" t="str">
        <x:v>Молочные продукты и сыры</x:v>
      </x:c>
      <x:c r="C235" s="28" t="str">
        <x:v>масляный, молочный, сливочный, сырный</x:v>
      </x:c>
      <x:c r="D235" s="28" t="str">
        <x:v>диацетил, жирные кислоты, лактоны</x:v>
      </x:c>
      <x:c r="E235" s="28" t="str">
        <x:v>жирный, кислый/солёный</x:v>
      </x:c>
      <x:c r="F235" s="28" t="str">
        <x:v>обычно отсутствует; зависит от конкретного продукта</x:v>
      </x:c>
      <x:c r="G235" s="28" t="str">
        <x:v>жировая и белковая матрица смягчает кислотность</x:v>
      </x:c>
      <x:c r="H235" s="28" t="str">
        <x:v>Справочный групповой профиль; для точного состава конкретного сорта или бренда нужен инструментальный анализ.</x:v>
      </x:c>
      <x:c r="I235" s="28" t="n">
        <x:f>COUNTIF('Все сочетания'!$C:$C,A235)+COUNTIF('Все сочетания'!$F:$F,A235)</x:f>
        <x:v>1</x:v>
      </x:c>
    </x:row>
    <x:row r="236" ht="46" customHeight="1">
      <x:c r="A236" s="28" t="str">
        <x:v>отварной artichoke</x:v>
      </x:c>
      <x:c r="B236" s="28" t="str">
        <x:v>Овощи и грибы</x:v>
      </x:c>
      <x:c r="C236" s="28" t="str">
        <x:v>зелёный, землистый, сернистый</x:v>
      </x:c>
      <x:c r="D236" s="28" t="str">
        <x:v>C6-альдегиды, пиразины, сернистые соединения</x:v>
      </x:c>
      <x:c r="E236" s="28" t="str">
        <x:v>растительный, иногда умами</x:v>
      </x:c>
      <x:c r="F236" s="28" t="str">
        <x:v>обычно отсутствует; зависит от конкретного продукта</x:v>
      </x:c>
      <x:c r="G236" s="28" t="str">
        <x:v>высокая доля воды; нагрев меняет зелёный профиль</x:v>
      </x:c>
      <x:c r="H236" s="28" t="str">
        <x:v>Справочный групповой профиль; для точного состава конкретного сорта или бренда нужен инструментальный анализ.</x:v>
      </x:c>
      <x:c r="I236" s="28" t="n">
        <x:f>COUNTIF('Все сочетания'!$C:$C,A236)+COUNTIF('Все сочетания'!$F:$F,A236)</x:f>
        <x:v>1</x:v>
      </x:c>
    </x:row>
    <x:row r="237" ht="46" customHeight="1">
      <x:c r="A237" s="28" t="str">
        <x:v>отварной broccoli</x:v>
      </x:c>
      <x:c r="B237" s="28" t="str">
        <x:v>Прочее</x:v>
      </x:c>
      <x:c r="C237" s="28" t="str">
        <x:v>комплексный</x:v>
      </x:c>
      <x:c r="D237" s="28" t="str">
        <x:v>не конкретизированы</x:v>
      </x:c>
      <x:c r="E237" s="28" t="str">
        <x:v>зависит от ингредиента</x:v>
      </x:c>
      <x:c r="F237" s="28" t="str">
        <x:v>обычно отсутствует; зависит от конкретного продукта</x:v>
      </x:c>
      <x:c r="G237" s="28" t="str">
        <x:v>механизм зависит от конкретного продукта</x:v>
      </x:c>
      <x:c r="H237" s="28" t="str">
        <x:v>Справочный групповой профиль; для точного состава конкретного сорта или бренда нужен инструментальный анализ.</x:v>
      </x:c>
      <x:c r="I237" s="28" t="n">
        <x:f>COUNTIF('Все сочетания'!$C:$C,A237)+COUNTIF('Все сочетания'!$F:$F,A237)</x:f>
        <x:v>1</x:v>
      </x:c>
    </x:row>
    <x:row r="238" ht="46" customHeight="1">
      <x:c r="A238" s="28" t="str">
        <x:v>отварной brown crab meat blue</x:v>
      </x:c>
      <x:c r="B238" s="28" t="str">
        <x:v>Мясо и птица</x:v>
      </x:c>
      <x:c r="C238" s="28" t="str">
        <x:v>жареный, жирный, сернистый, умами</x:v>
      </x:c>
      <x:c r="D238" s="28" t="str">
        <x:v>альдегиды, пиразины, сернистые соединения</x:v>
      </x:c>
      <x:c r="E238" s="28" t="str">
        <x:v>умами, солёный, жирный</x:v>
      </x:c>
      <x:c r="F238" s="28" t="str">
        <x:v>обычно отсутствует; зависит от конкретного продукта</x:v>
      </x:c>
      <x:c r="G238" s="28" t="str">
        <x:v>жир переносит аромат; реакция Майяра создаёт новые одоранты</x:v>
      </x:c>
      <x:c r="H238" s="28" t="str">
        <x:v>Справочный групповой профиль; для точного состава конкретного сорта или бренда нужен инструментальный анализ.</x:v>
      </x:c>
      <x:c r="I238" s="28" t="n">
        <x:f>COUNTIF('Все сочетания'!$C:$C,A238)+COUNTIF('Все сочетания'!$F:$F,A238)</x:f>
        <x:v>1</x:v>
      </x:c>
    </x:row>
    <x:row r="239" ht="46" customHeight="1">
      <x:c r="A239" s="28" t="str">
        <x:v>отварной brown shrimp</x:v>
      </x:c>
      <x:c r="B239" s="28" t="str">
        <x:v>Рыба и морепродукты</x:v>
      </x:c>
      <x:c r="C239" s="28" t="str">
        <x:v>жирный, морской, умами</x:v>
      </x:c>
      <x:c r="D239" s="28" t="str">
        <x:v>альдегиды, амины, сернистые соединения</x:v>
      </x:c>
      <x:c r="E239" s="28" t="str">
        <x:v>умами, солёный</x:v>
      </x:c>
      <x:c r="F239" s="28" t="str">
        <x:v>обычно отсутствует; зависит от конкретного продукта</x:v>
      </x:c>
      <x:c r="G239" s="28" t="str">
        <x:v>белковая/жировая матрица; кислота снижает рыбные ноты</x:v>
      </x:c>
      <x:c r="H239" s="28" t="str">
        <x:v>Справочный групповой профиль; для точного состава конкретного сорта или бренда нужен инструментальный анализ.</x:v>
      </x:c>
      <x:c r="I239" s="28" t="n">
        <x:f>COUNTIF('Все сочетания'!$C:$C,A239)+COUNTIF('Все сочетания'!$F:$F,A239)</x:f>
        <x:v>1</x:v>
      </x:c>
    </x:row>
    <x:row r="240" ht="46" customHeight="1">
      <x:c r="A240" s="28" t="str">
        <x:v>отварной butternut squash</x:v>
      </x:c>
      <x:c r="B240" s="28" t="str">
        <x:v>Орехи и семена</x:v>
      </x:c>
      <x:c r="C240" s="28" t="str">
        <x:v>жареный, миндальный, ореховый</x:v>
      </x:c>
      <x:c r="D240" s="28" t="str">
        <x:v>бензальдегид, пиразины, фураны</x:v>
      </x:c>
      <x:c r="E240" s="28" t="str">
        <x:v>сладковатый, жирный</x:v>
      </x:c>
      <x:c r="F240" s="28" t="str">
        <x:v>обычно отсутствует; зависит от конкретного продукта</x:v>
      </x:c>
      <x:c r="G240" s="28" t="str">
        <x:v>жир хорошо удерживает гидрофобные одоранты</x:v>
      </x:c>
      <x:c r="H240" s="28" t="str">
        <x:v>Справочный групповой профиль; для точного состава конкретного сорта или бренда нужен инструментальный анализ.</x:v>
      </x:c>
      <x:c r="I240" s="28" t="n">
        <x:f>COUNTIF('Все сочетания'!$C:$C,A240)+COUNTIF('Все сочетания'!$F:$F,A240)</x:f>
        <x:v>1</x:v>
      </x:c>
    </x:row>
    <x:row r="241" ht="46" customHeight="1">
      <x:c r="A241" s="28" t="str">
        <x:v>отварной mutton</x:v>
      </x:c>
      <x:c r="B241" s="28" t="str">
        <x:v>Прочее</x:v>
      </x:c>
      <x:c r="C241" s="28" t="str">
        <x:v>комплексный</x:v>
      </x:c>
      <x:c r="D241" s="28" t="str">
        <x:v>не конкретизированы</x:v>
      </x:c>
      <x:c r="E241" s="28" t="str">
        <x:v>зависит от ингредиента</x:v>
      </x:c>
      <x:c r="F241" s="28" t="str">
        <x:v>обычно отсутствует; зависит от конкретного продукта</x:v>
      </x:c>
      <x:c r="G241" s="28" t="str">
        <x:v>механизм зависит от конкретного продукта</x:v>
      </x:c>
      <x:c r="H241" s="28" t="str">
        <x:v>Справочный групповой профиль; для точного состава конкретного сорта или бренда нужен инструментальный анализ.</x:v>
      </x:c>
      <x:c r="I241" s="28" t="n">
        <x:f>COUNTIF('Все сочетания'!$C:$C,A241)+COUNTIF('Все сочетания'!$F:$F,A241)</x:f>
        <x:v>1</x:v>
      </x:c>
    </x:row>
    <x:row r="242" ht="46" customHeight="1">
      <x:c r="A242" s="28" t="str">
        <x:v>отварной peas</x:v>
      </x:c>
      <x:c r="B242" s="28" t="str">
        <x:v>Прочее</x:v>
      </x:c>
      <x:c r="C242" s="28" t="str">
        <x:v>комплексный</x:v>
      </x:c>
      <x:c r="D242" s="28" t="str">
        <x:v>не конкретизированы</x:v>
      </x:c>
      <x:c r="E242" s="28" t="str">
        <x:v>зависит от ингредиента</x:v>
      </x:c>
      <x:c r="F242" s="28" t="str">
        <x:v>обычно отсутствует; зависит от конкретного продукта</x:v>
      </x:c>
      <x:c r="G242" s="28" t="str">
        <x:v>механизм зависит от конкретного продукта</x:v>
      </x:c>
      <x:c r="H242" s="28" t="str">
        <x:v>Справочный групповой профиль; для точного состава конкретного сорта или бренда нужен инструментальный анализ.</x:v>
      </x:c>
      <x:c r="I242" s="28" t="n">
        <x:f>COUNTIF('Все сочетания'!$C:$C,A242)+COUNTIF('Все сочетания'!$F:$F,A242)</x:f>
        <x:v>1</x:v>
      </x:c>
    </x:row>
    <x:row r="243" ht="46" customHeight="1">
      <x:c r="A243" s="28" t="str">
        <x:v>отварной tomatillo</x:v>
      </x:c>
      <x:c r="B243" s="28" t="str">
        <x:v>Прочее</x:v>
      </x:c>
      <x:c r="C243" s="28" t="str">
        <x:v>комплексный</x:v>
      </x:c>
      <x:c r="D243" s="28" t="str">
        <x:v>не конкретизированы</x:v>
      </x:c>
      <x:c r="E243" s="28" t="str">
        <x:v>зависит от ингредиента</x:v>
      </x:c>
      <x:c r="F243" s="28" t="str">
        <x:v>обычно отсутствует; зависит от конкретного продукта</x:v>
      </x:c>
      <x:c r="G243" s="28" t="str">
        <x:v>механизм зависит от конкретного продукта</x:v>
      </x:c>
      <x:c r="H243" s="28" t="str">
        <x:v>Справочный групповой профиль; для точного состава конкретного сорта или бренда нужен инструментальный анализ.</x:v>
      </x:c>
      <x:c r="I243" s="28" t="n">
        <x:f>COUNTIF('Все сочетания'!$C:$C,A243)+COUNTIF('Все сочетания'!$F:$F,A243)</x:f>
        <x:v>1</x:v>
      </x:c>
    </x:row>
    <x:row r="244" ht="46" customHeight="1">
      <x:c r="A244" s="28" t="str">
        <x:v>пак-чой</x:v>
      </x:c>
      <x:c r="B244" s="28" t="str">
        <x:v>Прочее</x:v>
      </x:c>
      <x:c r="C244" s="28" t="str">
        <x:v>комплексный</x:v>
      </x:c>
      <x:c r="D244" s="28" t="str">
        <x:v>не конкретизированы</x:v>
      </x:c>
      <x:c r="E244" s="28" t="str">
        <x:v>зависит от ингредиента</x:v>
      </x:c>
      <x:c r="F244" s="28" t="str">
        <x:v>обычно отсутствует; зависит от конкретного продукта</x:v>
      </x:c>
      <x:c r="G244" s="28" t="str">
        <x:v>механизм зависит от конкретного продукта</x:v>
      </x:c>
      <x:c r="H244" s="28" t="str">
        <x:v>Справочный групповой профиль; для точного состава конкретного сорта или бренда нужен инструментальный анализ.</x:v>
      </x:c>
      <x:c r="I244" s="28" t="n">
        <x:f>COUNTIF('Все сочетания'!$C:$C,A244)+COUNTIF('Все сочетания'!$F:$F,A244)</x:f>
        <x:v>1</x:v>
      </x:c>
    </x:row>
    <x:row r="245" ht="46" customHeight="1">
      <x:c r="A245" s="28" t="str">
        <x:v>папайя</x:v>
      </x:c>
      <x:c r="B245" s="28" t="str">
        <x:v>Прочее</x:v>
      </x:c>
      <x:c r="C245" s="28" t="str">
        <x:v>комплексный</x:v>
      </x:c>
      <x:c r="D245" s="28" t="str">
        <x:v>не конкретизированы</x:v>
      </x:c>
      <x:c r="E245" s="28" t="str">
        <x:v>зависит от ингредиента</x:v>
      </x:c>
      <x:c r="F245" s="28" t="str">
        <x:v>обычно отсутствует; зависит от конкретного продукта</x:v>
      </x:c>
      <x:c r="G245" s="28" t="str">
        <x:v>механизм зависит от конкретного продукта</x:v>
      </x:c>
      <x:c r="H245" s="28" t="str">
        <x:v>Справочный групповой профиль; для точного состава конкретного сорта или бренда нужен инструментальный анализ.</x:v>
      </x:c>
      <x:c r="I245" s="28" t="n">
        <x:f>COUNTIF('Все сочетания'!$C:$C,A245)+COUNTIF('Все сочетания'!$F:$F,A245)</x:f>
        <x:v>1</x:v>
      </x:c>
    </x:row>
    <x:row r="246" ht="46" customHeight="1">
      <x:c r="A246" s="28" t="str">
        <x:v>пармиджано-реджано</x:v>
      </x:c>
      <x:c r="B246" s="28" t="str">
        <x:v>Рыба и морепродукты</x:v>
      </x:c>
      <x:c r="C246" s="28" t="str">
        <x:v>жирный, морской, умами</x:v>
      </x:c>
      <x:c r="D246" s="28" t="str">
        <x:v>альдегиды, амины, сернистые соединения</x:v>
      </x:c>
      <x:c r="E246" s="28" t="str">
        <x:v>умами, солёный</x:v>
      </x:c>
      <x:c r="F246" s="28" t="str">
        <x:v>обычно отсутствует; зависит от конкретного продукта</x:v>
      </x:c>
      <x:c r="G246" s="28" t="str">
        <x:v>белковая/жировая матрица; кислота снижает рыбные ноты</x:v>
      </x:c>
      <x:c r="H246" s="28" t="str">
        <x:v>Справочный групповой профиль; для точного состава конкретного сорта или бренда нужен инструментальный анализ.</x:v>
      </x:c>
      <x:c r="I246" s="28" t="n">
        <x:f>COUNTIF('Все сочетания'!$C:$C,A246)+COUNTIF('Все сочетания'!$F:$F,A246)</x:f>
        <x:v>4</x:v>
      </x:c>
    </x:row>
    <x:row r="247" ht="46" customHeight="1">
      <x:c r="A247" s="28" t="str">
        <x:v>паста из твёрдой пшеницы</x:v>
      </x:c>
      <x:c r="B247" s="28" t="str">
        <x:v>Ферментированные продукты, соусы и уксусы</x:v>
      </x:c>
      <x:c r="C247" s="28" t="str">
        <x:v>кислый, умами, ферментированный</x:v>
      </x:c>
      <x:c r="D247" s="28" t="str">
        <x:v>аминокислоты, органические кислоты, эфиры</x:v>
      </x:c>
      <x:c r="E247" s="28" t="str">
        <x:v>кислый/солёный/умами</x:v>
      </x:c>
      <x:c r="F247" s="28" t="str">
        <x:v>обычно отсутствует; зависит от конкретного продукта</x:v>
      </x:c>
      <x:c r="G247" s="28" t="str">
        <x:v>вода, соль и продукты ферментации</x:v>
      </x:c>
      <x:c r="H247" s="28" t="str">
        <x:v>Справочный групповой профиль; для точного состава конкретного сорта или бренда нужен инструментальный анализ.</x:v>
      </x:c>
      <x:c r="I247" s="28" t="n">
        <x:f>COUNTIF('Все сочетания'!$C:$C,A247)+COUNTIF('Все сочетания'!$F:$F,A247)</x:f>
        <x:v>2</x:v>
      </x:c>
    </x:row>
    <x:row r="248" ht="46" customHeight="1">
      <x:c r="A248" s="28" t="str">
        <x:v>пастеризованный томатный сок</x:v>
      </x:c>
      <x:c r="B248" s="28" t="str">
        <x:v>Овощи и грибы</x:v>
      </x:c>
      <x:c r="C248" s="28" t="str">
        <x:v>зелёный, землистый, сернистый</x:v>
      </x:c>
      <x:c r="D248" s="28" t="str">
        <x:v>C6-альдегиды, пиразины, сернистые соединения</x:v>
      </x:c>
      <x:c r="E248" s="28" t="str">
        <x:v>растительный, иногда умами</x:v>
      </x:c>
      <x:c r="F248" s="28" t="str">
        <x:v>обычно отсутствует; зависит от конкретного продукта</x:v>
      </x:c>
      <x:c r="G248" s="28" t="str">
        <x:v>высокая доля воды; нагрев меняет зелёный профиль</x:v>
      </x:c>
      <x:c r="H248" s="28" t="str">
        <x:v>Справочный групповой профиль; для точного состава конкретного сорта или бренда нужен инструментальный анализ.</x:v>
      </x:c>
      <x:c r="I248" s="28" t="n">
        <x:f>COUNTIF('Все сочетания'!$C:$C,A248)+COUNTIF('Все сочетания'!$F:$F,A248)</x:f>
        <x:v>1</x:v>
      </x:c>
    </x:row>
    <x:row r="249" ht="46" customHeight="1">
      <x:c r="A249" s="28" t="str">
        <x:v>пекан</x:v>
      </x:c>
      <x:c r="B249" s="28" t="str">
        <x:v>Орехи и семена</x:v>
      </x:c>
      <x:c r="C249" s="28" t="str">
        <x:v>жареный, миндальный, ореховый</x:v>
      </x:c>
      <x:c r="D249" s="28" t="str">
        <x:v>бензальдегид, пиразины, фураны</x:v>
      </x:c>
      <x:c r="E249" s="28" t="str">
        <x:v>сладковатый, жирный</x:v>
      </x:c>
      <x:c r="F249" s="28" t="str">
        <x:v>обычно отсутствует; зависит от конкретного продукта</x:v>
      </x:c>
      <x:c r="G249" s="28" t="str">
        <x:v>жир хорошо удерживает гидрофобные одоранты</x:v>
      </x:c>
      <x:c r="H249" s="28" t="str">
        <x:v>Справочный групповой профиль; для точного состава конкретного сорта или бренда нужен инструментальный анализ.</x:v>
      </x:c>
      <x:c r="I249" s="28" t="n">
        <x:f>COUNTIF('Все сочетания'!$C:$C,A249)+COUNTIF('Все сочетания'!$F:$F,A249)</x:f>
        <x:v>1</x:v>
      </x:c>
    </x:row>
    <x:row r="250" ht="46" customHeight="1">
      <x:c r="A250" s="28" t="str">
        <x:v>перец</x:v>
      </x:c>
      <x:c r="B250" s="28" t="str">
        <x:v>Специи</x:v>
      </x:c>
      <x:c r="C250" s="28" t="str">
        <x:v>древесный, пряный, тёплый</x:v>
      </x:c>
      <x:c r="D250" s="28" t="str">
        <x:v>коричный альдегид, терпены, эвгенол</x:v>
      </x:c>
      <x:c r="E250" s="28" t="str">
        <x:v>пряный, иногда горький</x:v>
      </x:c>
      <x:c r="F250" s="28" t="str">
        <x:v>обычно отсутствует; зависит от конкретного продукта</x:v>
      </x:c>
      <x:c r="G250" s="28" t="str">
        <x:v>эфирные масла хорошо извлекаются спиртом и жиром</x:v>
      </x:c>
      <x:c r="H250" s="28" t="str">
        <x:v>Справочный групповой профиль; для точного состава конкретного сорта или бренда нужен инструментальный анализ.</x:v>
      </x:c>
      <x:c r="I250" s="28" t="n">
        <x:f>COUNTIF('Все сочетания'!$C:$C,A250)+COUNTIF('Все сочетания'!$F:$F,A250)</x:f>
        <x:v>4</x:v>
      </x:c>
    </x:row>
    <x:row r="251" ht="46" customHeight="1">
      <x:c r="A251" s="28" t="str">
        <x:v>перец чили</x:v>
      </x:c>
      <x:c r="B251" s="28" t="str">
        <x:v>Специи</x:v>
      </x:c>
      <x:c r="C251" s="28" t="str">
        <x:v>древесный, пряный, тёплый</x:v>
      </x:c>
      <x:c r="D251" s="28" t="str">
        <x:v>коричный альдегид, терпены, эвгенол</x:v>
      </x:c>
      <x:c r="E251" s="28" t="str">
        <x:v>пряный, иногда горький</x:v>
      </x:c>
      <x:c r="F251" s="28" t="str">
        <x:v>обычно отсутствует; зависит от конкретного продукта</x:v>
      </x:c>
      <x:c r="G251" s="28" t="str">
        <x:v>эфирные масла хорошо извлекаются спиртом и жиром</x:v>
      </x:c>
      <x:c r="H251" s="28" t="str">
        <x:v>Справочный групповой профиль; для точного состава конкретного сорта или бренда нужен инструментальный анализ.</x:v>
      </x:c>
      <x:c r="I251" s="28" t="n">
        <x:f>COUNTIF('Все сочетания'!$C:$C,A251)+COUNTIF('Все сочетания'!$F:$F,A251)</x:f>
        <x:v>5</x:v>
      </x:c>
    </x:row>
    <x:row r="252" ht="46" customHeight="1">
      <x:c r="A252" s="28" t="str">
        <x:v>персик</x:v>
      </x:c>
      <x:c r="B252" s="28" t="str">
        <x:v>Фрукты</x:v>
      </x:c>
      <x:c r="C252" s="28" t="str">
        <x:v>зелёный, фруктовый, цветочный</x:v>
      </x:c>
      <x:c r="D252" s="28" t="str">
        <x:v>лактоны, терпены, эфиры</x:v>
      </x:c>
      <x:c r="E252" s="28" t="str">
        <x:v>сладко-кислый</x:v>
      </x:c>
      <x:c r="F252" s="28" t="str">
        <x:v>обычно отсутствует; зависит от конкретного продукта</x:v>
      </x:c>
      <x:c r="G252" s="28" t="str">
        <x:v>водная фруктовая матрица</x:v>
      </x:c>
      <x:c r="H252" s="28" t="str">
        <x:v>Справочный групповой профиль; для точного состава конкретного сорта или бренда нужен инструментальный анализ.</x:v>
      </x:c>
      <x:c r="I252" s="28" t="n">
        <x:f>COUNTIF('Все сочетания'!$C:$C,A252)+COUNTIF('Все сочетания'!$F:$F,A252)</x:f>
        <x:v>11</x:v>
      </x:c>
    </x:row>
    <x:row r="253" ht="46" customHeight="1">
      <x:c r="A253" s="28" t="str">
        <x:v>петрушка</x:v>
      </x:c>
      <x:c r="B253" s="28" t="str">
        <x:v>Травы и цветы</x:v>
      </x:c>
      <x:c r="C253" s="28" t="str">
        <x:v>зелёный, травянистый, цветочный</x:v>
      </x:c>
      <x:c r="D253" s="28" t="str">
        <x:v>гераниол, линалоол, терпены, эвгенол</x:v>
      </x:c>
      <x:c r="E253" s="28" t="str">
        <x:v>горьковатый, свежий</x:v>
      </x:c>
      <x:c r="F253" s="28" t="str">
        <x:v>обычно отсутствует; зависит от конкретного продукта</x:v>
      </x:c>
      <x:c r="G253" s="28" t="str">
        <x:v>летучие масла чувствительны к нагреву</x:v>
      </x:c>
      <x:c r="H253" s="28" t="str">
        <x:v>Справочный групповой профиль; для точного состава конкретного сорта или бренда нужен инструментальный анализ.</x:v>
      </x:c>
      <x:c r="I253" s="28" t="n">
        <x:f>COUNTIF('Все сочетания'!$C:$C,A253)+COUNTIF('Все сочетания'!$F:$F,A253)</x:f>
        <x:v>1</x:v>
      </x:c>
    </x:row>
    <x:row r="254" ht="46" customHeight="1">
      <x:c r="A254" s="28" t="str">
        <x:v>питахайя (dragon fruit)</x:v>
      </x:c>
      <x:c r="B254" s="28" t="str">
        <x:v>Прочее</x:v>
      </x:c>
      <x:c r="C254" s="28" t="str">
        <x:v>комплексный</x:v>
      </x:c>
      <x:c r="D254" s="28" t="str">
        <x:v>не конкретизированы</x:v>
      </x:c>
      <x:c r="E254" s="28" t="str">
        <x:v>зависит от ингредиента</x:v>
      </x:c>
      <x:c r="F254" s="28" t="str">
        <x:v>обычно отсутствует; зависит от конкретного продукта</x:v>
      </x:c>
      <x:c r="G254" s="28" t="str">
        <x:v>механизм зависит от конкретного продукта</x:v>
      </x:c>
      <x:c r="H254" s="28" t="str">
        <x:v>Справочный групповой профиль; для точного состава конкретного сорта или бренда нужен инструментальный анализ.</x:v>
      </x:c>
      <x:c r="I254" s="28" t="n">
        <x:f>COUNTIF('Все сочетания'!$C:$C,A254)+COUNTIF('Все сочетания'!$F:$F,A254)</x:f>
        <x:v>1</x:v>
      </x:c>
    </x:row>
    <x:row r="255" ht="46" customHeight="1">
      <x:c r="A255" s="28" t="str">
        <x:v>приготовленная киноа</x:v>
      </x:c>
      <x:c r="B255" s="28" t="str">
        <x:v>Злаки и выпечка</x:v>
      </x:c>
      <x:c r="C255" s="28" t="str">
        <x:v>жареный, зерновой, солодовый</x:v>
      </x:c>
      <x:c r="D255" s="28" t="str">
        <x:v>мальтол, пиразины, фураны</x:v>
      </x:c>
      <x:c r="E255" s="28" t="str">
        <x:v>крахмалистый, сладковатый</x:v>
      </x:c>
      <x:c r="F255" s="28" t="str">
        <x:v>обычно отсутствует; зависит от конкретного продукта</x:v>
      </x:c>
      <x:c r="G255" s="28" t="str">
        <x:v>крахмал и сухая пористая матрица</x:v>
      </x:c>
      <x:c r="H255" s="28" t="str">
        <x:v>Справочный групповой профиль; для точного состава конкретного сорта или бренда нужен инструментальный анализ.</x:v>
      </x:c>
      <x:c r="I255" s="28" t="n">
        <x:f>COUNTIF('Все сочетания'!$C:$C,A255)+COUNTIF('Все сочетания'!$F:$F,A255)</x:f>
        <x:v>1</x:v>
      </x:c>
    </x:row>
    <x:row r="256" ht="46" customHeight="1">
      <x:c r="A256" s="28" t="str">
        <x:v>приготовленные моллюски</x:v>
      </x:c>
      <x:c r="B256" s="28" t="str">
        <x:v>Рыба и морепродукты</x:v>
      </x:c>
      <x:c r="C256" s="28" t="str">
        <x:v>жирный, морской, умами</x:v>
      </x:c>
      <x:c r="D256" s="28" t="str">
        <x:v>альдегиды, амины, сернистые соединения</x:v>
      </x:c>
      <x:c r="E256" s="28" t="str">
        <x:v>умами, солёный</x:v>
      </x:c>
      <x:c r="F256" s="28" t="str">
        <x:v>обычно отсутствует; зависит от конкретного продукта</x:v>
      </x:c>
      <x:c r="G256" s="28" t="str">
        <x:v>белковая/жировая матрица; кислота снижает рыбные ноты</x:v>
      </x:c>
      <x:c r="H256" s="28" t="str">
        <x:v>Справочный групповой профиль; для точного состава конкретного сорта или бренда нужен инструментальный анализ.</x:v>
      </x:c>
      <x:c r="I256" s="28" t="n">
        <x:f>COUNTIF('Все сочетания'!$C:$C,A256)+COUNTIF('Все сочетания'!$F:$F,A256)</x:f>
        <x:v>1</x:v>
      </x:c>
    </x:row>
    <x:row r="257" ht="46" customHeight="1">
      <x:c r="A257" s="28" t="str">
        <x:v>приготовленный black-eyed beans</x:v>
      </x:c>
      <x:c r="B257" s="28" t="str">
        <x:v>Овощи и грибы</x:v>
      </x:c>
      <x:c r="C257" s="28" t="str">
        <x:v>зелёный, землистый, сернистый</x:v>
      </x:c>
      <x:c r="D257" s="28" t="str">
        <x:v>C6-альдегиды, пиразины, сернистые соединения</x:v>
      </x:c>
      <x:c r="E257" s="28" t="str">
        <x:v>растительный, иногда умами</x:v>
      </x:c>
      <x:c r="F257" s="28" t="str">
        <x:v>обычно отсутствует; зависит от конкретного продукта</x:v>
      </x:c>
      <x:c r="G257" s="28" t="str">
        <x:v>высокая доля воды; нагрев меняет зелёный профиль</x:v>
      </x:c>
      <x:c r="H257" s="28" t="str">
        <x:v>Справочный групповой профиль; для точного состава конкретного сорта или бренда нужен инструментальный анализ.</x:v>
      </x:c>
      <x:c r="I257" s="28" t="n">
        <x:f>COUNTIF('Все сочетания'!$C:$C,A257)+COUNTIF('Все сочетания'!$F:$F,A257)</x:f>
        <x:v>1</x:v>
      </x:c>
    </x:row>
    <x:row r="258" ht="46" customHeight="1">
      <x:c r="A258" s="28" t="str">
        <x:v>приготовленный black salsify</x:v>
      </x:c>
      <x:c r="B258" s="28" t="str">
        <x:v>Прочее</x:v>
      </x:c>
      <x:c r="C258" s="28" t="str">
        <x:v>комплексный</x:v>
      </x:c>
      <x:c r="D258" s="28" t="str">
        <x:v>не конкретизированы</x:v>
      </x:c>
      <x:c r="E258" s="28" t="str">
        <x:v>зависит от ингредиента</x:v>
      </x:c>
      <x:c r="F258" s="28" t="str">
        <x:v>обычно отсутствует; зависит от конкретного продукта</x:v>
      </x:c>
      <x:c r="G258" s="28" t="str">
        <x:v>механизм зависит от конкретного продукта</x:v>
      </x:c>
      <x:c r="H258" s="28" t="str">
        <x:v>Справочный групповой профиль; для точного состава конкретного сорта или бренда нужен инструментальный анализ.</x:v>
      </x:c>
      <x:c r="I258" s="28" t="n">
        <x:f>COUNTIF('Все сочетания'!$C:$C,A258)+COUNTIF('Все сочетания'!$F:$F,A258)</x:f>
        <x:v>1</x:v>
      </x:c>
    </x:row>
    <x:row r="259" ht="46" customHeight="1">
      <x:c r="A259" s="28" t="str">
        <x:v>приготовленный mussels swe</x:v>
      </x:c>
      <x:c r="B259" s="28" t="str">
        <x:v>Рыба и морепродукты</x:v>
      </x:c>
      <x:c r="C259" s="28" t="str">
        <x:v>жирный, морской, умами</x:v>
      </x:c>
      <x:c r="D259" s="28" t="str">
        <x:v>альдегиды, амины, сернистые соединения</x:v>
      </x:c>
      <x:c r="E259" s="28" t="str">
        <x:v>умами, солёный</x:v>
      </x:c>
      <x:c r="F259" s="28" t="str">
        <x:v>обычно отсутствует; зависит от конкретного продукта</x:v>
      </x:c>
      <x:c r="G259" s="28" t="str">
        <x:v>белковая/жировая матрица; кислота снижает рыбные ноты</x:v>
      </x:c>
      <x:c r="H259" s="28" t="str">
        <x:v>Справочный групповой профиль; для точного состава конкретного сорта или бренда нужен инструментальный анализ.</x:v>
      </x:c>
      <x:c r="I259" s="28" t="n">
        <x:f>COUNTIF('Все сочетания'!$C:$C,A259)+COUNTIF('Все сочетания'!$F:$F,A259)</x:f>
        <x:v>1</x:v>
      </x:c>
    </x:row>
    <x:row r="260" ht="46" customHeight="1">
      <x:c r="A260" s="28" t="str">
        <x:v>приготовленный дикий рис</x:v>
      </x:c>
      <x:c r="B260" s="28" t="str">
        <x:v>Злаки и выпечка</x:v>
      </x:c>
      <x:c r="C260" s="28" t="str">
        <x:v>жареный, зерновой, солодовый</x:v>
      </x:c>
      <x:c r="D260" s="28" t="str">
        <x:v>мальтол, пиразины, фураны</x:v>
      </x:c>
      <x:c r="E260" s="28" t="str">
        <x:v>крахмалистый, сладковатый</x:v>
      </x:c>
      <x:c r="F260" s="28" t="str">
        <x:v>обычно отсутствует; зависит от конкретного продукта</x:v>
      </x:c>
      <x:c r="G260" s="28" t="str">
        <x:v>крахмал и сухая пористая матрица</x:v>
      </x:c>
      <x:c r="H260" s="28" t="str">
        <x:v>Справочный групповой профиль; для точного состава конкретного сорта или бренда нужен инструментальный анализ.</x:v>
      </x:c>
      <x:c r="I260" s="28" t="n">
        <x:f>COUNTIF('Все сочетания'!$C:$C,A260)+COUNTIF('Все сочетания'!$F:$F,A260)</x:f>
        <x:v>1</x:v>
      </x:c>
    </x:row>
    <x:row r="261" ht="46" customHeight="1">
      <x:c r="A261" s="28" t="str">
        <x:v>припущенная кефаль</x:v>
      </x:c>
      <x:c r="B261" s="28" t="str">
        <x:v>Рыба и морепродукты</x:v>
      </x:c>
      <x:c r="C261" s="28" t="str">
        <x:v>жирный, морской, умами</x:v>
      </x:c>
      <x:c r="D261" s="28" t="str">
        <x:v>альдегиды, амины, сернистые соединения</x:v>
      </x:c>
      <x:c r="E261" s="28" t="str">
        <x:v>умами, солёный</x:v>
      </x:c>
      <x:c r="F261" s="28" t="str">
        <x:v>обычно отсутствует; зависит от конкретного продукта</x:v>
      </x:c>
      <x:c r="G261" s="28" t="str">
        <x:v>белковая/жировая матрица; кислота снижает рыбные ноты</x:v>
      </x:c>
      <x:c r="H261" s="28" t="str">
        <x:v>Справочный групповой профиль; для точного состава конкретного сорта или бренда нужен инструментальный анализ.</x:v>
      </x:c>
      <x:c r="I261" s="28" t="n">
        <x:f>COUNTIF('Все сочетания'!$C:$C,A261)+COUNTIF('Все сочетания'!$F:$F,A261)</x:f>
        <x:v>1</x:v>
      </x:c>
    </x:row>
    <x:row r="262" ht="46" customHeight="1">
      <x:c r="A262" s="28" t="str">
        <x:v>припущенное крыло ската</x:v>
      </x:c>
      <x:c r="B262" s="28" t="str">
        <x:v>Прочее</x:v>
      </x:c>
      <x:c r="C262" s="28" t="str">
        <x:v>комплексный</x:v>
      </x:c>
      <x:c r="D262" s="28" t="str">
        <x:v>не конкретизированы</x:v>
      </x:c>
      <x:c r="E262" s="28" t="str">
        <x:v>зависит от ингредиента</x:v>
      </x:c>
      <x:c r="F262" s="28" t="str">
        <x:v>обычно отсутствует; зависит от конкретного продукта</x:v>
      </x:c>
      <x:c r="G262" s="28" t="str">
        <x:v>механизм зависит от конкретного продукта</x:v>
      </x:c>
      <x:c r="H262" s="28" t="str">
        <x:v>Справочный групповой профиль; для точного состава конкретного сорта или бренда нужен инструментальный анализ.</x:v>
      </x:c>
      <x:c r="I262" s="28" t="n">
        <x:f>COUNTIF('Все сочетания'!$C:$C,A262)+COUNTIF('Все сочетания'!$F:$F,A262)</x:f>
        <x:v>1</x:v>
      </x:c>
    </x:row>
    <x:row r="263" ht="46" customHeight="1">
      <x:c r="A263" s="28" t="str">
        <x:v>припущенный chicken whi</x:v>
      </x:c>
      <x:c r="B263" s="28" t="str">
        <x:v>Мясо и птица</x:v>
      </x:c>
      <x:c r="C263" s="28" t="str">
        <x:v>жареный, жирный, сернистый, умами</x:v>
      </x:c>
      <x:c r="D263" s="28" t="str">
        <x:v>альдегиды, пиразины, сернистые соединения</x:v>
      </x:c>
      <x:c r="E263" s="28" t="str">
        <x:v>умами, солёный, жирный</x:v>
      </x:c>
      <x:c r="F263" s="28" t="str">
        <x:v>обычно отсутствует; зависит от конкретного продукта</x:v>
      </x:c>
      <x:c r="G263" s="28" t="str">
        <x:v>жир переносит аромат; реакция Майяра создаёт новые одоранты</x:v>
      </x:c>
      <x:c r="H263" s="28" t="str">
        <x:v>Справочный групповой профиль; для точного состава конкретного сорта или бренда нужен инструментальный анализ.</x:v>
      </x:c>
      <x:c r="I263" s="28" t="n">
        <x:f>COUNTIF('Все сочетания'!$C:$C,A263)+COUNTIF('Все сочетания'!$F:$F,A263)</x:f>
        <x:v>1</x:v>
      </x:c>
    </x:row>
    <x:row r="264" ht="46" customHeight="1">
      <x:c r="A264" s="28" t="str">
        <x:v>припущенный лосось</x:v>
      </x:c>
      <x:c r="B264" s="28" t="str">
        <x:v>Рыба и морепродукты</x:v>
      </x:c>
      <x:c r="C264" s="28" t="str">
        <x:v>жирный, морской, умами</x:v>
      </x:c>
      <x:c r="D264" s="28" t="str">
        <x:v>альдегиды, амины, сернистые соединения</x:v>
      </x:c>
      <x:c r="E264" s="28" t="str">
        <x:v>умами, солёный</x:v>
      </x:c>
      <x:c r="F264" s="28" t="str">
        <x:v>обычно отсутствует; зависит от конкретного продукта</x:v>
      </x:c>
      <x:c r="G264" s="28" t="str">
        <x:v>белковая/жировая матрица; кислота снижает рыбные ноты</x:v>
      </x:c>
      <x:c r="H264" s="28" t="str">
        <x:v>Справочный групповой профиль; для точного состава конкретного сорта или бренда нужен инструментальный анализ.</x:v>
      </x:c>
      <x:c r="I264" s="28" t="n">
        <x:f>COUNTIF('Все сочетания'!$C:$C,A264)+COUNTIF('Все сочетания'!$F:$F,A264)</x:f>
        <x:v>1</x:v>
      </x:c>
    </x:row>
    <x:row r="265" ht="46" customHeight="1">
      <x:c r="A265" s="28" t="str">
        <x:v>пюре из жареного красного перца</x:v>
      </x:c>
      <x:c r="B265" s="28" t="str">
        <x:v>Прочее</x:v>
      </x:c>
      <x:c r="C265" s="28" t="str">
        <x:v>комплексный</x:v>
      </x:c>
      <x:c r="D265" s="28" t="str">
        <x:v>не конкретизированы</x:v>
      </x:c>
      <x:c r="E265" s="28" t="str">
        <x:v>зависит от ингредиента</x:v>
      </x:c>
      <x:c r="F265" s="28" t="str">
        <x:v>обычно отсутствует; зависит от конкретного продукта</x:v>
      </x:c>
      <x:c r="G265" s="28" t="str">
        <x:v>механизм зависит от конкретного продукта</x:v>
      </x:c>
      <x:c r="H265" s="28" t="str">
        <x:v>Справочный групповой профиль; для точного состава конкретного сорта или бренда нужен инструментальный анализ.</x:v>
      </x:c>
      <x:c r="I265" s="28" t="n">
        <x:f>COUNTIF('Все сочетания'!$C:$C,A265)+COUNTIF('Все сочетания'!$F:$F,A265)</x:f>
        <x:v>1</x:v>
      </x:c>
    </x:row>
    <x:row r="266" ht="46" customHeight="1">
      <x:c r="A266" s="28" t="str">
        <x:v>ракообразные</x:v>
      </x:c>
      <x:c r="B266" s="28" t="str">
        <x:v>Прочее</x:v>
      </x:c>
      <x:c r="C266" s="28" t="str">
        <x:v>комплексный</x:v>
      </x:c>
      <x:c r="D266" s="28" t="str">
        <x:v>не конкретизированы</x:v>
      </x:c>
      <x:c r="E266" s="28" t="str">
        <x:v>зависит от ингредиента</x:v>
      </x:c>
      <x:c r="F266" s="28" t="str">
        <x:v>обычно отсутствует; зависит от конкретного продукта</x:v>
      </x:c>
      <x:c r="G266" s="28" t="str">
        <x:v>механизм зависит от конкретного продукта</x:v>
      </x:c>
      <x:c r="H266" s="28" t="str">
        <x:v>Справочный групповой профиль; для точного состава конкретного сорта или бренда нужен инструментальный анализ.</x:v>
      </x:c>
      <x:c r="I266" s="28" t="n">
        <x:f>COUNTIF('Все сочетания'!$C:$C,A266)+COUNTIF('Все сочетания'!$F:$F,A266)</x:f>
        <x:v>3</x:v>
      </x:c>
    </x:row>
    <x:row r="267" ht="46" customHeight="1">
      <x:c r="A267" s="28" t="str">
        <x:v>ревень</x:v>
      </x:c>
      <x:c r="B267" s="28" t="str">
        <x:v>Прочее</x:v>
      </x:c>
      <x:c r="C267" s="28" t="str">
        <x:v>комплексный</x:v>
      </x:c>
      <x:c r="D267" s="28" t="str">
        <x:v>не конкретизированы</x:v>
      </x:c>
      <x:c r="E267" s="28" t="str">
        <x:v>зависит от ингредиента</x:v>
      </x:c>
      <x:c r="F267" s="28" t="str">
        <x:v>обычно отсутствует; зависит от конкретного продукта</x:v>
      </x:c>
      <x:c r="G267" s="28" t="str">
        <x:v>механизм зависит от конкретного продукта</x:v>
      </x:c>
      <x:c r="H267" s="28" t="str">
        <x:v>Справочный групповой профиль; для точного состава конкретного сорта или бренда нужен инструментальный анализ.</x:v>
      </x:c>
      <x:c r="I267" s="28" t="n">
        <x:f>COUNTIF('Все сочетания'!$C:$C,A267)+COUNTIF('Все сочетания'!$F:$F,A267)</x:f>
        <x:v>4</x:v>
      </x:c>
    </x:row>
    <x:row r="268" ht="46" customHeight="1">
      <x:c r="A268" s="28" t="str">
        <x:v>редис</x:v>
      </x:c>
      <x:c r="B268" s="28" t="str">
        <x:v>Овощи и грибы</x:v>
      </x:c>
      <x:c r="C268" s="28" t="str">
        <x:v>зелёный, землистый, сернистый</x:v>
      </x:c>
      <x:c r="D268" s="28" t="str">
        <x:v>C6-альдегиды, пиразины, сернистые соединения</x:v>
      </x:c>
      <x:c r="E268" s="28" t="str">
        <x:v>растительный, иногда умами</x:v>
      </x:c>
      <x:c r="F268" s="28" t="str">
        <x:v>обычно отсутствует; зависит от конкретного продукта</x:v>
      </x:c>
      <x:c r="G268" s="28" t="str">
        <x:v>высокая доля воды; нагрев меняет зелёный профиль</x:v>
      </x:c>
      <x:c r="H268" s="28" t="str">
        <x:v>Справочный групповой профиль; для точного состава конкретного сорта или бренда нужен инструментальный анализ.</x:v>
      </x:c>
      <x:c r="I268" s="28" t="n">
        <x:f>COUNTIF('Все сочетания'!$C:$C,A268)+COUNTIF('Все сочетания'!$F:$F,A268)</x:f>
        <x:v>1</x:v>
      </x:c>
    </x:row>
    <x:row r="269" ht="46" customHeight="1">
      <x:c r="A269" s="28" t="str">
        <x:v>репа</x:v>
      </x:c>
      <x:c r="B269" s="28" t="str">
        <x:v>Овощи и грибы</x:v>
      </x:c>
      <x:c r="C269" s="28" t="str">
        <x:v>зелёный, землистый, сернистый</x:v>
      </x:c>
      <x:c r="D269" s="28" t="str">
        <x:v>C6-альдегиды, пиразины, сернистые соединения</x:v>
      </x:c>
      <x:c r="E269" s="28" t="str">
        <x:v>растительный, иногда умами</x:v>
      </x:c>
      <x:c r="F269" s="28" t="str">
        <x:v>обычно отсутствует; зависит от конкретного продукта</x:v>
      </x:c>
      <x:c r="G269" s="28" t="str">
        <x:v>высокая доля воды; нагрев меняет зелёный профиль</x:v>
      </x:c>
      <x:c r="H269" s="28" t="str">
        <x:v>Справочный групповой профиль; для точного состава конкретного сорта или бренда нужен инструментальный анализ.</x:v>
      </x:c>
      <x:c r="I269" s="28" t="n">
        <x:f>COUNTIF('Все сочетания'!$C:$C,A269)+COUNTIF('Все сочетания'!$F:$F,A269)</x:f>
        <x:v>1</x:v>
      </x:c>
    </x:row>
    <x:row r="270" ht="46" customHeight="1">
      <x:c r="A270" s="28" t="str">
        <x:v>ржаной хлеб на закваске</x:v>
      </x:c>
      <x:c r="B270" s="28" t="str">
        <x:v>Злаки и выпечка</x:v>
      </x:c>
      <x:c r="C270" s="28" t="str">
        <x:v>жареный, зерновой, солодовый</x:v>
      </x:c>
      <x:c r="D270" s="28" t="str">
        <x:v>мальтол, пиразины, фураны</x:v>
      </x:c>
      <x:c r="E270" s="28" t="str">
        <x:v>крахмалистый, сладковатый</x:v>
      </x:c>
      <x:c r="F270" s="28" t="str">
        <x:v>обычно отсутствует; зависит от конкретного продукта</x:v>
      </x:c>
      <x:c r="G270" s="28" t="str">
        <x:v>крахмал и сухая пористая матрица</x:v>
      </x:c>
      <x:c r="H270" s="28" t="str">
        <x:v>Справочный групповой профиль; для точного состава конкретного сорта или бренда нужен инструментальный анализ.</x:v>
      </x:c>
      <x:c r="I270" s="28" t="n">
        <x:f>COUNTIF('Все сочетания'!$C:$C,A270)+COUNTIF('Все сочетания'!$F:$F,A270)</x:f>
        <x:v>1</x:v>
      </x:c>
    </x:row>
    <x:row r="271" ht="46" customHeight="1">
      <x:c r="A271" s="28" t="str">
        <x:v>роза</x:v>
      </x:c>
      <x:c r="B271" s="28" t="str">
        <x:v>Травы и цветы</x:v>
      </x:c>
      <x:c r="C271" s="28" t="str">
        <x:v>зелёный, травянистый, цветочный</x:v>
      </x:c>
      <x:c r="D271" s="28" t="str">
        <x:v>гераниол, линалоол, терпены, эвгенол</x:v>
      </x:c>
      <x:c r="E271" s="28" t="str">
        <x:v>горьковатый, свежий</x:v>
      </x:c>
      <x:c r="F271" s="28" t="str">
        <x:v>обычно отсутствует; зависит от конкретного продукта</x:v>
      </x:c>
      <x:c r="G271" s="28" t="str">
        <x:v>летучие масла чувствительны к нагреву</x:v>
      </x:c>
      <x:c r="H271" s="28" t="str">
        <x:v>Справочный групповой профиль; для точного состава конкретного сорта или бренда нужен инструментальный анализ.</x:v>
      </x:c>
      <x:c r="I271" s="28" t="n">
        <x:f>COUNTIF('Все сочетания'!$C:$C,A271)+COUNTIF('Все сочетания'!$F:$F,A271)</x:f>
        <x:v>2</x:v>
      </x:c>
    </x:row>
    <x:row r="272" ht="46" customHeight="1">
      <x:c r="A272" s="28" t="str">
        <x:v>розмарин</x:v>
      </x:c>
      <x:c r="B272" s="28" t="str">
        <x:v>Травы и цветы</x:v>
      </x:c>
      <x:c r="C272" s="28" t="str">
        <x:v>зелёный, травянистый, цветочный</x:v>
      </x:c>
      <x:c r="D272" s="28" t="str">
        <x:v>гераниол, линалоол, терпены, эвгенол</x:v>
      </x:c>
      <x:c r="E272" s="28" t="str">
        <x:v>горьковатый, свежий</x:v>
      </x:c>
      <x:c r="F272" s="28" t="str">
        <x:v>обычно отсутствует; зависит от конкретного продукта</x:v>
      </x:c>
      <x:c r="G272" s="28" t="str">
        <x:v>летучие масла чувствительны к нагреву</x:v>
      </x:c>
      <x:c r="H272" s="28" t="str">
        <x:v>Справочный групповой профиль; для точного состава конкретного сорта или бренда нужен инструментальный анализ.</x:v>
      </x:c>
      <x:c r="I272" s="28" t="n">
        <x:f>COUNTIF('Все сочетания'!$C:$C,A272)+COUNTIF('Все сочетания'!$F:$F,A272)</x:f>
        <x:v>7</x:v>
      </x:c>
    </x:row>
    <x:row r="273" ht="46" customHeight="1">
      <x:c r="A273" s="28" t="str">
        <x:v>рыба</x:v>
      </x:c>
      <x:c r="B273" s="28" t="str">
        <x:v>Рыба и морепродукты</x:v>
      </x:c>
      <x:c r="C273" s="28" t="str">
        <x:v>жирный, морской, умами</x:v>
      </x:c>
      <x:c r="D273" s="28" t="str">
        <x:v>альдегиды, амины, сернистые соединения</x:v>
      </x:c>
      <x:c r="E273" s="28" t="str">
        <x:v>умами, солёный</x:v>
      </x:c>
      <x:c r="F273" s="28" t="str">
        <x:v>обычно отсутствует; зависит от конкретного продукта</x:v>
      </x:c>
      <x:c r="G273" s="28" t="str">
        <x:v>белковая/жировая матрица; кислота снижает рыбные ноты</x:v>
      </x:c>
      <x:c r="H273" s="28" t="str">
        <x:v>Справочный групповой профиль; для точного состава конкретного сорта или бренда нужен инструментальный анализ.</x:v>
      </x:c>
      <x:c r="I273" s="28" t="n">
        <x:f>COUNTIF('Все сочетания'!$C:$C,A273)+COUNTIF('Все сочетания'!$F:$F,A273)</x:f>
        <x:v>4</x:v>
      </x:c>
    </x:row>
    <x:row r="274" ht="46" customHeight="1">
      <x:c r="A274" s="28" t="str">
        <x:v>саусеп (soursop)</x:v>
      </x:c>
      <x:c r="B274" s="28" t="str">
        <x:v>Прочее</x:v>
      </x:c>
      <x:c r="C274" s="28" t="str">
        <x:v>комплексный</x:v>
      </x:c>
      <x:c r="D274" s="28" t="str">
        <x:v>не конкретизированы</x:v>
      </x:c>
      <x:c r="E274" s="28" t="str">
        <x:v>зависит от ингредиента</x:v>
      </x:c>
      <x:c r="F274" s="28" t="str">
        <x:v>обычно отсутствует; зависит от конкретного продукта</x:v>
      </x:c>
      <x:c r="G274" s="28" t="str">
        <x:v>механизм зависит от конкретного продукта</x:v>
      </x:c>
      <x:c r="H274" s="28" t="str">
        <x:v>Справочный групповой профиль; для точного состава конкретного сорта или бренда нужен инструментальный анализ.</x:v>
      </x:c>
      <x:c r="I274" s="28" t="n">
        <x:f>COUNTIF('Все сочетания'!$C:$C,A274)+COUNTIF('Все сочетания'!$F:$F,A274)</x:f>
        <x:v>2</x:v>
      </x:c>
    </x:row>
    <x:row r="275" ht="46" customHeight="1">
      <x:c r="A275" s="28" t="str">
        <x:v>свежие съедобные лепестки розы</x:v>
      </x:c>
      <x:c r="B275" s="28" t="str">
        <x:v>Травы и цветы</x:v>
      </x:c>
      <x:c r="C275" s="28" t="str">
        <x:v>зелёный, травянистый, цветочный</x:v>
      </x:c>
      <x:c r="D275" s="28" t="str">
        <x:v>гераниол, линалоол, терпены, эвгенол</x:v>
      </x:c>
      <x:c r="E275" s="28" t="str">
        <x:v>горьковатый, свежий</x:v>
      </x:c>
      <x:c r="F275" s="28" t="str">
        <x:v>обычно отсутствует; зависит от конкретного продукта</x:v>
      </x:c>
      <x:c r="G275" s="28" t="str">
        <x:v>летучие масла чувствительны к нагреву</x:v>
      </x:c>
      <x:c r="H275" s="28" t="str">
        <x:v>Справочный групповой профиль; для точного состава конкретного сорта или бренда нужен инструментальный анализ.</x:v>
      </x:c>
      <x:c r="I275" s="28" t="n">
        <x:f>COUNTIF('Все сочетания'!$C:$C,A275)+COUNTIF('Все сочетания'!$F:$F,A275)</x:f>
        <x:v>2</x:v>
      </x:c>
    </x:row>
    <x:row r="276" ht="46" customHeight="1">
      <x:c r="A276" s="28" t="str">
        <x:v>свежий корень имбиря</x:v>
      </x:c>
      <x:c r="B276" s="28" t="str">
        <x:v>Специи</x:v>
      </x:c>
      <x:c r="C276" s="28" t="str">
        <x:v>древесный, пряный, тёплый</x:v>
      </x:c>
      <x:c r="D276" s="28" t="str">
        <x:v>коричный альдегид, терпены, эвгенол</x:v>
      </x:c>
      <x:c r="E276" s="28" t="str">
        <x:v>пряный, иногда горький</x:v>
      </x:c>
      <x:c r="F276" s="28" t="str">
        <x:v>обычно отсутствует; зависит от конкретного продукта</x:v>
      </x:c>
      <x:c r="G276" s="28" t="str">
        <x:v>эфирные масла хорошо извлекаются спиртом и жиром</x:v>
      </x:c>
      <x:c r="H276" s="28" t="str">
        <x:v>Справочный групповой профиль; для точного состава конкретного сорта или бренда нужен инструментальный анализ.</x:v>
      </x:c>
      <x:c r="I276" s="28" t="n">
        <x:f>COUNTIF('Все сочетания'!$C:$C,A276)+COUNTIF('Все сочетания'!$F:$F,A276)</x:f>
        <x:v>1</x:v>
      </x:c>
    </x:row>
    <x:row r="277" ht="46" customHeight="1">
      <x:c r="A277" s="28" t="str">
        <x:v>свёкла</x:v>
      </x:c>
      <x:c r="B277" s="28" t="str">
        <x:v>Овощи и грибы</x:v>
      </x:c>
      <x:c r="C277" s="28" t="str">
        <x:v>зелёный, землистый, сернистый</x:v>
      </x:c>
      <x:c r="D277" s="28" t="str">
        <x:v>C6-альдегиды, пиразины, сернистые соединения</x:v>
      </x:c>
      <x:c r="E277" s="28" t="str">
        <x:v>растительный, иногда умами</x:v>
      </x:c>
      <x:c r="F277" s="28" t="str">
        <x:v>обычно отсутствует; зависит от конкретного продукта</x:v>
      </x:c>
      <x:c r="G277" s="28" t="str">
        <x:v>высокая доля воды; нагрев меняет зелёный профиль</x:v>
      </x:c>
      <x:c r="H277" s="28" t="str">
        <x:v>Справочный групповой профиль; для точного состава конкретного сорта или бренда нужен инструментальный анализ.</x:v>
      </x:c>
      <x:c r="I277" s="28" t="n">
        <x:f>COUNTIF('Все сочетания'!$C:$C,A277)+COUNTIF('Все сочетания'!$F:$F,A277)</x:f>
        <x:v>4</x:v>
      </x:c>
    </x:row>
    <x:row r="278" ht="46" customHeight="1">
      <x:c r="A278" s="28" t="str">
        <x:v>семена кардамона</x:v>
      </x:c>
      <x:c r="B278" s="28" t="str">
        <x:v>Специи</x:v>
      </x:c>
      <x:c r="C278" s="28" t="str">
        <x:v>древесный, пряный, тёплый</x:v>
      </x:c>
      <x:c r="D278" s="28" t="str">
        <x:v>коричный альдегид, терпены, эвгенол</x:v>
      </x:c>
      <x:c r="E278" s="28" t="str">
        <x:v>пряный, иногда горький</x:v>
      </x:c>
      <x:c r="F278" s="28" t="str">
        <x:v>обычно отсутствует; зависит от конкретного продукта</x:v>
      </x:c>
      <x:c r="G278" s="28" t="str">
        <x:v>эфирные масла хорошо извлекаются спиртом и жиром</x:v>
      </x:c>
      <x:c r="H278" s="28" t="str">
        <x:v>Справочный групповой профиль; для точного состава конкретного сорта или бренда нужен инструментальный анализ.</x:v>
      </x:c>
      <x:c r="I278" s="28" t="n">
        <x:f>COUNTIF('Все сочетания'!$C:$C,A278)+COUNTIF('Все сочетания'!$F:$F,A278)</x:f>
        <x:v>1</x:v>
      </x:c>
    </x:row>
    <x:row r="279" ht="46" customHeight="1">
      <x:c r="A279" s="28" t="str">
        <x:v>семена кориандра</x:v>
      </x:c>
      <x:c r="B279" s="28" t="str">
        <x:v>Прочее</x:v>
      </x:c>
      <x:c r="C279" s="28" t="str">
        <x:v>комплексный</x:v>
      </x:c>
      <x:c r="D279" s="28" t="str">
        <x:v>не конкретизированы</x:v>
      </x:c>
      <x:c r="E279" s="28" t="str">
        <x:v>зависит от ингредиента</x:v>
      </x:c>
      <x:c r="F279" s="28" t="str">
        <x:v>обычно отсутствует; зависит от конкретного продукта</x:v>
      </x:c>
      <x:c r="G279" s="28" t="str">
        <x:v>механизм зависит от конкретного продукта</x:v>
      </x:c>
      <x:c r="H279" s="28" t="str">
        <x:v>Справочный групповой профиль; для точного состава конкретного сорта или бренда нужен инструментальный анализ.</x:v>
      </x:c>
      <x:c r="I279" s="28" t="n">
        <x:f>COUNTIF('Все сочетания'!$C:$C,A279)+COUNTIF('Все сочетания'!$F:$F,A279)</x:f>
        <x:v>1</x:v>
      </x:c>
    </x:row>
    <x:row r="280" ht="46" customHeight="1">
      <x:c r="A280" s="28" t="str">
        <x:v>слива</x:v>
      </x:c>
      <x:c r="B280" s="28" t="str">
        <x:v>Прочее</x:v>
      </x:c>
      <x:c r="C280" s="28" t="str">
        <x:v>комплексный</x:v>
      </x:c>
      <x:c r="D280" s="28" t="str">
        <x:v>не конкретизированы</x:v>
      </x:c>
      <x:c r="E280" s="28" t="str">
        <x:v>зависит от ингредиента</x:v>
      </x:c>
      <x:c r="F280" s="28" t="str">
        <x:v>обычно отсутствует; зависит от конкретного продукта</x:v>
      </x:c>
      <x:c r="G280" s="28" t="str">
        <x:v>механизм зависит от конкретного продукта</x:v>
      </x:c>
      <x:c r="H280" s="28" t="str">
        <x:v>Справочный групповой профиль; для точного состава конкретного сорта или бренда нужен инструментальный анализ.</x:v>
      </x:c>
      <x:c r="I280" s="28" t="n">
        <x:f>COUNTIF('Все сочетания'!$C:$C,A280)+COUNTIF('Все сочетания'!$F:$F,A280)</x:f>
        <x:v>5</x:v>
      </x:c>
    </x:row>
    <x:row r="281" ht="46" customHeight="1">
      <x:c r="A281" s="28" t="str">
        <x:v>сливки</x:v>
      </x:c>
      <x:c r="B281" s="28" t="str">
        <x:v>Молочные продукты и сыры</x:v>
      </x:c>
      <x:c r="C281" s="28" t="str">
        <x:v>масляный, молочный, сливочный, сырный</x:v>
      </x:c>
      <x:c r="D281" s="28" t="str">
        <x:v>диацетил, жирные кислоты, лактоны</x:v>
      </x:c>
      <x:c r="E281" s="28" t="str">
        <x:v>жирный, кислый/солёный</x:v>
      </x:c>
      <x:c r="F281" s="28" t="str">
        <x:v>обычно отсутствует; зависит от конкретного продукта</x:v>
      </x:c>
      <x:c r="G281" s="28" t="str">
        <x:v>жировая и белковая матрица смягчает кислотность</x:v>
      </x:c>
      <x:c r="H281" s="28" t="str">
        <x:v>Справочный групповой профиль; для точного состава конкретного сорта или бренда нужен инструментальный анализ.</x:v>
      </x:c>
      <x:c r="I281" s="28" t="n">
        <x:f>COUNTIF('Все сочетания'!$C:$C,A281)+COUNTIF('Все сочетания'!$F:$F,A281)</x:f>
        <x:v>1</x:v>
      </x:c>
    </x:row>
    <x:row r="282" ht="46" customHeight="1">
      <x:c r="A282" s="28" t="str">
        <x:v>смородина</x:v>
      </x:c>
      <x:c r="B282" s="28" t="str">
        <x:v>Ягоды и производные</x:v>
      </x:c>
      <x:c r="C282" s="28" t="str">
        <x:v>зелёный, тёмно-фруктовый, цветочный</x:v>
      </x:c>
      <x:c r="D282" s="28" t="str">
        <x:v>C6-альдегиды, терпены, эфиры</x:v>
      </x:c>
      <x:c r="E282" s="28" t="str">
        <x:v>кисло-сладкий, терпкий</x:v>
      </x:c>
      <x:c r="F282" s="28" t="str">
        <x:v>обычно отсутствует; зависит от конкретного продукта</x:v>
      </x:c>
      <x:c r="G282" s="28" t="str">
        <x:v>профиль зависит от вида смородины</x:v>
      </x:c>
      <x:c r="H282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282" s="28" t="n">
        <x:f>COUNTIF('Все сочетания'!$C:$C,A282)+COUNTIF('Все сочетания'!$F:$F,A282)</x:f>
        <x:v>8</x:v>
      </x:c>
    </x:row>
    <x:row r="283" ht="46" customHeight="1">
      <x:c r="A283" s="28" t="str">
        <x:v>совиньон-блан</x:v>
      </x:c>
      <x:c r="B283" s="28" t="str">
        <x:v>Прочее</x:v>
      </x:c>
      <x:c r="C283" s="28" t="str">
        <x:v>комплексный</x:v>
      </x:c>
      <x:c r="D283" s="28" t="str">
        <x:v>не конкретизированы</x:v>
      </x:c>
      <x:c r="E283" s="28" t="str">
        <x:v>зависит от ингредиента</x:v>
      </x:c>
      <x:c r="F283" s="28" t="str">
        <x:v>обычно отсутствует; зависит от конкретного продукта</x:v>
      </x:c>
      <x:c r="G283" s="28" t="str">
        <x:v>механизм зависит от конкретного продукта</x:v>
      </x:c>
      <x:c r="H283" s="28" t="str">
        <x:v>Справочный групповой профиль; для точного состава конкретного сорта или бренда нужен инструментальный анализ.</x:v>
      </x:c>
      <x:c r="I283" s="28" t="n">
        <x:f>COUNTIF('Все сочетания'!$C:$C,A283)+COUNTIF('Все сочетания'!$F:$F,A283)</x:f>
        <x:v>2</x:v>
      </x:c>
    </x:row>
    <x:row r="284" ht="46" customHeight="1">
      <x:c r="A284" s="28" t="str">
        <x:v>соевый соус</x:v>
      </x:c>
      <x:c r="B284" s="28" t="str">
        <x:v>Ферментированные продукты, соусы и уксусы</x:v>
      </x:c>
      <x:c r="C284" s="28" t="str">
        <x:v>кислый, умами, ферментированный</x:v>
      </x:c>
      <x:c r="D284" s="28" t="str">
        <x:v>аминокислоты, органические кислоты, эфиры</x:v>
      </x:c>
      <x:c r="E284" s="28" t="str">
        <x:v>кислый/солёный/умами</x:v>
      </x:c>
      <x:c r="F284" s="28" t="str">
        <x:v>обычно отсутствует; зависит от конкретного продукта</x:v>
      </x:c>
      <x:c r="G284" s="28" t="str">
        <x:v>вода, соль и продукты ферментации</x:v>
      </x:c>
      <x:c r="H284" s="28" t="str">
        <x:v>Справочный групповой профиль; для точного состава конкретного сорта или бренда нужен инструментальный анализ.</x:v>
      </x:c>
      <x:c r="I284" s="28" t="n">
        <x:f>COUNTIF('Все сочетания'!$C:$C,A284)+COUNTIF('Все сочетания'!$F:$F,A284)</x:f>
        <x:v>3</x:v>
      </x:c>
    </x:row>
    <x:row r="285" ht="46" customHeight="1">
      <x:c r="A285" s="28" t="str">
        <x:v>сок чёрной смородины</x:v>
      </x:c>
      <x:c r="B285" s="28" t="str">
        <x:v>Ягоды и производные</x:v>
      </x:c>
      <x:c r="C285" s="28" t="str">
        <x:v>комплексный</x:v>
      </x:c>
      <x:c r="D285" s="28" t="str">
        <x:v>не конкретизированы</x:v>
      </x:c>
      <x:c r="E285" s="28" t="str">
        <x:v>зависит от ингредиента</x:v>
      </x:c>
      <x:c r="F285" s="28" t="str">
        <x:v>обычно отсутствует; зависит от конкретного продукта</x:v>
      </x:c>
      <x:c r="G285" s="28" t="str">
        <x:v>механизм зависит от конкретного продукта</x:v>
      </x:c>
      <x:c r="H285" s="28" t="str">
        <x:v>Справочный групповой профиль; для точного состава конкретного сорта или бренда нужен инструментальный анализ.</x:v>
      </x:c>
      <x:c r="I285" s="28" t="n">
        <x:f>COUNTIF('Все сочетания'!$C:$C,A285)+COUNTIF('Все сочетания'!$F:$F,A285)</x:f>
        <x:v>1</x:v>
      </x:c>
    </x:row>
    <x:row r="286" ht="46" customHeight="1">
      <x:c r="A286" s="28" t="str">
        <x:v>сушёные ягоды годжи</x:v>
      </x:c>
      <x:c r="B286" s="28" t="str">
        <x:v>Ягоды и производные</x:v>
      </x:c>
      <x:c r="C286" s="28" t="str">
        <x:v>комплексный</x:v>
      </x:c>
      <x:c r="D286" s="28" t="str">
        <x:v>не конкретизированы</x:v>
      </x:c>
      <x:c r="E286" s="28" t="str">
        <x:v>зависит от ингредиента</x:v>
      </x:c>
      <x:c r="F286" s="28" t="str">
        <x:v>обычно отсутствует; зависит от конкретного продукта</x:v>
      </x:c>
      <x:c r="G286" s="28" t="str">
        <x:v>механизм зависит от конкретного продукта</x:v>
      </x:c>
      <x:c r="H286" s="28" t="str">
        <x:v>Справочный групповой профиль; для точного состава конкретного сорта или бренда нужен инструментальный анализ.</x:v>
      </x:c>
      <x:c r="I286" s="28" t="n">
        <x:f>COUNTIF('Все сочетания'!$C:$C,A286)+COUNTIF('Все сочетания'!$F:$F,A286)</x:f>
        <x:v>2</x:v>
      </x:c>
    </x:row>
    <x:row r="287" ht="46" customHeight="1">
      <x:c r="A287" s="28" t="str">
        <x:v>сушёный caraway leaves</x:v>
      </x:c>
      <x:c r="B287" s="28" t="str">
        <x:v>Прочее</x:v>
      </x:c>
      <x:c r="C287" s="28" t="str">
        <x:v>комплексный</x:v>
      </x:c>
      <x:c r="D287" s="28" t="str">
        <x:v>не конкретизированы</x:v>
      </x:c>
      <x:c r="E287" s="28" t="str">
        <x:v>зависит от ингредиента</x:v>
      </x:c>
      <x:c r="F287" s="28" t="str">
        <x:v>обычно отсутствует; зависит от конкретного продукта</x:v>
      </x:c>
      <x:c r="G287" s="28" t="str">
        <x:v>механизм зависит от конкретного продукта</x:v>
      </x:c>
      <x:c r="H287" s="28" t="str">
        <x:v>Справочный групповой профиль; для точного состава конкретного сорта или бренда нужен инструментальный анализ.</x:v>
      </x:c>
      <x:c r="I287" s="28" t="n">
        <x:f>COUNTIF('Все сочетания'!$C:$C,A287)+COUNTIF('Все сочетания'!$F:$F,A287)</x:f>
        <x:v>1</x:v>
      </x:c>
    </x:row>
    <x:row r="288" ht="46" customHeight="1">
      <x:c r="A288" s="28" t="str">
        <x:v>сушёный chipotle chilli</x:v>
      </x:c>
      <x:c r="B288" s="28" t="str">
        <x:v>Специи</x:v>
      </x:c>
      <x:c r="C288" s="28" t="str">
        <x:v>древесный, пряный, тёплый</x:v>
      </x:c>
      <x:c r="D288" s="28" t="str">
        <x:v>коричный альдегид, терпены, эвгенол</x:v>
      </x:c>
      <x:c r="E288" s="28" t="str">
        <x:v>пряный, иногда горький</x:v>
      </x:c>
      <x:c r="F288" s="28" t="str">
        <x:v>обычно отсутствует; зависит от конкретного продукта</x:v>
      </x:c>
      <x:c r="G288" s="28" t="str">
        <x:v>эфирные масла хорошо извлекаются спиртом и жиром</x:v>
      </x:c>
      <x:c r="H288" s="28" t="str">
        <x:v>Справочный групповой профиль; для точного состава конкретного сорта или бренда нужен инструментальный анализ.</x:v>
      </x:c>
      <x:c r="I288" s="28" t="n">
        <x:f>COUNTIF('Все сочетания'!$C:$C,A288)+COUNTIF('Все сочетания'!$F:$F,A288)</x:f>
        <x:v>1</x:v>
      </x:c>
    </x:row>
    <x:row r="289" ht="46" customHeight="1">
      <x:c r="A289" s="28" t="str">
        <x:v>сушёный eucalyptus leaves</x:v>
      </x:c>
      <x:c r="B289" s="28" t="str">
        <x:v>Прочее</x:v>
      </x:c>
      <x:c r="C289" s="28" t="str">
        <x:v>комплексный</x:v>
      </x:c>
      <x:c r="D289" s="28" t="str">
        <x:v>не конкретизированы</x:v>
      </x:c>
      <x:c r="E289" s="28" t="str">
        <x:v>зависит от ингредиента</x:v>
      </x:c>
      <x:c r="F289" s="28" t="str">
        <x:v>обычно отсутствует; зависит от конкретного продукта</x:v>
      </x:c>
      <x:c r="G289" s="28" t="str">
        <x:v>механизм зависит от конкретного продукта</x:v>
      </x:c>
      <x:c r="H289" s="28" t="str">
        <x:v>Справочный групповой профиль; для точного состава конкретного сорта или бренда нужен инструментальный анализ.</x:v>
      </x:c>
      <x:c r="I289" s="28" t="n">
        <x:f>COUNTIF('Все сочетания'!$C:$C,A289)+COUNTIF('Все сочетания'!$F:$F,A289)</x:f>
        <x:v>1</x:v>
      </x:c>
    </x:row>
    <x:row r="290" ht="46" customHeight="1">
      <x:c r="A290" s="28" t="str">
        <x:v>сушёный шиповник</x:v>
      </x:c>
      <x:c r="B290" s="28" t="str">
        <x:v>Прочее</x:v>
      </x:c>
      <x:c r="C290" s="28" t="str">
        <x:v>комплексный</x:v>
      </x:c>
      <x:c r="D290" s="28" t="str">
        <x:v>не конкретизированы</x:v>
      </x:c>
      <x:c r="E290" s="28" t="str">
        <x:v>зависит от ингредиента</x:v>
      </x:c>
      <x:c r="F290" s="28" t="str">
        <x:v>обычно отсутствует; зависит от конкретного продукта</x:v>
      </x:c>
      <x:c r="G290" s="28" t="str">
        <x:v>механизм зависит от конкретного продукта</x:v>
      </x:c>
      <x:c r="H290" s="28" t="str">
        <x:v>Справочный групповой профиль; для точного состава конкретного сорта или бренда нужен инструментальный анализ.</x:v>
      </x:c>
      <x:c r="I290" s="28" t="n">
        <x:f>COUNTIF('Все сочетания'!$C:$C,A290)+COUNTIF('Все сочетания'!$F:$F,A290)</x:f>
        <x:v>1</x:v>
      </x:c>
    </x:row>
    <x:row r="291" ht="46" customHeight="1">
      <x:c r="A291" s="28" t="str">
        <x:v>таитянская ваниль</x:v>
      </x:c>
      <x:c r="B291" s="28" t="str">
        <x:v>Прочее</x:v>
      </x:c>
      <x:c r="C291" s="28" t="str">
        <x:v>комплексный</x:v>
      </x:c>
      <x:c r="D291" s="28" t="str">
        <x:v>не конкретизированы</x:v>
      </x:c>
      <x:c r="E291" s="28" t="str">
        <x:v>зависит от ингредиента</x:v>
      </x:c>
      <x:c r="F291" s="28" t="str">
        <x:v>обычно отсутствует; зависит от конкретного продукта</x:v>
      </x:c>
      <x:c r="G291" s="28" t="str">
        <x:v>механизм зависит от конкретного продукта</x:v>
      </x:c>
      <x:c r="H291" s="28" t="str">
        <x:v>Справочный групповой профиль; для точного состава конкретного сорта или бренда нужен инструментальный анализ.</x:v>
      </x:c>
      <x:c r="I291" s="28" t="n">
        <x:f>COUNTIF('Все сочетания'!$C:$C,A291)+COUNTIF('Все сочетания'!$F:$F,A291)</x:f>
        <x:v>1</x:v>
      </x:c>
    </x:row>
    <x:row r="292" ht="46" customHeight="1">
      <x:c r="A292" s="28" t="str">
        <x:v>тархун</x:v>
      </x:c>
      <x:c r="B292" s="28" t="str">
        <x:v>Прочее</x:v>
      </x:c>
      <x:c r="C292" s="28" t="str">
        <x:v>комплексный</x:v>
      </x:c>
      <x:c r="D292" s="28" t="str">
        <x:v>не конкретизированы</x:v>
      </x:c>
      <x:c r="E292" s="28" t="str">
        <x:v>зависит от ингредиента</x:v>
      </x:c>
      <x:c r="F292" s="28" t="str">
        <x:v>обычно отсутствует; зависит от конкретного продукта</x:v>
      </x:c>
      <x:c r="G292" s="28" t="str">
        <x:v>механизм зависит от конкретного продукта</x:v>
      </x:c>
      <x:c r="H292" s="28" t="str">
        <x:v>Справочный групповой профиль; для точного состава конкретного сорта или бренда нужен инструментальный анализ.</x:v>
      </x:c>
      <x:c r="I292" s="28" t="n">
        <x:f>COUNTIF('Все сочетания'!$C:$C,A292)+COUNTIF('Все сочетания'!$F:$F,A292)</x:f>
        <x:v>1</x:v>
      </x:c>
    </x:row>
    <x:row r="293" ht="46" customHeight="1">
      <x:c r="A293" s="28" t="str">
        <x:v>текила</x:v>
      </x:c>
      <x:c r="B293" s="28" t="str">
        <x:v>Алкогольные напитки</x:v>
      </x:c>
      <x:c r="C293" s="28" t="str">
        <x:v>древесный, фруктовый, эфирный</x:v>
      </x:c>
      <x:c r="D293" s="28" t="str">
        <x:v>ванилин, дубовые лактоны, этиловые эфиры</x:v>
      </x:c>
      <x:c r="E293" s="28" t="str">
        <x:v>зависит от напитка</x:v>
      </x:c>
      <x:c r="F293" s="28" t="str">
        <x:v>обычно отсутствует; зависит от конкретного продукта</x:v>
      </x:c>
      <x:c r="G293" s="28" t="str">
        <x:v>этанол растворяет гидрофобные ароматические вещества</x:v>
      </x:c>
      <x:c r="H293" s="28" t="str">
        <x:v>Справочный групповой профиль; для точного состава конкретного сорта или бренда нужен инструментальный анализ.</x:v>
      </x:c>
      <x:c r="I293" s="28" t="n">
        <x:f>COUNTIF('Все сочетания'!$C:$C,A293)+COUNTIF('Все сочетания'!$F:$F,A293)</x:f>
        <x:v>4</x:v>
      </x:c>
    </x:row>
    <x:row r="294" ht="46" customHeight="1">
      <x:c r="A294" s="28" t="str">
        <x:v>тёмный шоколад</x:v>
      </x:c>
      <x:c r="B294" s="28" t="str">
        <x:v>Шоколад, кофе и жареные продукты</x:v>
      </x:c>
      <x:c r="C294" s="28" t="str">
        <x:v>горький, жареный, карамельный, ореховый</x:v>
      </x:c>
      <x:c r="D294" s="28" t="str">
        <x:v>ванилин, пиразины, фураны</x:v>
      </x:c>
      <x:c r="E294" s="28" t="str">
        <x:v>горько-сладкий</x:v>
      </x:c>
      <x:c r="F294" s="28" t="str">
        <x:v>обычно отсутствует; зависит от конкретного продукта</x:v>
      </x:c>
      <x:c r="G294" s="28" t="str">
        <x:v>жир и обжаренные твёрдые частицы</x:v>
      </x:c>
      <x:c r="H294" s="28" t="str">
        <x:v>Справочный групповой профиль; для точного состава конкретного сорта или бренда нужен инструментальный анализ.</x:v>
      </x:c>
      <x:c r="I294" s="28" t="n">
        <x:f>COUNTIF('Все сочетания'!$C:$C,A294)+COUNTIF('Все сочетания'!$F:$F,A294)</x:f>
        <x:v>1</x:v>
      </x:c>
    </x:row>
    <x:row r="295" ht="46" customHeight="1">
      <x:c r="A295" s="28" t="str">
        <x:v>тимьян</x:v>
      </x:c>
      <x:c r="B295" s="28" t="str">
        <x:v>Травы и цветы</x:v>
      </x:c>
      <x:c r="C295" s="28" t="str">
        <x:v>зелёный, травянистый, цветочный</x:v>
      </x:c>
      <x:c r="D295" s="28" t="str">
        <x:v>гераниол, линалоол, терпены, эвгенол</x:v>
      </x:c>
      <x:c r="E295" s="28" t="str">
        <x:v>горьковатый, свежий</x:v>
      </x:c>
      <x:c r="F295" s="28" t="str">
        <x:v>обычно отсутствует; зависит от конкретного продукта</x:v>
      </x:c>
      <x:c r="G295" s="28" t="str">
        <x:v>летучие масла чувствительны к нагреву</x:v>
      </x:c>
      <x:c r="H295" s="28" t="str">
        <x:v>Справочный групповой профиль; для точного состава конкретного сорта или бренда нужен инструментальный анализ.</x:v>
      </x:c>
      <x:c r="I295" s="28" t="n">
        <x:f>COUNTIF('Все сочетания'!$C:$C,A295)+COUNTIF('Все сочетания'!$F:$F,A295)</x:f>
        <x:v>7</x:v>
      </x:c>
    </x:row>
    <x:row r="296" ht="46" customHeight="1">
      <x:c r="A296" s="28" t="str">
        <x:v>томат</x:v>
      </x:c>
      <x:c r="B296" s="28" t="str">
        <x:v>Овощи и грибы</x:v>
      </x:c>
      <x:c r="C296" s="28" t="str">
        <x:v>зелёный, землистый, сернистый</x:v>
      </x:c>
      <x:c r="D296" s="28" t="str">
        <x:v>C6-альдегиды, пиразины, сернистые соединения</x:v>
      </x:c>
      <x:c r="E296" s="28" t="str">
        <x:v>растительный, иногда умами</x:v>
      </x:c>
      <x:c r="F296" s="28" t="str">
        <x:v>обычно отсутствует; зависит от конкретного продукта</x:v>
      </x:c>
      <x:c r="G296" s="28" t="str">
        <x:v>высокая доля воды; нагрев меняет зелёный профиль</x:v>
      </x:c>
      <x:c r="H296" s="28" t="str">
        <x:v>Справочный групповой профиль; для точного состава конкретного сорта или бренда нужен инструментальный анализ.</x:v>
      </x:c>
      <x:c r="I296" s="28" t="n">
        <x:f>COUNTIF('Все сочетания'!$C:$C,A296)+COUNTIF('Все сочетания'!$F:$F,A296)</x:f>
        <x:v>3</x:v>
      </x:c>
    </x:row>
    <x:row r="297" ht="46" customHeight="1">
      <x:c r="A297" s="28" t="str">
        <x:v>томаты</x:v>
      </x:c>
      <x:c r="B297" s="28" t="str">
        <x:v>Овощи и грибы</x:v>
      </x:c>
      <x:c r="C297" s="28" t="str">
        <x:v>зелёный, землистый, сернистый</x:v>
      </x:c>
      <x:c r="D297" s="28" t="str">
        <x:v>C6-альдегиды, пиразины, сернистые соединения</x:v>
      </x:c>
      <x:c r="E297" s="28" t="str">
        <x:v>растительный, иногда умами</x:v>
      </x:c>
      <x:c r="F297" s="28" t="str">
        <x:v>обычно отсутствует; зависит от конкретного продукта</x:v>
      </x:c>
      <x:c r="G297" s="28" t="str">
        <x:v>высокая доля воды; нагрев меняет зелёный профиль</x:v>
      </x:c>
      <x:c r="H297" s="28" t="str">
        <x:v>Справочный групповой профиль; для точного состава конкретного сорта или бренда нужен инструментальный анализ.</x:v>
      </x:c>
      <x:c r="I297" s="28" t="n">
        <x:f>COUNTIF('Все сочетания'!$C:$C,A297)+COUNTIF('Все сочетания'!$F:$F,A297)</x:f>
        <x:v>1</x:v>
      </x:c>
    </x:row>
    <x:row r="298" ht="46" customHeight="1">
      <x:c r="A298" s="28" t="str">
        <x:v>трюфель</x:v>
      </x:c>
      <x:c r="B298" s="28" t="str">
        <x:v>Овощи и грибы</x:v>
      </x:c>
      <x:c r="C298" s="28" t="str">
        <x:v>зелёный, землистый, сернистый</x:v>
      </x:c>
      <x:c r="D298" s="28" t="str">
        <x:v>C6-альдегиды, пиразины, сернистые соединения</x:v>
      </x:c>
      <x:c r="E298" s="28" t="str">
        <x:v>растительный, иногда умами</x:v>
      </x:c>
      <x:c r="F298" s="28" t="str">
        <x:v>обычно отсутствует; зависит от конкретного продукта</x:v>
      </x:c>
      <x:c r="G298" s="28" t="str">
        <x:v>высокая доля воды; нагрев меняет зелёный профиль</x:v>
      </x:c>
      <x:c r="H298" s="28" t="str">
        <x:v>Справочный групповой профиль; для точного состава конкретного сорта или бренда нужен инструментальный анализ.</x:v>
      </x:c>
      <x:c r="I298" s="28" t="n">
        <x:f>COUNTIF('Все сочетания'!$C:$C,A298)+COUNTIF('Все сочетания'!$F:$F,A298)</x:f>
        <x:v>6</x:v>
      </x:c>
    </x:row>
    <x:row r="299" ht="46" customHeight="1">
      <x:c r="A299" s="28" t="str">
        <x:v>тушёный ling</x:v>
      </x:c>
      <x:c r="B299" s="28" t="str">
        <x:v>Прочее</x:v>
      </x:c>
      <x:c r="C299" s="28" t="str">
        <x:v>комплексный</x:v>
      </x:c>
      <x:c r="D299" s="28" t="str">
        <x:v>не конкретизированы</x:v>
      </x:c>
      <x:c r="E299" s="28" t="str">
        <x:v>зависит от ингредиента</x:v>
      </x:c>
      <x:c r="F299" s="28" t="str">
        <x:v>обычно отсутствует; зависит от конкретного продукта</x:v>
      </x:c>
      <x:c r="G299" s="28" t="str">
        <x:v>механизм зависит от конкретного продукта</x:v>
      </x:c>
      <x:c r="H299" s="28" t="str">
        <x:v>Справочный групповой профиль; для точного состава конкретного сорта или бренда нужен инструментальный анализ.</x:v>
      </x:c>
      <x:c r="I299" s="28" t="n">
        <x:f>COUNTIF('Все сочетания'!$C:$C,A299)+COUNTIF('Все сочетания'!$F:$F,A299)</x:f>
        <x:v>1</x:v>
      </x:c>
    </x:row>
    <x:row r="300" ht="46" customHeight="1">
      <x:c r="A300" s="28" t="str">
        <x:v>тыква</x:v>
      </x:c>
      <x:c r="B300" s="28" t="str">
        <x:v>Овощи и грибы</x:v>
      </x:c>
      <x:c r="C300" s="28" t="str">
        <x:v>зелёный, землистый, сернистый</x:v>
      </x:c>
      <x:c r="D300" s="28" t="str">
        <x:v>C6-альдегиды, пиразины, сернистые соединения</x:v>
      </x:c>
      <x:c r="E300" s="28" t="str">
        <x:v>растительный, иногда умами</x:v>
      </x:c>
      <x:c r="F300" s="28" t="str">
        <x:v>обычно отсутствует; зависит от конкретного продукта</x:v>
      </x:c>
      <x:c r="G300" s="28" t="str">
        <x:v>высокая доля воды; нагрев меняет зелёный профиль</x:v>
      </x:c>
      <x:c r="H300" s="28" t="str">
        <x:v>Справочный групповой профиль; для точного состава конкретного сорта или бренда нужен инструментальный анализ.</x:v>
      </x:c>
      <x:c r="I300" s="28" t="n">
        <x:f>COUNTIF('Все сочетания'!$C:$C,A300)+COUNTIF('Все сочетания'!$F:$F,A300)</x:f>
        <x:v>2</x:v>
      </x:c>
    </x:row>
    <x:row r="301" ht="46" customHeight="1">
      <x:c r="A301" s="28" t="str">
        <x:v>укроп</x:v>
      </x:c>
      <x:c r="B301" s="28" t="str">
        <x:v>Травы и цветы</x:v>
      </x:c>
      <x:c r="C301" s="28" t="str">
        <x:v>зелёный, травянистый, цветочный</x:v>
      </x:c>
      <x:c r="D301" s="28" t="str">
        <x:v>гераниол, линалоол, терпены, эвгенол</x:v>
      </x:c>
      <x:c r="E301" s="28" t="str">
        <x:v>горьковатый, свежий</x:v>
      </x:c>
      <x:c r="F301" s="28" t="str">
        <x:v>обычно отсутствует; зависит от конкретного продукта</x:v>
      </x:c>
      <x:c r="G301" s="28" t="str">
        <x:v>летучие масла чувствительны к нагреву</x:v>
      </x:c>
      <x:c r="H301" s="28" t="str">
        <x:v>Справочный групповой профиль; для точного состава конкретного сорта или бренда нужен инструментальный анализ.</x:v>
      </x:c>
      <x:c r="I301" s="28" t="n">
        <x:f>COUNTIF('Все сочетания'!$C:$C,A301)+COUNTIF('Все сочетания'!$F:$F,A301)</x:f>
        <x:v>1</x:v>
      </x:c>
    </x:row>
    <x:row r="302" ht="46" customHeight="1">
      <x:c r="A302" s="28" t="str">
        <x:v>устрица</x:v>
      </x:c>
      <x:c r="B302" s="28" t="str">
        <x:v>Рыба и морепродукты</x:v>
      </x:c>
      <x:c r="C302" s="28" t="str">
        <x:v>жирный, морской, умами</x:v>
      </x:c>
      <x:c r="D302" s="28" t="str">
        <x:v>альдегиды, амины, сернистые соединения</x:v>
      </x:c>
      <x:c r="E302" s="28" t="str">
        <x:v>умами, солёный</x:v>
      </x:c>
      <x:c r="F302" s="28" t="str">
        <x:v>обычно отсутствует; зависит от конкретного продукта</x:v>
      </x:c>
      <x:c r="G302" s="28" t="str">
        <x:v>белковая/жировая матрица; кислота снижает рыбные ноты</x:v>
      </x:c>
      <x:c r="H302" s="28" t="str">
        <x:v>Справочный групповой профиль; для точного состава конкретного сорта или бренда нужен инструментальный анализ.</x:v>
      </x:c>
      <x:c r="I302" s="28" t="n">
        <x:f>COUNTIF('Все сочетания'!$C:$C,A302)+COUNTIF('Все сочетания'!$F:$F,A302)</x:f>
        <x:v>4</x:v>
      </x:c>
    </x:row>
    <x:row r="303" ht="46" customHeight="1">
      <x:c r="A303" s="28" t="str">
        <x:v>фенхель</x:v>
      </x:c>
      <x:c r="B303" s="28" t="str">
        <x:v>Прочее</x:v>
      </x:c>
      <x:c r="C303" s="28" t="str">
        <x:v>комплексный</x:v>
      </x:c>
      <x:c r="D303" s="28" t="str">
        <x:v>не конкретизированы</x:v>
      </x:c>
      <x:c r="E303" s="28" t="str">
        <x:v>зависит от ингредиента</x:v>
      </x:c>
      <x:c r="F303" s="28" t="str">
        <x:v>обычно отсутствует; зависит от конкретного продукта</x:v>
      </x:c>
      <x:c r="G303" s="28" t="str">
        <x:v>механизм зависит от конкретного продукта</x:v>
      </x:c>
      <x:c r="H303" s="28" t="str">
        <x:v>Справочный групповой профиль; для точного состава конкретного сорта или бренда нужен инструментальный анализ.</x:v>
      </x:c>
      <x:c r="I303" s="28" t="n">
        <x:f>COUNTIF('Все сочетания'!$C:$C,A303)+COUNTIF('Все сочетания'!$F:$F,A303)</x:f>
        <x:v>2</x:v>
      </x:c>
    </x:row>
    <x:row r="304" ht="46" customHeight="1">
      <x:c r="A304" s="28" t="str">
        <x:v>фиалка</x:v>
      </x:c>
      <x:c r="B304" s="28" t="str">
        <x:v>Травы и цветы</x:v>
      </x:c>
      <x:c r="C304" s="28" t="str">
        <x:v>зелёный, травянистый, цветочный</x:v>
      </x:c>
      <x:c r="D304" s="28" t="str">
        <x:v>гераниол, линалоол, терпены, эвгенол</x:v>
      </x:c>
      <x:c r="E304" s="28" t="str">
        <x:v>горьковатый, свежий</x:v>
      </x:c>
      <x:c r="F304" s="28" t="str">
        <x:v>обычно отсутствует; зависит от конкретного продукта</x:v>
      </x:c>
      <x:c r="G304" s="28" t="str">
        <x:v>летучие масла чувствительны к нагреву</x:v>
      </x:c>
      <x:c r="H304" s="28" t="str">
        <x:v>Справочный групповой профиль; для точного состава конкретного сорта или бренда нужен инструментальный анализ.</x:v>
      </x:c>
      <x:c r="I304" s="28" t="n">
        <x:f>COUNTIF('Все сочетания'!$C:$C,A304)+COUNTIF('Все сочетания'!$F:$F,A304)</x:f>
        <x:v>3</x:v>
      </x:c>
    </x:row>
    <x:row r="305" ht="46" customHeight="1">
      <x:c r="A305" s="28" t="str">
        <x:v>финик</x:v>
      </x:c>
      <x:c r="B305" s="28" t="str">
        <x:v>Прочее</x:v>
      </x:c>
      <x:c r="C305" s="28" t="str">
        <x:v>комплексный</x:v>
      </x:c>
      <x:c r="D305" s="28" t="str">
        <x:v>не конкретизированы</x:v>
      </x:c>
      <x:c r="E305" s="28" t="str">
        <x:v>зависит от ингредиента</x:v>
      </x:c>
      <x:c r="F305" s="28" t="str">
        <x:v>обычно отсутствует; зависит от конкретного продукта</x:v>
      </x:c>
      <x:c r="G305" s="28" t="str">
        <x:v>механизм зависит от конкретного продукта</x:v>
      </x:c>
      <x:c r="H305" s="28" t="str">
        <x:v>Справочный групповой профиль; для точного состава конкретного сорта или бренда нужен инструментальный анализ.</x:v>
      </x:c>
      <x:c r="I305" s="28" t="n">
        <x:f>COUNTIF('Все сочетания'!$C:$C,A305)+COUNTIF('Все сочетания'!$F:$F,A305)</x:f>
        <x:v>1</x:v>
      </x:c>
    </x:row>
    <x:row r="306" ht="46" customHeight="1">
      <x:c r="A306" s="28" t="str">
        <x:v>фисташка</x:v>
      </x:c>
      <x:c r="B306" s="28" t="str">
        <x:v>Орехи и семена</x:v>
      </x:c>
      <x:c r="C306" s="28" t="str">
        <x:v>жареный, миндальный, ореховый</x:v>
      </x:c>
      <x:c r="D306" s="28" t="str">
        <x:v>бензальдегид, пиразины, фураны</x:v>
      </x:c>
      <x:c r="E306" s="28" t="str">
        <x:v>сладковатый, жирный</x:v>
      </x:c>
      <x:c r="F306" s="28" t="str">
        <x:v>обычно отсутствует; зависит от конкретного продукта</x:v>
      </x:c>
      <x:c r="G306" s="28" t="str">
        <x:v>жир хорошо удерживает гидрофобные одоранты</x:v>
      </x:c>
      <x:c r="H306" s="28" t="str">
        <x:v>Справочный групповой профиль; для точного состава конкретного сорта или бренда нужен инструментальный анализ.</x:v>
      </x:c>
      <x:c r="I306" s="28" t="n">
        <x:f>COUNTIF('Все сочетания'!$C:$C,A306)+COUNTIF('Все сочетания'!$F:$F,A306)</x:f>
        <x:v>2</x:v>
      </x:c>
    </x:row>
    <x:row r="307" ht="46" customHeight="1">
      <x:c r="A307" s="28" t="str">
        <x:v>фундук</x:v>
      </x:c>
      <x:c r="B307" s="28" t="str">
        <x:v>Орехи и семена</x:v>
      </x:c>
      <x:c r="C307" s="28" t="str">
        <x:v>жареный, миндальный, ореховый</x:v>
      </x:c>
      <x:c r="D307" s="28" t="str">
        <x:v>бензальдегид, пиразины, фураны</x:v>
      </x:c>
      <x:c r="E307" s="28" t="str">
        <x:v>сладковатый, жирный</x:v>
      </x:c>
      <x:c r="F307" s="28" t="str">
        <x:v>обычно отсутствует; зависит от конкретного продукта</x:v>
      </x:c>
      <x:c r="G307" s="28" t="str">
        <x:v>жир хорошо удерживает гидрофобные одоранты</x:v>
      </x:c>
      <x:c r="H307" s="28" t="str">
        <x:v>Справочный групповой профиль; для точного состава конкретного сорта или бренда нужен инструментальный анализ.</x:v>
      </x:c>
      <x:c r="I307" s="28" t="n">
        <x:f>COUNTIF('Все сочетания'!$C:$C,A307)+COUNTIF('Все сочетания'!$F:$F,A307)</x:f>
        <x:v>9</x:v>
      </x:c>
    </x:row>
    <x:row r="308" ht="46" customHeight="1">
      <x:c r="A308" s="28" t="str">
        <x:v>хамон иберико</x:v>
      </x:c>
      <x:c r="B308" s="28" t="str">
        <x:v>Мясо и птица</x:v>
      </x:c>
      <x:c r="C308" s="28" t="str">
        <x:v>жареный, жирный, сернистый, умами</x:v>
      </x:c>
      <x:c r="D308" s="28" t="str">
        <x:v>альдегиды, пиразины, сернистые соединения</x:v>
      </x:c>
      <x:c r="E308" s="28" t="str">
        <x:v>умами, солёный, жирный</x:v>
      </x:c>
      <x:c r="F308" s="28" t="str">
        <x:v>обычно отсутствует; зависит от конкретного продукта</x:v>
      </x:c>
      <x:c r="G308" s="28" t="str">
        <x:v>жир переносит аромат; реакция Майяра создаёт новые одоранты</x:v>
      </x:c>
      <x:c r="H308" s="28" t="str">
        <x:v>Справочный групповой профиль; для точного состава конкретного сорта или бренда нужен инструментальный анализ.</x:v>
      </x:c>
      <x:c r="I308" s="28" t="n">
        <x:f>COUNTIF('Все сочетания'!$C:$C,A308)+COUNTIF('Все сочетания'!$F:$F,A308)</x:f>
        <x:v>3</x:v>
      </x:c>
    </x:row>
    <x:row r="309" ht="46" customHeight="1">
      <x:c r="A309" s="28" t="str">
        <x:v>хурма</x:v>
      </x:c>
      <x:c r="B309" s="28" t="str">
        <x:v>Прочее</x:v>
      </x:c>
      <x:c r="C309" s="28" t="str">
        <x:v>комплексный</x:v>
      </x:c>
      <x:c r="D309" s="28" t="str">
        <x:v>не конкретизированы</x:v>
      </x:c>
      <x:c r="E309" s="28" t="str">
        <x:v>зависит от ингредиента</x:v>
      </x:c>
      <x:c r="F309" s="28" t="str">
        <x:v>обычно отсутствует; зависит от конкретного продукта</x:v>
      </x:c>
      <x:c r="G309" s="28" t="str">
        <x:v>механизм зависит от конкретного продукта</x:v>
      </x:c>
      <x:c r="H309" s="28" t="str">
        <x:v>Справочный групповой профиль; для точного состава конкретного сорта или бренда нужен инструментальный анализ.</x:v>
      </x:c>
      <x:c r="I309" s="28" t="n">
        <x:f>COUNTIF('Все сочетания'!$C:$C,A309)+COUNTIF('Все сочетания'!$F:$F,A309)</x:f>
        <x:v>2</x:v>
      </x:c>
    </x:row>
    <x:row r="310" ht="46" customHeight="1">
      <x:c r="A310" s="28" t="str">
        <x:v>цветная капуста</x:v>
      </x:c>
      <x:c r="B310" s="28" t="str">
        <x:v>Травы и цветы</x:v>
      </x:c>
      <x:c r="C310" s="28" t="str">
        <x:v>зелёный, травянистый, цветочный</x:v>
      </x:c>
      <x:c r="D310" s="28" t="str">
        <x:v>гераниол, линалоол, терпены, эвгенол</x:v>
      </x:c>
      <x:c r="E310" s="28" t="str">
        <x:v>горьковатый, свежий</x:v>
      </x:c>
      <x:c r="F310" s="28" t="str">
        <x:v>обычно отсутствует; зависит от конкретного продукта</x:v>
      </x:c>
      <x:c r="G310" s="28" t="str">
        <x:v>летучие масла чувствительны к нагреву</x:v>
      </x:c>
      <x:c r="H310" s="28" t="str">
        <x:v>Справочный групповой профиль; для точного состава конкретного сорта или бренда нужен инструментальный анализ.</x:v>
      </x:c>
      <x:c r="I310" s="28" t="n">
        <x:f>COUNTIF('Все сочетания'!$C:$C,A310)+COUNTIF('Все сочетания'!$F:$F,A310)</x:f>
        <x:v>2</x:v>
      </x:c>
    </x:row>
    <x:row r="311" ht="46" customHeight="1">
      <x:c r="A311" s="28" t="str">
        <x:v>цветы жасмина</x:v>
      </x:c>
      <x:c r="B311" s="28" t="str">
        <x:v>Травы и цветы</x:v>
      </x:c>
      <x:c r="C311" s="28" t="str">
        <x:v>зелёный, травянистый, цветочный</x:v>
      </x:c>
      <x:c r="D311" s="28" t="str">
        <x:v>гераниол, линалоол, терпены, эвгенол</x:v>
      </x:c>
      <x:c r="E311" s="28" t="str">
        <x:v>горьковатый, свежий</x:v>
      </x:c>
      <x:c r="F311" s="28" t="str">
        <x:v>обычно отсутствует; зависит от конкретного продукта</x:v>
      </x:c>
      <x:c r="G311" s="28" t="str">
        <x:v>летучие масла чувствительны к нагреву</x:v>
      </x:c>
      <x:c r="H311" s="28" t="str">
        <x:v>Справочный групповой профиль; для точного состава конкретного сорта или бренда нужен инструментальный анализ.</x:v>
      </x:c>
      <x:c r="I311" s="28" t="n">
        <x:f>COUNTIF('Все сочетания'!$C:$C,A311)+COUNTIF('Все сочетания'!$F:$F,A311)</x:f>
        <x:v>3</x:v>
      </x:c>
    </x:row>
    <x:row r="312" ht="46" customHeight="1">
      <x:c r="A312" s="28" t="str">
        <x:v>цветы фиалки</x:v>
      </x:c>
      <x:c r="B312" s="28" t="str">
        <x:v>Травы и цветы</x:v>
      </x:c>
      <x:c r="C312" s="28" t="str">
        <x:v>зелёный, травянистый, цветочный</x:v>
      </x:c>
      <x:c r="D312" s="28" t="str">
        <x:v>гераниол, линалоол, терпены, эвгенол</x:v>
      </x:c>
      <x:c r="E312" s="28" t="str">
        <x:v>горьковатый, свежий</x:v>
      </x:c>
      <x:c r="F312" s="28" t="str">
        <x:v>обычно отсутствует; зависит от конкретного продукта</x:v>
      </x:c>
      <x:c r="G312" s="28" t="str">
        <x:v>летучие масла чувствительны к нагреву</x:v>
      </x:c>
      <x:c r="H312" s="28" t="str">
        <x:v>Справочный групповой профиль; для точного состава конкретного сорта или бренда нужен инструментальный анализ.</x:v>
      </x:c>
      <x:c r="I312" s="28" t="n">
        <x:f>COUNTIF('Все сочетания'!$C:$C,A312)+COUNTIF('Все сочетания'!$F:$F,A312)</x:f>
        <x:v>1</x:v>
      </x:c>
    </x:row>
    <x:row r="313" ht="46" customHeight="1">
      <x:c r="A313" s="28" t="str">
        <x:v>цедра горького апельсина</x:v>
      </x:c>
      <x:c r="B313" s="28" t="str">
        <x:v>Цитрусовые</x:v>
      </x:c>
      <x:c r="C313" s="28" t="str">
        <x:v>зелёный, цветочный, цитрусовый</x:v>
      </x:c>
      <x:c r="D313" s="28" t="str">
        <x:v>лимонен, линалоол, цитраль</x:v>
      </x:c>
      <x:c r="E313" s="28" t="str">
        <x:v>кислый, свежий</x:v>
      </x:c>
      <x:c r="F313" s="28" t="str">
        <x:v>обычно отсутствует; зависит от конкретного продукта</x:v>
      </x:c>
      <x:c r="G313" s="28" t="str">
        <x:v>вода и эфирные масла; цедра гидрофобна</x:v>
      </x:c>
      <x:c r="H313" s="28" t="str">
        <x:v>Справочный групповой профиль; для точного состава конкретного сорта или бренда нужен инструментальный анализ.</x:v>
      </x:c>
      <x:c r="I313" s="28" t="n">
        <x:f>COUNTIF('Все сочетания'!$C:$C,A313)+COUNTIF('Все сочетания'!$F:$F,A313)</x:f>
        <x:v>1</x:v>
      </x:c>
    </x:row>
    <x:row r="314" ht="46" customHeight="1">
      <x:c r="A314" s="28" t="str">
        <x:v>цитрусовые</x:v>
      </x:c>
      <x:c r="B314" s="28" t="str">
        <x:v>Цитрусовые</x:v>
      </x:c>
      <x:c r="C314" s="28" t="str">
        <x:v>зелёный, цветочный, цитрусовый</x:v>
      </x:c>
      <x:c r="D314" s="28" t="str">
        <x:v>лимонен, линалоол, цитраль</x:v>
      </x:c>
      <x:c r="E314" s="28" t="str">
        <x:v>кислый, свежий</x:v>
      </x:c>
      <x:c r="F314" s="28" t="str">
        <x:v>обычно отсутствует; зависит от конкретного продукта</x:v>
      </x:c>
      <x:c r="G314" s="28" t="str">
        <x:v>вода и эфирные масла; цедра гидрофобна</x:v>
      </x:c>
      <x:c r="H314" s="28" t="str">
        <x:v>Справочный групповой профиль; для точного состава конкретного сорта или бренда нужен инструментальный анализ.</x:v>
      </x:c>
      <x:c r="I314" s="28" t="n">
        <x:f>COUNTIF('Все сочетания'!$C:$C,A314)+COUNTIF('Все сочетания'!$F:$F,A314)</x:f>
        <x:v>5</x:v>
      </x:c>
    </x:row>
    <x:row r="315" ht="46" customHeight="1">
      <x:c r="A315" s="28" t="str">
        <x:v>чай</x:v>
      </x:c>
      <x:c r="B315" s="28" t="str">
        <x:v>Чай и безалкогольные напитки</x:v>
      </x:c>
      <x:c r="C315" s="28" t="str">
        <x:v>терпкий, травянистый, цветочный</x:v>
      </x:c>
      <x:c r="D315" s="28" t="str">
        <x:v>гераниол, линалоол, полифенолы</x:v>
      </x:c>
      <x:c r="E315" s="28" t="str">
        <x:v>горьковатый, терпкий</x:v>
      </x:c>
      <x:c r="F315" s="28" t="str">
        <x:v>обычно отсутствует; зависит от конкретного продукта</x:v>
      </x:c>
      <x:c r="G315" s="28" t="str">
        <x:v>водная матрица; температура определяет экстракцию</x:v>
      </x:c>
      <x:c r="H315" s="28" t="str">
        <x:v>Справочный групповой профиль; для точного состава конкретного сорта или бренда нужен инструментальный анализ.</x:v>
      </x:c>
      <x:c r="I315" s="28" t="n">
        <x:f>COUNTIF('Все сочетания'!$C:$C,A315)+COUNTIF('Все сочетания'!$F:$F,A315)</x:f>
        <x:v>6</x:v>
      </x:c>
    </x:row>
    <x:row r="316" ht="46" customHeight="1">
      <x:c r="A316" s="28" t="str">
        <x:v>черешня</x:v>
      </x:c>
      <x:c r="B316" s="28" t="str">
        <x:v>Ягоды и производные</x:v>
      </x:c>
      <x:c r="C316" s="28" t="str">
        <x:v>миндальный, сладко-фруктовый, цветочный</x:v>
      </x:c>
      <x:c r="D316" s="28" t="str">
        <x:v>бензальдегид, бета-дамасценон, эфиры</x:v>
      </x:c>
      <x:c r="E316" s="28" t="str">
        <x:v>сладкий, умеренно кислый</x:v>
      </x:c>
      <x:c r="F316" s="28" t="str">
        <x:v>обычно отсутствует; зависит от конкретного продукта</x:v>
      </x:c>
      <x:c r="G316" s="28" t="str">
        <x:v>нежнее кислой вишни; легко становится приторной</x:v>
      </x:c>
      <x:c r="H316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316" s="28" t="n">
        <x:f>COUNTIF('Все сочетания'!$C:$C,A316)+COUNTIF('Все сочетания'!$F:$F,A316)</x:f>
        <x:v>21</x:v>
      </x:c>
    </x:row>
    <x:row r="317" ht="46" customHeight="1">
      <x:c r="A317" s="28" t="str">
        <x:v>чёрная смородина</x:v>
      </x:c>
      <x:c r="B317" s="28" t="str">
        <x:v>Ягоды и производные</x:v>
      </x:c>
      <x:c r="C317" s="28" t="str">
        <x:v>зелёный, листовой, сернистый, тёмно-фруктовый, цветочный</x:v>
      </x:c>
      <x:c r="D317" s="28" t="str">
        <x:v>3-меркаптогексанол, 3-меркаптогексилацетат, 4-метокси-2-метил-2-бутантиол, терпены</x:v>
      </x:c>
      <x:c r="E317" s="28" t="str">
        <x:v>ярко-кислый, терпкий</x:v>
      </x:c>
      <x:c r="F317" s="28" t="str">
        <x:v>обычно отсутствует; зависит от конкретного продукта</x:v>
      </x:c>
      <x:c r="G317" s="28" t="str">
        <x:v>следовые тиолы чрезвычайно мощные; передозировка даёт «кошачий» тон</x:v>
      </x:c>
      <x:c r="H317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317" s="28" t="n">
        <x:f>COUNTIF('Все сочетания'!$C:$C,A317)+COUNTIF('Все сочетания'!$F:$F,A317)</x:f>
        <x:v>40</x:v>
      </x:c>
    </x:row>
    <x:row r="318" ht="46" customHeight="1">
      <x:c r="A318" s="28" t="str">
        <x:v>черника</x:v>
      </x:c>
      <x:c r="B318" s="28" t="str">
        <x:v>Ягоды и производные</x:v>
      </x:c>
      <x:c r="C318" s="28" t="str">
        <x:v>древесный, зелёный, тёмно-фруктовый, цветочный</x:v>
      </x:c>
      <x:c r="D318" s="28" t="str">
        <x:v>C6-альдегиды, иононы, терпены, эфиры</x:v>
      </x:c>
      <x:c r="E318" s="28" t="str">
        <x:v>кисло-сладкий, терпкий</x:v>
      </x:c>
      <x:c r="F318" s="28" t="str">
        <x:v>обычно отсутствует; зависит от конкретного продукта</x:v>
      </x:c>
      <x:c r="G318" s="28" t="str">
        <x:v>антоцианы отвечают за цвет, но не за основной запах</x:v>
      </x:c>
      <x:c r="H318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318" s="28" t="n">
        <x:f>COUNTIF('Все сочетания'!$C:$C,A318)+COUNTIF('Все сочетания'!$F:$F,A318)</x:f>
        <x:v>13</x:v>
      </x:c>
    </x:row>
    <x:row r="319" ht="46" customHeight="1">
      <x:c r="A319" s="28" t="str">
        <x:v>чернослив</x:v>
      </x:c>
      <x:c r="B319" s="28" t="str">
        <x:v>Прочее</x:v>
      </x:c>
      <x:c r="C319" s="28" t="str">
        <x:v>комплексный</x:v>
      </x:c>
      <x:c r="D319" s="28" t="str">
        <x:v>не конкретизированы</x:v>
      </x:c>
      <x:c r="E319" s="28" t="str">
        <x:v>зависит от ингредиента</x:v>
      </x:c>
      <x:c r="F319" s="28" t="str">
        <x:v>обычно отсутствует; зависит от конкретного продукта</x:v>
      </x:c>
      <x:c r="G319" s="28" t="str">
        <x:v>механизм зависит от конкретного продукта</x:v>
      </x:c>
      <x:c r="H319" s="28" t="str">
        <x:v>Справочный групповой профиль; для точного состава конкретного сорта или бренда нужен инструментальный анализ.</x:v>
      </x:c>
      <x:c r="I319" s="28" t="n">
        <x:f>COUNTIF('Все сочетания'!$C:$C,A319)+COUNTIF('Все сочетания'!$F:$F,A319)</x:f>
        <x:v>2</x:v>
      </x:c>
    </x:row>
    <x:row r="320" ht="46" customHeight="1">
      <x:c r="A320" s="28" t="str">
        <x:v>чёрные оливки</x:v>
      </x:c>
      <x:c r="B320" s="28" t="str">
        <x:v>Прочее</x:v>
      </x:c>
      <x:c r="C320" s="28" t="str">
        <x:v>комплексный</x:v>
      </x:c>
      <x:c r="D320" s="28" t="str">
        <x:v>не конкретизированы</x:v>
      </x:c>
      <x:c r="E320" s="28" t="str">
        <x:v>зависит от ингредиента</x:v>
      </x:c>
      <x:c r="F320" s="28" t="str">
        <x:v>обычно отсутствует; зависит от конкретного продукта</x:v>
      </x:c>
      <x:c r="G320" s="28" t="str">
        <x:v>механизм зависит от конкретного продукта</x:v>
      </x:c>
      <x:c r="H320" s="28" t="str">
        <x:v>Справочный групповой профиль; для точного состава конкретного сорта или бренда нужен инструментальный анализ.</x:v>
      </x:c>
      <x:c r="I320" s="28" t="n">
        <x:f>COUNTIF('Все сочетания'!$C:$C,A320)+COUNTIF('Все сочетания'!$F:$F,A320)</x:f>
        <x:v>1</x:v>
      </x:c>
    </x:row>
    <x:row r="321" ht="46" customHeight="1">
      <x:c r="A321" s="28" t="str">
        <x:v>чёрный перец</x:v>
      </x:c>
      <x:c r="B321" s="28" t="str">
        <x:v>Специи</x:v>
      </x:c>
      <x:c r="C321" s="28" t="str">
        <x:v>древесный, пряный, тёплый</x:v>
      </x:c>
      <x:c r="D321" s="28" t="str">
        <x:v>коричный альдегид, терпены, эвгенол</x:v>
      </x:c>
      <x:c r="E321" s="28" t="str">
        <x:v>пряный, иногда горький</x:v>
      </x:c>
      <x:c r="F321" s="28" t="str">
        <x:v>обычно отсутствует; зависит от конкретного продукта</x:v>
      </x:c>
      <x:c r="G321" s="28" t="str">
        <x:v>эфирные масла хорошо извлекаются спиртом и жиром</x:v>
      </x:c>
      <x:c r="H321" s="28" t="str">
        <x:v>Справочный групповой профиль; для точного состава конкретного сорта или бренда нужен инструментальный анализ.</x:v>
      </x:c>
      <x:c r="I321" s="28" t="n">
        <x:f>COUNTIF('Все сочетания'!$C:$C,A321)+COUNTIF('Все сочетания'!$F:$F,A321)</x:f>
        <x:v>10</x:v>
      </x:c>
    </x:row>
    <x:row r="322" ht="46" customHeight="1">
      <x:c r="A322" s="28" t="str">
        <x:v>чеснок</x:v>
      </x:c>
      <x:c r="B322" s="28" t="str">
        <x:v>Прочее</x:v>
      </x:c>
      <x:c r="C322" s="28" t="str">
        <x:v>комплексный</x:v>
      </x:c>
      <x:c r="D322" s="28" t="str">
        <x:v>не конкретизированы</x:v>
      </x:c>
      <x:c r="E322" s="28" t="str">
        <x:v>зависит от ингредиента</x:v>
      </x:c>
      <x:c r="F322" s="28" t="str">
        <x:v>обычно отсутствует; зависит от конкретного продукта</x:v>
      </x:c>
      <x:c r="G322" s="28" t="str">
        <x:v>механизм зависит от конкретного продукта</x:v>
      </x:c>
      <x:c r="H322" s="28" t="str">
        <x:v>Справочный групповой профиль; для точного состава конкретного сорта или бренда нужен инструментальный анализ.</x:v>
      </x:c>
      <x:c r="I322" s="28" t="n">
        <x:f>COUNTIF('Все сочетания'!$C:$C,A322)+COUNTIF('Все сочетания'!$F:$F,A322)</x:f>
        <x:v>4</x:v>
      </x:c>
    </x:row>
    <x:row r="323" ht="46" customHeight="1">
      <x:c r="A323" s="28" t="str">
        <x:v>чили ахи мирасоль</x:v>
      </x:c>
      <x:c r="B323" s="28" t="str">
        <x:v>Специи</x:v>
      </x:c>
      <x:c r="C323" s="28" t="str">
        <x:v>древесный, пряный, тёплый</x:v>
      </x:c>
      <x:c r="D323" s="28" t="str">
        <x:v>коричный альдегид, терпены, эвгенол</x:v>
      </x:c>
      <x:c r="E323" s="28" t="str">
        <x:v>пряный, иногда горький</x:v>
      </x:c>
      <x:c r="F323" s="28" t="str">
        <x:v>обычно отсутствует; зависит от конкретного продукта</x:v>
      </x:c>
      <x:c r="G323" s="28" t="str">
        <x:v>эфирные масла хорошо извлекаются спиртом и жиром</x:v>
      </x:c>
      <x:c r="H323" s="28" t="str">
        <x:v>Справочный групповой профиль; для точного состава конкретного сорта или бренда нужен инструментальный анализ.</x:v>
      </x:c>
      <x:c r="I323" s="28" t="n">
        <x:f>COUNTIF('Все сочетания'!$C:$C,A323)+COUNTIF('Все сочетания'!$F:$F,A323)</x:f>
        <x:v>1</x:v>
      </x:c>
    </x:row>
    <x:row r="324" ht="46" customHeight="1">
      <x:c r="A324" s="28" t="str">
        <x:v>чоризо</x:v>
      </x:c>
      <x:c r="B324" s="28" t="str">
        <x:v>Мясо и птица</x:v>
      </x:c>
      <x:c r="C324" s="28" t="str">
        <x:v>жареный, жирный, сернистый, умами</x:v>
      </x:c>
      <x:c r="D324" s="28" t="str">
        <x:v>альдегиды, пиразины, сернистые соединения</x:v>
      </x:c>
      <x:c r="E324" s="28" t="str">
        <x:v>умами, солёный, жирный</x:v>
      </x:c>
      <x:c r="F324" s="28" t="str">
        <x:v>обычно отсутствует; зависит от конкретного продукта</x:v>
      </x:c>
      <x:c r="G324" s="28" t="str">
        <x:v>жир переносит аромат; реакция Майяра создаёт новые одоранты</x:v>
      </x:c>
      <x:c r="H324" s="28" t="str">
        <x:v>Справочный групповой профиль; для точного состава конкретного сорта или бренда нужен инструментальный анализ.</x:v>
      </x:c>
      <x:c r="I324" s="28" t="n">
        <x:f>COUNTIF('Все сочетания'!$C:$C,A324)+COUNTIF('Все сочетания'!$F:$F,A324)</x:f>
        <x:v>2</x:v>
      </x:c>
    </x:row>
    <x:row r="325" ht="46" customHeight="1">
      <x:c r="A325" s="28" t="str">
        <x:v>шалфей</x:v>
      </x:c>
      <x:c r="B325" s="28" t="str">
        <x:v>Травы и цветы</x:v>
      </x:c>
      <x:c r="C325" s="28" t="str">
        <x:v>зелёный, травянистый, цветочный</x:v>
      </x:c>
      <x:c r="D325" s="28" t="str">
        <x:v>гераниол, линалоол, терпены, эвгенол</x:v>
      </x:c>
      <x:c r="E325" s="28" t="str">
        <x:v>горьковатый, свежий</x:v>
      </x:c>
      <x:c r="F325" s="28" t="str">
        <x:v>обычно отсутствует; зависит от конкретного продукта</x:v>
      </x:c>
      <x:c r="G325" s="28" t="str">
        <x:v>летучие масла чувствительны к нагреву</x:v>
      </x:c>
      <x:c r="H325" s="28" t="str">
        <x:v>Справочный групповой профиль; для точного состава конкретного сорта или бренда нужен инструментальный анализ.</x:v>
      </x:c>
      <x:c r="I325" s="28" t="n">
        <x:f>COUNTIF('Все сочетания'!$C:$C,A325)+COUNTIF('Все сочетания'!$F:$F,A325)</x:f>
        <x:v>6</x:v>
      </x:c>
    </x:row>
    <x:row r="326" ht="46" customHeight="1">
      <x:c r="A326" s="28" t="str">
        <x:v>шампиньон</x:v>
      </x:c>
      <x:c r="B326" s="28" t="str">
        <x:v>Прочее</x:v>
      </x:c>
      <x:c r="C326" s="28" t="str">
        <x:v>комплексный</x:v>
      </x:c>
      <x:c r="D326" s="28" t="str">
        <x:v>не конкретизированы</x:v>
      </x:c>
      <x:c r="E326" s="28" t="str">
        <x:v>зависит от ингредиента</x:v>
      </x:c>
      <x:c r="F326" s="28" t="str">
        <x:v>обычно отсутствует; зависит от конкретного продукта</x:v>
      </x:c>
      <x:c r="G326" s="28" t="str">
        <x:v>механизм зависит от конкретного продукта</x:v>
      </x:c>
      <x:c r="H326" s="28" t="str">
        <x:v>Справочный групповой профиль; для точного состава конкретного сорта или бренда нужен инструментальный анализ.</x:v>
      </x:c>
      <x:c r="I326" s="28" t="n">
        <x:f>COUNTIF('Все сочетания'!$C:$C,A326)+COUNTIF('Все сочетания'!$F:$F,A326)</x:f>
        <x:v>1</x:v>
      </x:c>
    </x:row>
    <x:row r="327" ht="46" customHeight="1">
      <x:c r="A327" s="28" t="str">
        <x:v>шафран</x:v>
      </x:c>
      <x:c r="B327" s="28" t="str">
        <x:v>Специи</x:v>
      </x:c>
      <x:c r="C327" s="28" t="str">
        <x:v>древесный, пряный, тёплый</x:v>
      </x:c>
      <x:c r="D327" s="28" t="str">
        <x:v>коричный альдегид, терпены, эвгенол</x:v>
      </x:c>
      <x:c r="E327" s="28" t="str">
        <x:v>пряный, иногда горький</x:v>
      </x:c>
      <x:c r="F327" s="28" t="str">
        <x:v>обычно отсутствует; зависит от конкретного продукта</x:v>
      </x:c>
      <x:c r="G327" s="28" t="str">
        <x:v>эфирные масла хорошо извлекаются спиртом и жиром</x:v>
      </x:c>
      <x:c r="H327" s="28" t="str">
        <x:v>Справочный групповой профиль; для точного состава конкретного сорта или бренда нужен инструментальный анализ.</x:v>
      </x:c>
      <x:c r="I327" s="28" t="n">
        <x:f>COUNTIF('Все сочетания'!$C:$C,A327)+COUNTIF('Все сочетания'!$F:$F,A327)</x:f>
        <x:v>1</x:v>
      </x:c>
    </x:row>
    <x:row r="328" ht="46" customHeight="1">
      <x:c r="A328" s="28" t="str">
        <x:v>шелковица</x:v>
      </x:c>
      <x:c r="B328" s="28" t="str">
        <x:v>Ягоды и производные</x:v>
      </x:c>
      <x:c r="C328" s="28" t="str">
        <x:v>джемовый, фруктовый, цветочный</x:v>
      </x:c>
      <x:c r="D328" s="28" t="str">
        <x:v>иононы, терпены, эфиры</x:v>
      </x:c>
      <x:c r="E328" s="28" t="str">
        <x:v>сладко-кислый</x:v>
      </x:c>
      <x:c r="F328" s="28" t="str">
        <x:v>обычно отсутствует; зависит от конкретного продукта</x:v>
      </x:c>
      <x:c r="G328" s="28" t="str">
        <x:v>мягкий аромат нуждается в кислотной опоре</x:v>
      </x:c>
      <x:c r="H328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328" s="28" t="n">
        <x:f>COUNTIF('Все сочетания'!$C:$C,A328)+COUNTIF('Все сочетания'!$F:$F,A328)</x:f>
        <x:v>12</x:v>
      </x:c>
    </x:row>
    <x:row r="329" ht="46" customHeight="1">
      <x:c r="A329" s="28" t="str">
        <x:v>шиитаке</x:v>
      </x:c>
      <x:c r="B329" s="28" t="str">
        <x:v>Прочее</x:v>
      </x:c>
      <x:c r="C329" s="28" t="str">
        <x:v>комплексный</x:v>
      </x:c>
      <x:c r="D329" s="28" t="str">
        <x:v>не конкретизированы</x:v>
      </x:c>
      <x:c r="E329" s="28" t="str">
        <x:v>зависит от ингредиента</x:v>
      </x:c>
      <x:c r="F329" s="28" t="str">
        <x:v>обычно отсутствует; зависит от конкретного продукта</x:v>
      </x:c>
      <x:c r="G329" s="28" t="str">
        <x:v>механизм зависит от конкретного продукта</x:v>
      </x:c>
      <x:c r="H329" s="28" t="str">
        <x:v>Справочный групповой профиль; для точного состава конкретного сорта или бренда нужен инструментальный анализ.</x:v>
      </x:c>
      <x:c r="I329" s="28" t="n">
        <x:f>COUNTIF('Все сочетания'!$C:$C,A329)+COUNTIF('Все сочетания'!$F:$F,A329)</x:f>
        <x:v>3</x:v>
      </x:c>
    </x:row>
    <x:row r="330" ht="46" customHeight="1">
      <x:c r="A330" s="28" t="str">
        <x:v>шоколад</x:v>
      </x:c>
      <x:c r="B330" s="28" t="str">
        <x:v>Шоколад, кофе и жареные продукты</x:v>
      </x:c>
      <x:c r="C330" s="28" t="str">
        <x:v>горький, жареный, карамельный, ореховый</x:v>
      </x:c>
      <x:c r="D330" s="28" t="str">
        <x:v>ванилин, пиразины, фураны</x:v>
      </x:c>
      <x:c r="E330" s="28" t="str">
        <x:v>горько-сладкий</x:v>
      </x:c>
      <x:c r="F330" s="28" t="str">
        <x:v>обычно отсутствует; зависит от конкретного продукта</x:v>
      </x:c>
      <x:c r="G330" s="28" t="str">
        <x:v>жир и обжаренные твёрдые частицы</x:v>
      </x:c>
      <x:c r="H330" s="28" t="str">
        <x:v>Справочный групповой профиль; для точного состава конкретного сорта или бренда нужен инструментальный анализ.</x:v>
      </x:c>
      <x:c r="I330" s="28" t="n">
        <x:f>COUNTIF('Все сочетания'!$C:$C,A330)+COUNTIF('Все сочетания'!$F:$F,A330)</x:f>
        <x:v>10</x:v>
      </x:c>
    </x:row>
    <x:row r="331" ht="46" customHeight="1">
      <x:c r="A331" s="28" t="str">
        <x:v>эстрагон</x:v>
      </x:c>
      <x:c r="B331" s="28" t="str">
        <x:v>Травы и цветы</x:v>
      </x:c>
      <x:c r="C331" s="28" t="str">
        <x:v>зелёный, травянистый, цветочный</x:v>
      </x:c>
      <x:c r="D331" s="28" t="str">
        <x:v>гераниол, линалоол, терпены, эвгенол</x:v>
      </x:c>
      <x:c r="E331" s="28" t="str">
        <x:v>горьковатый, свежий</x:v>
      </x:c>
      <x:c r="F331" s="28" t="str">
        <x:v>обычно отсутствует; зависит от конкретного продукта</x:v>
      </x:c>
      <x:c r="G331" s="28" t="str">
        <x:v>летучие масла чувствительны к нагреву</x:v>
      </x:c>
      <x:c r="H331" s="28" t="str">
        <x:v>Справочный групповой профиль; для точного состава конкретного сорта или бренда нужен инструментальный анализ.</x:v>
      </x:c>
      <x:c r="I331" s="28" t="n">
        <x:f>COUNTIF('Все сочетания'!$C:$C,A331)+COUNTIF('Все сочетания'!$F:$F,A331)</x:f>
        <x:v>1</x:v>
      </x:c>
    </x:row>
    <x:row r="332" ht="46" customHeight="1">
      <x:c r="A332" s="28" t="str">
        <x:v>юдзу</x:v>
      </x:c>
      <x:c r="B332" s="28" t="str">
        <x:v>Прочее</x:v>
      </x:c>
      <x:c r="C332" s="28" t="str">
        <x:v>комплексный</x:v>
      </x:c>
      <x:c r="D332" s="28" t="str">
        <x:v>не конкретизированы</x:v>
      </x:c>
      <x:c r="E332" s="28" t="str">
        <x:v>зависит от ингредиента</x:v>
      </x:c>
      <x:c r="F332" s="28" t="str">
        <x:v>обычно отсутствует; зависит от конкретного продукта</x:v>
      </x:c>
      <x:c r="G332" s="28" t="str">
        <x:v>механизм зависит от конкретного продукта</x:v>
      </x:c>
      <x:c r="H332" s="28" t="str">
        <x:v>Справочный групповой профиль; для точного состава конкретного сорта или бренда нужен инструментальный анализ.</x:v>
      </x:c>
      <x:c r="I332" s="28" t="n">
        <x:f>COUNTIF('Все сочетания'!$C:$C,A332)+COUNTIF('Все сочетания'!$F:$F,A332)</x:f>
        <x:v>1</x:v>
      </x:c>
    </x:row>
    <x:row r="333" ht="46" customHeight="1">
      <x:c r="A333" s="28" t="str">
        <x:v>яблоко</x:v>
      </x:c>
      <x:c r="B333" s="28" t="str">
        <x:v>Фрукты</x:v>
      </x:c>
      <x:c r="C333" s="28" t="str">
        <x:v>зелёный, фруктовый, цветочный</x:v>
      </x:c>
      <x:c r="D333" s="28" t="str">
        <x:v>лактоны, терпены, эфиры</x:v>
      </x:c>
      <x:c r="E333" s="28" t="str">
        <x:v>сладко-кислый</x:v>
      </x:c>
      <x:c r="F333" s="28" t="str">
        <x:v>обычно отсутствует; зависит от конкретного продукта</x:v>
      </x:c>
      <x:c r="G333" s="28" t="str">
        <x:v>водная фруктовая матрица</x:v>
      </x:c>
      <x:c r="H333" s="28" t="str">
        <x:v>Справочный групповой профиль; для точного состава конкретного сорта или бренда нужен инструментальный анализ.</x:v>
      </x:c>
      <x:c r="I333" s="28" t="n">
        <x:f>COUNTIF('Все сочетания'!$C:$C,A333)+COUNTIF('Все сочетания'!$F:$F,A333)</x:f>
        <x:v>13</x:v>
      </x:c>
    </x:row>
    <x:row r="334" ht="46" customHeight="1">
      <x:c r="A334" s="28" t="str">
        <x:v>яблоко Pink Lady</x:v>
      </x:c>
      <x:c r="B334" s="28" t="str">
        <x:v>Фрукты</x:v>
      </x:c>
      <x:c r="C334" s="28" t="str">
        <x:v>зелёный, фруктовый, цветочный</x:v>
      </x:c>
      <x:c r="D334" s="28" t="str">
        <x:v>лактоны, терпены, эфиры</x:v>
      </x:c>
      <x:c r="E334" s="28" t="str">
        <x:v>сладко-кислый</x:v>
      </x:c>
      <x:c r="F334" s="28" t="str">
        <x:v>обычно отсутствует; зависит от конкретного продукта</x:v>
      </x:c>
      <x:c r="G334" s="28" t="str">
        <x:v>водная фруктовая матрица</x:v>
      </x:c>
      <x:c r="H334" s="28" t="str">
        <x:v>Справочный групповой профиль; для точного состава конкретного сорта или бренда нужен инструментальный анализ.</x:v>
      </x:c>
      <x:c r="I334" s="28" t="n">
        <x:f>COUNTIF('Все сочетания'!$C:$C,A334)+COUNTIF('Все сочетания'!$F:$F,A334)</x:f>
        <x:v>1</x:v>
      </x:c>
    </x:row>
    <x:row r="335" ht="46" customHeight="1">
      <x:c r="A335" s="28" t="str">
        <x:v>ягоды</x:v>
      </x:c>
      <x:c r="B335" s="28" t="str">
        <x:v>Прочее</x:v>
      </x:c>
      <x:c r="C335" s="28" t="str">
        <x:v>комплексный</x:v>
      </x:c>
      <x:c r="D335" s="28" t="str">
        <x:v>не конкретизированы</x:v>
      </x:c>
      <x:c r="E335" s="28" t="str">
        <x:v>зависит от ингредиента</x:v>
      </x:c>
      <x:c r="F335" s="28" t="str">
        <x:v>обычно отсутствует; зависит от конкретного продукта</x:v>
      </x:c>
      <x:c r="G335" s="28" t="str">
        <x:v>механизм зависит от конкретного продукта</x:v>
      </x:c>
      <x:c r="H335" s="28" t="str">
        <x:v>Справочный групповой профиль; для точного состава конкретного сорта или бренда нужен инструментальный анализ.</x:v>
      </x:c>
      <x:c r="I335" s="28" t="n">
        <x:f>COUNTIF('Все сочетания'!$C:$C,A335)+COUNTIF('Все сочетания'!$F:$F,A335)</x:f>
        <x:v>4</x:v>
      </x:c>
    </x:row>
    <x:row r="336" ht="46" customHeight="1">
      <x:c r="A336" s="28" t="str">
        <x:v>ягоды асаи</x:v>
      </x:c>
      <x:c r="B336" s="28" t="str">
        <x:v>Ягоды и производные</x:v>
      </x:c>
      <x:c r="C336" s="28" t="str">
        <x:v>комплексный</x:v>
      </x:c>
      <x:c r="D336" s="28" t="str">
        <x:v>не конкретизированы</x:v>
      </x:c>
      <x:c r="E336" s="28" t="str">
        <x:v>зависит от ингредиента</x:v>
      </x:c>
      <x:c r="F336" s="28" t="str">
        <x:v>обычно отсутствует; зависит от конкретного продукта</x:v>
      </x:c>
      <x:c r="G336" s="28" t="str">
        <x:v>механизм зависит от конкретного продукта</x:v>
      </x:c>
      <x:c r="H336" s="28" t="str">
        <x:v>Справочный групповой профиль; для точного состава конкретного сорта или бренда нужен инструментальный анализ.</x:v>
      </x:c>
      <x:c r="I336" s="28" t="n">
        <x:f>COUNTIF('Все сочетания'!$C:$C,A336)+COUNTIF('Все сочетания'!$F:$F,A336)</x:f>
        <x:v>9</x:v>
      </x:c>
    </x:row>
    <x:row r="337" ht="46" customHeight="1">
      <x:c r="A337" s="28" t="str">
        <x:v>ягоды годжи</x:v>
      </x:c>
      <x:c r="B337" s="28" t="str">
        <x:v>Ягоды и производные</x:v>
      </x:c>
      <x:c r="C337" s="28" t="str">
        <x:v>комплексный</x:v>
      </x:c>
      <x:c r="D337" s="28" t="str">
        <x:v>не конкретизированы</x:v>
      </x:c>
      <x:c r="E337" s="28" t="str">
        <x:v>зависит от ингредиента</x:v>
      </x:c>
      <x:c r="F337" s="28" t="str">
        <x:v>обычно отсутствует; зависит от конкретного продукта</x:v>
      </x:c>
      <x:c r="G337" s="28" t="str">
        <x:v>механизм зависит от конкретного продукта</x:v>
      </x:c>
      <x:c r="H337" s="28" t="str">
        <x:v>Справочный групповой профиль; для точного состава конкретного сорта или бренда нужен инструментальный анализ.</x:v>
      </x:c>
      <x:c r="I337" s="28" t="n">
        <x:f>COUNTIF('Все сочетания'!$C:$C,A337)+COUNTIF('Все сочетания'!$F:$F,A337)</x:f>
        <x:v>16</x:v>
      </x:c>
    </x:row>
    <x:row r="338" ht="46" customHeight="1">
      <x:c r="A338" s="28" t="str">
        <x:v>ягоды можжевельника</x:v>
      </x:c>
      <x:c r="B338" s="28" t="str">
        <x:v>Прочее</x:v>
      </x:c>
      <x:c r="C338" s="28" t="str">
        <x:v>комплексный</x:v>
      </x:c>
      <x:c r="D338" s="28" t="str">
        <x:v>не конкретизированы</x:v>
      </x:c>
      <x:c r="E338" s="28" t="str">
        <x:v>зависит от ингредиента</x:v>
      </x:c>
      <x:c r="F338" s="28" t="str">
        <x:v>обычно отсутствует; зависит от конкретного продукта</x:v>
      </x:c>
      <x:c r="G338" s="28" t="str">
        <x:v>механизм зависит от конкретного продукта</x:v>
      </x:c>
      <x:c r="H338" s="28" t="str">
        <x:v>Справочный групповой профиль; для точного состава конкретного сорта или бренда нужен инструментальный анализ.</x:v>
      </x:c>
      <x:c r="I338" s="28" t="n">
        <x:f>COUNTIF('Все сочетания'!$C:$C,A338)+COUNTIF('Все сочетания'!$F:$F,A338)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d8ffe9887264ef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38" hidden="0" customWidth="1"/>
    <x:col min="4" max="4" width="48" hidden="0" customWidth="1"/>
    <x:col min="5" max="5" width="52" hidden="0" customWidth="1"/>
    <x:col min="6" max="6" width="43" hidden="0" customWidth="1"/>
  </x:cols>
  <x:sheetData>
    <x:row r="1">
      <x:c r="A1" s="20" t="str">
        <x:v>Соединение / группа</x:v>
      </x:c>
      <x:c r="B1" s="20" t="str">
        <x:v>Класс</x:v>
      </x:c>
      <x:c r="C1" s="20" t="str">
        <x:v>Аромат / эффект</x:v>
      </x:c>
      <x:c r="D1" s="20" t="str">
        <x:v>Поведение и растворимость</x:v>
      </x:c>
      <x:c r="E1" s="20" t="str">
        <x:v>Роль в сочетаниях</x:v>
      </x:c>
      <x:c r="F1" s="20" t="str">
        <x:v>Критическая точка</x:v>
      </x:c>
    </x:row>
    <x:row r="2" ht="50" customHeight="1">
      <x:c r="A2" s="28" t="str">
        <x:v>Фуранеол</x:v>
      </x:c>
      <x:c r="B2" s="28" t="str">
        <x:v>фураноны</x:v>
      </x:c>
      <x:c r="C2" s="28" t="str">
        <x:v>клубника, карамель, жжёный сахар</x:v>
      </x:c>
      <x:c r="D2" s="28" t="str">
        <x:v>полярнее многих терпенов; чувствителен к нагреву и матрице</x:v>
      </x:c>
      <x:c r="E2" s="28" t="str">
        <x:v>ключевой маркер клубники и джемовых ягодных профилей</x:v>
      </x:c>
      <x:c r="F2" s="28" t="str">
        <x:v>не единственный источник клубничного аромата</x:v>
      </x:c>
    </x:row>
    <x:row r="3" ht="50" customHeight="1">
      <x:c r="A3" s="28" t="str">
        <x:v>Мезифуран</x:v>
      </x:c>
      <x:c r="B3" s="28" t="str">
        <x:v>фураноны</x:v>
      </x:c>
      <x:c r="C3" s="28" t="str">
        <x:v>карамельно-фруктовый, клубничный</x:v>
      </x:c>
      <x:c r="D3" s="28" t="str">
        <x:v>летучесть зависит от сахара и температуры</x:v>
      </x:c>
      <x:c r="E3" s="28" t="str">
        <x:v>усиливает сладко-джемовую часть клубники</x:v>
      </x:c>
      <x:c r="F3" s="28" t="str">
        <x:v>перегрев упрощает профиль</x:v>
      </x:c>
    </x:row>
    <x:row r="4" ht="50" customHeight="1">
      <x:c r="A4" s="28" t="str">
        <x:v>Малиновый кетон</x:v>
      </x:c>
      <x:c r="B4" s="28" t="str">
        <x:v>фенольные кетоны</x:v>
      </x:c>
      <x:c r="C4" s="28" t="str">
        <x:v>характерный малиновый, фруктовый</x:v>
      </x:c>
      <x:c r="D4" s="28" t="str">
        <x:v>умеренно гидрофобен; хорошо удерживается жиром и этанолом</x:v>
      </x:c>
      <x:c r="E4" s="28" t="str">
        <x:v>важный маркер малины</x:v>
      </x:c>
      <x:c r="F4" s="28" t="str">
        <x:v>в натуральной ягоде действует вместе с иононами и терпенами</x:v>
      </x:c>
    </x:row>
    <x:row r="5" ht="50" customHeight="1">
      <x:c r="A5" s="28" t="str">
        <x:v>Альфа- и бета-ионон</x:v>
      </x:c>
      <x:c r="B5" s="28" t="str">
        <x:v>норизопреноиды</x:v>
      </x:c>
      <x:c r="C5" s="28" t="str">
        <x:v>фиалка, малина, древесность</x:v>
      </x:c>
      <x:c r="D5" s="28" t="str">
        <x:v>очень низкий порог восприятия; гидрофобны</x:v>
      </x:c>
      <x:c r="E5" s="28" t="str">
        <x:v>соединяют малину, ежевику, чай, цветы и древесные продукты</x:v>
      </x:c>
      <x:c r="F5" s="28" t="str">
        <x:v>следовые количества дают сильный эффект</x:v>
      </x:c>
    </x:row>
    <x:row r="6" ht="50" customHeight="1">
      <x:c r="A6" s="28" t="str">
        <x:v>Бета-дамасценон</x:v>
      </x:c>
      <x:c r="B6" s="28" t="str">
        <x:v>норизопреноиды</x:v>
      </x:c>
      <x:c r="C6" s="28" t="str">
        <x:v>роза, мёд, тёмные фрукты, печёное яблоко</x:v>
      </x:c>
      <x:c r="D6" s="28" t="str">
        <x:v>крайне низкий порог; хорошо удерживается спиртом/жиром</x:v>
      </x:c>
      <x:c r="E6" s="28" t="str">
        <x:v>мост между вишней, вином, коньяком и печёными фруктами</x:v>
      </x:c>
      <x:c r="F6" s="28" t="str">
        <x:v>концентрация сильно зависит от сырья и обработки</x:v>
      </x:c>
    </x:row>
    <x:row r="7" ht="50" customHeight="1">
      <x:c r="A7" s="28" t="str">
        <x:v>Бензальдегид</x:v>
      </x:c>
      <x:c r="B7" s="28" t="str">
        <x:v>ароматические альдегиды</x:v>
      </x:c>
      <x:c r="C7" s="28" t="str">
        <x:v>горький миндаль, вишнёвая косточка</x:v>
      </x:c>
      <x:c r="D7" s="28" t="str">
        <x:v>летучий; растворим в этаноле и жировой фазе</x:v>
      </x:c>
      <x:c r="E7" s="28" t="str">
        <x:v>связывает вишню с миндалём, марципаном и косточковыми</x:v>
      </x:c>
      <x:c r="F7" s="28" t="str">
        <x:v>не смешивать описание аромата с безопасностью косточек</x:v>
      </x:c>
    </x:row>
    <x:row r="8" ht="50" customHeight="1">
      <x:c r="A8" s="28" t="str">
        <x:v>Гераниол</x:v>
      </x:c>
      <x:c r="B8" s="28" t="str">
        <x:v>монотерпеновые спирты</x:v>
      </x:c>
      <x:c r="C8" s="28" t="str">
        <x:v>роза, цветы, цитрус</x:v>
      </x:c>
      <x:c r="D8" s="28" t="str">
        <x:v>гидрофобен; хорошо раскрывается в этаноле и жире</x:v>
      </x:c>
      <x:c r="E8" s="28" t="str">
        <x:v>важен для голубики и цветочно-цитрусовых мостов</x:v>
      </x:c>
      <x:c r="F8" s="28" t="str">
        <x:v>окисление меняет аромат</x:v>
      </x:c>
    </x:row>
    <x:row r="9" ht="50" customHeight="1">
      <x:c r="A9" s="28" t="str">
        <x:v>Цитронеллол</x:v>
      </x:c>
      <x:c r="B9" s="28" t="str">
        <x:v>монотерпеновые спирты</x:v>
      </x:c>
      <x:c r="C9" s="28" t="str">
        <x:v>роза, цитрус, свежесть</x:v>
      </x:c>
      <x:c r="D9" s="28" t="str">
        <x:v>гидрофобен и летуч</x:v>
      </x:c>
      <x:c r="E9" s="28" t="str">
        <x:v>цитрусовый нюанс голубики; мост к розе и цитрусам</x:v>
      </x:c>
      <x:c r="F9" s="28" t="str">
        <x:v>чувствителен к окислению</x:v>
      </x:c>
    </x:row>
    <x:row r="10" ht="50" customHeight="1">
      <x:c r="A10" s="28" t="str">
        <x:v>Линалоол</x:v>
      </x:c>
      <x:c r="B10" s="28" t="str">
        <x:v>монотерпеновые спирты</x:v>
      </x:c>
      <x:c r="C10" s="28" t="str">
        <x:v>цветы, лаванда, цитрус</x:v>
      </x:c>
      <x:c r="D10" s="28" t="str">
        <x:v>летуч, гидрофобен</x:v>
      </x:c>
      <x:c r="E10" s="28" t="str">
        <x:v>частый мост между ягодами, травами, чаем, цитрусами и специями</x:v>
      </x:c>
      <x:c r="F10" s="28" t="str">
        <x:v>наличие общей молекулы не гарантирует удачную дозировку</x:v>
      </x:c>
    </x:row>
    <x:row r="11" ht="50" customHeight="1">
      <x:c r="A11" s="28" t="str">
        <x:v>C6-альдегиды</x:v>
      </x:c>
      <x:c r="B11" s="28" t="str">
        <x:v>алифатические альдегиды</x:v>
      </x:c>
      <x:c r="C11" s="28" t="str">
        <x:v>зелёная трава, лист, свежесрезанный плод</x:v>
      </x:c>
      <x:c r="D11" s="28" t="str">
        <x:v>очень летучи; быстро меняются при окислении и нагреве</x:v>
      </x:c>
      <x:c r="E11" s="28" t="str">
        <x:v>связывают свежие ягоды с травами, огурцом и овощами</x:v>
      </x:c>
      <x:c r="F11" s="28" t="str">
        <x:v>перезрелость и нагрев снижают зелёный тон</x:v>
      </x:c>
    </x:row>
    <x:row r="12" ht="50" customHeight="1">
      <x:c r="A12" s="28" t="str">
        <x:v>Тиолы чёрной смородины</x:v>
      </x:c>
      <x:c r="B12" s="28" t="str">
        <x:v>серосодержащие одоранты</x:v>
      </x:c>
      <x:c r="C12" s="28" t="str">
        <x:v>cassis, лист, тропический, иногда «кошачий»</x:v>
      </x:c>
      <x:c r="D12" s="28" t="str">
        <x:v>экстремально низкий порог восприятия</x:v>
      </x:c>
      <x:c r="E12" s="28" t="str">
        <x:v>связывают смородину с совиньон-бланом, хмелем и некоторыми тропическими фруктами</x:v>
      </x:c>
      <x:c r="F12" s="28" t="str">
        <x:v>передозировка быстро становится неприятной</x:v>
      </x:c>
    </x:row>
    <x:row r="13" ht="50" customHeight="1">
      <x:c r="A13" s="28" t="str">
        <x:v>Антоцианы</x:v>
      </x:c>
      <x:c r="B13" s="28" t="str">
        <x:v>нелетучие полифенольные пигменты</x:v>
      </x:c>
      <x:c r="C13" s="28" t="str">
        <x:v>не являются основным источником запаха</x:v>
      </x:c>
      <x:c r="D13" s="28" t="str">
        <x:v>цвет зависит от pH; чувствительны к нагреву и окислению</x:v>
      </x:c>
      <x:c r="E13" s="28" t="str">
        <x:v>формируют красную/пурпурную окраску и часть терпкости</x:v>
      </x:c>
      <x:c r="F13" s="28" t="str">
        <x:v>не приписывать им ягодный аромат</x:v>
      </x:c>
    </x:row>
    <x:row r="14" ht="50" customHeight="1">
      <x:c r="A14" s="28" t="str">
        <x:v>Бензойная кислота</x:v>
      </x:c>
      <x:c r="B14" s="28" t="str">
        <x:v>органические кислоты</x:v>
      </x:c>
      <x:c r="C14" s="28" t="str">
        <x:v>практически нелетучая</x:v>
      </x:c>
      <x:c r="D14" s="28" t="str">
        <x:v>повышает микробиологическую стабильность кислых ягод</x:v>
      </x:c>
      <x:c r="E14" s="28" t="str">
        <x:v>характерна для клюквы и брусники; влияет на вкус и хранение</x:v>
      </x:c>
      <x:c r="F14" s="28" t="str">
        <x:v>не является ароматическим мостом</x:v>
      </x:c>
    </x:row>
    <x:row r="15" ht="50" customHeight="1">
      <x:c r="A15" s="28" t="str">
        <x:v>Этиловые эфиры</x:v>
      </x:c>
      <x:c r="B15" s="28" t="str">
        <x:v>сложные эфиры</x:v>
      </x:c>
      <x:c r="C15" s="28" t="str">
        <x:v>фруктовый, ананасовый, грушевый</x:v>
      </x:c>
      <x:c r="D15" s="28" t="str">
        <x:v>летучи; хорошо заметны в спиртовой и водной матрице</x:v>
      </x:c>
      <x:c r="E15" s="28" t="str">
        <x:v>создают общую фруктовую зону ягод и напитков</x:v>
      </x:c>
      <x:c r="F15" s="28" t="str">
        <x:v>быстро теряются при длительном кипячении</x:v>
      </x:c>
    </x:row>
  </x:sheetData>
  <x:pageMargins left="0.7" right="0.7" top="0.75" bottom="0.75" header="0.3" footer="0.3"/>
  <x:tableParts count="1">
    <x:tablePart xmlns:r="http://schemas.openxmlformats.org/officeDocument/2006/relationships" r:id="R1a3bb16dd5c34d5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72" hidden="0" customWidth="1"/>
    <x:col min="3" max="3" width="58" hidden="0" customWidth="1"/>
  </x:cols>
  <x:sheetData>
    <x:row r="1" ht="34" customHeight="1">
      <x:c r="A1" s="4" t="str">
        <x:v>МЕТОДИКА СБОРКИ И ОГРАНИЧЕНИЯ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20" t="str">
        <x:v>Этап</x:v>
      </x:c>
      <x:c r="B4" s="20" t="str">
        <x:v>Что выполнено</x:v>
      </x:c>
    </x:row>
    <x:row r="5" ht="44" customHeight="1">
      <x:c r="A5" s="28" t="str">
        <x:v>1. Извлечение</x:v>
      </x:c>
      <x:c r="B5" s="28" t="str">
        <x:v>Из трёх PDF извлечены статьи, перекрёстные ссылки, строки таблиц и подписи из pairing grids.</x:v>
      </x:c>
    </x:row>
    <x:row r="6" ht="44" customHeight="1">
      <x:c r="A6" s="28" t="str">
        <x:v>2. Охват</x:v>
      </x:c>
      <x:c r="B6" s="28" t="str">
        <x:v>Включены ягоды, сорта, соки, пюре, уксусы, листья и другие ягодные производные, прямо присутствующие в источниках.</x:v>
      </x:c>
    </x:row>
    <x:row r="7" ht="44" customHeight="1">
      <x:c r="A7" s="28" t="str">
        <x:v>3. Очистка</x:v>
      </x:c>
      <x:c r="B7" s="28" t="str">
        <x:v>Удалены прямые дубли; направления A — B и B — A сведены в одну пару.</x:v>
      </x:c>
    </x:row>
    <x:row r="8" ht="44" customHeight="1">
      <x:c r="A8" s="28" t="str">
        <x:v>4. Нормализация</x:v>
      </x:c>
      <x:c r="B8" s="28" t="str">
        <x:v>Русские и английские названия сведены к рабочей форме, а исходные написания сохранены в отдельных столбцах.</x:v>
      </x:c>
    </x:row>
    <x:row r="9" ht="44" customHeight="1">
      <x:c r="A9" s="28" t="str">
        <x:v>5. Научный слой</x:v>
      </x:c>
      <x:c r="B9" s="28" t="str">
        <x:v>Для пары проверены ароматические семейства, характерные одоранты, вкус, тройничное восприятие, матрица и обработка.</x:v>
      </x:c>
    </x:row>
    <x:row r="10" ht="44" customHeight="1">
      <x:c r="A10" s="28" t="str">
        <x:v>6. Уверенность</x:v>
      </x:c>
      <x:c r="B10" s="28" t="str">
        <x:v>Оценка зависит от числа источников, наличия развёрнутой статьи и присутствия пары в Foodpairing.</x:v>
      </x:c>
    </x:row>
    <x:row r="11" ht="44" customHeight="1">
      <x:c r="A11" s="28" t="str">
        <x:v>7. Практика</x:v>
      </x:c>
      <x:c r="B11" s="28" t="str">
        <x:v>Указаны способы применения, ингредиент-мост, технологические риски и страницы первоисточников.</x:v>
      </x:c>
    </x:row>
    <x:row r="12" ht="44" customHeight="1">
      <x:c r="A12" s="28" t="str">
        <x:v>8. Контроль</x:v>
      </x:c>
      <x:c r="B12" s="28" t="str">
        <x:v>Молекула не объявляется общей, если совпадение не подтверждается рабочими профилями обоих ингредиентов.</x:v>
      </x:c>
    </x:row>
    <x:row r="14">
      <x:c r="A14" s="36" t="str">
        <x:v>КЛЮЧЕВЫЕ НАУЧНЫЕ ОГРАНИЧЕНИЯ</x:v>
      </x:c>
      <x:c r="B14" s="36"/>
      <x:c r="C14" s="36"/>
      <x:c r="D14" s="36"/>
      <x:c r="E14" s="36"/>
      <x:c r="F14" s="36"/>
      <x:c r="G14" s="36"/>
      <x:c r="H14" s="36"/>
    </x:row>
    <x:row r="15" ht="98" customHeight="1">
      <x:c r="A15" s="43" t="str">
        <x:v>Файл является рабочей сенсорной энциклопедией, а не количественным GC–MS-анализом конкретной партии сырья. Фраза «характерные соединения» означает типичные маркеры продукта; сорт, зрелость и технология меняют их концентрацию. Фуранеол и мезифуран важны для клубники, малиновый кетон и иононы — для малины, гераниол и цитронеллол — для голубики, бензальдегид — для косточкового оттенка вишни, следовые тиолы — для чёрной смородины.
Антоцианы являются нелетучими пигментами: они определяют цвет и часть терпкости, но не основной ягодный запах. При работе с косточками вишни и черешни требуется валидированная технология из-за цианогенных гликозидов. Перед внедрением любой пары необходимы пробная сборка, дегустация при рабочей температуре и проверка стабильности.</x:v>
      </x:c>
      <x:c r="B15" s="43"/>
      <x:c r="C15" s="43"/>
      <x:c r="D15" s="43"/>
      <x:c r="E15" s="43"/>
      <x:c r="F15" s="43"/>
      <x:c r="G15" s="43"/>
      <x:c r="H15" s="43"/>
    </x:row>
    <x:row r="16" ht="98" customHeight="1">
      <x:c r="A16" s="43"/>
      <x:c r="B16" s="43"/>
      <x:c r="C16" s="43"/>
      <x:c r="D16" s="43"/>
      <x:c r="E16" s="43"/>
      <x:c r="F16" s="43"/>
      <x:c r="G16" s="43"/>
      <x:c r="H16" s="43"/>
    </x:row>
    <x:row r="17" ht="98" customHeight="1">
      <x:c r="A17" s="43"/>
      <x:c r="B17" s="43"/>
      <x:c r="C17" s="43"/>
      <x:c r="D17" s="43"/>
      <x:c r="E17" s="43"/>
      <x:c r="F17" s="43"/>
      <x:c r="G17" s="43"/>
      <x:c r="H17" s="43"/>
    </x:row>
    <x:row r="18" ht="98" customHeight="1">
      <x:c r="A18" s="43"/>
      <x:c r="B18" s="43"/>
      <x:c r="C18" s="43"/>
      <x:c r="D18" s="43"/>
      <x:c r="E18" s="43"/>
      <x:c r="F18" s="43"/>
      <x:c r="G18" s="43"/>
      <x:c r="H18" s="43"/>
    </x:row>
    <x:row r="19" ht="98" customHeight="1">
      <x:c r="A19" s="43"/>
      <x:c r="B19" s="43"/>
      <x:c r="C19" s="43"/>
      <x:c r="D19" s="43"/>
      <x:c r="E19" s="43"/>
      <x:c r="F19" s="43"/>
      <x:c r="G19" s="43"/>
      <x:c r="H19" s="43"/>
    </x:row>
    <x:row r="20" ht="98" customHeight="1">
      <x:c r="A20" s="43"/>
      <x:c r="B20" s="43"/>
      <x:c r="C20" s="43"/>
      <x:c r="D20" s="43"/>
      <x:c r="E20" s="43"/>
      <x:c r="F20" s="43"/>
      <x:c r="G20" s="43"/>
      <x:c r="H20" s="43"/>
    </x:row>
    <x:row r="21" ht="98" customHeight="1">
      <x:c r="A21" s="43"/>
      <x:c r="B21" s="43"/>
      <x:c r="C21" s="43"/>
      <x:c r="D21" s="43"/>
      <x:c r="E21" s="43"/>
      <x:c r="F21" s="43"/>
      <x:c r="G21" s="43"/>
      <x:c r="H21" s="43"/>
    </x:row>
    <x:row r="22" ht="98" customHeight="1">
      <x:c r="A22" s="43"/>
      <x:c r="B22" s="43"/>
      <x:c r="C22" s="43"/>
      <x:c r="D22" s="43"/>
      <x:c r="E22" s="43"/>
      <x:c r="F22" s="43"/>
      <x:c r="G22" s="43"/>
      <x:c r="H22" s="43"/>
    </x:row>
    <x:row r="24">
      <x:c r="A24" s="20" t="str">
        <x:v>Источник</x:v>
      </x:c>
      <x:c r="B24" s="20" t="str">
        <x:v>Файл</x:v>
      </x:c>
      <x:c r="C24" s="20" t="str">
        <x:v>Что использовано</x:v>
      </x:c>
    </x:row>
    <x:row r="25">
      <x:c r="A25" s="28" t="str">
        <x:v>Ники Сегнит</x:v>
      </x:c>
      <x:c r="B25" s="28" t="str">
        <x:v>Тезаурус вкусов (Ники Сегнит)(1).pdf</x:v>
      </x:c>
      <x:c r="C25" s="28" t="str">
        <x:v>Статьи о парах, рецептуры, сенсорные и культурные наблюдения</x:v>
      </x:c>
    </x:row>
    <x:row r="26">
      <x:c r="A26" s="28" t="str">
        <x:v>Coucquyt / Lahousse / Langenbick</x:v>
      </x:c>
      <x:c r="B26" s="28" t="str">
        <x:v>The Art &amp; Science of Foodpairing.pdf</x:v>
      </x:c>
      <x:c r="C26" s="28" t="str">
        <x:v>Аромапрофили, молекулы, прямые и вторичные связи pairing grids</x:v>
      </x:c>
    </x:row>
    <x:row r="27">
      <x:c r="A27" s="28" t="str">
        <x:v>Таблица сочетаний</x:v>
      </x:c>
      <x:c r="B27" s="28" t="str">
        <x:v>Таблица сочетания(1).pdf</x:v>
      </x:c>
      <x:c r="C27" s="28" t="str">
        <x:v>Рекомендованные сочетания по основным ингредиентам</x:v>
      </x:c>
    </x:row>
  </x:sheetData>
  <x:mergeCells>
    <x:mergeCell ref="A1:H2"/>
    <x:mergeCell ref="A14:H14"/>
    <x:mergeCell ref="A15:H22"/>
  </x:mergeCells>
  <x:pageMargins left="0.7" right="0.7" top="0.75" bottom="0.75" header="0.3" footer="0.3"/>
</x:worksheet>
</file>