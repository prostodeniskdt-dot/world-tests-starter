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d169e17ddd4dcf" /></Relationships>
</file>

<file path=xl/workbook.xml><?xml version="1.0" encoding="utf-8"?>
<x:workbook xmlns:x="http://schemas.openxmlformats.org/spreadsheetml/2006/main">
  <x:sheets>
    <x:sheet xmlns:r="http://schemas.openxmlformats.org/officeDocument/2006/relationships" name="О проекте" sheetId="1" r:id="Red73f72dffa84f2f"/>
    <x:sheet xmlns:r="http://schemas.openxmlformats.org/officeDocument/2006/relationships" name="Все сочетания" sheetId="2" r:id="R60c39ff8e1124409"/>
    <x:sheet xmlns:r="http://schemas.openxmlformats.org/officeDocument/2006/relationships" name="Напитки" sheetId="3" r:id="R70955124050f40ac"/>
    <x:sheet xmlns:r="http://schemas.openxmlformats.org/officeDocument/2006/relationships" name="Еда" sheetId="4" r:id="R1ed60682f6024ca6"/>
    <x:sheet xmlns:r="http://schemas.openxmlformats.org/officeDocument/2006/relationships" name="Десерты" sheetId="5" r:id="R22e8f7aeadcb4637"/>
    <x:sheet xmlns:r="http://schemas.openxmlformats.org/officeDocument/2006/relationships" name="Соусы и маринады" sheetId="6" r:id="R257c5161af08414a"/>
    <x:sheet xmlns:r="http://schemas.openxmlformats.org/officeDocument/2006/relationships" name="Ингредиенты" sheetId="7" r:id="R4849635ec8cf4df8"/>
    <x:sheet xmlns:r="http://schemas.openxmlformats.org/officeDocument/2006/relationships" name="Молекулы" sheetId="8" r:id="Rfc176f44f4bf4b4b"/>
    <x:sheet xmlns:r="http://schemas.openxmlformats.org/officeDocument/2006/relationships" name="Методика" sheetId="9" r:id="Rb156c81118954cdc"/>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20"/>
      <x:color rgb="FFFFFFFF"/>
      <x:name val="Carlito"/>
    </x:font>
    <x:font>
      <x:sz val="10"/>
      <x:color rgb="FF244A45"/>
      <x:name val="Carlito"/>
    </x:font>
    <x:font>
      <x:b/>
      <x:sz val="9"/>
      <x:color rgb="FFFFFFFF"/>
      <x:name val="Carlito"/>
    </x:font>
    <x:font>
      <x:sz val="9"/>
      <x:name val="Carlito"/>
    </x:font>
    <x:font>
      <x:b/>
      <x:sz val="9"/>
      <x:color rgb="FF183A37"/>
      <x:name val="Carlito"/>
    </x:font>
    <x:font>
      <x:b/>
      <x:sz val="11"/>
      <x:color rgb="FF183A37"/>
      <x:name val="Carlito"/>
    </x:font>
    <x:font>
      <x:sz val="9"/>
      <x:color rgb="FF3B5651"/>
      <x:name val="Carlito"/>
    </x:font>
  </x:fonts>
  <x:fills count="7">
    <x:fill>
      <x:patternFill patternType="none"/>
    </x:fill>
    <x:fill>
      <x:patternFill patternType="gray125"/>
    </x:fill>
    <x:fill>
      <x:patternFill patternType="solid">
        <x:fgColor rgb="FF183A37"/>
      </x:patternFill>
    </x:fill>
    <x:fill>
      <x:patternFill patternType="solid">
        <x:fgColor rgb="FFE9F1EF"/>
      </x:patternFill>
    </x:fill>
    <x:fill>
      <x:patternFill patternType="solid">
        <x:fgColor rgb="FF246B61"/>
      </x:patternFill>
    </x:fill>
    <x:fill>
      <x:patternFill patternType="solid">
        <x:fgColor rgb="FFCFE3DF"/>
      </x:patternFill>
    </x:fill>
    <x:fill>
      <x:patternFill patternType="solid">
        <x:fgColor rgb="FFF4F8F7"/>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vertical="center"/>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cellXfs>
  <x:cellStyles count="1">
    <x:cellStyle name="Normal" xfId="0"/>
  </x:cellStyles>
  <x:dxfs count="15">
    <x:dxf>
      <x:font>
        <x:b/>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
      <x:font>
        <x:b/>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
      <x:font>
        <x:b/>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
      <x:font>
        <x:b/>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
      <x:font>
        <x:b/>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4928f80e3c4af4" /><Relationship Type="http://schemas.openxmlformats.org/officeDocument/2006/relationships/theme" Target="/xl/theme/theme1.xml" Id="R891a5f7dad0b47d8" /><Relationship Type="http://schemas.openxmlformats.org/officeDocument/2006/relationships/sharedStrings" Target="/xl/sharedStrings.xml" Id="R44acba735dfc43b2" /><Relationship Type="http://schemas.openxmlformats.org/officeDocument/2006/relationships/worksheet" Target="/xl/worksheets/sheet1.xml" Id="Red73f72dffa84f2f" /><Relationship Type="http://schemas.openxmlformats.org/officeDocument/2006/relationships/worksheet" Target="/xl/worksheets/sheet2.xml" Id="R60c39ff8e1124409" /><Relationship Type="http://schemas.openxmlformats.org/officeDocument/2006/relationships/worksheet" Target="/xl/worksheets/sheet3.xml" Id="R70955124050f40ac" /><Relationship Type="http://schemas.openxmlformats.org/officeDocument/2006/relationships/worksheet" Target="/xl/worksheets/sheet4.xml" Id="R1ed60682f6024ca6" /><Relationship Type="http://schemas.openxmlformats.org/officeDocument/2006/relationships/worksheet" Target="/xl/worksheets/sheet5.xml" Id="R22e8f7aeadcb4637" /><Relationship Type="http://schemas.openxmlformats.org/officeDocument/2006/relationships/worksheet" Target="/xl/worksheets/sheet6.xml" Id="R257c5161af08414a" /><Relationship Type="http://schemas.openxmlformats.org/officeDocument/2006/relationships/worksheet" Target="/xl/worksheets/sheet7.xml" Id="R4849635ec8cf4df8" /><Relationship Type="http://schemas.openxmlformats.org/officeDocument/2006/relationships/worksheet" Target="/xl/worksheets/sheet8.xml" Id="Rfc176f44f4bf4b4b" /><Relationship Type="http://schemas.openxmlformats.org/officeDocument/2006/relationships/worksheet" Target="/xl/worksheets/sheet9.xml" Id="Rb156c81118954cdc" /></Relationships>
</file>

<file path=xl/drawings/_rels/drawing1.xml.rels>&#65279;<?xml version="1.0" encoding="utf-8"?><Relationships xmlns="http://schemas.openxmlformats.org/package/2006/relationships"><Relationship Type="http://schemas.openxmlformats.org/officeDocument/2006/relationships/chart" Target="/xl/drawings/charts/chart1.xml" Id="R0e70668fedc74c3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Самые насыщенные разделы базы</a:t>
            </a:r>
          </a:p>
        </c:rich>
      </c:tx>
      <c:overlay val="0"/>
    </c:title>
    <c:autoTitleDeleted val="0"/>
    <c:plotArea>
      <c:layout/>
      <c:barChart>
        <c:barDir val="col"/>
        <c:varyColors val="0"/>
        <c:ser>
          <c:idx val="0"/>
          <c:order val="0"/>
          <c:tx>
            <c:v>Количество пар</c:v>
          </c:tx>
          <c:cat>
            <c:strRef>
              <c:f>'О проекте'!$A$14:$A$28</c:f>
              <c:strCache>
                <c:ptCount val="0"/>
              </c:strCache>
            </c:strRef>
          </c:cat>
          <c:val>
            <c:numRef>
              <c:f>'О проекте'!$B$14:$B$28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70668fedc74c32"/>
        </a:graphicData>
      </a:graphic>
    </xdr:graphicFrame>
    <xdr:clientData/>
  </xdr:twoCellAnchor>
</xdr:wsDr>
</file>

<file path=xl/tables/table1.xml><?xml version="1.0" encoding="utf-8"?>
<x:table xmlns:x="http://schemas.openxmlformats.org/spreadsheetml/2006/main" id="1" name="CitrusPairsTable" displayName="CitrusPairsTable" ref="A1:AD720" headerRowCount="1">
  <x:tableColumns count="30">
    <x:tableColumn id="1" name="ID"/>
    <x:tableColumn id="2" name="Основной раздел"/>
    <x:tableColumn id="3" name="Ингредиент 1"/>
    <x:tableColumn id="4" name="Оригинал 1"/>
    <x:tableColumn id="5" name="Группа 1"/>
    <x:tableColumn id="6" name="Ингредиент 2"/>
    <x:tableColumn id="7" name="Оригинал 2"/>
    <x:tableColumn id="8" name="Группа 2"/>
    <x:tableColumn id="9" name="Аромапрофиль 1"/>
    <x:tableColumn id="10" name="Аромапрофиль 2"/>
    <x:tableColumn id="11" name="Ключевые соединения 1"/>
    <x:tableColumn id="12" name="Ключевые соединения 2"/>
    <x:tableColumn id="13" name="Общий ароматический мост"/>
    <x:tableColumn id="14" name="Общие соединения"/>
    <x:tableColumn id="15" name="Тип механизма"/>
    <x:tableColumn id="16" name="Вкусовое взаимодействие"/>
    <x:tableColumn id="17" name="Тройничный эффект"/>
    <x:tableColumn id="18" name="Матрица и растворимость"/>
    <x:tableColumn id="19" name="Влияние обработки"/>
    <x:tableColumn id="20" name="Подробное научное объяснение"/>
    <x:tableColumn id="21" name="Критические точки"/>
    <x:tableColumn id="22" name="Ингредиент-мост"/>
    <x:tableColumn id="23" name="Практическое применение"/>
    <x:tableColumn id="24" name="Теги применения"/>
    <x:tableColumn id="25" name="Уверенность"/>
    <x:tableColumn id="26" name="Источники"/>
    <x:tableColumn id="27" name="Страницы"/>
    <x:tableColumn id="28" name="Краткое основание из источника"/>
    <x:tableColumn id="29" name="Число источников"/>
    <x:tableColumn id="30" name="Число записей"/>
  </x:tableColumns>
  <x:tableStyleInfo name="TableStyleMedium2" showRowStripes="1"/>
</x:table>
</file>

<file path=xl/tables/table2.xml><?xml version="1.0" encoding="utf-8"?>
<x:table xmlns:x="http://schemas.openxmlformats.org/spreadsheetml/2006/main" id="2" name="ViewНапткTable" displayName="ViewНапткTable" ref="A1:L276" headerRowCount="1">
  <x:tableColumns count="12">
    <x:tableColumn id="1" name="ID"/>
    <x:tableColumn id="2" name="Ингредиент 1"/>
    <x:tableColumn id="3" name="Ингредиент 2"/>
    <x:tableColumn id="4" name="Группа партнёра"/>
    <x:tableColumn id="5" name="Тип механизма"/>
    <x:tableColumn id="6" name="Подробное научное объяснение"/>
    <x:tableColumn id="7" name="Обработка"/>
    <x:tableColumn id="8" name="Критические точки"/>
    <x:tableColumn id="9" name="Практическое применение"/>
    <x:tableColumn id="10" name="Уверенность"/>
    <x:tableColumn id="11" name="Источники"/>
    <x:tableColumn id="12" name="Страницы"/>
  </x:tableColumns>
  <x:tableStyleInfo name="TableStyleMedium2" showRowStripes="1"/>
</x:table>
</file>

<file path=xl/tables/table3.xml><?xml version="1.0" encoding="utf-8"?>
<x:table xmlns:x="http://schemas.openxmlformats.org/spreadsheetml/2006/main" id="3" name="ViewЕдаTable" displayName="ViewЕдаTable" ref="A1:L236" headerRowCount="1">
  <x:tableColumns count="12">
    <x:tableColumn id="1" name="ID"/>
    <x:tableColumn id="2" name="Ингредиент 1"/>
    <x:tableColumn id="3" name="Ингредиент 2"/>
    <x:tableColumn id="4" name="Группа партнёра"/>
    <x:tableColumn id="5" name="Тип механизма"/>
    <x:tableColumn id="6" name="Подробное научное объяснение"/>
    <x:tableColumn id="7" name="Обработка"/>
    <x:tableColumn id="8" name="Критические точки"/>
    <x:tableColumn id="9" name="Практическое применение"/>
    <x:tableColumn id="10" name="Уверенность"/>
    <x:tableColumn id="11" name="Источники"/>
    <x:tableColumn id="12" name="Страницы"/>
  </x:tableColumns>
  <x:tableStyleInfo name="TableStyleMedium2" showRowStripes="1"/>
</x:table>
</file>

<file path=xl/tables/table4.xml><?xml version="1.0" encoding="utf-8"?>
<x:table xmlns:x="http://schemas.openxmlformats.org/spreadsheetml/2006/main" id="4" name="ViewДесертыTable" displayName="ViewДесертыTable" ref="A1:L238" headerRowCount="1">
  <x:tableColumns count="12">
    <x:tableColumn id="1" name="ID"/>
    <x:tableColumn id="2" name="Ингредиент 1"/>
    <x:tableColumn id="3" name="Ингредиент 2"/>
    <x:tableColumn id="4" name="Группа партнёра"/>
    <x:tableColumn id="5" name="Тип механизма"/>
    <x:tableColumn id="6" name="Подробное научное объяснение"/>
    <x:tableColumn id="7" name="Обработка"/>
    <x:tableColumn id="8" name="Критические точки"/>
    <x:tableColumn id="9" name="Практическое применение"/>
    <x:tableColumn id="10" name="Уверенность"/>
    <x:tableColumn id="11" name="Источники"/>
    <x:tableColumn id="12" name="Страницы"/>
  </x:tableColumns>
  <x:tableStyleInfo name="TableStyleMedium2" showRowStripes="1"/>
</x:table>
</file>

<file path=xl/tables/table5.xml><?xml version="1.0" encoding="utf-8"?>
<x:table xmlns:x="http://schemas.openxmlformats.org/spreadsheetml/2006/main" id="5" name="ViewСоусымарнадыTable" displayName="ViewСоусымарнадыTable" ref="A1:L205" headerRowCount="1">
  <x:tableColumns count="12">
    <x:tableColumn id="1" name="ID"/>
    <x:tableColumn id="2" name="Ингредиент 1"/>
    <x:tableColumn id="3" name="Ингредиент 2"/>
    <x:tableColumn id="4" name="Группа партнёра"/>
    <x:tableColumn id="5" name="Тип механизма"/>
    <x:tableColumn id="6" name="Подробное научное объяснение"/>
    <x:tableColumn id="7" name="Обработка"/>
    <x:tableColumn id="8" name="Критические точки"/>
    <x:tableColumn id="9" name="Практическое применение"/>
    <x:tableColumn id="10" name="Уверенность"/>
    <x:tableColumn id="11" name="Источники"/>
    <x:tableColumn id="12" name="Страницы"/>
  </x:tableColumns>
  <x:tableStyleInfo name="TableStyleMedium2" showRowStripes="1"/>
</x:table>
</file>

<file path=xl/tables/table6.xml><?xml version="1.0" encoding="utf-8"?>
<x:table xmlns:x="http://schemas.openxmlformats.org/spreadsheetml/2006/main" id="6" name="IngredientProfilesTable" displayName="IngredientProfilesTable" ref="A1:I405" headerRowCount="1">
  <x:tableColumns count="9">
    <x:tableColumn id="1" name="Ингредиент"/>
    <x:tableColumn id="2" name="Группа"/>
    <x:tableColumn id="3" name="Аромапрофиль"/>
    <x:tableColumn id="4" name="Характерные соединения"/>
    <x:tableColumn id="5" name="Базовые вкусы"/>
    <x:tableColumn id="6" name="Тройничный эффект"/>
    <x:tableColumn id="7" name="Матрица"/>
    <x:tableColumn id="8" name="Комментарий"/>
    <x:tableColumn id="9" name="Количество пар"/>
  </x:tableColumns>
  <x:tableStyleInfo name="TableStyleMedium2" showRowStripes="1"/>
</x:table>
</file>

<file path=xl/tables/table7.xml><?xml version="1.0" encoding="utf-8"?>
<x:table xmlns:x="http://schemas.openxmlformats.org/spreadsheetml/2006/main" id="7" name="MoleculeGlossaryTable" displayName="MoleculeGlossaryTable" ref="A1:F32" headerRowCount="1">
  <x:tableColumns count="6">
    <x:tableColumn id="1" name="Соединение / группа"/>
    <x:tableColumn id="2" name="Класс"/>
    <x:tableColumn id="3" name="Аромат / эффект"/>
    <x:tableColumn id="4" name="Поведение и растворимость"/>
    <x:tableColumn id="5" name="Роль в сочетаниях"/>
    <x:tableColumn id="6" name="Критическая точк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9abe7b1c55a4966" /></Relationships>
</file>

<file path=xl/worksheets/_rels/sheet2.xml.rels>&#65279;<?xml version="1.0" encoding="utf-8"?><Relationships xmlns="http://schemas.openxmlformats.org/package/2006/relationships"><Relationship Type="http://schemas.openxmlformats.org/officeDocument/2006/relationships/table" Target="/xl/tables/table1.xml" Id="R7a505223256b4512" /></Relationships>
</file>

<file path=xl/worksheets/_rels/sheet3.xml.rels>&#65279;<?xml version="1.0" encoding="utf-8"?><Relationships xmlns="http://schemas.openxmlformats.org/package/2006/relationships"><Relationship Type="http://schemas.openxmlformats.org/officeDocument/2006/relationships/table" Target="/xl/tables/table2.xml" Id="Rfb778f5dc61d4252" /></Relationships>
</file>

<file path=xl/worksheets/_rels/sheet4.xml.rels>&#65279;<?xml version="1.0" encoding="utf-8"?><Relationships xmlns="http://schemas.openxmlformats.org/package/2006/relationships"><Relationship Type="http://schemas.openxmlformats.org/officeDocument/2006/relationships/table" Target="/xl/tables/table3.xml" Id="R792b38784e2c4141" /></Relationships>
</file>

<file path=xl/worksheets/_rels/sheet5.xml.rels>&#65279;<?xml version="1.0" encoding="utf-8"?><Relationships xmlns="http://schemas.openxmlformats.org/package/2006/relationships"><Relationship Type="http://schemas.openxmlformats.org/officeDocument/2006/relationships/table" Target="/xl/tables/table4.xml" Id="R8c89f7ca50414edc" /></Relationships>
</file>

<file path=xl/worksheets/_rels/sheet6.xml.rels>&#65279;<?xml version="1.0" encoding="utf-8"?><Relationships xmlns="http://schemas.openxmlformats.org/package/2006/relationships"><Relationship Type="http://schemas.openxmlformats.org/officeDocument/2006/relationships/table" Target="/xl/tables/table5.xml" Id="Rdde4e494d72f433d" /></Relationships>
</file>

<file path=xl/worksheets/_rels/sheet7.xml.rels>&#65279;<?xml version="1.0" encoding="utf-8"?><Relationships xmlns="http://schemas.openxmlformats.org/package/2006/relationships"><Relationship Type="http://schemas.openxmlformats.org/officeDocument/2006/relationships/table" Target="/xl/tables/table6.xml" Id="Ra0cec3b88b934043" /></Relationships>
</file>

<file path=xl/worksheets/_rels/sheet8.xml.rels>&#65279;<?xml version="1.0" encoding="utf-8"?><Relationships xmlns="http://schemas.openxmlformats.org/package/2006/relationships"><Relationship Type="http://schemas.openxmlformats.org/officeDocument/2006/relationships/table" Target="/xl/tables/table7.xml" Id="Rfe9d81604a254183" /></Relationships>
</file>

<file path=xl/worksheets/sheet1.xml><?xml version="1.0" encoding="utf-8"?>
<x:worksheet xmlns:x="http://schemas.openxmlformats.org/spreadsheetml/2006/main">
  <x:sheetFormatPr defaultRowHeight="15"/>
  <x:cols>
    <x:col min="1" max="1" width="31" hidden="0" customWidth="1"/>
    <x:col min="2" max="2" width="16" hidden="0" customWidth="1"/>
    <x:col min="3" max="3" width="24" hidden="0" customWidth="1"/>
    <x:col min="4" max="4" width="24" hidden="0" customWidth="1"/>
    <x:col min="5" max="5" width="14" hidden="0" customWidth="1"/>
    <x:col min="6" max="6" width="3" hidden="0" customWidth="1"/>
    <x:col min="7" max="7" width="31" hidden="0" customWidth="1"/>
    <x:col min="8" max="8" width="15" hidden="0" customWidth="1"/>
    <x:col min="9" max="9" width="14" hidden="0" customWidth="1"/>
    <x:col min="10" max="10" width="14" hidden="0" customWidth="1"/>
  </x:cols>
  <x:sheetData>
    <x:row r="1" ht="34" customHeight="1">
      <x:c r="A1" s="4" t="str">
        <x:v>ЭНЦИКЛОПЕДИЯ СОЧЕТАНИЙ ВКУСОВ — ЧАСТЬ 1A: ЦИТРУСОВЫЕ</x:v>
      </x:c>
      <x:c r="B1" s="4"/>
      <x:c r="C1" s="4"/>
      <x:c r="D1" s="4"/>
      <x:c r="E1" s="4"/>
      <x:c r="F1" s="4"/>
      <x:c r="G1" s="4"/>
      <x:c r="H1" s="4"/>
      <x:c r="I1" s="4"/>
      <x:c r="J1" s="4"/>
    </x:row>
    <x:row r="2" ht="34" customHeight="1">
      <x:c r="A2" s="4"/>
      <x:c r="B2" s="4"/>
      <x:c r="C2" s="4"/>
      <x:c r="D2" s="4"/>
      <x:c r="E2" s="4"/>
      <x:c r="F2" s="4"/>
      <x:c r="G2" s="4"/>
      <x:c r="H2" s="4"/>
      <x:c r="I2" s="4"/>
      <x:c r="J2" s="4"/>
    </x:row>
    <x:row r="3" ht="44" customHeight="1">
      <x:c r="A3" s="11" t="str">
        <x:v>Все выявленные пары с лимоном, лаймом, апельсином, грейпфрутом, мандарином, бергамотом, помело, кумкватом, юдзу и их производными. База объединяет три загруженных источника, удаляет прямые дубли и добавляет научно-сенсорное объяснение: ароматические семейства, характерные молекулы, вкус, тройничное восприятие, матрица, обработка и критические точки.</x:v>
      </x:c>
      <x:c r="B3" s="11"/>
      <x:c r="C3" s="11"/>
      <x:c r="D3" s="11"/>
      <x:c r="E3" s="11"/>
      <x:c r="F3" s="11"/>
      <x:c r="G3" s="11"/>
      <x:c r="H3" s="11"/>
      <x:c r="I3" s="11"/>
      <x:c r="J3" s="11"/>
    </x:row>
    <x:row r="4" ht="44" customHeight="1">
      <x:c r="A4" s="11"/>
      <x:c r="B4" s="11"/>
      <x:c r="C4" s="11"/>
      <x:c r="D4" s="11"/>
      <x:c r="E4" s="11"/>
      <x:c r="F4" s="11"/>
      <x:c r="G4" s="11"/>
      <x:c r="H4" s="11"/>
      <x:c r="I4" s="11"/>
      <x:c r="J4" s="11"/>
    </x:row>
    <x:row r="6">
      <x:c r="A6" s="20" t="str">
        <x:v>Показатель</x:v>
      </x:c>
      <x:c r="B6" s="20" t="str">
        <x:v>Значение</x:v>
      </x:c>
      <x:c r="D6" s="20" t="str">
        <x:v>Раздел</x:v>
      </x:c>
      <x:c r="E6" s="20" t="str">
        <x:v>Количество</x:v>
      </x:c>
      <x:c r="G6" s="20" t="str">
        <x:v>Источник</x:v>
      </x:c>
      <x:c r="H6" s="20" t="str">
        <x:v>Пар в базе</x:v>
      </x:c>
    </x:row>
    <x:row r="7">
      <x:c r="A7" s="32" t="str">
        <x:v>Уникальных сочетаний</x:v>
      </x:c>
      <x:c r="B7" s="28" t="n">
        <x:f>COUNTA('Все сочетания'!A:A)-1</x:f>
        <x:v>719</x:v>
      </x:c>
      <x:c r="D7" s="28" t="str">
        <x:v>Напитки</x:v>
      </x:c>
      <x:c r="E7" s="28" t="n">
        <x:v>33</x:v>
      </x:c>
      <x:c r="G7" s="28" t="str">
        <x:v>Тезаурус вкусов</x:v>
      </x:c>
      <x:c r="H7" s="28" t="n">
        <x:v>110</x:v>
      </x:c>
    </x:row>
    <x:row r="8">
      <x:c r="A8" s="32" t="str">
        <x:v>Уникальных ингредиентов</x:v>
      </x:c>
      <x:c r="B8" s="28" t="n">
        <x:f>COUNTA('Ингредиенты'!A:A)-1</x:f>
        <x:v>404</x:v>
      </x:c>
      <x:c r="D8" s="28" t="str">
        <x:v>Еда и соусы</x:v>
      </x:c>
      <x:c r="E8" s="28" t="n">
        <x:v>95</x:v>
      </x:c>
      <x:c r="G8" s="28" t="str">
        <x:v>The Art &amp; Science of Foodpairing</x:v>
      </x:c>
      <x:c r="H8" s="28" t="n">
        <x:v>341</x:v>
      </x:c>
    </x:row>
    <x:row r="9">
      <x:c r="A9" s="32" t="str">
        <x:v>Высокая уверенность</x:v>
      </x:c>
      <x:c r="B9" s="28" t="n">
        <x:f>COUNTIF('Все сочетания'!Y:Y,"Высокая")</x:f>
        <x:v>109</x:v>
      </x:c>
      <x:c r="D9" s="28" t="str">
        <x:v>Десерты и выпечка</x:v>
      </x:c>
      <x:c r="E9" s="28" t="n">
        <x:v>209</x:v>
      </x:c>
      <x:c r="G9" s="28" t="str">
        <x:v>Таблица сочетаний</x:v>
      </x:c>
      <x:c r="H9" s="28" t="n">
        <x:v>308</x:v>
      </x:c>
    </x:row>
    <x:row r="10">
      <x:c r="A10" s="32" t="str">
        <x:v>Средняя уверенность</x:v>
      </x:c>
      <x:c r="B10" s="28" t="n">
        <x:f>COUNTIF('Все сочетания'!Y:Y,"Средняя")</x:f>
        <x:v>365</x:v>
      </x:c>
      <x:c r="D10" s="28" t="str">
        <x:v>Универсальные</x:v>
      </x:c>
      <x:c r="E10" s="28" t="n">
        <x:v>382</x:v>
      </x:c>
    </x:row>
    <x:row r="13">
      <x:c r="A13" s="20" t="str">
        <x:v>Цитрусовый ингредиент</x:v>
      </x:c>
      <x:c r="B13" s="20" t="str">
        <x:v>Количество пар</x:v>
      </x:c>
    </x:row>
    <x:row r="14">
      <x:c r="A14" s="28" t="str">
        <x:v>лимон</x:v>
      </x:c>
      <x:c r="B14" s="28" t="n">
        <x:v>110</x:v>
      </x:c>
    </x:row>
    <x:row r="15">
      <x:c r="A15" s="28" t="str">
        <x:v>апельсин</x:v>
      </x:c>
      <x:c r="B15" s="28" t="n">
        <x:v>97</x:v>
      </x:c>
    </x:row>
    <x:row r="16">
      <x:c r="A16" s="28" t="str">
        <x:v>лайм</x:v>
      </x:c>
      <x:c r="B16" s="28" t="n">
        <x:v>73</x:v>
      </x:c>
    </x:row>
    <x:row r="17">
      <x:c r="A17" s="28" t="str">
        <x:v>грейпфрут</x:v>
      </x:c>
      <x:c r="B17" s="28" t="n">
        <x:v>52</x:v>
      </x:c>
    </x:row>
    <x:row r="18">
      <x:c r="A18" s="28" t="str">
        <x:v>мандарин</x:v>
      </x:c>
      <x:c r="B18" s="28" t="n">
        <x:v>38</x:v>
      </x:c>
    </x:row>
    <x:row r="19">
      <x:c r="A19" s="28" t="str">
        <x:v>кумкват</x:v>
      </x:c>
      <x:c r="B19" s="28" t="n">
        <x:v>35</x:v>
      </x:c>
    </x:row>
    <x:row r="20">
      <x:c r="A20" s="28" t="str">
        <x:v>танжерин</x:v>
      </x:c>
      <x:c r="B20" s="28" t="n">
        <x:v>20</x:v>
      </x:c>
    </x:row>
    <x:row r="21">
      <x:c r="A21" s="28" t="str">
        <x:v>бергамот</x:v>
      </x:c>
      <x:c r="B21" s="28" t="n">
        <x:v>19</x:v>
      </x:c>
    </x:row>
    <x:row r="22">
      <x:c r="A22" s="28" t="str">
        <x:v>красный апельсин Тарокко</x:v>
      </x:c>
      <x:c r="B22" s="28" t="n">
        <x:v>19</x:v>
      </x:c>
    </x:row>
    <x:row r="23">
      <x:c r="A23" s="28" t="str">
        <x:v>помело</x:v>
      </x:c>
      <x:c r="B23" s="28" t="n">
        <x:v>17</x:v>
      </x:c>
    </x:row>
    <x:row r="24">
      <x:c r="A24" s="28" t="str">
        <x:v>кожура мандарина</x:v>
      </x:c>
      <x:c r="B24" s="28" t="n">
        <x:v>16</x:v>
      </x:c>
    </x:row>
    <x:row r="25">
      <x:c r="A25" s="28" t="str">
        <x:v>цитрусовые</x:v>
      </x:c>
      <x:c r="B25" s="28" t="n">
        <x:v>16</x:v>
      </x:c>
    </x:row>
    <x:row r="26">
      <x:c r="A26" s="28" t="str">
        <x:v>каламонси</x:v>
      </x:c>
      <x:c r="B26" s="28" t="n">
        <x:v>14</x:v>
      </x:c>
    </x:row>
    <x:row r="27">
      <x:c r="A27" s="28" t="str">
        <x:v>красный апельсин Моро</x:v>
      </x:c>
      <x:c r="B27" s="28" t="n">
        <x:v>13</x:v>
      </x:c>
    </x:row>
    <x:row r="28">
      <x:c r="A28" s="28" t="str">
        <x:v>юдзу</x:v>
      </x:c>
      <x:c r="B28" s="28" t="n">
        <x:v>13</x:v>
      </x:c>
    </x:row>
    <x:row r="31">
      <x:c r="A31" s="36" t="str">
        <x:v>КАК ЧИТАТЬ НАУЧНЫЕ ПОЛЯ</x:v>
      </x:c>
      <x:c r="B31" s="36"/>
      <x:c r="C31" s="36"/>
      <x:c r="D31" s="36"/>
      <x:c r="E31" s="36"/>
      <x:c r="F31" s="36"/>
      <x:c r="G31" s="36"/>
      <x:c r="H31" s="36"/>
      <x:c r="I31" s="36"/>
      <x:c r="J31" s="36"/>
    </x:row>
    <x:row r="32" ht="96" customHeight="1">
      <x:c r="A32" s="43" t="str">
        <x:v>• «Общие соединения» указываются только тогда, когда одинаковый маркер присутствует в обоих рабочих профилях. Если такого подтверждения нет, база прямо пишет, что механизм основан на ароматических семействах, вкусовом балансе, тройничном восприятии или пищевой матрице.
• «Высокая» уверенность означает развёрнутую статью в источнике либо подтверждение пары несколькими файлами. «Средняя» — связь из Foodpairing или пара с понятным химико-сенсорным механизмом. «Гипотеза / практическая» — рекомендация присутствует в таблице, но прямых аналитических данных в загруженных материалах мало.
• Молекулярные профили являются справочными. Сорт, зрелость, происхождение, нагрев, ферментация и хранение меняют концентрацию летучих соединений. Перед запуском рецепта нужна пробная сборка и дегустация.</x:v>
      </x:c>
      <x:c r="B32" s="43"/>
      <x:c r="C32" s="43"/>
      <x:c r="D32" s="43"/>
      <x:c r="E32" s="43"/>
      <x:c r="F32" s="43"/>
      <x:c r="G32" s="43"/>
      <x:c r="H32" s="43"/>
      <x:c r="I32" s="43"/>
      <x:c r="J32" s="43"/>
    </x:row>
    <x:row r="33" ht="96" customHeight="1">
      <x:c r="A33" s="43"/>
      <x:c r="B33" s="43"/>
      <x:c r="C33" s="43"/>
      <x:c r="D33" s="43"/>
      <x:c r="E33" s="43"/>
      <x:c r="F33" s="43"/>
      <x:c r="G33" s="43"/>
      <x:c r="H33" s="43"/>
      <x:c r="I33" s="43"/>
      <x:c r="J33" s="43"/>
    </x:row>
    <x:row r="34" ht="96" customHeight="1">
      <x:c r="A34" s="43"/>
      <x:c r="B34" s="43"/>
      <x:c r="C34" s="43"/>
      <x:c r="D34" s="43"/>
      <x:c r="E34" s="43"/>
      <x:c r="F34" s="43"/>
      <x:c r="G34" s="43"/>
      <x:c r="H34" s="43"/>
      <x:c r="I34" s="43"/>
      <x:c r="J34" s="43"/>
    </x:row>
    <x:row r="35" ht="96" customHeight="1">
      <x:c r="A35" s="43"/>
      <x:c r="B35" s="43"/>
      <x:c r="C35" s="43"/>
      <x:c r="D35" s="43"/>
      <x:c r="E35" s="43"/>
      <x:c r="F35" s="43"/>
      <x:c r="G35" s="43"/>
      <x:c r="H35" s="43"/>
      <x:c r="I35" s="43"/>
      <x:c r="J35" s="43"/>
    </x:row>
    <x:row r="36" ht="96" customHeight="1">
      <x:c r="A36" s="43"/>
      <x:c r="B36" s="43"/>
      <x:c r="C36" s="43"/>
      <x:c r="D36" s="43"/>
      <x:c r="E36" s="43"/>
      <x:c r="F36" s="43"/>
      <x:c r="G36" s="43"/>
      <x:c r="H36" s="43"/>
      <x:c r="I36" s="43"/>
      <x:c r="J36" s="43"/>
    </x:row>
    <x:row r="37" ht="96" customHeight="1">
      <x:c r="A37" s="43"/>
      <x:c r="B37" s="43"/>
      <x:c r="C37" s="43"/>
      <x:c r="D37" s="43"/>
      <x:c r="E37" s="43"/>
      <x:c r="F37" s="43"/>
      <x:c r="G37" s="43"/>
      <x:c r="H37" s="43"/>
      <x:c r="I37" s="43"/>
      <x:c r="J37" s="43"/>
    </x:row>
    <x:row r="38" ht="96" customHeight="1">
      <x:c r="A38" s="43"/>
      <x:c r="B38" s="43"/>
      <x:c r="C38" s="43"/>
      <x:c r="D38" s="43"/>
      <x:c r="E38" s="43"/>
      <x:c r="F38" s="43"/>
      <x:c r="G38" s="43"/>
      <x:c r="H38" s="43"/>
      <x:c r="I38" s="43"/>
      <x:c r="J38" s="43"/>
    </x:row>
    <x:row r="40">
      <x:c r="A40" s="36" t="str">
        <x:v>ИСТОЧНИКИ</x:v>
      </x:c>
      <x:c r="B40" s="36"/>
      <x:c r="C40" s="36"/>
      <x:c r="D40" s="36"/>
      <x:c r="E40" s="36"/>
      <x:c r="F40" s="36"/>
      <x:c r="G40" s="36"/>
      <x:c r="H40" s="36"/>
      <x:c r="I40" s="36"/>
      <x:c r="J40" s="36"/>
    </x:row>
    <x:row r="41">
      <x:c r="A41" s="20" t="str">
        <x:v>Файл</x:v>
      </x:c>
      <x:c r="B41" s="20" t="str">
        <x:v>Роль в базе</x:v>
      </x:c>
      <x:c r="C41" s="20" t="str">
        <x:v>Формат ссылки</x:v>
      </x:c>
    </x:row>
    <x:row r="42">
      <x:c r="A42" s="28" t="str">
        <x:v>Тезариус вкусов (Ники Сегнит)(1).pdf</x:v>
      </x:c>
      <x:c r="B42" s="28" t="str">
        <x:v>Развёрнутые кулинарные статьи и перекрёстные ссылки</x:v>
      </x:c>
      <x:c r="C42" s="28" t="str">
        <x:v>PDF-страница</x:v>
      </x:c>
    </x:row>
    <x:row r="43">
      <x:c r="A43" s="28" t="str">
        <x:v>The Art &amp; Science of Foodpairing.pdf</x:v>
      </x:c>
      <x:c r="B43" s="28" t="str">
        <x:v>Ароматические профили и pairing grids</x:v>
      </x:c>
      <x:c r="C43" s="28" t="str">
        <x:v>PDF-страница</x:v>
      </x:c>
    </x:row>
    <x:row r="44">
      <x:c r="A44" s="28" t="str">
        <x:v>Таблица сочетания(1).pdf</x:v>
      </x:c>
      <x:c r="B44" s="28" t="str">
        <x:v>Компактный список рекомендаций</x:v>
      </x:c>
      <x:c r="C44" s="28" t="str">
        <x:v>PDF-страница</x:v>
      </x:c>
    </x:row>
  </x:sheetData>
  <x:mergeCells>
    <x:mergeCell ref="A1:J2"/>
    <x:mergeCell ref="A3:J4"/>
    <x:mergeCell ref="A31:J31"/>
    <x:mergeCell ref="A32:J38"/>
    <x:mergeCell ref="A40:J40"/>
  </x:mergeCells>
  <x:pageMargins left="0.7" right="0.7" top="0.75" bottom="0.75" header="0.3" footer="0.3"/>
  <x:drawing xmlns:r="http://schemas.openxmlformats.org/officeDocument/2006/relationships" r:id="Rf9abe7b1c55a4966"/>
</x:worksheet>
</file>

<file path=xl/worksheets/sheet2.xml><?xml version="1.0" encoding="utf-8"?>
<x:worksheet xmlns:x="http://schemas.openxmlformats.org/spreadsheetml/2006/main">
  <x:sheetFormatPr defaultRowHeight="15"/>
  <x:cols>
    <x:col min="1" max="1" width="13" hidden="0" customWidth="1"/>
    <x:col min="2" max="2" width="20" hidden="0" customWidth="1"/>
    <x:col min="3" max="3" width="24" hidden="0" customWidth="1"/>
    <x:col min="4" max="4" width="25" hidden="0" customWidth="1"/>
    <x:col min="5" max="5" width="22" hidden="0" customWidth="1"/>
    <x:col min="6" max="6" width="28" hidden="0" customWidth="1"/>
    <x:col min="7" max="7" width="29" hidden="0" customWidth="1"/>
    <x:col min="8" max="8" width="23" hidden="0" customWidth="1"/>
    <x:col min="9" max="9" width="29" hidden="0" customWidth="1"/>
    <x:col min="10" max="10" width="29" hidden="0" customWidth="1"/>
    <x:col min="11" max="11" width="34" hidden="0" customWidth="1"/>
    <x:col min="12" max="12" width="34" hidden="0" customWidth="1"/>
    <x:col min="13" max="13" width="34" hidden="0" customWidth="1"/>
    <x:col min="14" max="14" width="38" hidden="0" customWidth="1"/>
    <x:col min="15" max="15" width="32" hidden="0" customWidth="1"/>
    <x:col min="16" max="16" width="48" hidden="0" customWidth="1"/>
    <x:col min="17" max="17" width="42" hidden="0" customWidth="1"/>
    <x:col min="18" max="18" width="48" hidden="0" customWidth="1"/>
    <x:col min="19" max="19" width="56" hidden="0" customWidth="1"/>
    <x:col min="20" max="20" width="82" hidden="0" customWidth="1"/>
    <x:col min="21" max="21" width="52" hidden="0" customWidth="1"/>
    <x:col min="22" max="22" width="28" hidden="0" customWidth="1"/>
    <x:col min="23" max="23" width="48" hidden="0" customWidth="1"/>
    <x:col min="24" max="24" width="27" hidden="0" customWidth="1"/>
    <x:col min="25" max="25" width="22" hidden="0" customWidth="1"/>
    <x:col min="26" max="26" width="38" hidden="0" customWidth="1"/>
    <x:col min="27" max="27" width="42" hidden="0" customWidth="1"/>
    <x:col min="28" max="28" width="60" hidden="0" customWidth="1"/>
    <x:col min="29" max="29" width="14" hidden="0" customWidth="1"/>
    <x:col min="30" max="30" width="14" hidden="0" customWidth="1"/>
  </x:cols>
  <x:sheetData>
    <x:row r="1" ht="42" customHeight="1">
      <x:c r="A1" s="20" t="str">
        <x:v>ID</x:v>
      </x:c>
      <x:c r="B1" s="20" t="str">
        <x:v>Основной раздел</x:v>
      </x:c>
      <x:c r="C1" s="20" t="str">
        <x:v>Ингредиент 1</x:v>
      </x:c>
      <x:c r="D1" s="20" t="str">
        <x:v>Оригинал 1</x:v>
      </x:c>
      <x:c r="E1" s="20" t="str">
        <x:v>Группа 1</x:v>
      </x:c>
      <x:c r="F1" s="20" t="str">
        <x:v>Ингредиент 2</x:v>
      </x:c>
      <x:c r="G1" s="20" t="str">
        <x:v>Оригинал 2</x:v>
      </x:c>
      <x:c r="H1" s="20" t="str">
        <x:v>Группа 2</x:v>
      </x:c>
      <x:c r="I1" s="20" t="str">
        <x:v>Аромапрофиль 1</x:v>
      </x:c>
      <x:c r="J1" s="20" t="str">
        <x:v>Аромапрофиль 2</x:v>
      </x:c>
      <x:c r="K1" s="20" t="str">
        <x:v>Ключевые соединения 1</x:v>
      </x:c>
      <x:c r="L1" s="20" t="str">
        <x:v>Ключевые соединения 2</x:v>
      </x:c>
      <x:c r="M1" s="20" t="str">
        <x:v>Общий ароматический мост</x:v>
      </x:c>
      <x:c r="N1" s="20" t="str">
        <x:v>Общие соединения</x:v>
      </x:c>
      <x:c r="O1" s="20" t="str">
        <x:v>Тип механизма</x:v>
      </x:c>
      <x:c r="P1" s="20" t="str">
        <x:v>Вкусовое взаимодействие</x:v>
      </x:c>
      <x:c r="Q1" s="20" t="str">
        <x:v>Тройничный эффект</x:v>
      </x:c>
      <x:c r="R1" s="20" t="str">
        <x:v>Матрица и растворимость</x:v>
      </x:c>
      <x:c r="S1" s="20" t="str">
        <x:v>Влияние обработки</x:v>
      </x:c>
      <x:c r="T1" s="20" t="str">
        <x:v>Подробное научное объяснение</x:v>
      </x:c>
      <x:c r="U1" s="20" t="str">
        <x:v>Критические точки</x:v>
      </x:c>
      <x:c r="V1" s="20" t="str">
        <x:v>Ингредиент-мост</x:v>
      </x:c>
      <x:c r="W1" s="20" t="str">
        <x:v>Практическое применение</x:v>
      </x:c>
      <x:c r="X1" s="20" t="str">
        <x:v>Теги применения</x:v>
      </x:c>
      <x:c r="Y1" s="20" t="str">
        <x:v>Уверенность</x:v>
      </x:c>
      <x:c r="Z1" s="20" t="str">
        <x:v>Источники</x:v>
      </x:c>
      <x:c r="AA1" s="20" t="str">
        <x:v>Страницы</x:v>
      </x:c>
      <x:c r="AB1" s="20" t="str">
        <x:v>Краткое основание из источника</x:v>
      </x:c>
      <x:c r="AC1" s="20" t="str">
        <x:v>Число источников</x:v>
      </x:c>
      <x:c r="AD1" s="20" t="str">
        <x:v>Число записей</x:v>
      </x:c>
    </x:row>
    <x:row r="2" ht="58" customHeight="1">
      <x:c r="A2" s="28" t="str">
        <x:v>CIT-0001</x:v>
      </x:c>
      <x:c r="B2" s="28" t="str">
        <x:v>Десерты и выпечка</x:v>
      </x:c>
      <x:c r="C2" s="28" t="str">
        <x:v>апельсин</x:v>
      </x:c>
      <x:c r="D2" s="28" t="str">
        <x:v>Апельсин | апельсин</x:v>
      </x:c>
      <x:c r="E2" s="28" t="str">
        <x:v>Цитрусовые</x:v>
      </x:c>
      <x:c r="F2" s="28" t="str">
        <x:v>абрикос</x:v>
      </x:c>
      <x:c r="G2" s="28" t="str">
        <x:v>Абрикос | абрикос</x:v>
      </x:c>
      <x:c r="H2" s="28" t="str">
        <x:v>Косточковые фрукты</x:v>
      </x:c>
      <x:c r="I2" s="28" t="str">
        <x:v>цитрусовый, сладко-фруктовый, цветочный, восковой</x:v>
      </x:c>
      <x:c r="J2" s="28" t="str">
        <x:v>фруктовый, цветочный, сливочный, миндальный</x:v>
      </x:c>
      <x:c r="K2" s="28" t="str">
        <x:v>лимонен, линалол, деканаль, октаналь, мирцен</x:v>
      </x:c>
      <x:c r="L2" s="28" t="str">
        <x:v>гамма- и дельта-лактоны, бензальдегид, дамасценон</x:v>
      </x:c>
      <x:c r="M2" s="28" t="str">
        <x:v>цветочный</x:v>
      </x:c>
      <x:c r="N2" s="28" t="str">
        <x:v>надёжный общий маркер не заявлен; сочетание объясняется семействами и сенсорным балансом</x:v>
      </x:c>
      <x:c r="O2" s="28" t="str">
        <x:v>перекрытие ароматических семейств, вкусовой баланс</x:v>
      </x:c>
      <x:c r="P2" s="28" t="str">
        <x:v>Общая фруктовая сладость и летучие эфиры создают непрерывный ароматический профиль, а цитрусовая кислота повышает контраст и свежесть.</x:v>
      </x:c>
      <x:c r="Q2" s="28" t="str">
        <x:v>нет выраженного; нет выраженного</x:v>
      </x:c>
      <x:c r="R2" s="28" t="str">
        <x:v>сок водный; цедра и ликёры несут гидрофобные эфирные масла; сочная матрица; лактоны лучше ощущаются в жирной/сливочной среде</x:v>
      </x:c>
      <x:c r="S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 s="28" t="str">
        <x:v>Апельсин формирует профиль «цитрусовый, сладко-фруктовый, цветочный, восковой»; характерные маркеры: лимонен, линалол, деканаль, октаналь, мирцен. Абрикос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добавляет кислотность, а лактоны смягчают его резкость.</x:v>
      </x:c>
      <x:c r="U2" s="28" t="str">
        <x:v>Избыток кислоты делает вкус плоско-резким; белая часть кожуры даёт лишнюю горечь.</x:v>
      </x:c>
      <x:c r="V2" s="28" t="str">
        <x:v>миндаль или ваниль</x:v>
      </x:c>
      <x:c r="W2" s="28" t="str">
        <x:v>тарт, сорбет, джем или фруктовый соус</x:v>
      </x:c>
      <x:c r="X2" s="28" t="str">
        <x:v>десерты</x:v>
      </x:c>
      <x:c r="Y2" s="28" t="str">
        <x:v>Высокая</x:v>
      </x:c>
      <x:c r="Z2" s="28" t="str">
        <x:v>Таблица сочетания(1).pdf | Тезариус вкусов (Ники Сегнит)(1).pdf</x:v>
      </x:c>
      <x:c r="AA2" s="28" t="str">
        <x:v>Таблица сочетания(1).pdf: 1, 14 | Тезариус вкусов (Ники Сегнит)(1).pdf: 741, 772</x:v>
      </x:c>
      <x:c r="AB2" s="28" t="str">
        <x:v>В течение 35 лет в меню лондонского ресторана Le Gavroche входил омлет «Ротшильд», который, по существу, представляет собой суфле из абрикосов с добавкой ликера «Куантро» (Cointreau). Омлет обладает сладким, бархатистым, но вполовину менее богатым вкусом, нежели тот, который обещает его название.</x:v>
      </x:c>
      <x:c r="AC2" s="28" t="n">
        <x:v>2</x:v>
      </x:c>
      <x:c r="AD2" s="28" t="n">
        <x:v>4</x:v>
      </x:c>
    </x:row>
    <x:row r="3" ht="58" customHeight="1">
      <x:c r="A3" s="28" t="str">
        <x:v>CIT-0002</x:v>
      </x:c>
      <x:c r="B3" s="28" t="str">
        <x:v>Универсальные</x:v>
      </x:c>
      <x:c r="C3" s="28" t="str">
        <x:v>апельсин</x:v>
      </x:c>
      <x:c r="D3" s="28" t="str">
        <x:v>апельсин</x:v>
      </x:c>
      <x:c r="E3" s="28" t="str">
        <x:v>Цитрусовые</x:v>
      </x:c>
      <x:c r="F3" s="28" t="str">
        <x:v>айва</x:v>
      </x:c>
      <x:c r="G3" s="28" t="str">
        <x:v>Айва</x:v>
      </x:c>
      <x:c r="H3" s="28" t="str">
        <x:v>Прочее</x:v>
      </x:c>
      <x:c r="I3" s="28" t="str">
        <x:v>цитрусовый, сладко-фруктовый, цветочный, восковой</x:v>
      </x:c>
      <x:c r="J3" s="28" t="str">
        <x:v>нейтральный/специфический</x:v>
      </x:c>
      <x:c r="K3" s="28" t="str">
        <x:v>лимонен, линалол, деканаль, октаналь, мирцен</x:v>
      </x:c>
      <x:c r="L3" s="28" t="str">
        <x:v>нужен профиль конкретного продукта</x:v>
      </x:c>
      <x:c r="M3" s="28" t="str">
        <x:v>прямое семейное перекрытие не является главным механизмом</x:v>
      </x:c>
      <x:c r="N3" s="28" t="str">
        <x:v>надёжный общий маркер не заявлен; сочетание объясняется семействами и сенсорным балансом</x:v>
      </x:c>
      <x:c r="O3" s="28" t="str">
        <x:v>вкусовой баланс, тройничное восприятие</x:v>
      </x:c>
      <x:c r="P3" s="28" t="str">
        <x:v>Основной эффект определяется ароматическим контрастом и добавлением кислотной свежести; точный баланс зависит от дозировки и матрицы.</x:v>
      </x:c>
      <x:c r="Q3" s="28" t="str">
        <x:v>нет выраженного; нет данных</x:v>
      </x:c>
      <x:c r="R3" s="28" t="str">
        <x:v>сок водный; цедра и ликёры несут гидрофобные эфирные масла; зависит от формы продукта</x:v>
      </x:c>
      <x:c r="S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 s="28" t="str">
        <x:v>Апельсин формирует профиль «цитрусовый, сладко-фруктовый, цветочный, восковой»; характерные маркеры: лимонен, линалол, деканаль, октаналь, мирцен. Айва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3" s="28" t="str">
        <x:v>Избыток кислоты делает вкус плоско-резким; белая часть кожуры даёт лишнюю горечь.</x:v>
      </x:c>
      <x:c r="V3" s="28" t="str">
        <x:v>мёд или нейтральная жировая основа</x:v>
      </x:c>
      <x:c r="W3" s="28" t="str">
        <x:v>соус, напиток или десерт после пробной дегустации</x:v>
      </x:c>
      <x:c r="X3" s="28" t="str">
        <x:v>универсальное</x:v>
      </x:c>
      <x:c r="Y3" s="28" t="str">
        <x:v>Гипотеза / практическая</x:v>
      </x:c>
      <x:c r="Z3" s="28" t="str">
        <x:v>Таблица сочетания(1).pdf</x:v>
      </x:c>
      <x:c r="AA3" s="28" t="str">
        <x:v>Таблица сочетания(1).pdf: 18</x:v>
      </x:c>
      <x:c r="AB3" s="28" t="str">
        <x:v>Пара указана в таблице: «Айва» → колонка «Фрукты».</x:v>
      </x:c>
      <x:c r="AC3" s="28" t="n">
        <x:v>1</x:v>
      </x:c>
      <x:c r="AD3" s="28" t="n">
        <x:v>1</x:v>
      </x:c>
    </x:row>
    <x:row r="4" ht="58" customHeight="1">
      <x:c r="A4" s="28" t="str">
        <x:v>CIT-0003</x:v>
      </x:c>
      <x:c r="B4" s="28" t="str">
        <x:v>Десерты и выпечка</x:v>
      </x:c>
      <x:c r="C4" s="28" t="str">
        <x:v>апельсин</x:v>
      </x:c>
      <x:c r="D4" s="28" t="str">
        <x:v>Апельсин | апельсин</x:v>
      </x:c>
      <x:c r="E4" s="28" t="str">
        <x:v>Цитрусовые</x:v>
      </x:c>
      <x:c r="F4" s="28" t="str">
        <x:v>ананас</x:v>
      </x:c>
      <x:c r="G4" s="28" t="str">
        <x:v>Ананас | ананас</x:v>
      </x:c>
      <x:c r="H4" s="28" t="str">
        <x:v>Тропические фрукты</x:v>
      </x:c>
      <x:c r="I4" s="28" t="str">
        <x:v>цитрусовый, сладко-фруктовый, цветочный, восковой</x:v>
      </x:c>
      <x:c r="J4" s="28" t="str">
        <x:v>фруктовый, тропический, цветочный, сливочный</x:v>
      </x:c>
      <x:c r="K4" s="28" t="str">
        <x:v>лимонен, линалол, деканаль, октаналь, мирцен</x:v>
      </x:c>
      <x:c r="L4" s="28" t="str">
        <x:v>этилбутират, гексилацетат, лактоны, сернистые тиолы (у части фруктов)</x:v>
      </x:c>
      <x:c r="M4" s="28" t="str">
        <x:v>цветочный</x:v>
      </x:c>
      <x:c r="N4" s="28" t="str">
        <x:v>надёжный общий маркер не заявлен; сочетание объясняется семействами и сенсорным балансом</x:v>
      </x:c>
      <x:c r="O4" s="28" t="str">
        <x:v>перекрытие ароматических семейств, вкусовой баланс</x:v>
      </x:c>
      <x:c r="P4" s="28" t="str">
        <x:v>Общая фруктовая сладость и летучие эфиры создают непрерывный ароматический профиль, а цитрусовая кислота повышает контраст и свежесть.</x:v>
      </x:c>
      <x:c r="Q4" s="28" t="str">
        <x:v>нет выраженного; нет выраженного</x:v>
      </x:c>
      <x:c r="R4" s="28" t="str">
        <x:v>сок водный; цедра и ликёры несут гидрофобные эфирные масла; сочная или кремовая фруктовая матрица</x:v>
      </x:c>
      <x:c r="S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 s="28" t="str">
        <x:v>Апельсин формирует профиль «цитрусовый, сладко-фруктовый, цветочный, восковой»; характерные маркеры: лимонен, линалол, деканаль, октаналь, мирцен.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4" s="28" t="str">
        <x:v>Избыток кислоты делает вкус плоско-резким; белая часть кожуры даёт лишнюю горечь.</x:v>
      </x:c>
      <x:c r="V4" s="28" t="str">
        <x:v>кокос или имбирь</x:v>
      </x:c>
      <x:c r="W4" s="28" t="str">
        <x:v>смузи, кордиал, сорбет, чатни или коктейль</x:v>
      </x:c>
      <x:c r="X4" s="28" t="str">
        <x:v>напитки, десерты</x:v>
      </x:c>
      <x:c r="Y4" s="28" t="str">
        <x:v>Высокая</x:v>
      </x:c>
      <x:c r="Z4" s="28" t="str">
        <x:v>Таблица сочетания(1).pdf | Тезариус вкусов (Ники Сегнит)(1).pdf</x:v>
      </x:c>
      <x:c r="AA4" s="28" t="str">
        <x:v>Таблица сочетания(1).pdf: 17 | Тезариус вкусов (Ники Сегнит)(1).pdf: 702, 772</x:v>
      </x:c>
      <x:c r="AB4" s="28" t="str">
        <x:v>Вся жизнерадостность, при- сущая гавайской рубашке, без необходимости носить оную. Ананас прикрывает темные стороны апельсина – горечь, сложность вкуса, едва уловимый запах серы. Оба плода демонстрируют вкусы мандаринов, других фруктов, зелени, и так получается, что ананасовый сок иногда добавляют к апельсиновому, чтобы придать последнему более естественный апельсиновый вкус.</x:v>
      </x:c>
      <x:c r="AC4" s="28" t="n">
        <x:v>2</x:v>
      </x:c>
      <x:c r="AD4" s="28" t="n">
        <x:v>3</x:v>
      </x:c>
    </x:row>
    <x:row r="5" ht="58" customHeight="1">
      <x:c r="A5" s="28" t="str">
        <x:v>CIT-0004</x:v>
      </x:c>
      <x:c r="B5" s="28" t="str">
        <x:v>Универсальные</x:v>
      </x:c>
      <x:c r="C5" s="28" t="str">
        <x:v>апельсин</x:v>
      </x:c>
      <x:c r="D5" s="28" t="str">
        <x:v>Апельсин | апельсин</x:v>
      </x:c>
      <x:c r="E5" s="28" t="str">
        <x:v>Цитрусовые</x:v>
      </x:c>
      <x:c r="F5" s="28" t="str">
        <x:v>анис</x:v>
      </x:c>
      <x:c r="G5" s="28" t="str">
        <x:v>Анис | анис</x:v>
      </x:c>
      <x:c r="H5" s="28" t="str">
        <x:v>Пряности/травы</x:v>
      </x:c>
      <x:c r="I5" s="28" t="str">
        <x:v>цитрусовый, сладко-фруктовый, цветочный, восковой</x:v>
      </x:c>
      <x:c r="J5" s="28" t="str">
        <x:v>анисовый, сладко-пряный, зелёный</x:v>
      </x:c>
      <x:c r="K5" s="28" t="str">
        <x:v>лимонен, линалол, деканаль, октаналь, мирцен</x:v>
      </x:c>
      <x:c r="L5" s="28" t="str">
        <x:v>транс-анетол, фенхон, эстрагол</x:v>
      </x:c>
      <x:c r="M5" s="28" t="str">
        <x:v>прямое семейное перекрытие не является главным механизмом</x:v>
      </x:c>
      <x:c r="N5" s="28" t="str">
        <x:v>надёжный общий маркер не заявлен; сочетание объясняется семействами и сенсорным балансом</x:v>
      </x:c>
      <x:c r="O5" s="28" t="str">
        <x:v>вкусовой баланс, тройничное восприятие</x:v>
      </x:c>
      <x:c r="P5" s="28" t="str">
        <x:v>Основной эффект определяется ароматическим контрастом и добавлением кислотной свежести; точный баланс зависит от дозировки и матрицы.</x:v>
      </x:c>
      <x:c r="Q5" s="28" t="str">
        <x:v>нет выраженного; анетол создаёт охлаждающе-сладкое впечатление</x:v>
      </x:c>
      <x:c r="R5" s="28" t="str">
        <x:v>сок водный; цедра и ликёры несут гидрофобные эфирные масла; анетол гидрофобен и мутнеет при разбавлении спиртовых настоев водой</x:v>
      </x:c>
      <x:c r="S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 s="28" t="str">
        <x:v>Апельсин формирует профиль «цитрусовый, сладко-фруктовый, цветочный, восковой»; характерные маркеры: лимонен, линалол, деканаль, октаналь, мирцен. Анис относится к группе «пряности/травы» и даёт ноты «анисовый, сладко-пряный,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Анисовые соединения дают сильный ароматический мост с цветочными и цитрусовыми терпенами.</x:v>
      </x:c>
      <x:c r="U5" s="28" t="str">
        <x:v>Избыток кислоты делает вкус плоско-резким; белая часть кожуры даёт лишнюю горечь.</x:v>
      </x:c>
      <x:c r="V5" s="28" t="str">
        <x:v>мёд или нейтральная жировая основа</x:v>
      </x:c>
      <x:c r="W5" s="28" t="str">
        <x:v>соус, напиток или десерт после пробной дегустации</x:v>
      </x:c>
      <x:c r="X5" s="28" t="str">
        <x:v>универсальное</x:v>
      </x:c>
      <x:c r="Y5" s="28" t="str">
        <x:v>Высокая</x:v>
      </x:c>
      <x:c r="Z5" s="28" t="str">
        <x:v>Таблица сочетания(1).pdf | Тезариус вкусов (Ники Сегнит)(1).pdf</x:v>
      </x:c>
      <x:c r="AA5" s="28" t="str">
        <x:v>Таблица сочетания(1).pdf: 14 | Тезариус вкусов (Ники Сегнит)(1).pdf: 480, 773</x:v>
      </x:c>
      <x:c r="AB5" s="28" t="str">
        <x:v>Сегодня повара и гурманы про- сто бредят сочетанием тонко нарезанных фенхеля и апельсина. Но вспомните о бедном и прочно забытом коктейле «Харви Уолбенгер» (Harvey Wallbanger), сочетании анисового ликера Galliano («Гальяно»), водки и апельсинового сока, а также о хорошо сбалансированном по вкусу коктейле «Пина Колада» (Piña Colada). Сделайте кувшин этого коктейля для летней вечеринки, назовите его Galliciano, и вы убедитесь, что гостей поразят его приятные характеристики. Ведь анис действительно</x:v>
      </x:c>
      <x:c r="AC5" s="28" t="n">
        <x:v>2</x:v>
      </x:c>
      <x:c r="AD5" s="28" t="n">
        <x:v>3</x:v>
      </x:c>
    </x:row>
    <x:row r="6" ht="58" customHeight="1">
      <x:c r="A6" s="28" t="str">
        <x:v>CIT-0005</x:v>
      </x:c>
      <x:c r="B6" s="28" t="str">
        <x:v>Десерты и выпечка</x:v>
      </x:c>
      <x:c r="C6" s="28" t="str">
        <x:v>апельсин</x:v>
      </x:c>
      <x:c r="D6" s="28" t="str">
        <x:v>апельсин</x:v>
      </x:c>
      <x:c r="E6" s="28" t="str">
        <x:v>Цитрусовые</x:v>
      </x:c>
      <x:c r="F6" s="28" t="str">
        <x:v>арбуз</x:v>
      </x:c>
      <x:c r="G6" s="28" t="str">
        <x:v>Арбуз</x:v>
      </x:c>
      <x:c r="H6" s="28" t="str">
        <x:v>Бахчевые</x:v>
      </x:c>
      <x:c r="I6" s="28" t="str">
        <x:v>цитрусовый, сладко-фруктовый, цветочный, восковой</x:v>
      </x:c>
      <x:c r="J6" s="28" t="str">
        <x:v>свежий, зелёный, водянистый, фруктовый</x:v>
      </x:c>
      <x:c r="K6" s="28" t="str">
        <x:v>лимонен, линалол, деканаль, октаналь, мирцен</x:v>
      </x:c>
      <x:c r="L6" s="28" t="str">
        <x:v>C6/C9-альдегиды, эфиры, нонадиеналь</x:v>
      </x:c>
      <x:c r="M6" s="28" t="str">
        <x:v>прямое семейное перекрытие не является главным механизмом</x:v>
      </x:c>
      <x:c r="N6" s="28" t="str">
        <x:v>надёжный общий маркер не заявлен; сочетание объясняется семействами и сенсорным балансом</x:v>
      </x:c>
      <x:c r="O6" s="28" t="str">
        <x:v>вкусовой баланс</x:v>
      </x:c>
      <x:c r="P6" s="28" t="str">
        <x:v>Общая фруктовая сладость и летучие эфиры создают непрерывный ароматический профиль, а цитрусовая кислота повышает контраст и свежесть.</x:v>
      </x:c>
      <x:c r="Q6" s="28" t="str">
        <x:v>нет выраженного; нет выраженного</x:v>
      </x:c>
      <x:c r="R6" s="28" t="str">
        <x:v>сок водный; цедра и ликёры несут гидрофобные эфирные масла; очень водная матрица с деликатным ароматом</x:v>
      </x:c>
      <x:c r="S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 s="28" t="str">
        <x:v>Апельсин формирует профиль «цитрусовый, сладко-фруктовый, цветочный, восковой»; характерные маркеры: лимонен, линалол, деканаль, октаналь, мирцен. Арбуз относится к группе «бахчевые» и даёт ноты «свежий, зелёный, водянистый, фруктовый».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придаёт структуру, но легко подавляет тонкий аромат дыни.</x:v>
      </x:c>
      <x:c r="U6" s="28" t="str">
        <x:v>Избыток кислоты делает вкус плоско-резким; белая часть кожуры даёт лишнюю горечь; цитрус легко подавляет деликатный аромат партнёра.</x:v>
      </x:c>
      <x:c r="V6" s="28" t="str">
        <x:v>мята или огурец</x:v>
      </x:c>
      <x:c r="W6" s="28" t="str">
        <x:v>холодный напиток, гранита, салат или сорбет</x:v>
      </x:c>
      <x:c r="X6" s="28" t="str">
        <x:v>десерты</x:v>
      </x:c>
      <x:c r="Y6" s="28" t="str">
        <x:v>Гипотеза / практическая</x:v>
      </x:c>
      <x:c r="Z6" s="28" t="str">
        <x:v>Таблица сочетания(1).pdf</x:v>
      </x:c>
      <x:c r="AA6" s="28" t="str">
        <x:v>Таблица сочетания(1).pdf: 22</x:v>
      </x:c>
      <x:c r="AB6" s="28" t="str">
        <x:v>Пара указана в таблице: «Арбуз» → колонка «Фрукты».</x:v>
      </x:c>
      <x:c r="AC6" s="28" t="n">
        <x:v>1</x:v>
      </x:c>
      <x:c r="AD6" s="28" t="n">
        <x:v>1</x:v>
      </x:c>
    </x:row>
    <x:row r="7" ht="58" customHeight="1">
      <x:c r="A7" s="28" t="str">
        <x:v>CIT-0006</x:v>
      </x:c>
      <x:c r="B7" s="28" t="str">
        <x:v>Универсальные</x:v>
      </x:c>
      <x:c r="C7" s="28" t="str">
        <x:v>апельсин</x:v>
      </x:c>
      <x:c r="D7" s="28" t="str">
        <x:v>апельсин</x:v>
      </x:c>
      <x:c r="E7" s="28" t="str">
        <x:v>Цитрусовые</x:v>
      </x:c>
      <x:c r="F7" s="28" t="str">
        <x:v>бадьян</x:v>
      </x:c>
      <x:c r="G7" s="28" t="str">
        <x:v>Бадьян</x:v>
      </x:c>
      <x:c r="H7" s="28" t="str">
        <x:v>Прочее</x:v>
      </x:c>
      <x:c r="I7" s="28" t="str">
        <x:v>цитрусовый, сладко-фруктовый, цветочный, восковой</x:v>
      </x:c>
      <x:c r="J7" s="28" t="str">
        <x:v>нейтральный/специфический</x:v>
      </x:c>
      <x:c r="K7" s="28" t="str">
        <x:v>лимонен, линалол, деканаль, октаналь, мирцен</x:v>
      </x:c>
      <x:c r="L7" s="28" t="str">
        <x:v>нужен профиль конкретного продукта</x:v>
      </x:c>
      <x:c r="M7" s="28" t="str">
        <x:v>прямое семейное перекрытие не является главным механизмом</x:v>
      </x:c>
      <x:c r="N7" s="28" t="str">
        <x:v>надёжный общий маркер не заявлен; сочетание объясняется семействами и сенсорным балансом</x:v>
      </x:c>
      <x:c r="O7" s="28" t="str">
        <x:v>вкусовой баланс, тройничное восприятие</x:v>
      </x:c>
      <x:c r="P7" s="28" t="str">
        <x:v>Основной эффект определяется ароматическим контрастом и добавлением кислотной свежести; точный баланс зависит от дозировки и матрицы.</x:v>
      </x:c>
      <x:c r="Q7" s="28" t="str">
        <x:v>нет выраженного; нет данных</x:v>
      </x:c>
      <x:c r="R7" s="28" t="str">
        <x:v>сок водный; цедра и ликёры несут гидрофобные эфирные масла; зависит от формы продукта</x:v>
      </x:c>
      <x:c r="S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 s="28" t="str">
        <x:v>Апельсин формирует профиль «цитрусовый, сладко-фруктовый, цветочный, восковой»; характерные маркеры: лимонен, линалол, деканаль, октаналь, мирцен. Бадьян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7" s="28" t="str">
        <x:v>Избыток кислоты делает вкус плоско-резким; белая часть кожуры даёт лишнюю горечь.</x:v>
      </x:c>
      <x:c r="V7" s="28" t="str">
        <x:v>мёд или нейтральная жировая основа</x:v>
      </x:c>
      <x:c r="W7" s="28" t="str">
        <x:v>соус, напиток или десерт после пробной дегустации</x:v>
      </x:c>
      <x:c r="X7" s="28" t="str">
        <x:v>универсальное</x:v>
      </x:c>
      <x:c r="Y7" s="28" t="str">
        <x:v>Гипотеза / практическая</x:v>
      </x:c>
      <x:c r="Z7" s="28" t="str">
        <x:v>Таблица сочетания(1).pdf</x:v>
      </x:c>
      <x:c r="AA7" s="28" t="str">
        <x:v>Таблица сочетания(1).pdf: 20</x:v>
      </x:c>
      <x:c r="AB7" s="28" t="str">
        <x:v>Пара указана в таблице: «Бадьян» → колонка «Фрукты».</x:v>
      </x:c>
      <x:c r="AC7" s="28" t="n">
        <x:v>1</x:v>
      </x:c>
      <x:c r="AD7" s="28" t="n">
        <x:v>1</x:v>
      </x:c>
    </x:row>
    <x:row r="8" ht="58" customHeight="1">
      <x:c r="A8" s="28" t="str">
        <x:v>CIT-0007</x:v>
      </x:c>
      <x:c r="B8" s="28" t="str">
        <x:v>Универсальные</x:v>
      </x:c>
      <x:c r="C8" s="28" t="str">
        <x:v>апельсин</x:v>
      </x:c>
      <x:c r="D8" s="28" t="str">
        <x:v>Апельсин</x:v>
      </x:c>
      <x:c r="E8" s="28" t="str">
        <x:v>Цитрусовые</x:v>
      </x:c>
      <x:c r="F8" s="28" t="str">
        <x:v>базилик</x:v>
      </x:c>
      <x:c r="G8" s="28" t="str">
        <x:v>базилик</x:v>
      </x:c>
      <x:c r="H8" s="28" t="str">
        <x:v>Травы</x:v>
      </x:c>
      <x:c r="I8" s="28" t="str">
        <x:v>цитрусовый, сладко-фруктовый, цветочный, восковой</x:v>
      </x:c>
      <x:c r="J8" s="28" t="str">
        <x:v>зелёный, анисовый, цветочный, пряный</x:v>
      </x:c>
      <x:c r="K8" s="28" t="str">
        <x:v>лимонен, линалол, деканаль, октаналь, мирцен</x:v>
      </x:c>
      <x:c r="L8" s="28" t="str">
        <x:v>линалол, эстрагол, эвгенол</x:v>
      </x:c>
      <x:c r="M8" s="28" t="str">
        <x:v>цветочный</x:v>
      </x:c>
      <x:c r="N8" s="28" t="str">
        <x:v>линалол</x:v>
      </x:c>
      <x:c r="O8" s="28" t="str">
        <x:v>общие ароматические молекулы, перекрытие ароматических семейств, вкусовой баланс</x:v>
      </x:c>
      <x:c r="P8" s="28" t="str">
        <x:v>Кислота усиливает слюноотделение и делает пряный аромат ярче; терпены цитруса образуют мост с эфирными маслами травы или специи.</x:v>
      </x:c>
      <x:c r="Q8" s="28" t="str">
        <x:v>нет выраженного; нет выраженного</x:v>
      </x:c>
      <x:c r="R8" s="28" t="str">
        <x:v>сок водный; цедра и ликёры несут гидрофобные эфирные масла; летучие масла чувствительны к длительному нагреву</x:v>
      </x:c>
      <x:c r="S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8" s="28" t="str">
        <x:v>Апельсин формирует профиль «цитрусовый, сладко-фруктовый, цветочный, восковой»; характерные маркеры: лимонен, линалол, деканаль, октаналь, мирцен.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цветочный.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Базилик и эстрагон могут связать цитрус с фруктами, томатом и сливочными матрицами.</x:v>
      </x:c>
      <x:c r="U8" s="28" t="str">
        <x:v>Избыток кислоты делает вкус плоско-резким; белая часть кожуры даёт лишнюю горечь; цитрус легко подавляет деликатный аромат партнёра.</x:v>
      </x:c>
      <x:c r="V8" s="28" t="str">
        <x:v>оливковое масло или огурец</x:v>
      </x:c>
      <x:c r="W8" s="28" t="str">
        <x:v>лимонад, кордиал, салатная заправка или зелёный соус</x:v>
      </x:c>
      <x:c r="X8" s="28" t="str">
        <x:v>напитки, еда, соусы/маринады</x:v>
      </x:c>
      <x:c r="Y8" s="28" t="str">
        <x:v>Средняя</x:v>
      </x:c>
      <x:c r="Z8" s="28" t="str">
        <x:v>Таблица сочетания(1).pdf</x:v>
      </x:c>
      <x:c r="AA8" s="28" t="str">
        <x:v>Таблица сочетания(1).pdf: 14</x:v>
      </x:c>
      <x:c r="AB8" s="28" t="str">
        <x:v>Пара указана в таблице: «Апельсин» → колонка «Травы и специи».</x:v>
      </x:c>
      <x:c r="AC8" s="28" t="n">
        <x:v>1</x:v>
      </x:c>
      <x:c r="AD8" s="28" t="n">
        <x:v>1</x:v>
      </x:c>
    </x:row>
    <x:row r="9" ht="58" customHeight="1">
      <x:c r="A9" s="28" t="str">
        <x:v>CIT-0008</x:v>
      </x:c>
      <x:c r="B9" s="28" t="str">
        <x:v>Еда и соусы</x:v>
      </x:c>
      <x:c r="C9" s="28" t="str">
        <x:v>апельсин</x:v>
      </x:c>
      <x:c r="D9" s="28" t="str">
        <x:v>orange</x:v>
      </x:c>
      <x:c r="E9" s="28" t="str">
        <x:v>Цитрусовые</x:v>
      </x:c>
      <x:c r="F9" s="28" t="str">
        <x:v>баклажан</x:v>
      </x:c>
      <x:c r="G9" s="28" t="str">
        <x:v>aubergine</x:v>
      </x:c>
      <x:c r="H9" s="28" t="str">
        <x:v>Овощи</x:v>
      </x:c>
      <x:c r="I9" s="28" t="str">
        <x:v>цитрусовый, сладко-фруктовый, цветочный, восковой</x:v>
      </x:c>
      <x:c r="J9" s="28" t="str">
        <x:v>зелёный, землистый, растительный, иногда сернистый</x:v>
      </x:c>
      <x:c r="K9" s="28" t="str">
        <x:v>лимонен, линалол, деканаль, октаналь, мирцен</x:v>
      </x:c>
      <x:c r="L9" s="28" t="str">
        <x:v>C6-альдегиды, метоксипиразины, геосмин (землистые), сернистые соединения</x:v>
      </x:c>
      <x:c r="M9" s="28" t="str">
        <x:v>прямое семейное перекрытие не является главным механизмом</x:v>
      </x:c>
      <x:c r="N9" s="28" t="str">
        <x:v>надёжный общий маркер не заявлен; сочетание объясняется семействами и сенсорным балансом</x:v>
      </x:c>
      <x:c r="O9" s="28" t="str">
        <x:v>вкусовой баланс</x:v>
      </x:c>
      <x:c r="P9" s="28" t="str">
        <x:v>Кислота подчёркивает природную сладость овоща, сокращает землистое/сернистое послевкусие и повышает слюноотделение.</x:v>
      </x:c>
      <x:c r="Q9" s="28" t="str">
        <x:v>нет выраженного; нет выраженного</x:v>
      </x:c>
      <x:c r="R9" s="28" t="str">
        <x:v>сок водный; цедра и ликёры несут гидрофобные эфирные масла; водная/крахмальная матрица; масло помогает распределить цедру</x:v>
      </x:c>
      <x:c r="S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9" s="28" t="str">
        <x:v>Апельсин формирует профиль «цитрусовый, сладко-фруктовый, цветочный, восковой»; характерные маркеры: лимонен, линалол, деканаль, октаналь, мирцен. Баклажан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9" s="28" t="str">
        <x:v>Избыток кислоты делает вкус плоско-резким; белая часть кожуры даёт лишнюю горечь.</x:v>
      </x:c>
      <x:c r="V9" s="28" t="str">
        <x:v>оливковое масло или базилик</x:v>
      </x:c>
      <x:c r="W9" s="28" t="str">
        <x:v>винегрет, салат, пюре, запечённое блюдо или овощной соус</x:v>
      </x:c>
      <x:c r="X9" s="28" t="str">
        <x:v>еда, соусы/маринады</x:v>
      </x:c>
      <x:c r="Y9" s="28" t="str">
        <x:v>Средняя</x:v>
      </x:c>
      <x:c r="Z9" s="28" t="str">
        <x:v>The Art &amp; Science of Foodpairing.pdf</x:v>
      </x:c>
      <x:c r="AA9" s="28" t="str">
        <x:v>The Art &amp; Science of Foodpairing.pdf: 308</x:v>
      </x:c>
      <x:c r="AB9" s="28" t="str">
        <x:v>Пара представлена в ароматической диаграмме Foodpairing на странице 308.</x:v>
      </x:c>
      <x:c r="AC9" s="28" t="n">
        <x:v>1</x:v>
      </x:c>
      <x:c r="AD9" s="28" t="n">
        <x:v>1</x:v>
      </x:c>
    </x:row>
    <x:row r="10" ht="58" customHeight="1">
      <x:c r="A10" s="28" t="str">
        <x:v>CIT-0009</x:v>
      </x:c>
      <x:c r="B10" s="28" t="str">
        <x:v>Десерты и выпечка</x:v>
      </x:c>
      <x:c r="C10" s="28" t="str">
        <x:v>апельсин</x:v>
      </x:c>
      <x:c r="D10" s="28" t="str">
        <x:v>Апельсин | апельсин</x:v>
      </x:c>
      <x:c r="E10" s="28" t="str">
        <x:v>Цитрусовые</x:v>
      </x:c>
      <x:c r="F10" s="28" t="str">
        <x:v>банан</x:v>
      </x:c>
      <x:c r="G10" s="28" t="str">
        <x:v>Банан | банан</x:v>
      </x:c>
      <x:c r="H10" s="28" t="str">
        <x:v>Тропические фрукты</x:v>
      </x:c>
      <x:c r="I10" s="28" t="str">
        <x:v>цитрусовый, сладко-фруктовый, цветочный, восковой</x:v>
      </x:c>
      <x:c r="J10" s="28" t="str">
        <x:v>фруктовый, тропический, цветочный, сливочный</x:v>
      </x:c>
      <x:c r="K10" s="28" t="str">
        <x:v>лимонен, линалол, деканаль, октаналь, мирцен</x:v>
      </x:c>
      <x:c r="L10" s="28" t="str">
        <x:v>этилбутират, гексилацетат, лактоны, сернистые тиолы (у части фруктов)</x:v>
      </x:c>
      <x:c r="M10" s="28" t="str">
        <x:v>цветочный</x:v>
      </x:c>
      <x:c r="N10" s="28" t="str">
        <x:v>надёжный общий маркер не заявлен; сочетание объясняется семействами и сенсорным балансом</x:v>
      </x:c>
      <x:c r="O10" s="28" t="str">
        <x:v>перекрытие ароматических семейств, вкусовой баланс</x:v>
      </x:c>
      <x:c r="P10" s="28" t="str">
        <x:v>Общая фруктовая сладость и летучие эфиры создают непрерывный ароматический профиль, а цитрусовая кислота повышает контраст и свежесть.</x:v>
      </x:c>
      <x:c r="Q10" s="28" t="str">
        <x:v>нет выраженного; нет выраженного</x:v>
      </x:c>
      <x:c r="R10" s="28" t="str">
        <x:v>сок водный; цедра и ликёры несут гидрофобные эфирные масла; сочная или кремовая фруктовая матрица</x:v>
      </x:c>
      <x:c r="S1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0" s="28" t="str">
        <x:v>Апельсин формирует профиль «цитрусовый, сладко-фруктовый, цветочный, восковой»; характерные маркеры: лимонен, линалол, деканаль, октаналь, мирцен. Банан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10" s="28" t="str">
        <x:v>Избыток кислоты делает вкус плоско-резким; белая часть кожуры даёт лишнюю горечь.</x:v>
      </x:c>
      <x:c r="V10" s="28" t="str">
        <x:v>кокос или имбирь</x:v>
      </x:c>
      <x:c r="W10" s="28" t="str">
        <x:v>смузи, кордиал, сорбет, чатни или коктейль</x:v>
      </x:c>
      <x:c r="X10" s="28" t="str">
        <x:v>напитки, десерты</x:v>
      </x:c>
      <x:c r="Y10" s="28" t="str">
        <x:v>Гипотеза / практическая</x:v>
      </x:c>
      <x:c r="Z10" s="28" t="str">
        <x:v>Таблица сочетания(1).pdf</x:v>
      </x:c>
      <x:c r="AA10" s="28" t="str">
        <x:v>Таблица сочетания(1).pdf: 2, 14</x:v>
      </x:c>
      <x:c r="AB10" s="28" t="str">
        <x:v>Пара указана в таблице: «Апельсин» → колонка «Фрукты».</x:v>
      </x:c>
      <x:c r="AC10" s="28" t="n">
        <x:v>1</x:v>
      </x:c>
      <x:c r="AD10" s="28" t="n">
        <x:v>2</x:v>
      </x:c>
    </x:row>
    <x:row r="11" ht="58" customHeight="1">
      <x:c r="A11" s="28" t="str">
        <x:v>CIT-0010</x:v>
      </x:c>
      <x:c r="B11" s="28" t="str">
        <x:v>Еда и соусы</x:v>
      </x:c>
      <x:c r="C11" s="28" t="str">
        <x:v>апельсин</x:v>
      </x:c>
      <x:c r="D11" s="28" t="str">
        <x:v>Апельсин | апельсин</x:v>
      </x:c>
      <x:c r="E11" s="28" t="str">
        <x:v>Цитрусовые</x:v>
      </x:c>
      <x:c r="F11" s="28" t="str">
        <x:v>бекон</x:v>
      </x:c>
      <x:c r="G11" s="28" t="str">
        <x:v>Бекон | бекон</x:v>
      </x:c>
      <x:c r="H11" s="28" t="str">
        <x:v>Мясо и птица</x:v>
      </x:c>
      <x:c r="I11" s="28" t="str">
        <x:v>цитрусовый, сладко-фруктовый, цветочный, восковой</x:v>
      </x:c>
      <x:c r="J11" s="28" t="str">
        <x:v>жареный, мясной, сернистый, жирный</x:v>
      </x:c>
      <x:c r="K11" s="28" t="str">
        <x:v>лимонен, линалол, деканаль, октаналь, мирцен</x:v>
      </x:c>
      <x:c r="L11" s="28" t="str">
        <x:v>пиразины, тиазолы, альдегиды жиров, сернистые соединения</x:v>
      </x:c>
      <x:c r="M11" s="28" t="str">
        <x:v>прямое семейное перекрытие не является главным механизмом</x:v>
      </x:c>
      <x:c r="N11" s="28" t="str">
        <x:v>надёжный общий маркер не заявлен; сочетание объясняется семействами и сенсорным балансом</x:v>
      </x:c>
      <x:c r="O11" s="28" t="str">
        <x:v>вкусовой баланс, влияние матрицы/растворимости</x:v>
      </x:c>
      <x:c r="P11" s="28" t="str">
        <x:v>Кислотность и лёгкая горечь цитруса снижают ощущение жирности; соль и умами, в свою очередь, делают фруктовую часть менее резкой.</x:v>
      </x:c>
      <x:c r="Q11" s="28" t="str">
        <x:v>нет выраженного; нет выраженного</x:v>
      </x:c>
      <x:c r="R11" s="28" t="str">
        <x:v>сок водный; цедра и ликёры несут гидрофобные эфирные масла; жир удерживает терпеновые масла; кислота снижает ощущение жирности</x:v>
      </x:c>
      <x:c r="S1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11" s="28" t="str">
        <x:v>Апельсин формирует профиль «цитрусовый, сладко-фруктовый, цветочный, восковой»; характерные маркеры: лимонен, линалол, деканаль, октаналь, мирцен. Бекон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U11" s="28" t="str">
        <x:v>Избыток кислоты делает вкус плоско-резким; белая часть кожуры даёт лишнюю горечь; слишком долгая маринация ухудшает текстуру.</x:v>
      </x:c>
      <x:c r="V11" s="28" t="str">
        <x:v>розмарин или чёрный перец</x:v>
      </x:c>
      <x:c r="W11" s="28" t="str">
        <x:v>маринад, глазурь, соус, жаркое или салат</x:v>
      </x:c>
      <x:c r="X11" s="28" t="str">
        <x:v>еда, соусы/маринады</x:v>
      </x:c>
      <x:c r="Y11" s="28" t="str">
        <x:v>Высокая</x:v>
      </x:c>
      <x:c r="Z11" s="28" t="str">
        <x:v>Тезариус вкусов (Ники Сегнит)(1).pdf</x:v>
      </x:c>
      <x:c r="AA11" s="28" t="str">
        <x:v>Тезариус вкусов (Ники Сегнит)(1).pdf: 442, 773</x:v>
      </x:c>
      <x:c r="AB11" s="28" t="str">
        <x:v>Ветчина, глазированная мар- меладом, – это очень тонкая вещь. Лучше взять для ее приготовления мармелад, который сделан в основном из севильских апельсинов. Дело в том, что если в мармеладе окажется слишком много сахара, то есть опасность подать гостям ветчину с джемом, что не порадует никого, кроме героев книг американского писателя Доктора Сьюза (Dr Seuss). А мармелад из севильских апельсинов имеет глубокий горький привкус, который будет успешно противостоять соленой ветчине. При этом вкусовые</x:v>
      </x:c>
      <x:c r="AC11" s="28" t="n">
        <x:v>1</x:v>
      </x:c>
      <x:c r="AD11" s="28" t="n">
        <x:v>2</x:v>
      </x:c>
    </x:row>
    <x:row r="12" ht="58" customHeight="1">
      <x:c r="A12" s="28" t="str">
        <x:v>CIT-0011</x:v>
      </x:c>
      <x:c r="B12" s="28" t="str">
        <x:v>Еда и соусы</x:v>
      </x:c>
      <x:c r="C12" s="28" t="str">
        <x:v>апельсин</x:v>
      </x:c>
      <x:c r="D12" s="28" t="str">
        <x:v>Апельсин | апельсин</x:v>
      </x:c>
      <x:c r="E12" s="28" t="str">
        <x:v>Цитрусовые</x:v>
      </x:c>
      <x:c r="F12" s="28" t="str">
        <x:v>белая рыба</x:v>
      </x:c>
      <x:c r="G12" s="28" t="str">
        <x:v>Белая рыба | белая рыба</x:v>
      </x:c>
      <x:c r="H12" s="28" t="str">
        <x:v>Рыба и морепродукты</x:v>
      </x:c>
      <x:c r="I12" s="28" t="str">
        <x:v>цитрусовый, сладко-фруктовый, цветочный, восковой</x:v>
      </x:c>
      <x:c r="J12" s="28" t="str">
        <x:v>морской, йодистый, зелёный, жирный</x:v>
      </x:c>
      <x:c r="K12" s="28" t="str">
        <x:v>лимонен, линалол, деканаль, октаналь, мирцен</x:v>
      </x:c>
      <x:c r="L12" s="28" t="str">
        <x:v>альдегиды окисления липидов, бромфенолы, диметилсульфид, умами-соединения</x:v>
      </x:c>
      <x:c r="M12" s="28" t="str">
        <x:v>прямое семейное перекрытие не является главным механизмом</x:v>
      </x:c>
      <x:c r="N12" s="28" t="str">
        <x:v>надёжный общий маркер не заявлен; сочетание объясняется семействами и сенсорным балансом</x:v>
      </x:c>
      <x:c r="O12" s="28" t="str">
        <x:v>вкусовой баланс, влияние матрицы/растворимости</x:v>
      </x:c>
      <x:c r="P12" s="28" t="str">
        <x:v>Кислотность и лёгкая горечь цитруса снижают ощущение жирности; соль и умами, в свою очередь, делают фруктовую часть менее резкой.</x:v>
      </x:c>
      <x:c r="Q12" s="28" t="str">
        <x:v>нет выраженного; нет выраженного</x:v>
      </x:c>
      <x:c r="R12" s="28" t="str">
        <x:v>сок водный; цедра и ликёры несут гидрофобные эфирные масла; кислота может денатурировать поверхностные белки; жир рыбы удерживает терпены</x:v>
      </x:c>
      <x:c r="S1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12" s="28" t="str">
        <x:v>Апельсин формирует профиль «цитрусовый, сладко-фруктовый, цветочный, восковой»; характерные маркеры: лимонен, линалол, деканаль, октаналь, мирцен. Белая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U12" s="28" t="str">
        <x:v>Избыток кислоты делает вкус плоско-резким; белая часть кожуры даёт лишнюю горечь; слишком долгая маринация ухудшает текстуру.</x:v>
      </x:c>
      <x:c r="V12" s="28" t="str">
        <x:v>кинза или фенхель</x:v>
      </x:c>
      <x:c r="W12" s="28" t="str">
        <x:v>севиче, маринад, beurre blanc, тартар или салат</x:v>
      </x:c>
      <x:c r="X12" s="28" t="str">
        <x:v>еда, соусы/маринады</x:v>
      </x:c>
      <x:c r="Y12" s="28" t="str">
        <x:v>Высокая</x:v>
      </x:c>
      <x:c r="Z12" s="28" t="str">
        <x:v>Тезариус вкусов (Ники Сегнит)(1).pdf</x:v>
      </x:c>
      <x:c r="AA12" s="28" t="str">
        <x:v>Тезариус вкусов (Ники Сегнит)(1).pdf: 383, 773</x:v>
      </x:c>
      <x:c r="AB12" s="28" t="str">
        <x:v>До XVIII века апельсины подавали к рыбе, как сегодня подают лимоны. В то время самыми распространенными апельсинами были кислые севильские – в отличие от сладких сортов, которые доминируют на рынке в последнее время. Сегодня, когда севильские апельсины найти трудно, для восстановления подлинного вкуса XVIII века эффективной заменой является сочетание двух сладких апельсинов и одного лимона. Впрочем, с точки зрения аромата эта замена, конечно, неполноценна.</x:v>
      </x:c>
      <x:c r="AC12" s="28" t="n">
        <x:v>1</x:v>
      </x:c>
      <x:c r="AD12" s="28" t="n">
        <x:v>2</x:v>
      </x:c>
    </x:row>
    <x:row r="13" ht="58" customHeight="1">
      <x:c r="A13" s="28" t="str">
        <x:v>CIT-0012</x:v>
      </x:c>
      <x:c r="B13" s="28" t="str">
        <x:v>Универсальные</x:v>
      </x:c>
      <x:c r="C13" s="28" t="str">
        <x:v>апельсин</x:v>
      </x:c>
      <x:c r="D13" s="28" t="str">
        <x:v>апельсин</x:v>
      </x:c>
      <x:c r="E13" s="28" t="str">
        <x:v>Цитрусовые</x:v>
      </x:c>
      <x:c r="F13" s="28" t="str">
        <x:v>бузина</x:v>
      </x:c>
      <x:c r="G13" s="28" t="str">
        <x:v>Бузина</x:v>
      </x:c>
      <x:c r="H13" s="28" t="str">
        <x:v>Прочее</x:v>
      </x:c>
      <x:c r="I13" s="28" t="str">
        <x:v>цитрусовый, сладко-фруктовый, цветочный, восковой</x:v>
      </x:c>
      <x:c r="J13" s="28" t="str">
        <x:v>нейтральный/специфический</x:v>
      </x:c>
      <x:c r="K13" s="28" t="str">
        <x:v>лимонен, линалол, деканаль, октаналь, мирцен</x:v>
      </x:c>
      <x:c r="L13" s="28" t="str">
        <x:v>нужен профиль конкретного продукта</x:v>
      </x:c>
      <x:c r="M13" s="28" t="str">
        <x:v>прямое семейное перекрытие не является главным механизмом</x:v>
      </x:c>
      <x:c r="N13" s="28" t="str">
        <x:v>надёжный общий маркер не заявлен; сочетание объясняется семействами и сенсорным балансом</x:v>
      </x:c>
      <x:c r="O13" s="28" t="str">
        <x:v>вкусовой баланс, тройничное восприятие</x:v>
      </x:c>
      <x:c r="P13" s="28" t="str">
        <x:v>Основной эффект определяется ароматическим контрастом и добавлением кислотной свежести; точный баланс зависит от дозировки и матрицы.</x:v>
      </x:c>
      <x:c r="Q13" s="28" t="str">
        <x:v>нет выраженного; нет данных</x:v>
      </x:c>
      <x:c r="R13" s="28" t="str">
        <x:v>сок водный; цедра и ликёры несут гидрофобные эфирные масла; зависит от формы продукта</x:v>
      </x:c>
      <x:c r="S1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3" s="28" t="str">
        <x:v>Апельсин формирует профиль «цитрусовый, сладко-фруктовый, цветочный, восковой»; характерные маркеры: лимонен, линалол, деканаль, октаналь, мирцен. Бузина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13" s="28" t="str">
        <x:v>Избыток кислоты делает вкус плоско-резким; белая часть кожуры даёт лишнюю горечь.</x:v>
      </x:c>
      <x:c r="V13" s="28" t="str">
        <x:v>мёд или нейтральная жировая основа</x:v>
      </x:c>
      <x:c r="W13" s="28" t="str">
        <x:v>соус, напиток или десерт после пробной дегустации</x:v>
      </x:c>
      <x:c r="X13" s="28" t="str">
        <x:v>универсальное</x:v>
      </x:c>
      <x:c r="Y13" s="28" t="str">
        <x:v>Гипотеза / практическая</x:v>
      </x:c>
      <x:c r="Z13" s="28" t="str">
        <x:v>Таблица сочетания(1).pdf</x:v>
      </x:c>
      <x:c r="AA13" s="28" t="str">
        <x:v>Таблица сочетания(1).pdf: 7</x:v>
      </x:c>
      <x:c r="AB13" s="28" t="str">
        <x:v>Пара указана в таблице: «Бузина» → колонка «Фрукты».</x:v>
      </x:c>
      <x:c r="AC13" s="28" t="n">
        <x:v>1</x:v>
      </x:c>
      <x:c r="AD13" s="28" t="n">
        <x:v>1</x:v>
      </x:c>
    </x:row>
    <x:row r="14" ht="58" customHeight="1">
      <x:c r="A14" s="28" t="str">
        <x:v>CIT-0013</x:v>
      </x:c>
      <x:c r="B14" s="28" t="str">
        <x:v>Универсальные</x:v>
      </x:c>
      <x:c r="C14" s="28" t="str">
        <x:v>апельсин</x:v>
      </x:c>
      <x:c r="D14" s="28" t="str">
        <x:v>апельсин</x:v>
      </x:c>
      <x:c r="E14" s="28" t="str">
        <x:v>Цитрусовые</x:v>
      </x:c>
      <x:c r="F14" s="28" t="str">
        <x:v>бузина (цветки бузины)</x:v>
      </x:c>
      <x:c r="G14" s="28" t="str">
        <x:v>Бузина (цветки бузины)</x:v>
      </x:c>
      <x:c r="H14" s="28" t="str">
        <x:v>Прочее</x:v>
      </x:c>
      <x:c r="I14" s="28" t="str">
        <x:v>цитрусовый, сладко-фруктовый, цветочный, восковой</x:v>
      </x:c>
      <x:c r="J14" s="28" t="str">
        <x:v>нейтральный/специфический</x:v>
      </x:c>
      <x:c r="K14" s="28" t="str">
        <x:v>лимонен, линалол, деканаль, октаналь, мирцен</x:v>
      </x:c>
      <x:c r="L14" s="28" t="str">
        <x:v>нужен профиль конкретного продукта</x:v>
      </x:c>
      <x:c r="M14" s="28" t="str">
        <x:v>прямое семейное перекрытие не является главным механизмом</x:v>
      </x:c>
      <x:c r="N14" s="28" t="str">
        <x:v>надёжный общий маркер не заявлен; сочетание объясняется семействами и сенсорным балансом</x:v>
      </x:c>
      <x:c r="O14" s="28" t="str">
        <x:v>вкусовой баланс, тройничное восприятие</x:v>
      </x:c>
      <x:c r="P14" s="28" t="str">
        <x:v>Основной эффект определяется ароматическим контрастом и добавлением кислотной свежести; точный баланс зависит от дозировки и матрицы.</x:v>
      </x:c>
      <x:c r="Q14" s="28" t="str">
        <x:v>нет выраженного; нет данных</x:v>
      </x:c>
      <x:c r="R14" s="28" t="str">
        <x:v>сок водный; цедра и ликёры несут гидрофобные эфирные масла; зависит от формы продукта</x:v>
      </x:c>
      <x:c r="S1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4" s="28" t="str">
        <x:v>Апельсин формирует профиль «цитрусовый, сладко-фруктовый, цветочный, восковой»; характерные маркеры: лимонен, линалол, деканаль, октаналь, мирцен. Бузина (цветки бузины)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14" s="28" t="str">
        <x:v>Избыток кислоты делает вкус плоско-резким; белая часть кожуры даёт лишнюю горечь.</x:v>
      </x:c>
      <x:c r="V14" s="28" t="str">
        <x:v>мёд или нейтральная жировая основа</x:v>
      </x:c>
      <x:c r="W14" s="28" t="str">
        <x:v>соус, напиток или десерт после пробной дегустации</x:v>
      </x:c>
      <x:c r="X14" s="28" t="str">
        <x:v>универсальное</x:v>
      </x:c>
      <x:c r="Y14" s="28" t="str">
        <x:v>Гипотеза / практическая</x:v>
      </x:c>
      <x:c r="Z14" s="28" t="str">
        <x:v>Таблица сочетания(1).pdf</x:v>
      </x:c>
      <x:c r="AA14" s="28" t="str">
        <x:v>Таблица сочетания(1).pdf: 7</x:v>
      </x:c>
      <x:c r="AB14" s="28" t="str">
        <x:v>Пара указана в таблице: «Бузина (цветки бузины)» → колонка «Фрукты».</x:v>
      </x:c>
      <x:c r="AC14" s="28" t="n">
        <x:v>1</x:v>
      </x:c>
      <x:c r="AD14" s="28" t="n">
        <x:v>1</x:v>
      </x:c>
    </x:row>
    <x:row r="15" ht="58" customHeight="1">
      <x:c r="A15" s="28" t="str">
        <x:v>CIT-0014</x:v>
      </x:c>
      <x:c r="B15" s="28" t="str">
        <x:v>Универсальные</x:v>
      </x:c>
      <x:c r="C15" s="28" t="str">
        <x:v>апельсин</x:v>
      </x:c>
      <x:c r="D15" s="28" t="str">
        <x:v>Апельсин | апельсин</x:v>
      </x:c>
      <x:c r="E15" s="28" t="str">
        <x:v>Цитрусовые</x:v>
      </x:c>
      <x:c r="F15" s="28" t="str">
        <x:v>ваниль</x:v>
      </x:c>
      <x:c r="G15" s="28" t="str">
        <x:v>Ваниль | ваниль</x:v>
      </x:c>
      <x:c r="H15" s="28" t="str">
        <x:v>Пряности</x:v>
      </x:c>
      <x:c r="I15" s="28" t="str">
        <x:v>цитрусовый, сладко-фруктовый, цветочный, восковой</x:v>
      </x:c>
      <x:c r="J15" s="28" t="str">
        <x:v>ванильный, бальзамический, сладкий, древесный</x:v>
      </x:c>
      <x:c r="K15" s="28" t="str">
        <x:v>лимонен, линалол, деканаль, октаналь, мирцен</x:v>
      </x:c>
      <x:c r="L15" s="28" t="str">
        <x:v>ванилин, п-гидроксибензальдегид, анисовый альдегид</x:v>
      </x:c>
      <x:c r="M15" s="28" t="str">
        <x:v>прямое семейное перекрытие не является главным механизмом</x:v>
      </x:c>
      <x:c r="N15" s="28" t="str">
        <x:v>надёжный общий маркер не заявлен; сочетание объясняется семействами и сенсорным балансом</x:v>
      </x:c>
      <x:c r="O15" s="28" t="str">
        <x:v>вкусовой баланс</x:v>
      </x:c>
      <x:c r="P15" s="28" t="str">
        <x:v>Кислота усиливает слюноотделение и делает пряный аромат ярче; терпены цитруса образуют мост с эфирными маслами травы или специи.</x:v>
      </x:c>
      <x:c r="Q15" s="28" t="str">
        <x:v>нет выраженного; нет выраженного</x:v>
      </x:c>
      <x:c r="R15" s="28" t="str">
        <x:v>сок водный; цедра и ликёры несут гидрофобные эфирные масла; ванилин растворим в спирте и частично в воде; жир продлевает аромат</x:v>
      </x:c>
      <x:c r="S1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5" s="28" t="str">
        <x:v>Апельсин формирует профиль «цитрусовый, сладко-фруктовый, цветочный, восковой»; характерные маркеры: лимонен, линалол, деканаль, октаналь, мирцен.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Ваниль округляет кислотность и связывает цитрус с десертными и молочными нотами.</x:v>
      </x:c>
      <x:c r="U15" s="28" t="str">
        <x:v>Избыток кислоты делает вкус плоско-резким; белая часть кожуры даёт лишнюю горечь.</x:v>
      </x:c>
      <x:c r="V15" s="28" t="str">
        <x:v>мёд или ваниль</x:v>
      </x:c>
      <x:c r="W15" s="28" t="str">
        <x:v>сироп, кордиал, чатни, маринад или пряный десерт</x:v>
      </x:c>
      <x:c r="X15" s="28" t="str">
        <x:v>напитки, еда, соусы/маринады</x:v>
      </x:c>
      <x:c r="Y15" s="28" t="str">
        <x:v>Высокая</x:v>
      </x:c>
      <x:c r="Z15" s="28" t="str">
        <x:v>Таблица сочетания(1).pdf | Тезариус вкусов (Ники Сегнит)(1).pdf</x:v>
      </x:c>
      <x:c r="AA15" s="28" t="str">
        <x:v>Таблица сочетания(1).pdf: 14, 21 | Тезариус вкусов (Ники Сегнит)(1).pdf: 774, 914</x:v>
      </x:c>
      <x:c r="AB15" s="28" t="str">
        <x:v>Сочетание вкусов ванили и апельсина встречается в США в легендарном Creamsicle (это американская версия того, что британцы называют Mivvi). Оба десерта представляют собой ванильное мороженое на палочке, покрытое корочкой из фруктового льда. Если вы хотите попробовать более «взрослый» вариант, то остановитесь на ванильной панакоте с охлажденными дольками апельсина или найдите бутылку эссенции Fiori Di Sicilia, которая придает ярко выраженный цветочный, апельсиновый и ванильный характер безе и тор</x:v>
      </x:c>
      <x:c r="AC15" s="28" t="n">
        <x:v>2</x:v>
      </x:c>
      <x:c r="AD15" s="28" t="n">
        <x:v>4</x:v>
      </x:c>
    </x:row>
    <x:row r="16" ht="58" customHeight="1">
      <x:c r="A16" s="28" t="str">
        <x:v>CIT-0015</x:v>
      </x:c>
      <x:c r="B16" s="28" t="str">
        <x:v>Напитки</x:v>
      </x:c>
      <x:c r="C16" s="28" t="str">
        <x:v>апельсин</x:v>
      </x:c>
      <x:c r="D16" s="28" t="str">
        <x:v>апельсин</x:v>
      </x:c>
      <x:c r="E16" s="28" t="str">
        <x:v>Цитрусовые</x:v>
      </x:c>
      <x:c r="F16" s="28" t="str">
        <x:v>виноград</x:v>
      </x:c>
      <x:c r="G16" s="28" t="str">
        <x:v>Виноград</x:v>
      </x:c>
      <x:c r="H16" s="28" t="str">
        <x:v>Алкогольные напитки</x:v>
      </x:c>
      <x:c r="I16" s="28" t="str">
        <x:v>цитрусовый, сладко-фруктовый, цветочный, восковой</x:v>
      </x:c>
      <x:c r="J16" s="28" t="str">
        <x:v>зависит от основы, эфирный, древесный/пряный</x:v>
      </x:c>
      <x:c r="K16" s="28" t="str">
        <x:v>лимонен, линалол, деканаль, октаналь, мирцен</x:v>
      </x:c>
      <x:c r="L16" s="28" t="str">
        <x:v>этанол, эфиры, терпены/дубовые соединения</x:v>
      </x:c>
      <x:c r="M16" s="28" t="str">
        <x:v>прямое семейное перекрытие не является главным механизмом</x:v>
      </x:c>
      <x:c r="N16" s="28" t="str">
        <x:v>надёжный общий маркер не заявлен; сочетание объясняется семействами и сенсорным балансом</x:v>
      </x:c>
      <x:c r="O16" s="28" t="str">
        <x:v>вкусовой баланс, тройничное восприятие, влияние матрицы/растворимости</x:v>
      </x:c>
      <x:c r="P16" s="28" t="str">
        <x:v>Этанол усиливает летучесть терпенов и ощущение тепла; сахар и вода регулируют кислотность, горечь кожуры и спиртуозность.</x:v>
      </x:c>
      <x:c r="Q16" s="28" t="str">
        <x:v>нет выраженного; этанол усиливает тепло и летучесть аромата</x:v>
      </x:c>
      <x:c r="R16" s="28" t="str">
        <x:v>сок водный; цедра и ликёры несут гидрофобные эфирные масла; этанол — хороший растворитель гидрофобных эфирных масел</x:v>
      </x:c>
      <x:c r="S16"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16" s="28" t="str">
        <x:v>Апельсин формирует профиль «цитрусовый, сладко-фруктовый, цветочный, восковой»; характерные маркеры: лимонен, линалол, деканаль, октаналь, мирцен. Виноград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Апельсиновый профиль строится на лимонене и альдегидах с восково-сладкой нотой. Спирт извлекает цедру и усиливает ретроназальный выход терпенов; сахар и разбавление меняют баланс.</x:v>
      </x:c>
      <x:c r="U16" s="28" t="str">
        <x:v>Избыток кислоты делает вкус плоско-резким; белая часть кожуры даёт лишнюю горечь.</x:v>
      </x:c>
      <x:c r="V16" s="28" t="str">
        <x:v>сахарный сироп или биттер</x:v>
      </x:c>
      <x:c r="W16" s="28" t="str">
        <x:v>коктейль, спритц, настойка, ликёр или кордиал</x:v>
      </x:c>
      <x:c r="X16" s="28" t="str">
        <x:v>напитки</x:v>
      </x:c>
      <x:c r="Y16" s="28" t="str">
        <x:v>Гипотеза / практическая</x:v>
      </x:c>
      <x:c r="Z16" s="28" t="str">
        <x:v>Таблица сочетания(1).pdf</x:v>
      </x:c>
      <x:c r="AA16" s="28" t="str">
        <x:v>Таблица сочетания(1).pdf: 9</x:v>
      </x:c>
      <x:c r="AB16" s="28" t="str">
        <x:v>Пара указана в таблице: «Виноград» → колонка «Фрукты».</x:v>
      </x:c>
      <x:c r="AC16" s="28" t="n">
        <x:v>1</x:v>
      </x:c>
      <x:c r="AD16" s="28" t="n">
        <x:v>1</x:v>
      </x:c>
    </x:row>
    <x:row r="17" ht="58" customHeight="1">
      <x:c r="A17" s="28" t="str">
        <x:v>CIT-0016</x:v>
      </x:c>
      <x:c r="B17" s="28" t="str">
        <x:v>Десерты и выпечка</x:v>
      </x:c>
      <x:c r="C17" s="28" t="str">
        <x:v>апельсин</x:v>
      </x:c>
      <x:c r="D17" s="28" t="str">
        <x:v>Апельсин</x:v>
      </x:c>
      <x:c r="E17" s="28" t="str">
        <x:v>Цитрусовые</x:v>
      </x:c>
      <x:c r="F17" s="28" t="str">
        <x:v>вишня</x:v>
      </x:c>
      <x:c r="G17" s="28" t="str">
        <x:v>вишня</x:v>
      </x:c>
      <x:c r="H17" s="28" t="str">
        <x:v>Ягоды/косточковые</x:v>
      </x:c>
      <x:c r="I17" s="28" t="str">
        <x:v>цитрусовый, сладко-фруктовый, цветочный, восковой</x:v>
      </x:c>
      <x:c r="J17" s="28" t="str">
        <x:v>фруктовый, цветочный, зелёный, винный</x:v>
      </x:c>
      <x:c r="K17" s="28" t="str">
        <x:v>лимонен, линалол, деканаль, октаналь, мирцен</x:v>
      </x:c>
      <x:c r="L17" s="28" t="str">
        <x:v>иононы, дамасценон, эфиры, бензальдегид (для косточковых)</x:v>
      </x:c>
      <x:c r="M17" s="28" t="str">
        <x:v>цветочный</x:v>
      </x:c>
      <x:c r="N17" s="28" t="str">
        <x:v>надёжный общий маркер не заявлен; сочетание объясняется семействами и сенсорным балансом</x:v>
      </x:c>
      <x:c r="O17" s="28" t="str">
        <x:v>перекрытие ароматических семейств, вкусовой баланс</x:v>
      </x:c>
      <x:c r="P17" s="28" t="str">
        <x:v>Общая фруктовая сладость и летучие эфиры создают непрерывный ароматический профиль, а цитрусовая кислота повышает контраст и свежесть.</x:v>
      </x:c>
      <x:c r="Q17" s="28" t="str">
        <x:v>нет выраженного; нет выраженного</x:v>
      </x:c>
      <x:c r="R17" s="28" t="str">
        <x:v>сок водный; цедра и ликёры несут гидрофобные эфирные масла; водная матрица с антоцианами и полифенолами</x:v>
      </x:c>
      <x:c r="S1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7" s="28" t="str">
        <x:v>Апельсин формирует профиль «цитрусовый, сладко-фруктовый, цветочный, восковой»; характерные маркеры: лимонен, линалол, деканаль, октаналь, мирцен.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U17" s="28" t="str">
        <x:v>Избыток кислоты делает вкус плоско-резким; белая часть кожуры даёт лишнюю горечь.</x:v>
      </x:c>
      <x:c r="V17" s="28" t="str">
        <x:v>ваниль или миндаль</x:v>
      </x:c>
      <x:c r="W17" s="28" t="str">
        <x:v>джем, сорбет, коктейль или соус</x:v>
      </x:c>
      <x:c r="X17" s="28" t="str">
        <x:v>напитки, десерты</x:v>
      </x:c>
      <x:c r="Y17" s="28" t="str">
        <x:v>Гипотеза / практическая</x:v>
      </x:c>
      <x:c r="Z17" s="28" t="str">
        <x:v>Таблица сочетания(1).pdf</x:v>
      </x:c>
      <x:c r="AA17" s="28" t="str">
        <x:v>Таблица сочетания(1).pdf: 14</x:v>
      </x:c>
      <x:c r="AB17" s="28" t="str">
        <x:v>Пара указана в таблице: «Апельсин» → колонка «Фрукты».</x:v>
      </x:c>
      <x:c r="AC17" s="28" t="n">
        <x:v>1</x:v>
      </x:c>
      <x:c r="AD17" s="28" t="n">
        <x:v>1</x:v>
      </x:c>
    </x:row>
    <x:row r="18" ht="58" customHeight="1">
      <x:c r="A18" s="28" t="str">
        <x:v>CIT-0017</x:v>
      </x:c>
      <x:c r="B18" s="28" t="str">
        <x:v>Универсальные</x:v>
      </x:c>
      <x:c r="C18" s="28" t="str">
        <x:v>апельсин</x:v>
      </x:c>
      <x:c r="D18" s="28" t="str">
        <x:v>Апельсин | апельсин</x:v>
      </x:c>
      <x:c r="E18" s="28" t="str">
        <x:v>Цитрусовые</x:v>
      </x:c>
      <x:c r="F18" s="28" t="str">
        <x:v>водяной кресс</x:v>
      </x:c>
      <x:c r="G18" s="28" t="str">
        <x:v>Водяной кресс | водяной кресс</x:v>
      </x:c>
      <x:c r="H18" s="28" t="str">
        <x:v>Прочее</x:v>
      </x:c>
      <x:c r="I18" s="28" t="str">
        <x:v>цитрусовый, сладко-фруктовый, цветочный, восковой</x:v>
      </x:c>
      <x:c r="J18" s="28" t="str">
        <x:v>нейтральный/специфический</x:v>
      </x:c>
      <x:c r="K18" s="28" t="str">
        <x:v>лимонен, линалол, деканаль, октаналь, мирцен</x:v>
      </x:c>
      <x:c r="L18" s="28" t="str">
        <x:v>нужен профиль конкретного продукта</x:v>
      </x:c>
      <x:c r="M18" s="28" t="str">
        <x:v>прямое семейное перекрытие не является главным механизмом</x:v>
      </x:c>
      <x:c r="N18" s="28" t="str">
        <x:v>надёжный общий маркер не заявлен; сочетание объясняется семействами и сенсорным балансом</x:v>
      </x:c>
      <x:c r="O18" s="28" t="str">
        <x:v>вкусовой баланс, тройничное восприятие</x:v>
      </x:c>
      <x:c r="P18" s="28" t="str">
        <x:v>Основной эффект определяется ароматическим контрастом и добавлением кислотной свежести; точный баланс зависит от дозировки и матрицы.</x:v>
      </x:c>
      <x:c r="Q18" s="28" t="str">
        <x:v>нет выраженного; нет данных</x:v>
      </x:c>
      <x:c r="R18" s="28" t="str">
        <x:v>сок водный; цедра и ликёры несут гидрофобные эфирные масла; зависит от формы продукта</x:v>
      </x:c>
      <x:c r="S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8" s="28" t="str">
        <x:v>Апельсин формирует профиль «цитрусовый, сладко-фруктовый, цветочный, восковой»; характерные маркеры: лимонен, линалол, деканаль, октаналь, мирцен. Водяной кресс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18" s="28" t="str">
        <x:v>Избыток кислоты делает вкус плоско-резким; белая часть кожуры даёт лишнюю горечь.</x:v>
      </x:c>
      <x:c r="V18" s="28" t="str">
        <x:v>мёд или нейтральная жировая основа</x:v>
      </x:c>
      <x:c r="W18" s="28" t="str">
        <x:v>соус, напиток или десерт после пробной дегустации</x:v>
      </x:c>
      <x:c r="X18" s="28" t="str">
        <x:v>универсальное</x:v>
      </x:c>
      <x:c r="Y18" s="28" t="str">
        <x:v>Высокая</x:v>
      </x:c>
      <x:c r="Z18" s="28" t="str">
        <x:v>Тезариус вкусов (Ники Сегнит)(1).pdf</x:v>
      </x:c>
      <x:c r="AA18" s="28" t="str">
        <x:v>Тезариус вкусов (Ники Сегнит)(1).pdf: 257, 774</x:v>
      </x:c>
      <x:c r="AB18" s="28" t="str">
        <x:v>Смешайте ломтики сладких, кислых и горьких апельсинов. Добавьте чтонибудь соленое, например оливки. Идеальный салат готов! Хорошо подать его с уткой. См. также Яблоко и грецкий орех.</x:v>
      </x:c>
      <x:c r="AC18" s="28" t="n">
        <x:v>1</x:v>
      </x:c>
      <x:c r="AD18" s="28" t="n">
        <x:v>2</x:v>
      </x:c>
    </x:row>
    <x:row r="19" ht="58" customHeight="1">
      <x:c r="A19" s="28" t="str">
        <x:v>CIT-0018</x:v>
      </x:c>
      <x:c r="B19" s="28" t="str">
        <x:v>Универсальные</x:v>
      </x:c>
      <x:c r="C19" s="28" t="str">
        <x:v>апельсин</x:v>
      </x:c>
      <x:c r="D19" s="28" t="str">
        <x:v>orange</x:v>
      </x:c>
      <x:c r="E19" s="28" t="str">
        <x:v>Цитрусовые</x:v>
      </x:c>
      <x:c r="F19" s="28" t="str">
        <x:v>водяной ямс</x:v>
      </x:c>
      <x:c r="G19" s="28" t="str">
        <x:v>water yam</x:v>
      </x:c>
      <x:c r="H19" s="28" t="str">
        <x:v>Прочее</x:v>
      </x:c>
      <x:c r="I19" s="28" t="str">
        <x:v>цитрусовый, сладко-фруктовый, цветочный, восковой</x:v>
      </x:c>
      <x:c r="J19" s="28" t="str">
        <x:v>нейтральный/специфический</x:v>
      </x:c>
      <x:c r="K19" s="28" t="str">
        <x:v>лимонен, линалол, деканаль, октаналь, мирцен</x:v>
      </x:c>
      <x:c r="L19" s="28" t="str">
        <x:v>нужен профиль конкретного продукта</x:v>
      </x:c>
      <x:c r="M19" s="28" t="str">
        <x:v>прямое семейное перекрытие не является главным механизмом</x:v>
      </x:c>
      <x:c r="N19" s="28" t="str">
        <x:v>надёжный общий маркер не заявлен; сочетание объясняется семействами и сенсорным балансом</x:v>
      </x:c>
      <x:c r="O19" s="28" t="str">
        <x:v>вкусовой баланс, тройничное восприятие</x:v>
      </x:c>
      <x:c r="P19" s="28" t="str">
        <x:v>Основной эффект определяется ароматическим контрастом и добавлением кислотной свежести; точный баланс зависит от дозировки и матрицы.</x:v>
      </x:c>
      <x:c r="Q19" s="28" t="str">
        <x:v>нет выраженного; нет данных</x:v>
      </x:c>
      <x:c r="R19" s="28" t="str">
        <x:v>сок водный; цедра и ликёры несут гидрофобные эфирные масла; зависит от формы продукта</x:v>
      </x:c>
      <x:c r="S1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9" s="28" t="str">
        <x:v>Апельсин формирует профиль «цитрусовый, сладко-фруктовый, цветочный, восковой»; характерные маркеры: лимонен, линалол, деканаль, октаналь, мирцен. Водяной ямс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19" s="28" t="str">
        <x:v>Избыток кислоты делает вкус плоско-резким; белая часть кожуры даёт лишнюю горечь.</x:v>
      </x:c>
      <x:c r="V19" s="28" t="str">
        <x:v>мёд или нейтральная жировая основа</x:v>
      </x:c>
      <x:c r="W19" s="28" t="str">
        <x:v>соус, напиток или десерт после пробной дегустации</x:v>
      </x:c>
      <x:c r="X19" s="28" t="str">
        <x:v>универсальное</x:v>
      </x:c>
      <x:c r="Y19" s="28" t="str">
        <x:v>Средняя</x:v>
      </x:c>
      <x:c r="Z19" s="28" t="str">
        <x:v>The Art &amp; Science of Foodpairing.pdf</x:v>
      </x:c>
      <x:c r="AA19" s="28" t="str">
        <x:v>The Art &amp; Science of Foodpairing.pdf: 236</x:v>
      </x:c>
      <x:c r="AB19" s="28" t="str">
        <x:v>Пара представлена в ароматической диаграмме Foodpairing на странице 236.</x:v>
      </x:c>
      <x:c r="AC19" s="28" t="n">
        <x:v>1</x:v>
      </x:c>
      <x:c r="AD19" s="28" t="n">
        <x:v>1</x:v>
      </x:c>
    </x:row>
    <x:row r="20" ht="58" customHeight="1">
      <x:c r="A20" s="28" t="str">
        <x:v>CIT-0019</x:v>
      </x:c>
      <x:c r="B20" s="28" t="str">
        <x:v>Универсальные</x:v>
      </x:c>
      <x:c r="C20" s="28" t="str">
        <x:v>апельсин</x:v>
      </x:c>
      <x:c r="D20" s="28" t="str">
        <x:v>Апельсин | апельсин</x:v>
      </x:c>
      <x:c r="E20" s="28" t="str">
        <x:v>Цитрусовые</x:v>
      </x:c>
      <x:c r="F20" s="28" t="str">
        <x:v>гвоздика</x:v>
      </x:c>
      <x:c r="G20" s="28" t="str">
        <x:v>Гвоздика | гвоздика</x:v>
      </x:c>
      <x:c r="H20" s="28" t="str">
        <x:v>Пряности</x:v>
      </x:c>
      <x:c r="I20" s="28" t="str">
        <x:v>цитрусовый, сладко-фруктовый, цветочный, восковой</x:v>
      </x:c>
      <x:c r="J20" s="28" t="str">
        <x:v>пряный, фенольный, древесный</x:v>
      </x:c>
      <x:c r="K20" s="28" t="str">
        <x:v>лимонен, линалол, деканаль, октаналь, мирцен</x:v>
      </x:c>
      <x:c r="L20" s="28" t="str">
        <x:v>эвгенол, эвгенилацетат, бета-кариофиллен</x:v>
      </x:c>
      <x:c r="M20" s="28" t="str">
        <x:v>прямое семейное перекрытие не является главным механизмом</x:v>
      </x:c>
      <x:c r="N20" s="28" t="str">
        <x:v>надёжный общий маркер не заявлен; сочетание объясняется семействами и сенсорным балансом</x:v>
      </x:c>
      <x:c r="O20" s="28" t="str">
        <x:v>вкусовой баланс, тройничное восприятие</x:v>
      </x:c>
      <x:c r="P20" s="28" t="str">
        <x:v>Кислота усиливает слюноотделение и делает пряный аромат ярче; терпены цитруса образуют мост с эфирными маслами травы или специи.</x:v>
      </x:c>
      <x:c r="Q20" s="28" t="str">
        <x:v>нет выраженного; эвгенол даёт теплоту и лёгкое онемение</x:v>
      </x:c>
      <x:c r="R20" s="28" t="str">
        <x:v>сок водный; цедра и ликёры несут гидрофобные эфирные масла; эфирное масло хорошо растворяется в спирте и жире</x:v>
      </x:c>
      <x:c r="S2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0" s="28" t="str">
        <x:v>Апельсин формирует профиль «цитрусовый, сладко-фруктовый, цветочный, восковой»; характерные маркеры: лимонен, линалол, деканаль, октаналь, мирцен.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Гвоздика очень интенсивна и легко доминирует.</x:v>
      </x:c>
      <x:c r="U20" s="28" t="str">
        <x:v>Избыток кислоты делает вкус плоско-резким; белая часть кожуры даёт лишнюю горечь.</x:v>
      </x:c>
      <x:c r="V20" s="28" t="str">
        <x:v>мёд или ваниль</x:v>
      </x:c>
      <x:c r="W20" s="28" t="str">
        <x:v>сироп, кордиал, чатни, маринад или пряный десерт</x:v>
      </x:c>
      <x:c r="X20" s="28" t="str">
        <x:v>напитки, еда, соусы/маринады</x:v>
      </x:c>
      <x:c r="Y20" s="28" t="str">
        <x:v>Высокая</x:v>
      </x:c>
      <x:c r="Z20" s="28" t="str">
        <x:v>Таблица сочетания(1).pdf | Тезариус вкусов (Ники Сегнит)(1).pdf</x:v>
      </x:c>
      <x:c r="AA20" s="28" t="str">
        <x:v>Таблица сочетания(1).pdf: 5, 14 | Тезариус вкусов (Ники Сегнит)(1).pdf: 582, 774</x:v>
      </x:c>
      <x:c r="AB20" s="28" t="str">
        <x:v>В своей книге «Масштаб мыслей» (The Size of Thoughts) Николсон Бейкер (Nicholson Baker) рассказывает о чувственном удовольствии, которое он получает, когда пишет шариковой ручкой на ластике. Я получаю схожее удовольствие, протыкая гвоздиками твердую кожуру апельсина. Некоторые используют такие конструкции для ароматизации воздуха, но я рассматриваю их как плавучие мины и бросаю в море глинтвейна. Свежий цитрусовый вкус и «дымок» от специй помогают оживить даже самый скучный грог.</x:v>
      </x:c>
      <x:c r="AC20" s="28" t="n">
        <x:v>2</x:v>
      </x:c>
      <x:c r="AD20" s="28" t="n">
        <x:v>4</x:v>
      </x:c>
    </x:row>
    <x:row r="21" ht="58" customHeight="1">
      <x:c r="A21" s="28" t="str">
        <x:v>CIT-0020</x:v>
      </x:c>
      <x:c r="B21" s="28" t="str">
        <x:v>Еда и соусы</x:v>
      </x:c>
      <x:c r="C21" s="28" t="str">
        <x:v>апельсин</x:v>
      </x:c>
      <x:c r="D21" s="28" t="str">
        <x:v>Апельсин | апельсин</x:v>
      </x:c>
      <x:c r="E21" s="28" t="str">
        <x:v>Цитрусовые</x:v>
      </x:c>
      <x:c r="F21" s="28" t="str">
        <x:v>говядина</x:v>
      </x:c>
      <x:c r="G21" s="28" t="str">
        <x:v>Говядина | говядина</x:v>
      </x:c>
      <x:c r="H21" s="28" t="str">
        <x:v>Мясо и птица</x:v>
      </x:c>
      <x:c r="I21" s="28" t="str">
        <x:v>цитрусовый, сладко-фруктовый, цветочный, восковой</x:v>
      </x:c>
      <x:c r="J21" s="28" t="str">
        <x:v>жареный, мясной, сернистый, жирный</x:v>
      </x:c>
      <x:c r="K21" s="28" t="str">
        <x:v>лимонен, линалол, деканаль, октаналь, мирцен</x:v>
      </x:c>
      <x:c r="L21" s="28" t="str">
        <x:v>пиразины, тиазолы, альдегиды жиров, сернистые соединения</x:v>
      </x:c>
      <x:c r="M21" s="28" t="str">
        <x:v>прямое семейное перекрытие не является главным механизмом</x:v>
      </x:c>
      <x:c r="N21" s="28" t="str">
        <x:v>надёжный общий маркер не заявлен; сочетание объясняется семействами и сенсорным балансом</x:v>
      </x:c>
      <x:c r="O21" s="28" t="str">
        <x:v>вкусовой баланс, влияние матрицы/растворимости</x:v>
      </x:c>
      <x:c r="P21" s="28" t="str">
        <x:v>Кислотность и лёгкая горечь цитруса снижают ощущение жирности; соль и умами, в свою очередь, делают фруктовую часть менее резкой.</x:v>
      </x:c>
      <x:c r="Q21" s="28" t="str">
        <x:v>нет выраженного; нет выраженного</x:v>
      </x:c>
      <x:c r="R21" s="28" t="str">
        <x:v>сок водный; цедра и ликёры несут гидрофобные эфирные масла; жир удерживает терпеновые масла; кислота снижает ощущение жирности</x:v>
      </x:c>
      <x:c r="S2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21" s="28" t="str">
        <x:v>Апельсин формирует профиль «цитрусовый, сладко-фруктовый, цветочный, восковой»; характерные маркеры: лимонен, линалол, деканаль, октаналь, мирцен. Говядина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U21" s="28" t="str">
        <x:v>Избыток кислоты делает вкус плоско-резким; белая часть кожуры даёт лишнюю горечь; слишком долгая маринация ухудшает текстуру.</x:v>
      </x:c>
      <x:c r="V21" s="28" t="str">
        <x:v>розмарин или чёрный перец</x:v>
      </x:c>
      <x:c r="W21" s="28" t="str">
        <x:v>маринад, глазурь, соус, жаркое или салат</x:v>
      </x:c>
      <x:c r="X21" s="28" t="str">
        <x:v>еда, соусы/маринады</x:v>
      </x:c>
      <x:c r="Y21" s="28" t="str">
        <x:v>Высокая</x:v>
      </x:c>
      <x:c r="Z21" s="28" t="str">
        <x:v>Тезариус вкусов (Ники Сегнит)(1).pdf</x:v>
      </x:c>
      <x:c r="AA21" s="28" t="str">
        <x:v>Тезариус вкусов (Ники Сегнит)(1).pdf: 105, 774</x:v>
      </x:c>
      <x:c r="AB21" s="28" t="str">
        <x:v>Для медленно готовящихся мясных блюд, например для рагу из говядины с вином и маслинами от Элизабет Дэвид (Elizabeth David), часто рекомендуют использовать букет специй, состоящий из апельсиновой цедры, лаврового листа, тимьяна и петрушки. Если вам мало одной основательной причины, чтобы сделать этот шаг, вот вторая: Фиона Беккет (Fiona Beckett) пишет, что апельсиновая цедра, используемая таким образом, усиливает богатство вкуса красных вин среднего качества.</x:v>
      </x:c>
      <x:c r="AC21" s="28" t="n">
        <x:v>1</x:v>
      </x:c>
      <x:c r="AD21" s="28" t="n">
        <x:v>2</x:v>
      </x:c>
    </x:row>
    <x:row r="22" ht="58" customHeight="1">
      <x:c r="A22" s="28" t="str">
        <x:v>CIT-0021</x:v>
      </x:c>
      <x:c r="B22" s="28" t="str">
        <x:v>Универсальные</x:v>
      </x:c>
      <x:c r="C22" s="28" t="str">
        <x:v>апельсин</x:v>
      </x:c>
      <x:c r="D22" s="28" t="str">
        <x:v>Апельсин | апельсин</x:v>
      </x:c>
      <x:c r="E22" s="28" t="str">
        <x:v>Цитрусовые</x:v>
      </x:c>
      <x:c r="F22" s="28" t="str">
        <x:v>грейпфрут</x:v>
      </x:c>
      <x:c r="G22" s="28" t="str">
        <x:v>Грейпфрут | грейпфрут</x:v>
      </x:c>
      <x:c r="H22" s="28" t="str">
        <x:v>Цитрусовые</x:v>
      </x:c>
      <x:c r="I22" s="28" t="str">
        <x:v>цитрусовый, сладко-фруктовый, цветочный, восковой</x:v>
      </x:c>
      <x:c r="J22" s="28" t="str">
        <x:v>цитрусовый, горький, свежий, сернистый</x:v>
      </x:c>
      <x:c r="K22" s="28" t="str">
        <x:v>лимонен, линалол, деканаль, октаналь, мирцен</x:v>
      </x:c>
      <x:c r="L22" s="28" t="str">
        <x:v>лимонен, нооткатон, грейпфрутовые тиолы, нарингин</x:v>
      </x:c>
      <x:c r="M22" s="28" t="str">
        <x:v>цитрусовый</x:v>
      </x:c>
      <x:c r="N22" s="28" t="str">
        <x:v>лимонен</x:v>
      </x:c>
      <x:c r="O22" s="28" t="str">
        <x:v>общие ароматические молекулы, перекрытие ароматических семейств, вкусовой баланс, тройничное восприятие</x:v>
      </x:c>
      <x:c r="P22" s="28" t="str">
        <x:v>Сочетание строится на близком терпеновом профиле; различия в кислотности, горечи и цветочно-зелёных оттенках создают объём.</x:v>
      </x:c>
      <x:c r="Q22" s="28" t="str">
        <x:v>нет выраженного; нет выраженного; кислота усиливает слюноотделение</x:v>
      </x:c>
      <x:c r="R22" s="28" t="str">
        <x:v>сок водный; цедра и ликёры несут гидрофобные эфирные масла; водная фаза сока + гидрофобные масла кожуры</x:v>
      </x:c>
      <x:c r="S2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2" s="28" t="str">
        <x:v>Апельсин формирует профиль «цитрусовый, сладко-фруктовый, цветочный, восковой»; характерные маркеры: лимонен, линалол, деканаль, октаналь, мирцен. Грейпфрут относится к группе «цитрусовые» и даёт ноты «цитрусовый, горький, свежий, сернистый».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Горечь задают флавоноиды, аромат кожуры — терпены и следовые тиолы.</x:v>
      </x:c>
      <x:c r="U22" s="28" t="str">
        <x:v>Избыток кислоты делает вкус плоско-резким; белая часть кожуры даёт лишнюю горечь.</x:v>
      </x:c>
      <x:c r="V22" s="28" t="str">
        <x:v>мёд или цветочная вода</x:v>
      </x:c>
      <x:c r="W22" s="28" t="str">
        <x:v>цитрусовый кордиал, мармелад, сорбет, салат или купаж соков</x:v>
      </x:c>
      <x:c r="X22" s="28" t="str">
        <x:v>напитки, десерты</x:v>
      </x:c>
      <x:c r="Y22" s="28" t="str">
        <x:v>Высокая</x:v>
      </x:c>
      <x:c r="Z22" s="28" t="str">
        <x:v>Таблица сочетания(1).pdf | Тезариус вкусов (Ники Сегнит)(1).pdf</x:v>
      </x:c>
      <x:c r="AA22" s="28" t="str">
        <x:v>Таблица сочетания(1).pdf: 9, 14 | Тезариус вкусов (Ники Сегнит)(1).pdf: 775, 786</x:v>
      </x:c>
      <x:c r="AB22" s="28" t="str">
        <x:v>Грейпфрут представляет собой гибрид сладкого апельсина и помело – большого желто-зеленого цитруса, который выглядит как надутая груша. По вкусу и внешнему виду грейпфрут, конечно, гораздо ближе к помело, однако и с апельсином его объединяет немало черт – среди прочих тяга к «Кампари» (Campari). И грейпфрут, и апельсин образуют с «Кампари» освежающие (и умеренно горькие) сорбе. Чем различаются вклады этих двух цитрусов, легко понять, сравнивая приготовленные из них напитки. Апельсиновый сок совер</x:v>
      </x:c>
      <x:c r="AC22" s="28" t="n">
        <x:v>2</x:v>
      </x:c>
      <x:c r="AD22" s="28" t="n">
        <x:v>4</x:v>
      </x:c>
    </x:row>
    <x:row r="23" ht="58" customHeight="1">
      <x:c r="A23" s="28" t="str">
        <x:v>CIT-0022</x:v>
      </x:c>
      <x:c r="B23" s="28" t="str">
        <x:v>Десерты и выпечка</x:v>
      </x:c>
      <x:c r="C23" s="28" t="str">
        <x:v>апельсин</x:v>
      </x:c>
      <x:c r="D23" s="28" t="str">
        <x:v>Апельсин | апельсин</x:v>
      </x:c>
      <x:c r="E23" s="28" t="str">
        <x:v>Цитрусовые</x:v>
      </x:c>
      <x:c r="F23" s="28" t="str">
        <x:v>грецкий орех</x:v>
      </x:c>
      <x:c r="G23" s="28" t="str">
        <x:v>Грецкий орех | грецкий орех</x:v>
      </x:c>
      <x:c r="H23" s="28" t="str">
        <x:v>Орехи и семена</x:v>
      </x:c>
      <x:c r="I23" s="28" t="str">
        <x:v>цитрусовый, сладко-фруктовый, цветочный, восковой</x:v>
      </x:c>
      <x:c r="J23" s="28" t="str">
        <x:v>ореховый, обжаренный, жирный, зелёный</x:v>
      </x:c>
      <x:c r="K23" s="28" t="str">
        <x:v>лимонен, линалол, деканаль, октаналь, мирцен</x:v>
      </x:c>
      <x:c r="L23" s="28" t="str">
        <x:v>пиразины, альдегиды окисления жиров, бензальдегид (миндаль)</x:v>
      </x:c>
      <x:c r="M23" s="28" t="str">
        <x:v>прямое семейное перекрытие не является главным механизмом</x:v>
      </x:c>
      <x:c r="N23" s="28" t="str">
        <x:v>надёжный общий маркер не заявлен; сочетание объясняется семействами и сенсорным балансом</x:v>
      </x:c>
      <x:c r="O23" s="28" t="str">
        <x:v>вкусовой баланс, влияние матрицы/растворимости</x:v>
      </x:c>
      <x:c r="P23" s="28" t="str">
        <x:v>Кислотность и лёгкая горечь цитруса снижают ощущение жирности; соль и умами, в свою очередь, делают фруктовую часть менее резкой.</x:v>
      </x:c>
      <x:c r="Q23" s="28" t="str">
        <x:v>нет выраженного; нет выраженного</x:v>
      </x:c>
      <x:c r="R23" s="28" t="str">
        <x:v>сок водный; цедра и ликёры несут гидрофобные эфирные масла; высокая жирность растворяет терпеновые масла цитруса</x:v>
      </x:c>
      <x:c r="S2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3" s="28" t="str">
        <x:v>Апельсин формирует профиль «цитрусовый, сладко-фруктовый, цветочный, восковой»; характерные маркеры: лимонен, линалол, деканаль, октаналь, мирцен. Грецкий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U23" s="28" t="str">
        <x:v>Избыток кислоты делает вкус плоско-резким; белая часть кожуры даёт лишнюю горечь.</x:v>
      </x:c>
      <x:c r="V23" s="28" t="str">
        <x:v>мёд или шоколад</x:v>
      </x:c>
      <x:c r="W23" s="28" t="str">
        <x:v>пралине, крем, выпечка, салат или ореховый соус</x:v>
      </x:c>
      <x:c r="X23" s="28" t="str">
        <x:v>десерты</x:v>
      </x:c>
      <x:c r="Y23" s="28" t="str">
        <x:v>Высокая</x:v>
      </x:c>
      <x:c r="Z23" s="28" t="str">
        <x:v>Тезариус вкусов (Ники Сегнит)(1).pdf</x:v>
      </x:c>
      <x:c r="AA23" s="28" t="str">
        <x:v>Тезариус вкусов (Ники Сегнит)(1).pdf: 623, 775</x:v>
      </x:c>
      <x:c r="AB23" s="28" t="str">
        <x:v>Используйте грецкие орехи и клементины из рождественского чулка, чтобы сделать из них закуску с клюквой или салат с горькими зелеными листьями. Можно также смешать их с густым йогуртом и небольшим количеством кленового сиропа и подать на завтрак в День подарков 26 декабря.</x:v>
      </x:c>
      <x:c r="AC23" s="28" t="n">
        <x:v>1</x:v>
      </x:c>
      <x:c r="AD23" s="28" t="n">
        <x:v>2</x:v>
      </x:c>
    </x:row>
    <x:row r="24" ht="58" customHeight="1">
      <x:c r="A24" s="28" t="str">
        <x:v>CIT-0023</x:v>
      </x:c>
      <x:c r="B24" s="28" t="str">
        <x:v>Десерты и выпечка</x:v>
      </x:c>
      <x:c r="C24" s="28" t="str">
        <x:v>апельсин</x:v>
      </x:c>
      <x:c r="D24" s="28" t="str">
        <x:v>Апельсин</x:v>
      </x:c>
      <x:c r="E24" s="28" t="str">
        <x:v>Цитрусовые</x:v>
      </x:c>
      <x:c r="F24" s="28" t="str">
        <x:v>гуава</x:v>
      </x:c>
      <x:c r="G24" s="28" t="str">
        <x:v>гуава</x:v>
      </x:c>
      <x:c r="H24" s="28" t="str">
        <x:v>Тропические фрукты</x:v>
      </x:c>
      <x:c r="I24" s="28" t="str">
        <x:v>цитрусовый, сладко-фруктовый, цветочный, восковой</x:v>
      </x:c>
      <x:c r="J24" s="28" t="str">
        <x:v>фруктовый, тропический, цветочный, сливочный</x:v>
      </x:c>
      <x:c r="K24" s="28" t="str">
        <x:v>лимонен, линалол, деканаль, октаналь, мирцен</x:v>
      </x:c>
      <x:c r="L24" s="28" t="str">
        <x:v>этилбутират, гексилацетат, лактоны, сернистые тиолы (у части фруктов)</x:v>
      </x:c>
      <x:c r="M24" s="28" t="str">
        <x:v>цветочный</x:v>
      </x:c>
      <x:c r="N24" s="28" t="str">
        <x:v>надёжный общий маркер не заявлен; сочетание объясняется семействами и сенсорным балансом</x:v>
      </x:c>
      <x:c r="O24" s="28" t="str">
        <x:v>перекрытие ароматических семейств, вкусовой баланс</x:v>
      </x:c>
      <x:c r="P24" s="28" t="str">
        <x:v>Общая фруктовая сладость и летучие эфиры создают непрерывный ароматический профиль, а цитрусовая кислота повышает контраст и свежесть.</x:v>
      </x:c>
      <x:c r="Q24" s="28" t="str">
        <x:v>нет выраженного; нет выраженного</x:v>
      </x:c>
      <x:c r="R24" s="28" t="str">
        <x:v>сок водный; цедра и ликёры несут гидрофобные эфирные масла; сочная или кремовая фруктовая матрица</x:v>
      </x:c>
      <x:c r="S2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4" s="28" t="str">
        <x:v>Апельсин формирует профиль «цитрусовый, сладко-фруктовый, цветочный, восковой»; характерные маркеры: лимонен, линалол, деканаль, октаналь, мирцен. Гуава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24" s="28" t="str">
        <x:v>Избыток кислоты делает вкус плоско-резким; белая часть кожуры даёт лишнюю горечь.</x:v>
      </x:c>
      <x:c r="V24" s="28" t="str">
        <x:v>кокос или имбирь</x:v>
      </x:c>
      <x:c r="W24" s="28" t="str">
        <x:v>смузи, кордиал, сорбет, чатни или коктейль</x:v>
      </x:c>
      <x:c r="X24" s="28" t="str">
        <x:v>напитки, десерты</x:v>
      </x:c>
      <x:c r="Y24" s="28" t="str">
        <x:v>Гипотеза / практическая</x:v>
      </x:c>
      <x:c r="Z24" s="28" t="str">
        <x:v>Таблица сочетания(1).pdf</x:v>
      </x:c>
      <x:c r="AA24" s="28" t="str">
        <x:v>Таблица сочетания(1).pdf: 14</x:v>
      </x:c>
      <x:c r="AB24" s="28" t="str">
        <x:v>Пара указана в таблице: «Апельсин» → колонка «Фрукты».</x:v>
      </x:c>
      <x:c r="AC24" s="28" t="n">
        <x:v>1</x:v>
      </x:c>
      <x:c r="AD24" s="28" t="n">
        <x:v>1</x:v>
      </x:c>
    </x:row>
    <x:row r="25" ht="58" customHeight="1">
      <x:c r="A25" s="28" t="str">
        <x:v>CIT-0024</x:v>
      </x:c>
      <x:c r="B25" s="28" t="str">
        <x:v>Десерты и выпечка</x:v>
      </x:c>
      <x:c r="C25" s="28" t="str">
        <x:v>апельсин</x:v>
      </x:c>
      <x:c r="D25" s="28" t="str">
        <x:v>Апельсин | апельсин</x:v>
      </x:c>
      <x:c r="E25" s="28" t="str">
        <x:v>Цитрусовые</x:v>
      </x:c>
      <x:c r="F25" s="28" t="str">
        <x:v>дыня</x:v>
      </x:c>
      <x:c r="G25" s="28" t="str">
        <x:v>Дыня | дыня</x:v>
      </x:c>
      <x:c r="H25" s="28" t="str">
        <x:v>Бахчевые</x:v>
      </x:c>
      <x:c r="I25" s="28" t="str">
        <x:v>цитрусовый, сладко-фруктовый, цветочный, восковой</x:v>
      </x:c>
      <x:c r="J25" s="28" t="str">
        <x:v>свежий, зелёный, водянистый, фруктовый</x:v>
      </x:c>
      <x:c r="K25" s="28" t="str">
        <x:v>лимонен, линалол, деканаль, октаналь, мирцен</x:v>
      </x:c>
      <x:c r="L25" s="28" t="str">
        <x:v>C6/C9-альдегиды, эфиры, нонадиеналь</x:v>
      </x:c>
      <x:c r="M25" s="28" t="str">
        <x:v>прямое семейное перекрытие не является главным механизмом</x:v>
      </x:c>
      <x:c r="N25" s="28" t="str">
        <x:v>надёжный общий маркер не заявлен; сочетание объясняется семействами и сенсорным балансом</x:v>
      </x:c>
      <x:c r="O25" s="28" t="str">
        <x:v>вкусовой баланс</x:v>
      </x:c>
      <x:c r="P25" s="28" t="str">
        <x:v>Общая фруктовая сладость и летучие эфиры создают непрерывный ароматический профиль, а цитрусовая кислота повышает контраст и свежесть.</x:v>
      </x:c>
      <x:c r="Q25" s="28" t="str">
        <x:v>нет выраженного; нет выраженного</x:v>
      </x:c>
      <x:c r="R25" s="28" t="str">
        <x:v>сок водный; цедра и ликёры несут гидрофобные эфирные масла; очень водная матрица с деликатным ароматом</x:v>
      </x:c>
      <x:c r="S2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5" s="28" t="str">
        <x:v>Апельсин формирует профиль «цитрусовый, сладко-фруктовый, цветочный, восковой»; характерные маркеры: лимонен, линалол, деканаль, октаналь, мирцен. Дыня относится к группе «бахчевые» и даёт ноты «свежий, зелёный, водянистый, фруктовый».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придаёт структуру, но легко подавляет тонкий аромат дыни.</x:v>
      </x:c>
      <x:c r="U25" s="28" t="str">
        <x:v>Избыток кислоты делает вкус плоско-резким; белая часть кожуры даёт лишнюю горечь; цитрус легко подавляет деликатный аромат партнёра.</x:v>
      </x:c>
      <x:c r="V25" s="28" t="str">
        <x:v>мята или огурец</x:v>
      </x:c>
      <x:c r="W25" s="28" t="str">
        <x:v>холодный напиток, гранита, салат или сорбет</x:v>
      </x:c>
      <x:c r="X25" s="28" t="str">
        <x:v>десерты</x:v>
      </x:c>
      <x:c r="Y25" s="28" t="str">
        <x:v>Высокая</x:v>
      </x:c>
      <x:c r="Z25" s="28" t="str">
        <x:v>Тезариус вкусов (Ники Сегнит)(1).pdf</x:v>
      </x:c>
      <x:c r="AA25" s="28" t="str">
        <x:v>Тезариус вкусов (Ники Сегнит)(1).pdf: 736, 775</x:v>
      </x:c>
      <x:c r="AB25" s="28" t="str">
        <x:v>Консорциум Melon de Cavaillon, что значит «Дыни из Кавайона», предлагает фламбировать кусочки поставляемых им шарантских дынь в апельсиновом ликере и подавать их к столу на тальятелле с темным шоколадом. В качестве альтернативы можно рекомендовать подавать кусочки таких дынь к столу, просто сбрызнув их ликером «Куантро» (Cointreau). Но здесь нужно иметь в виду, что вкус кавайонской дыни с тонами жимолости и засахаренных фруктов может оказаться столь божественным, что вы предпочтете есть их соло.</x:v>
      </x:c>
      <x:c r="AC25" s="28" t="n">
        <x:v>1</x:v>
      </x:c>
      <x:c r="AD25" s="28" t="n">
        <x:v>2</x:v>
      </x:c>
    </x:row>
    <x:row r="26" ht="58" customHeight="1">
      <x:c r="A26" s="28" t="str">
        <x:v>CIT-0025</x:v>
      </x:c>
      <x:c r="B26" s="28" t="str">
        <x:v>Универсальные</x:v>
      </x:c>
      <x:c r="C26" s="28" t="str">
        <x:v>апельсин</x:v>
      </x:c>
      <x:c r="D26" s="28" t="str">
        <x:v>апельсин</x:v>
      </x:c>
      <x:c r="E26" s="28" t="str">
        <x:v>Цитрусовые</x:v>
      </x:c>
      <x:c r="F26" s="28" t="str">
        <x:v>жасмин</x:v>
      </x:c>
      <x:c r="G26" s="28" t="str">
        <x:v>Жасмин</x:v>
      </x:c>
      <x:c r="H26" s="28" t="str">
        <x:v>Прочее</x:v>
      </x:c>
      <x:c r="I26" s="28" t="str">
        <x:v>цитрусовый, сладко-фруктовый, цветочный, восковой</x:v>
      </x:c>
      <x:c r="J26" s="28" t="str">
        <x:v>нейтральный/специфический</x:v>
      </x:c>
      <x:c r="K26" s="28" t="str">
        <x:v>лимонен, линалол, деканаль, октаналь, мирцен</x:v>
      </x:c>
      <x:c r="L26" s="28" t="str">
        <x:v>нужен профиль конкретного продукта</x:v>
      </x:c>
      <x:c r="M26" s="28" t="str">
        <x:v>прямое семейное перекрытие не является главным механизмом</x:v>
      </x:c>
      <x:c r="N26" s="28" t="str">
        <x:v>надёжный общий маркер не заявлен; сочетание объясняется семействами и сенсорным балансом</x:v>
      </x:c>
      <x:c r="O26" s="28" t="str">
        <x:v>вкусовой баланс, тройничное восприятие</x:v>
      </x:c>
      <x:c r="P26" s="28" t="str">
        <x:v>Основной эффект определяется ароматическим контрастом и добавлением кислотной свежести; точный баланс зависит от дозировки и матрицы.</x:v>
      </x:c>
      <x:c r="Q26" s="28" t="str">
        <x:v>нет выраженного; нет данных</x:v>
      </x:c>
      <x:c r="R26" s="28" t="str">
        <x:v>сок водный; цедра и ликёры несут гидрофобные эфирные масла; зависит от формы продукта</x:v>
      </x:c>
      <x:c r="S2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6" s="28" t="str">
        <x:v>Апельсин формирует профиль «цитрусовый, сладко-фруктовый, цветочный, восковой»; характерные маркеры: лимонен, линалол, деканаль, октаналь, мирцен. Жасмин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6" s="28" t="str">
        <x:v>Избыток кислоты делает вкус плоско-резким; белая часть кожуры даёт лишнюю горечь.</x:v>
      </x:c>
      <x:c r="V26" s="28" t="str">
        <x:v>мёд или нейтральная жировая основа</x:v>
      </x:c>
      <x:c r="W26" s="28" t="str">
        <x:v>соус, напиток или десерт после пробной дегустации</x:v>
      </x:c>
      <x:c r="X26" s="28" t="str">
        <x:v>универсальное</x:v>
      </x:c>
      <x:c r="Y26" s="28" t="str">
        <x:v>Гипотеза / практическая</x:v>
      </x:c>
      <x:c r="Z26" s="28" t="str">
        <x:v>Таблица сочетания(1).pdf</x:v>
      </x:c>
      <x:c r="AA26" s="28" t="str">
        <x:v>Таблица сочетания(1).pdf: 10</x:v>
      </x:c>
      <x:c r="AB26" s="28" t="str">
        <x:v>Пара указана в таблице: «Жасмин» → колонка «Фрукты».</x:v>
      </x:c>
      <x:c r="AC26" s="28" t="n">
        <x:v>1</x:v>
      </x:c>
      <x:c r="AD26" s="28" t="n">
        <x:v>1</x:v>
      </x:c>
    </x:row>
    <x:row r="27" ht="58" customHeight="1">
      <x:c r="A27" s="28" t="str">
        <x:v>CIT-0026</x:v>
      </x:c>
      <x:c r="B27" s="28" t="str">
        <x:v>Универсальные</x:v>
      </x:c>
      <x:c r="C27" s="28" t="str">
        <x:v>апельсин</x:v>
      </x:c>
      <x:c r="D27" s="28" t="str">
        <x:v>orange</x:v>
      </x:c>
      <x:c r="E27" s="28" t="str">
        <x:v>Цитрусовые</x:v>
      </x:c>
      <x:c r="F27" s="28" t="str">
        <x:v>запечённый картофель</x:v>
      </x:c>
      <x:c r="G27" s="28" t="str">
        <x:v>oven-roasted potato</x:v>
      </x:c>
      <x:c r="H27" s="28" t="str">
        <x:v>Прочее</x:v>
      </x:c>
      <x:c r="I27" s="28" t="str">
        <x:v>цитрусовый, сладко-фруктовый, цветочный, восковой</x:v>
      </x:c>
      <x:c r="J27" s="28" t="str">
        <x:v>нейтральный/специфический</x:v>
      </x:c>
      <x:c r="K27" s="28" t="str">
        <x:v>лимонен, линалол, деканаль, октаналь, мирцен</x:v>
      </x:c>
      <x:c r="L27" s="28" t="str">
        <x:v>нужен профиль конкретного продукта</x:v>
      </x:c>
      <x:c r="M27" s="28" t="str">
        <x:v>прямое семейное перекрытие не является главным механизмом</x:v>
      </x:c>
      <x:c r="N27" s="28" t="str">
        <x:v>надёжный общий маркер не заявлен; сочетание объясняется семействами и сенсорным балансом</x:v>
      </x:c>
      <x:c r="O27" s="28" t="str">
        <x:v>вкусовой баланс, тройничное восприятие</x:v>
      </x:c>
      <x:c r="P27" s="28" t="str">
        <x:v>Основной эффект определяется ароматическим контрастом и добавлением кислотной свежести; точный баланс зависит от дозировки и матрицы.</x:v>
      </x:c>
      <x:c r="Q27" s="28" t="str">
        <x:v>нет выраженного; нет данных</x:v>
      </x:c>
      <x:c r="R27" s="28" t="str">
        <x:v>сок водный; цедра и ликёры несут гидрофобные эфирные масла; зависит от формы продукта</x:v>
      </x:c>
      <x:c r="S2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7" s="28" t="str">
        <x:v>Апельсин формирует профиль «цитрусовый, сладко-фруктовый, цветочный, восковой»; характерные маркеры: лимонен, линалол, деканаль, октаналь, мирцен. Запечённый картофель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7" s="28" t="str">
        <x:v>Избыток кислоты делает вкус плоско-резким; белая часть кожуры даёт лишнюю горечь.</x:v>
      </x:c>
      <x:c r="V27" s="28" t="str">
        <x:v>мёд или нейтральная жировая основа</x:v>
      </x:c>
      <x:c r="W27" s="28" t="str">
        <x:v>соус, напиток или десерт после пробной дегустации</x:v>
      </x:c>
      <x:c r="X27" s="28" t="str">
        <x:v>универсальное</x:v>
      </x:c>
      <x:c r="Y27" s="28" t="str">
        <x:v>Средняя</x:v>
      </x:c>
      <x:c r="Z27" s="28" t="str">
        <x:v>The Art &amp; Science of Foodpairing.pdf</x:v>
      </x:c>
      <x:c r="AA27" s="28" t="str">
        <x:v>The Art &amp; Science of Foodpairing.pdf: 186</x:v>
      </x:c>
      <x:c r="AB27" s="28" t="str">
        <x:v>Пара представлена в ароматической диаграмме Foodpairing на странице 186.</x:v>
      </x:c>
      <x:c r="AC27" s="28" t="n">
        <x:v>1</x:v>
      </x:c>
      <x:c r="AD27" s="28" t="n">
        <x:v>1</x:v>
      </x:c>
    </x:row>
    <x:row r="28" ht="58" customHeight="1">
      <x:c r="A28" s="28" t="str">
        <x:v>CIT-0027</x:v>
      </x:c>
      <x:c r="B28" s="28" t="str">
        <x:v>Универсальные</x:v>
      </x:c>
      <x:c r="C28" s="28" t="str">
        <x:v>апельсин</x:v>
      </x:c>
      <x:c r="D28" s="28" t="str">
        <x:v>Апельсин | апельсин</x:v>
      </x:c>
      <x:c r="E28" s="28" t="str">
        <x:v>Цитрусовые</x:v>
      </x:c>
      <x:c r="F28" s="28" t="str">
        <x:v>имбирь</x:v>
      </x:c>
      <x:c r="G28" s="28" t="str">
        <x:v>Имбирь | имбирь</x:v>
      </x:c>
      <x:c r="H28" s="28" t="str">
        <x:v>Пряности</x:v>
      </x:c>
      <x:c r="I28" s="28" t="str">
        <x:v>цитрусовый, сладко-фруктовый, цветочный, восковой</x:v>
      </x:c>
      <x:c r="J28" s="28" t="str">
        <x:v>цитрусовый, пряный, древесный, тёплый</x:v>
      </x:c>
      <x:c r="K28" s="28" t="str">
        <x:v>лимонен, линалол, деканаль, октаналь, мирцен</x:v>
      </x:c>
      <x:c r="L28" s="28" t="str">
        <x:v>зингиберен, цитраль, гераниол, гингеролы/шогаолы</x:v>
      </x:c>
      <x:c r="M28" s="28" t="str">
        <x:v>цитрусовый</x:v>
      </x:c>
      <x:c r="N28" s="28" t="str">
        <x:v>надёжный общий маркер не заявлен; сочетание объясняется семействами и сенсорным балансом</x:v>
      </x:c>
      <x:c r="O28" s="28" t="str">
        <x:v>перекрытие ароматических семейств, вкусовой баланс, тройничное восприятие</x:v>
      </x:c>
      <x:c r="P28" s="28" t="str">
        <x:v>Кислота усиливает слюноотделение и делает пряный аромат ярче; терпены цитруса образуют мост с эфирными маслами травы или специи.</x:v>
      </x:c>
      <x:c r="Q28" s="28" t="str">
        <x:v>нет выраженного; гингеролы и шогаолы активируют TRPV1 и дают тепло</x:v>
      </x:c>
      <x:c r="R28" s="28" t="str">
        <x:v>сок водный; цедра и ликёры несут гидрофобные эфирные масла; ароматические терпены лучше извлекаются этанолом и жиром</x:v>
      </x:c>
      <x:c r="S2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8" s="28" t="str">
        <x:v>Апельсин формирует профиль «цитрусовый, сладко-фруктовый, цветочный, восковой»; характерные маркеры: лимонен, линалол, деканаль, октаналь, мирцен.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Свежий имбирь более цитрусовый, нагретый и сушёный — более тёплый и жгучий.</x:v>
      </x:c>
      <x:c r="U28" s="28" t="str">
        <x:v>Избыток кислоты делает вкус плоско-резким; белая часть кожуры даёт лишнюю горечь.</x:v>
      </x:c>
      <x:c r="V28" s="28" t="str">
        <x:v>мёд или ваниль</x:v>
      </x:c>
      <x:c r="W28" s="28" t="str">
        <x:v>сироп, кордиал, чатни, маринад или пряный десерт</x:v>
      </x:c>
      <x:c r="X28" s="28" t="str">
        <x:v>напитки, еда, соусы/маринады</x:v>
      </x:c>
      <x:c r="Y28" s="28" t="str">
        <x:v>Высокая</x:v>
      </x:c>
      <x:c r="Z28" s="28" t="str">
        <x:v>Таблица сочетания(1).pdf | Тезариус вкусов (Ники Сегнит)(1).pdf</x:v>
      </x:c>
      <x:c r="AA28" s="28" t="str">
        <x:v>Таблица сочетания(1).pdf: 14 | Тезариус вкусов (Ники Сегнит)(1).pdf: 775, 812</x:v>
      </x:c>
      <x:c r="AB28" s="28" t="str">
        <x:v>Оба имеют пряный и цитрусо- вый вкус. В Финляндии порошок из сушеных севиль- ских апельсинов используют вместе с корицей, гвоздикой и имбирем в качестве смеси специй при выпекании пряников. Попробуйте сделать пирог из корня имбиря с апельсинами. Разотрите 170 г сливочного масла со 150 г светлого тростникового сахара мусковадо (muscovado) до состояния бледного воздушного крема. Вбейте в смесь два яйца, по одному зараз. Натрите цедру большого апельсина, просейте чуть более 170 г самоподнимающейся </x:v>
      </x:c>
      <x:c r="AC28" s="28" t="n">
        <x:v>2</x:v>
      </x:c>
      <x:c r="AD28" s="28" t="n">
        <x:v>3</x:v>
      </x:c>
    </x:row>
    <x:row r="29" ht="58" customHeight="1">
      <x:c r="A29" s="28" t="str">
        <x:v>CIT-0028</x:v>
      </x:c>
      <x:c r="B29" s="28" t="str">
        <x:v>Универсальные</x:v>
      </x:c>
      <x:c r="C29" s="28" t="str">
        <x:v>апельсин</x:v>
      </x:c>
      <x:c r="D29" s="28" t="str">
        <x:v>Апельсин | апельсин</x:v>
      </x:c>
      <x:c r="E29" s="28" t="str">
        <x:v>Цитрусовые</x:v>
      </x:c>
      <x:c r="F29" s="28" t="str">
        <x:v>инжир</x:v>
      </x:c>
      <x:c r="G29" s="28" t="str">
        <x:v>Инжир | инжир</x:v>
      </x:c>
      <x:c r="H29" s="28" t="str">
        <x:v>Прочее</x:v>
      </x:c>
      <x:c r="I29" s="28" t="str">
        <x:v>цитрусовый, сладко-фруктовый, цветочный, восковой</x:v>
      </x:c>
      <x:c r="J29" s="28" t="str">
        <x:v>нейтральный/специфический</x:v>
      </x:c>
      <x:c r="K29" s="28" t="str">
        <x:v>лимонен, линалол, деканаль, октаналь, мирцен</x:v>
      </x:c>
      <x:c r="L29" s="28" t="str">
        <x:v>нужен профиль конкретного продукта</x:v>
      </x:c>
      <x:c r="M29" s="28" t="str">
        <x:v>прямое семейное перекрытие не является главным механизмом</x:v>
      </x:c>
      <x:c r="N29" s="28" t="str">
        <x:v>надёжный общий маркер не заявлен; сочетание объясняется семействами и сенсорным балансом</x:v>
      </x:c>
      <x:c r="O29" s="28" t="str">
        <x:v>вкусовой баланс, тройничное восприятие</x:v>
      </x:c>
      <x:c r="P29" s="28" t="str">
        <x:v>Основной эффект определяется ароматическим контрастом и добавлением кислотной свежести; точный баланс зависит от дозировки и матрицы.</x:v>
      </x:c>
      <x:c r="Q29" s="28" t="str">
        <x:v>нет выраженного; нет данных</x:v>
      </x:c>
      <x:c r="R29" s="28" t="str">
        <x:v>сок водный; цедра и ликёры несут гидрофобные эфирные масла; зависит от формы продукта</x:v>
      </x:c>
      <x:c r="S2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9" s="28" t="str">
        <x:v>Апельсин формирует профиль «цитрусовый, сладко-фруктовый, цветочный, восковой»; характерные маркеры: лимонен, линалол, деканаль, октаналь, мирцен. Инжир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9" s="28" t="str">
        <x:v>Избыток кислоты делает вкус плоско-резким; белая часть кожуры даёт лишнюю горечь.</x:v>
      </x:c>
      <x:c r="V29" s="28" t="str">
        <x:v>мёд или нейтральная жировая основа</x:v>
      </x:c>
      <x:c r="W29" s="28" t="str">
        <x:v>соус, напиток или десерт после пробной дегустации</x:v>
      </x:c>
      <x:c r="X29" s="28" t="str">
        <x:v>универсальное</x:v>
      </x:c>
      <x:c r="Y29" s="28" t="str">
        <x:v>Высокая</x:v>
      </x:c>
      <x:c r="Z29" s="28" t="str">
        <x:v>Таблица сочетания(1).pdf | Тезариус вкусов (Ники Сегнит)(1).pdf</x:v>
      </x:c>
      <x:c r="AA29" s="28" t="str">
        <x:v>Таблица сочетания(1).pdf: 14 | Тезариус вкусов (Ники Сегнит)(1).pdf: 775, 892</x:v>
      </x:c>
      <x:c r="AB29" s="28" t="str">
        <x:v>Помолог (то есть специалист по сортам плодовых и ягодных растений) Эдвард Баньярд (Edward Bunyard) считает сушеный инжир резким и приторным и полагает, что он подходят только «для юных гурманов». Не отрицая феноменальной сахаристости инжира, хочу только сказать в его защиту, что вкус инжира обладает такой сложностью, что его сладость никогда не является монотонной. Часто в пару с инжиром «ставят» апельсин, поскольку кислотность одного умеряет сладость другого; важно, что и лучший вкус они набира</x:v>
      </x:c>
      <x:c r="AC29" s="28" t="n">
        <x:v>2</x:v>
      </x:c>
      <x:c r="AD29" s="28" t="n">
        <x:v>3</x:v>
      </x:c>
    </x:row>
    <x:row r="30" ht="58" customHeight="1">
      <x:c r="A30" s="28" t="str">
        <x:v>CIT-0029</x:v>
      </x:c>
      <x:c r="B30" s="28" t="str">
        <x:v>Универсальные</x:v>
      </x:c>
      <x:c r="C30" s="28" t="str">
        <x:v>апельсин</x:v>
      </x:c>
      <x:c r="D30" s="28" t="str">
        <x:v>апельсин</x:v>
      </x:c>
      <x:c r="E30" s="28" t="str">
        <x:v>Цитрусовые</x:v>
      </x:c>
      <x:c r="F30" s="28" t="str">
        <x:v>канталупа</x:v>
      </x:c>
      <x:c r="G30" s="28" t="str">
        <x:v>Канталупа</x:v>
      </x:c>
      <x:c r="H30" s="28" t="str">
        <x:v>Прочее</x:v>
      </x:c>
      <x:c r="I30" s="28" t="str">
        <x:v>цитрусовый, сладко-фруктовый, цветочный, восковой</x:v>
      </x:c>
      <x:c r="J30" s="28" t="str">
        <x:v>нейтральный/специфический</x:v>
      </x:c>
      <x:c r="K30" s="28" t="str">
        <x:v>лимонен, линалол, деканаль, октаналь, мирцен</x:v>
      </x:c>
      <x:c r="L30" s="28" t="str">
        <x:v>нужен профиль конкретного продукта</x:v>
      </x:c>
      <x:c r="M30" s="28" t="str">
        <x:v>прямое семейное перекрытие не является главным механизмом</x:v>
      </x:c>
      <x:c r="N30" s="28" t="str">
        <x:v>надёжный общий маркер не заявлен; сочетание объясняется семействами и сенсорным балансом</x:v>
      </x:c>
      <x:c r="O30" s="28" t="str">
        <x:v>вкусовой баланс, тройничное восприятие</x:v>
      </x:c>
      <x:c r="P30" s="28" t="str">
        <x:v>Основной эффект определяется ароматическим контрастом и добавлением кислотной свежести; точный баланс зависит от дозировки и матрицы.</x:v>
      </x:c>
      <x:c r="Q30" s="28" t="str">
        <x:v>нет выраженного; нет данных</x:v>
      </x:c>
      <x:c r="R30" s="28" t="str">
        <x:v>сок водный; цедра и ликёры несут гидрофобные эфирные масла; зависит от формы продукта</x:v>
      </x:c>
      <x:c r="S3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0" s="28" t="str">
        <x:v>Апельсин формирует профиль «цитрусовый, сладко-фруктовый, цветочный, восковой»; характерные маркеры: лимонен, линалол, деканаль, октаналь, мирцен. Канталупа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30" s="28" t="str">
        <x:v>Избыток кислоты делает вкус плоско-резким; белая часть кожуры даёт лишнюю горечь.</x:v>
      </x:c>
      <x:c r="V30" s="28" t="str">
        <x:v>мёд или нейтральная жировая основа</x:v>
      </x:c>
      <x:c r="W30" s="28" t="str">
        <x:v>соус, напиток или десерт после пробной дегустации</x:v>
      </x:c>
      <x:c r="X30" s="28" t="str">
        <x:v>универсальное</x:v>
      </x:c>
      <x:c r="Y30" s="28" t="str">
        <x:v>Гипотеза / практическая</x:v>
      </x:c>
      <x:c r="Z30" s="28" t="str">
        <x:v>Таблица сочетания(1).pdf</x:v>
      </x:c>
      <x:c r="AA30" s="28" t="str">
        <x:v>Таблица сочетания(1).pdf: 3</x:v>
      </x:c>
      <x:c r="AB30" s="28" t="str">
        <x:v>Пара указана в таблице: «Канталупа» → колонка «Фрукты».</x:v>
      </x:c>
      <x:c r="AC30" s="28" t="n">
        <x:v>1</x:v>
      </x:c>
      <x:c r="AD30" s="28" t="n">
        <x:v>1</x:v>
      </x:c>
    </x:row>
    <x:row r="31" ht="58" customHeight="1">
      <x:c r="A31" s="28" t="str">
        <x:v>CIT-0030</x:v>
      </x:c>
      <x:c r="B31" s="28" t="str">
        <x:v>Универсальные</x:v>
      </x:c>
      <x:c r="C31" s="28" t="str">
        <x:v>апельсин</x:v>
      </x:c>
      <x:c r="D31" s="28" t="str">
        <x:v>апельсин</x:v>
      </x:c>
      <x:c r="E31" s="28" t="str">
        <x:v>Цитрусовые</x:v>
      </x:c>
      <x:c r="F31" s="28" t="str">
        <x:v>карамбола (star fruit)</x:v>
      </x:c>
      <x:c r="G31" s="28" t="str">
        <x:v>Карамбола (star fruit)</x:v>
      </x:c>
      <x:c r="H31" s="28" t="str">
        <x:v>Прочее</x:v>
      </x:c>
      <x:c r="I31" s="28" t="str">
        <x:v>цитрусовый, сладко-фруктовый, цветочный, восковой</x:v>
      </x:c>
      <x:c r="J31" s="28" t="str">
        <x:v>нейтральный/специфический</x:v>
      </x:c>
      <x:c r="K31" s="28" t="str">
        <x:v>лимонен, линалол, деканаль, октаналь, мирцен</x:v>
      </x:c>
      <x:c r="L31" s="28" t="str">
        <x:v>нужен профиль конкретного продукта</x:v>
      </x:c>
      <x:c r="M31" s="28" t="str">
        <x:v>прямое семейное перекрытие не является главным механизмом</x:v>
      </x:c>
      <x:c r="N31" s="28" t="str">
        <x:v>надёжный общий маркер не заявлен; сочетание объясняется семействами и сенсорным балансом</x:v>
      </x:c>
      <x:c r="O31" s="28" t="str">
        <x:v>вкусовой баланс, тройничное восприятие</x:v>
      </x:c>
      <x:c r="P31" s="28" t="str">
        <x:v>Основной эффект определяется ароматическим контрастом и добавлением кислотной свежести; точный баланс зависит от дозировки и матрицы.</x:v>
      </x:c>
      <x:c r="Q31" s="28" t="str">
        <x:v>нет выраженного; нет данных</x:v>
      </x:c>
      <x:c r="R31" s="28" t="str">
        <x:v>сок водный; цедра и ликёры несут гидрофобные эфирные масла; зависит от формы продукта</x:v>
      </x:c>
      <x:c r="S3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1" s="28" t="str">
        <x:v>Апельсин формирует профиль «цитрусовый, сладко-фруктовый, цветочный, восковой»; характерные маркеры: лимонен, линалол, деканаль, октаналь, мирцен. Карамбола (star fruit)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31" s="28" t="str">
        <x:v>Избыток кислоты делает вкус плоско-резким; белая часть кожуры даёт лишнюю горечь.</x:v>
      </x:c>
      <x:c r="V31" s="28" t="str">
        <x:v>мёд или нейтральная жировая основа</x:v>
      </x:c>
      <x:c r="W31" s="28" t="str">
        <x:v>соус, напиток или десерт после пробной дегустации</x:v>
      </x:c>
      <x:c r="X31" s="28" t="str">
        <x:v>универсальное</x:v>
      </x:c>
      <x:c r="Y31" s="28" t="str">
        <x:v>Гипотеза / практическая</x:v>
      </x:c>
      <x:c r="Z31" s="28" t="str">
        <x:v>Таблица сочетания(1).pdf</x:v>
      </x:c>
      <x:c r="AA31" s="28" t="str">
        <x:v>Таблица сочетания(1).pdf: 20</x:v>
      </x:c>
      <x:c r="AB31" s="28" t="str">
        <x:v>Пара указана в таблице: «Карамбола (star fruit)» → колонка «Фрукты».</x:v>
      </x:c>
      <x:c r="AC31" s="28" t="n">
        <x:v>1</x:v>
      </x:c>
      <x:c r="AD31" s="28" t="n">
        <x:v>1</x:v>
      </x:c>
    </x:row>
    <x:row r="32" ht="58" customHeight="1">
      <x:c r="A32" s="28" t="str">
        <x:v>CIT-0031</x:v>
      </x:c>
      <x:c r="B32" s="28" t="str">
        <x:v>Универсальные</x:v>
      </x:c>
      <x:c r="C32" s="28" t="str">
        <x:v>апельсин</x:v>
      </x:c>
      <x:c r="D32" s="28" t="str">
        <x:v>Апельсин | апельсин</x:v>
      </x:c>
      <x:c r="E32" s="28" t="str">
        <x:v>Цитрусовые</x:v>
      </x:c>
      <x:c r="F32" s="28" t="str">
        <x:v>кардамон</x:v>
      </x:c>
      <x:c r="G32" s="28" t="str">
        <x:v>Кардамон | кардамон</x:v>
      </x:c>
      <x:c r="H32" s="28" t="str">
        <x:v>Пряности</x:v>
      </x:c>
      <x:c r="I32" s="28" t="str">
        <x:v>цитрусовый, сладко-фруктовый, цветочный, восковой</x:v>
      </x:c>
      <x:c r="J32" s="28" t="str">
        <x:v>цитрусовый, камфорный, цветочный, эвкалиптовый</x:v>
      </x:c>
      <x:c r="K32" s="28" t="str">
        <x:v>лимонен, линалол, деканаль, октаналь, мирцен</x:v>
      </x:c>
      <x:c r="L32" s="28" t="str">
        <x:v>1,8-цинеол, альфа-терпинилацетат, линалол, лимонен</x:v>
      </x:c>
      <x:c r="M32" s="28" t="str">
        <x:v>цветочный, цитрусовый</x:v>
      </x:c>
      <x:c r="N32" s="28" t="str">
        <x:v>лимонен, линалол</x:v>
      </x:c>
      <x:c r="O32" s="28" t="str">
        <x:v>общие ароматические молекулы, перекрытие ароматических семейств, вкусовой баланс, тройничное восприятие</x:v>
      </x:c>
      <x:c r="P32" s="28" t="str">
        <x:v>Кислота усиливает слюноотделение и делает пряный аромат ярче; терпены цитруса образуют мост с эфирными маслами травы или специи.</x:v>
      </x:c>
      <x:c r="Q32" s="28" t="str">
        <x:v>нет выраженного; 1,8-цинеол создаёт прохладно-камфорное ощущение</x:v>
      </x:c>
      <x:c r="R32" s="28" t="str">
        <x:v>сок водный; цедра и ликёры несут гидрофобные эфирные масла; эфирные масла гидрофобны, хорошо переходят в жир и спирт</x:v>
      </x:c>
      <x:c r="S3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2" s="28" t="str">
        <x:v>Апельсин формирует профиль «цитрусовый, сладко-фруктовый, цветочный, восковой»; характерные маркеры: лимонен, линалол, деканаль, октаналь, мирцен.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Кардамон часто служит мостом между цитрусом, цветами и древесными нотами.</x:v>
      </x:c>
      <x:c r="U32" s="28" t="str">
        <x:v>Избыток кислоты делает вкус плоско-резким; белая часть кожуры даёт лишнюю горечь.</x:v>
      </x:c>
      <x:c r="V32" s="28" t="str">
        <x:v>мёд или ваниль</x:v>
      </x:c>
      <x:c r="W32" s="28" t="str">
        <x:v>сироп, кордиал, чатни, маринад или пряный десерт</x:v>
      </x:c>
      <x:c r="X32" s="28" t="str">
        <x:v>напитки, еда, соусы/маринады</x:v>
      </x:c>
      <x:c r="Y32" s="28" t="str">
        <x:v>Средняя</x:v>
      </x:c>
      <x:c r="Z32" s="28" t="str">
        <x:v>Таблица сочетания(1).pdf</x:v>
      </x:c>
      <x:c r="AA32" s="28" t="str">
        <x:v>Таблица сочетания(1).pdf: 3, 14</x:v>
      </x:c>
      <x:c r="AB32" s="28" t="str">
        <x:v>Пара указана в таблице: «Апельсин» → колонка «Травы и специи».</x:v>
      </x:c>
      <x:c r="AC32" s="28" t="n">
        <x:v>1</x:v>
      </x:c>
      <x:c r="AD32" s="28" t="n">
        <x:v>2</x:v>
      </x:c>
    </x:row>
    <x:row r="33" ht="58" customHeight="1">
      <x:c r="A33" s="28" t="str">
        <x:v>CIT-0032</x:v>
      </x:c>
      <x:c r="B33" s="28" t="str">
        <x:v>Универсальные</x:v>
      </x:c>
      <x:c r="C33" s="28" t="str">
        <x:v>апельсин</x:v>
      </x:c>
      <x:c r="D33" s="28" t="str">
        <x:v>апельсины</x:v>
      </x:c>
      <x:c r="E33" s="28" t="str">
        <x:v>Цитрусовые</x:v>
      </x:c>
      <x:c r="F33" s="28" t="str">
        <x:v>каштан</x:v>
      </x:c>
      <x:c r="G33" s="28" t="str">
        <x:v>Каштан</x:v>
      </x:c>
      <x:c r="H33" s="28" t="str">
        <x:v>Прочее</x:v>
      </x:c>
      <x:c r="I33" s="28" t="str">
        <x:v>цитрусовый, сладко-фруктовый, цветочный, восковой</x:v>
      </x:c>
      <x:c r="J33" s="28" t="str">
        <x:v>нейтральный/специфический</x:v>
      </x:c>
      <x:c r="K33" s="28" t="str">
        <x:v>лимонен, линалол, деканаль, октаналь, мирцен</x:v>
      </x:c>
      <x:c r="L33" s="28" t="str">
        <x:v>нужен профиль конкретного продукта</x:v>
      </x:c>
      <x:c r="M33" s="28" t="str">
        <x:v>прямое семейное перекрытие не является главным механизмом</x:v>
      </x:c>
      <x:c r="N33" s="28" t="str">
        <x:v>надёжный общий маркер не заявлен; сочетание объясняется семействами и сенсорным балансом</x:v>
      </x:c>
      <x:c r="O33" s="28" t="str">
        <x:v>вкусовой баланс, тройничное восприятие</x:v>
      </x:c>
      <x:c r="P33" s="28" t="str">
        <x:v>Основной эффект определяется ароматическим контрастом и добавлением кислотной свежести; точный баланс зависит от дозировки и матрицы.</x:v>
      </x:c>
      <x:c r="Q33" s="28" t="str">
        <x:v>нет выраженного; нет данных</x:v>
      </x:c>
      <x:c r="R33" s="28" t="str">
        <x:v>сок водный; цедра и ликёры несут гидрофобные эфирные масла; зависит от формы продукта</x:v>
      </x:c>
      <x:c r="S3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3" s="28" t="str">
        <x:v>Апельсин формирует профиль «цитрусовый, сладко-фруктовый, цветочный, восковой»; характерные маркеры: лимонен, линалол, деканаль, октаналь, мирцен. Каштан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33" s="28" t="str">
        <x:v>Избыток кислоты делает вкус плоско-резким; белая часть кожуры даёт лишнюю горечь.</x:v>
      </x:c>
      <x:c r="V33" s="28" t="str">
        <x:v>мёд или нейтральная жировая основа</x:v>
      </x:c>
      <x:c r="W33" s="28" t="str">
        <x:v>соус, напиток или десерт после пробной дегустации</x:v>
      </x:c>
      <x:c r="X33" s="28" t="str">
        <x:v>универсальное</x:v>
      </x:c>
      <x:c r="Y33" s="28" t="str">
        <x:v>Гипотеза / практическая</x:v>
      </x:c>
      <x:c r="Z33" s="28" t="str">
        <x:v>Таблица сочетания(1).pdf</x:v>
      </x:c>
      <x:c r="AA33" s="28" t="str">
        <x:v>Таблица сочетания(1).pdf: 4</x:v>
      </x:c>
      <x:c r="AB33" s="28" t="str">
        <x:v>Пара указана в таблице: «Каштан» → колонка «Фрукты».</x:v>
      </x:c>
      <x:c r="AC33" s="28" t="n">
        <x:v>1</x:v>
      </x:c>
      <x:c r="AD33" s="28" t="n">
        <x:v>1</x:v>
      </x:c>
    </x:row>
    <x:row r="34" ht="58" customHeight="1">
      <x:c r="A34" s="28" t="str">
        <x:v>CIT-0033</x:v>
      </x:c>
      <x:c r="B34" s="28" t="str">
        <x:v>Универсальные</x:v>
      </x:c>
      <x:c r="C34" s="28" t="str">
        <x:v>апельсин</x:v>
      </x:c>
      <x:c r="D34" s="28" t="str">
        <x:v>апельсин</x:v>
      </x:c>
      <x:c r="E34" s="28" t="str">
        <x:v>Цитрусовые</x:v>
      </x:c>
      <x:c r="F34" s="28" t="str">
        <x:v>кленовый сироп</x:v>
      </x:c>
      <x:c r="G34" s="28" t="str">
        <x:v>Кленовый сироп</x:v>
      </x:c>
      <x:c r="H34" s="28" t="str">
        <x:v>Прочее</x:v>
      </x:c>
      <x:c r="I34" s="28" t="str">
        <x:v>цитрусовый, сладко-фруктовый, цветочный, восковой</x:v>
      </x:c>
      <x:c r="J34" s="28" t="str">
        <x:v>нейтральный/специфический</x:v>
      </x:c>
      <x:c r="K34" s="28" t="str">
        <x:v>лимонен, линалол, деканаль, октаналь, мирцен</x:v>
      </x:c>
      <x:c r="L34" s="28" t="str">
        <x:v>нужен профиль конкретного продукта</x:v>
      </x:c>
      <x:c r="M34" s="28" t="str">
        <x:v>прямое семейное перекрытие не является главным механизмом</x:v>
      </x:c>
      <x:c r="N34" s="28" t="str">
        <x:v>надёжный общий маркер не заявлен; сочетание объясняется семействами и сенсорным балансом</x:v>
      </x:c>
      <x:c r="O34" s="28" t="str">
        <x:v>вкусовой баланс, тройничное восприятие</x:v>
      </x:c>
      <x:c r="P34" s="28" t="str">
        <x:v>Основной эффект определяется ароматическим контрастом и добавлением кислотной свежести; точный баланс зависит от дозировки и матрицы.</x:v>
      </x:c>
      <x:c r="Q34" s="28" t="str">
        <x:v>нет выраженного; нет данных</x:v>
      </x:c>
      <x:c r="R34" s="28" t="str">
        <x:v>сок водный; цедра и ликёры несут гидрофобные эфирные масла; зависит от формы продукта</x:v>
      </x:c>
      <x:c r="S3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4" s="28" t="str">
        <x:v>Апельсин формирует профиль «цитрусовый, сладко-фруктовый, цветочный, восковой»; характерные маркеры: лимонен, линалол, деканаль, октаналь, мирцен. Кленовый сироп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34" s="28" t="str">
        <x:v>Избыток кислоты делает вкус плоско-резким; белая часть кожуры даёт лишнюю горечь.</x:v>
      </x:c>
      <x:c r="V34" s="28" t="str">
        <x:v>мёд или нейтральная жировая основа</x:v>
      </x:c>
      <x:c r="W34" s="28" t="str">
        <x:v>соус, напиток или десерт после пробной дегустации</x:v>
      </x:c>
      <x:c r="X34" s="28" t="str">
        <x:v>универсальное</x:v>
      </x:c>
      <x:c r="Y34" s="28" t="str">
        <x:v>Гипотеза / практическая</x:v>
      </x:c>
      <x:c r="Z34" s="28" t="str">
        <x:v>Таблица сочетания(1).pdf</x:v>
      </x:c>
      <x:c r="AA34" s="28" t="str">
        <x:v>Таблица сочетания(1).pdf: 13</x:v>
      </x:c>
      <x:c r="AB34" s="28" t="str">
        <x:v>Пара указана в таблице: «Кленовый сироп» → колонка «Фрукты».</x:v>
      </x:c>
      <x:c r="AC34" s="28" t="n">
        <x:v>1</x:v>
      </x:c>
      <x:c r="AD34" s="28" t="n">
        <x:v>1</x:v>
      </x:c>
    </x:row>
    <x:row r="35" ht="58" customHeight="1">
      <x:c r="A35" s="28" t="str">
        <x:v>CIT-0034</x:v>
      </x:c>
      <x:c r="B35" s="28" t="str">
        <x:v>Десерты и выпечка</x:v>
      </x:c>
      <x:c r="C35" s="28" t="str">
        <x:v>апельсин</x:v>
      </x:c>
      <x:c r="D35" s="28" t="str">
        <x:v>Апельсин | апельсин</x:v>
      </x:c>
      <x:c r="E35" s="28" t="str">
        <x:v>Цитрусовые</x:v>
      </x:c>
      <x:c r="F35" s="28" t="str">
        <x:v>клубника</x:v>
      </x:c>
      <x:c r="G35" s="28" t="str">
        <x:v>Клубника | клубника</x:v>
      </x:c>
      <x:c r="H35" s="28" t="str">
        <x:v>Ягоды</x:v>
      </x:c>
      <x:c r="I35" s="28" t="str">
        <x:v>цитрусовый, сладко-фруктовый, цветочный, восковой</x:v>
      </x:c>
      <x:c r="J35" s="28" t="str">
        <x:v>фруктовый, цветочный, карамельный</x:v>
      </x:c>
      <x:c r="K35" s="28" t="str">
        <x:v>лимонен, линалол, деканаль, октаналь, мирцен</x:v>
      </x:c>
      <x:c r="L35" s="28" t="str">
        <x:v>фуранеол, этилбутират, метилбутират, линалоол</x:v>
      </x:c>
      <x:c r="M35" s="28" t="str">
        <x:v>цветочный</x:v>
      </x:c>
      <x:c r="N35" s="28" t="str">
        <x:v>надёжный общий маркер не заявлен; сочетание объясняется семействами и сенсорным балансом</x:v>
      </x:c>
      <x:c r="O35" s="28" t="str">
        <x:v>перекрытие ароматических семейств, вкусовой баланс</x:v>
      </x:c>
      <x:c r="P35" s="28" t="str">
        <x:v>Общая фруктовая сладость и летучие эфиры создают непрерывный ароматический профиль, а цитрусовая кислота повышает контраст и свежесть.</x:v>
      </x:c>
      <x:c r="Q35" s="28" t="str">
        <x:v>нет выраженного; нет выраженного</x:v>
      </x:c>
      <x:c r="R35" s="28" t="str">
        <x:v>сок водный; цедра и ликёры несут гидрофобные эфирные масла; сочная матрица; аромат быстро теряется при нагреве</x:v>
      </x:c>
      <x:c r="S3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5" s="28" t="str">
        <x:v>Апельсин формирует профиль «цитрусовый, сладко-фруктовый, цветочный, восковой»; характерные маркеры: лимонен, линалол, деканаль, октаналь, мирцен. Клубника относится к группе «ягоды» и даёт ноты «фруктовый,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Фуранеол даёт карамельно-ананасовый оттенок, цитрус подчёркивает свежие эфиры.</x:v>
      </x:c>
      <x:c r="U35" s="28" t="str">
        <x:v>Избыток кислоты делает вкус плоско-резким; белая часть кожуры даёт лишнюю горечь.</x:v>
      </x:c>
      <x:c r="V35" s="28" t="str">
        <x:v>мята или ваниль</x:v>
      </x:c>
      <x:c r="W35" s="28" t="str">
        <x:v>морс, кордиал, джем, сорбет или коктейль</x:v>
      </x:c>
      <x:c r="X35" s="28" t="str">
        <x:v>напитки, десерты</x:v>
      </x:c>
      <x:c r="Y35" s="28" t="str">
        <x:v>Высокая</x:v>
      </x:c>
      <x:c r="Z35" s="28" t="str">
        <x:v>Таблица сочетания(1).pdf | Тезариус вкусов (Ники Сегнит)(1).pdf</x:v>
      </x:c>
      <x:c r="AA35" s="28" t="str">
        <x:v>Таблица сочетания(1).pdf: 20 | Тезариус вкусов (Ники Сегнит)(1).pdf: 693, 775</x:v>
      </x:c>
      <x:c r="AB35" s="28" t="str">
        <x:v>Десерт «Клубника Рома- нов» (Strawberries Romanoff) создал для царя Александра I легендарный шеф-повар Мари-Антуан Карем (Marie-Antoine Carême). Это блестящее сочетание. Возьмите несколько ягод клубники, «замаринуй- те» их в смеси равных частей апельсинового сока и апельсинового ликера, затем добавьте немного крема шантильи. См. Ваниль и малина.</x:v>
      </x:c>
      <x:c r="AC35" s="28" t="n">
        <x:v>2</x:v>
      </x:c>
      <x:c r="AD35" s="28" t="n">
        <x:v>3</x:v>
      </x:c>
    </x:row>
    <x:row r="36" ht="58" customHeight="1">
      <x:c r="A36" s="28" t="str">
        <x:v>CIT-0035</x:v>
      </x:c>
      <x:c r="B36" s="28" t="str">
        <x:v>Универсальные</x:v>
      </x:c>
      <x:c r="C36" s="28" t="str">
        <x:v>апельсин</x:v>
      </x:c>
      <x:c r="D36" s="28" t="str">
        <x:v>апельсин</x:v>
      </x:c>
      <x:c r="E36" s="28" t="str">
        <x:v>Цитрусовые</x:v>
      </x:c>
      <x:c r="F36" s="28" t="str">
        <x:v>клюква</x:v>
      </x:c>
      <x:c r="G36" s="28" t="str">
        <x:v>Клюква</x:v>
      </x:c>
      <x:c r="H36" s="28" t="str">
        <x:v>Прочее</x:v>
      </x:c>
      <x:c r="I36" s="28" t="str">
        <x:v>цитрусовый, сладко-фруктовый, цветочный, восковой</x:v>
      </x:c>
      <x:c r="J36" s="28" t="str">
        <x:v>нейтральный/специфический</x:v>
      </x:c>
      <x:c r="K36" s="28" t="str">
        <x:v>лимонен, линалол, деканаль, октаналь, мирцен</x:v>
      </x:c>
      <x:c r="L36" s="28" t="str">
        <x:v>нужен профиль конкретного продукта</x:v>
      </x:c>
      <x:c r="M36" s="28" t="str">
        <x:v>прямое семейное перекрытие не является главным механизмом</x:v>
      </x:c>
      <x:c r="N36" s="28" t="str">
        <x:v>надёжный общий маркер не заявлен; сочетание объясняется семействами и сенсорным балансом</x:v>
      </x:c>
      <x:c r="O36" s="28" t="str">
        <x:v>вкусовой баланс, тройничное восприятие</x:v>
      </x:c>
      <x:c r="P36" s="28" t="str">
        <x:v>Основной эффект определяется ароматическим контрастом и добавлением кислотной свежести; точный баланс зависит от дозировки и матрицы.</x:v>
      </x:c>
      <x:c r="Q36" s="28" t="str">
        <x:v>нет выраженного; нет данных</x:v>
      </x:c>
      <x:c r="R36" s="28" t="str">
        <x:v>сок водный; цедра и ликёры несут гидрофобные эфирные масла; зависит от формы продукта</x:v>
      </x:c>
      <x:c r="S3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6" s="28" t="str">
        <x:v>Апельсин формирует профиль «цитрусовый, сладко-фруктовый, цветочный, восковой»; характерные маркеры: лимонен, линалол, деканаль, октаналь, мирцен. Клюква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36" s="28" t="str">
        <x:v>Избыток кислоты делает вкус плоско-резким; белая часть кожуры даёт лишнюю горечь.</x:v>
      </x:c>
      <x:c r="V36" s="28" t="str">
        <x:v>мёд или нейтральная жировая основа</x:v>
      </x:c>
      <x:c r="W36" s="28" t="str">
        <x:v>соус, напиток или десерт после пробной дегустации</x:v>
      </x:c>
      <x:c r="X36" s="28" t="str">
        <x:v>универсальное</x:v>
      </x:c>
      <x:c r="Y36" s="28" t="str">
        <x:v>Гипотеза / практическая</x:v>
      </x:c>
      <x:c r="Z36" s="28" t="str">
        <x:v>Таблица сочетания(1).pdf</x:v>
      </x:c>
      <x:c r="AA36" s="28" t="str">
        <x:v>Таблица сочетания(1).pdf: 6</x:v>
      </x:c>
      <x:c r="AB36" s="28" t="str">
        <x:v>Пара указана в таблице: «Клюква» → колонка «Фрукты».</x:v>
      </x:c>
      <x:c r="AC36" s="28" t="n">
        <x:v>1</x:v>
      </x:c>
      <x:c r="AD36" s="28" t="n">
        <x:v>1</x:v>
      </x:c>
    </x:row>
    <x:row r="37" ht="58" customHeight="1">
      <x:c r="A37" s="28" t="str">
        <x:v>CIT-0036</x:v>
      </x:c>
      <x:c r="B37" s="28" t="str">
        <x:v>Десерты и выпечка</x:v>
      </x:c>
      <x:c r="C37" s="28" t="str">
        <x:v>апельсин</x:v>
      </x:c>
      <x:c r="D37" s="28" t="str">
        <x:v>апельсин</x:v>
      </x:c>
      <x:c r="E37" s="28" t="str">
        <x:v>Цитрусовые</x:v>
      </x:c>
      <x:c r="F37" s="28" t="str">
        <x:v>кокос</x:v>
      </x:c>
      <x:c r="G37" s="28" t="str">
        <x:v>Кокос</x:v>
      </x:c>
      <x:c r="H37" s="28" t="str">
        <x:v>Тропические плоды</x:v>
      </x:c>
      <x:c r="I37" s="28" t="str">
        <x:v>цитрусовый, сладко-фруктовый, цветочный, восковой</x:v>
      </x:c>
      <x:c r="J37" s="28" t="str">
        <x:v>сливочный, кокосовый, восковой, ореховый</x:v>
      </x:c>
      <x:c r="K37" s="28" t="str">
        <x:v>лимонен, линалол, деканаль, октаналь, мирцен</x:v>
      </x:c>
      <x:c r="L37" s="28" t="str">
        <x:v>гамма-ноналактон, дельта-декалактон, жирные кислоты</x:v>
      </x:c>
      <x:c r="M37" s="28" t="str">
        <x:v>восковой</x:v>
      </x:c>
      <x:c r="N37" s="28" t="str">
        <x:v>надёжный общий маркер не заявлен; сочетание объясняется семействами и сенсорным балансом</x:v>
      </x:c>
      <x:c r="O37" s="28" t="str">
        <x:v>перекрытие ароматических семейств, вкусовой баланс</x:v>
      </x:c>
      <x:c r="P37" s="28" t="str">
        <x:v>Общая фруктовая сладость и летучие эфиры создают непрерывный ароматический профиль, а цитрусовая кислота повышает контраст и свежесть.</x:v>
      </x:c>
      <x:c r="Q37" s="28" t="str">
        <x:v>нет выраженного; нет выраженного</x:v>
      </x:c>
      <x:c r="R37" s="28" t="str">
        <x:v>сок водный; цедра и ликёры несут гидрофобные эфирные масла; жирная эмульсионная матрица хорошо удерживает терпены</x:v>
      </x:c>
      <x:c r="S3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7" s="28" t="str">
        <x:v>Апельсин формирует профиль «цитрусовый, сладко-фруктовый, цветочный, восковой»; характерные маркеры: лимонен, линалол, деканаль, октаналь, мирцен. Кокос относится к группе «тропические плоды» и даёт ноты «сливочный, кокосовый, восковой, ореховый». Прямой общий ключевой одорант из доступных профилей не фиксируется, однако продукты пересекаются на уровне семейств: восковой.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Кокос округляет кислотность и продлевает цитрусовый аромат.</x:v>
      </x:c>
      <x:c r="U37" s="28" t="str">
        <x:v>Избыток кислоты делает вкус плоско-резким; белая часть кожуры даёт лишнюю горечь.</x:v>
      </x:c>
      <x:c r="V37" s="28" t="str">
        <x:v>имбирь или мята</x:v>
      </x:c>
      <x:c r="W37" s="28" t="str">
        <x:v>коктейль, крем, сорбет или соус</x:v>
      </x:c>
      <x:c r="X37" s="28" t="str">
        <x:v>напитки, десерты</x:v>
      </x:c>
      <x:c r="Y37" s="28" t="str">
        <x:v>Гипотеза / практическая</x:v>
      </x:c>
      <x:c r="Z37" s="28" t="str">
        <x:v>Таблица сочетания(1).pdf</x:v>
      </x:c>
      <x:c r="AA37" s="28" t="str">
        <x:v>Таблица сочетания(1).pdf: 5, 6</x:v>
      </x:c>
      <x:c r="AB37" s="28" t="str">
        <x:v>Пара указана в таблице: «Кокос» → колонка «Фрукты».</x:v>
      </x:c>
      <x:c r="AC37" s="28" t="n">
        <x:v>1</x:v>
      </x:c>
      <x:c r="AD37" s="28" t="n">
        <x:v>2</x:v>
      </x:c>
    </x:row>
    <x:row r="38" ht="58" customHeight="1">
      <x:c r="A38" s="28" t="str">
        <x:v>CIT-0037</x:v>
      </x:c>
      <x:c r="B38" s="28" t="str">
        <x:v>Универсальные</x:v>
      </x:c>
      <x:c r="C38" s="28" t="str">
        <x:v>апельсин</x:v>
      </x:c>
      <x:c r="D38" s="28" t="str">
        <x:v>Апельсин | апельсин</x:v>
      </x:c>
      <x:c r="E38" s="28" t="str">
        <x:v>Цитрусовые</x:v>
      </x:c>
      <x:c r="F38" s="28" t="str">
        <x:v>корица</x:v>
      </x:c>
      <x:c r="G38" s="28" t="str">
        <x:v>Корица | корица</x:v>
      </x:c>
      <x:c r="H38" s="28" t="str">
        <x:v>Пряности</x:v>
      </x:c>
      <x:c r="I38" s="28" t="str">
        <x:v>цитрусовый, сладко-фруктовый, цветочный, восковой</x:v>
      </x:c>
      <x:c r="J38" s="28" t="str">
        <x:v>сладко-пряный, древесный, тёплый</x:v>
      </x:c>
      <x:c r="K38" s="28" t="str">
        <x:v>лимонен, линалол, деканаль, октаналь, мирцен</x:v>
      </x:c>
      <x:c r="L38" s="28" t="str">
        <x:v>коричный альдегид, эвгенол, кумарин</x:v>
      </x:c>
      <x:c r="M38" s="28" t="str">
        <x:v>прямое семейное перекрытие не является главным механизмом</x:v>
      </x:c>
      <x:c r="N38" s="28" t="str">
        <x:v>надёжный общий маркер не заявлен; сочетание объясняется семействами и сенсорным балансом</x:v>
      </x:c>
      <x:c r="O38" s="28" t="str">
        <x:v>вкусовой баланс, тройничное восприятие</x:v>
      </x:c>
      <x:c r="P38" s="28" t="str">
        <x:v>Кислота усиливает слюноотделение и делает пряный аромат ярче; терпены цитруса образуют мост с эфирными маслами травы или специи.</x:v>
      </x:c>
      <x:c r="Q38" s="28" t="str">
        <x:v>нет выраженного; коричный альдегид активирует TRPA1 и создаёт тепло</x:v>
      </x:c>
      <x:c r="R38" s="28" t="str">
        <x:v>сок водный; цедра и ликёры несут гидрофобные эфирные масла; лучше раскрывается в жире, сахаре и спирте</x:v>
      </x:c>
      <x:c r="S3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8" s="28" t="str">
        <x:v>Апельсин формирует профиль «цитрусовый, сладко-фруктовый, цветочный, восковой»; характерные маркеры: лимонен, линалол, деканаль, октаналь, мирцен.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Корица добавляет тёплый низкий регистр и усиливает впечатление сладости.</x:v>
      </x:c>
      <x:c r="U38" s="28" t="str">
        <x:v>Избыток кислоты делает вкус плоско-резким; белая часть кожуры даёт лишнюю горечь.</x:v>
      </x:c>
      <x:c r="V38" s="28" t="str">
        <x:v>мёд или ваниль</x:v>
      </x:c>
      <x:c r="W38" s="28" t="str">
        <x:v>сироп, кордиал, чатни, маринад или пряный десерт</x:v>
      </x:c>
      <x:c r="X38" s="28" t="str">
        <x:v>напитки, еда, соусы/маринады</x:v>
      </x:c>
      <x:c r="Y38" s="28" t="str">
        <x:v>Высокая</x:v>
      </x:c>
      <x:c r="Z38" s="28" t="str">
        <x:v>Таблица сочетания(1).pdf | Тезариус вкусов (Ники Сегнит)(1).pdf</x:v>
      </x:c>
      <x:c r="AA38" s="28" t="str">
        <x:v>Таблица сочетания(1).pdf: 14 | Тезариус вкусов (Ники Сегнит)(1).pdf: 573, 776</x:v>
      </x:c>
      <x:c r="AB38" s="28" t="str">
        <x:v>Как отмечает эксперт по спе- циям Тони Хилл (Tony Hill), через несколько секунд, проведенных во рту, кусочек корицы начинает проявлять свой сложный характер, поскольку разные эфирные масла по-разному взаимодействуют с водой. Сначала появляются вкусы апельсиновой эссенции и кедровых орешков, затем – острота, напоминающая о гвоздике или мягком перце. В силу этого корица прекрасно сочетается с апельсином, а ее сладость частично компенсирует резкость фрукта. Классическое сочетание – дольки апельсина</x:v>
      </x:c>
      <x:c r="AC38" s="28" t="n">
        <x:v>2</x:v>
      </x:c>
      <x:c r="AD38" s="28" t="n">
        <x:v>3</x:v>
      </x:c>
    </x:row>
    <x:row r="39" ht="58" customHeight="1">
      <x:c r="A39" s="28" t="str">
        <x:v>CIT-0038</x:v>
      </x:c>
      <x:c r="B39" s="28" t="str">
        <x:v>Десерты и выпечка</x:v>
      </x:c>
      <x:c r="C39" s="28" t="str">
        <x:v>апельсин</x:v>
      </x:c>
      <x:c r="D39" s="28" t="str">
        <x:v>Апельсин | апельсин</x:v>
      </x:c>
      <x:c r="E39" s="28" t="str">
        <x:v>Цитрусовые</x:v>
      </x:c>
      <x:c r="F39" s="28" t="str">
        <x:v>кофе</x:v>
      </x:c>
      <x:c r="G39" s="28" t="str">
        <x:v>Кофе | кофе</x:v>
      </x:c>
      <x:c r="H39" s="28" t="str">
        <x:v>Кофе/обжаренное</x:v>
      </x:c>
      <x:c r="I39" s="28" t="str">
        <x:v>цитрусовый, сладко-фруктовый, цветочный, восковой</x:v>
      </x:c>
      <x:c r="J39" s="28" t="str">
        <x:v>обжаренный, карамельный, ореховый, сернистый</x:v>
      </x:c>
      <x:c r="K39" s="28" t="str">
        <x:v>лимонен, линалол, деканаль, октаналь, мирцен</x:v>
      </x:c>
      <x:c r="L39" s="28" t="str">
        <x:v>фурантиолы, пиразины, фураны, гуаякол</x:v>
      </x:c>
      <x:c r="M39" s="28" t="str">
        <x:v>прямое семейное перекрытие не является главным механизмом</x:v>
      </x:c>
      <x:c r="N39" s="28" t="str">
        <x:v>надёжный общий маркер не заявлен; сочетание объясняется семействами и сенсорным балансом</x:v>
      </x:c>
      <x:c r="O39" s="28" t="str">
        <x:v>вкусовой баланс</x:v>
      </x:c>
      <x:c r="P39" s="28" t="str">
        <x:v>Высокая кисло-ароматическая нота контрастирует с жареными, горькими и карамельными оттенками; сахар или жир связывает два регистра.</x:v>
      </x:c>
      <x:c r="Q39" s="28" t="str">
        <x:v>нет выраженного; нет выраженного</x:v>
      </x:c>
      <x:c r="R39" s="28" t="str">
        <x:v>сок водный; цедра и ликёры несут гидрофобные эфирные масла; водная или молочная матрица; масла кофе удерживают аромат</x:v>
      </x:c>
      <x:c r="S39"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39" s="28" t="str">
        <x:v>Апельсин формирует профиль «цитрусовый, сладко-фруктовый, цветочный, восковой»; характерные маркеры: лимонен, линалол, деканаль, октаналь, мирцен. Кофе относится к группе «кофе/обжаренное» и даёт ноты «обжаренный, карамельный, ореховый,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может подчеркнуть естественную кислотность и связаться с фруктовыми нотами кофе.</x:v>
      </x:c>
      <x:c r="U39" s="28" t="str">
        <x:v>Избыток кислоты делает вкус плоско-резким; белая часть кожуры даёт лишнюю горечь.</x:v>
      </x:c>
      <x:c r="V39" s="28" t="str">
        <x:v>шоколад или кардамон</x:v>
      </x:c>
      <x:c r="W39" s="28" t="str">
        <x:v>кофейный напиток, тирамису, ликёр или десертный соус</x:v>
      </x:c>
      <x:c r="X39" s="28" t="str">
        <x:v>десерты</x:v>
      </x:c>
      <x:c r="Y39" s="28" t="str">
        <x:v>Высокая</x:v>
      </x:c>
      <x:c r="Z39" s="28" t="str">
        <x:v>Таблица сочетания(1).pdf | Тезариус вкусов (Ники Сегнит)(1).pdf</x:v>
      </x:c>
      <x:c r="AA39" s="28" t="str">
        <x:v>Таблица сочетания(1).pdf: 6 | Тезариус вкусов (Ники Сегнит)(1).pdf: 42, 776</x:v>
      </x:c>
      <x:c r="AB39" s="28" t="str">
        <x:v>Соседи по завтраку. В кафе San Matteo на Сицилии делают божественный мармелад из апельсинов и готовят вкусный кофе (попробуйте найти это кафе, если сможете). Я когда-то попробовала печеный апельсин и мороженое с кофе – сочетание горькое, как проигранное сражение, но слегка смягченное сладостью сливок. Сочетание тирамису с апельсином и кофе на вкус оказывается несколько лучше, чем кажется на первый взгляд. Вы также можете оценить это сочетание в формате апельсин и ликер с кофейными зернами. Приве</x:v>
      </x:c>
      <x:c r="AC39" s="28" t="n">
        <x:v>2</x:v>
      </x:c>
      <x:c r="AD39" s="28" t="n">
        <x:v>3</x:v>
      </x:c>
    </x:row>
    <x:row r="40" ht="58" customHeight="1">
      <x:c r="A40" s="28" t="str">
        <x:v>CIT-0039</x:v>
      </x:c>
      <x:c r="B40" s="28" t="str">
        <x:v>Универсальные</x:v>
      </x:c>
      <x:c r="C40" s="28" t="str">
        <x:v>апельсин</x:v>
      </x:c>
      <x:c r="D40" s="28" t="str">
        <x:v>Апельсин</x:v>
      </x:c>
      <x:c r="E40" s="28" t="str">
        <x:v>Цитрусовые</x:v>
      </x:c>
      <x:c r="F40" s="28" t="str">
        <x:v>кумин (зира)</x:v>
      </x:c>
      <x:c r="G40" s="28" t="str">
        <x:v>кумин (зира)</x:v>
      </x:c>
      <x:c r="H40" s="28" t="str">
        <x:v>Прочее</x:v>
      </x:c>
      <x:c r="I40" s="28" t="str">
        <x:v>цитрусовый, сладко-фруктовый, цветочный, восковой</x:v>
      </x:c>
      <x:c r="J40" s="28" t="str">
        <x:v>нейтральный/специфический</x:v>
      </x:c>
      <x:c r="K40" s="28" t="str">
        <x:v>лимонен, линалол, деканаль, октаналь, мирцен</x:v>
      </x:c>
      <x:c r="L40" s="28" t="str">
        <x:v>нужен профиль конкретного продукта</x:v>
      </x:c>
      <x:c r="M40" s="28" t="str">
        <x:v>прямое семейное перекрытие не является главным механизмом</x:v>
      </x:c>
      <x:c r="N40" s="28" t="str">
        <x:v>надёжный общий маркер не заявлен; сочетание объясняется семействами и сенсорным балансом</x:v>
      </x:c>
      <x:c r="O40" s="28" t="str">
        <x:v>вкусовой баланс, тройничное восприятие</x:v>
      </x:c>
      <x:c r="P40" s="28" t="str">
        <x:v>Основной эффект определяется ароматическим контрастом и добавлением кислотной свежести; точный баланс зависит от дозировки и матрицы.</x:v>
      </x:c>
      <x:c r="Q40" s="28" t="str">
        <x:v>нет выраженного; нет данных</x:v>
      </x:c>
      <x:c r="R40" s="28" t="str">
        <x:v>сок водный; цедра и ликёры несут гидрофобные эфирные масла; зависит от формы продукта</x:v>
      </x:c>
      <x:c r="S4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0" s="28" t="str">
        <x:v>Апельсин формирует профиль «цитрусовый, сладко-фруктовый, цветочный, восковой»; характерные маркеры: лимонен, линалол, деканаль, октаналь, мирцен. Кумин (зира)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40" s="28" t="str">
        <x:v>Избыток кислоты делает вкус плоско-резким; белая часть кожуры даёт лишнюю горечь.</x:v>
      </x:c>
      <x:c r="V40" s="28" t="str">
        <x:v>мёд или нейтральная жировая основа</x:v>
      </x:c>
      <x:c r="W40" s="28" t="str">
        <x:v>соус, напиток или десерт после пробной дегустации</x:v>
      </x:c>
      <x:c r="X40" s="28" t="str">
        <x:v>универсальное</x:v>
      </x:c>
      <x:c r="Y40" s="28" t="str">
        <x:v>Гипотеза / практическая</x:v>
      </x:c>
      <x:c r="Z40" s="28" t="str">
        <x:v>Таблица сочетания(1).pdf</x:v>
      </x:c>
      <x:c r="AA40" s="28" t="str">
        <x:v>Таблица сочетания(1).pdf: 14</x:v>
      </x:c>
      <x:c r="AB40" s="28" t="str">
        <x:v>Пара указана в таблице: «Апельсин» → колонка «Травы и специи».</x:v>
      </x:c>
      <x:c r="AC40" s="28" t="n">
        <x:v>1</x:v>
      </x:c>
      <x:c r="AD40" s="28" t="n">
        <x:v>1</x:v>
      </x:c>
    </x:row>
    <x:row r="41" ht="58" customHeight="1">
      <x:c r="A41" s="28" t="str">
        <x:v>CIT-0040</x:v>
      </x:c>
      <x:c r="B41" s="28" t="str">
        <x:v>Универсальные</x:v>
      </x:c>
      <x:c r="C41" s="28" t="str">
        <x:v>апельсин</x:v>
      </x:c>
      <x:c r="D41" s="28" t="str">
        <x:v>Апельсин</x:v>
      </x:c>
      <x:c r="E41" s="28" t="str">
        <x:v>Цитрусовые</x:v>
      </x:c>
      <x:c r="F41" s="28" t="str">
        <x:v>кумкват</x:v>
      </x:c>
      <x:c r="G41" s="28" t="str">
        <x:v>кумкват</x:v>
      </x:c>
      <x:c r="H41" s="28" t="str">
        <x:v>Цитрусовые</x:v>
      </x:c>
      <x:c r="I41" s="28" t="str">
        <x:v>цитрусовый, сладко-фруктовый, цветочный, восковой</x:v>
      </x:c>
      <x:c r="J41" s="28" t="str">
        <x:v>цитрусовый, фруктовый, цветочный, пряный</x:v>
      </x:c>
      <x:c r="K41" s="28" t="str">
        <x:v>лимонен, линалол, деканаль, октаналь, мирцен</x:v>
      </x:c>
      <x:c r="L41" s="28" t="str">
        <x:v>лимонен, гамма-терпинен, метил-N-метилантранилат, линалол</x:v>
      </x:c>
      <x:c r="M41" s="28" t="str">
        <x:v>цветочный, цитрусовый</x:v>
      </x:c>
      <x:c r="N41" s="28" t="str">
        <x:v>лимонен, линалол</x:v>
      </x:c>
      <x:c r="O41" s="28" t="str">
        <x:v>общие ароматические молекулы, перекрытие ароматических семейств, вкусовой баланс</x:v>
      </x:c>
      <x:c r="P41" s="28" t="str">
        <x:v>Сочетание строится на близком терпеновом профиле; различия в кислотности, горечи и цветочно-зелёных оттенках создают объём.</x:v>
      </x:c>
      <x:c r="Q41" s="28" t="str">
        <x:v>нет выраженного; нет выраженного</x:v>
      </x:c>
      <x:c r="R41" s="28" t="str">
        <x:v>сок водный; цедра и ликёры несут гидрофобные эфирные масла; сок водный; кожура богата эфирным маслом</x:v>
      </x:c>
      <x:c r="S4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1" s="28" t="str">
        <x:v>Апельсин формирует профиль «цитрусовый, сладко-фруктовый, цветочный, восковой»; характерные маркеры: лимонен, линалол, деканаль, октаналь, мирцен. Кумкват относится к группе «цитрусовые» и даёт ноты «цитрусовый, фруктовый, цветочный, пряный». Наиболее правдоподобный молекулярный мост — лимонен, линалол;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Мандариновая группа мягче по кислотности и выраженнее по сладко-цветочным нотам.</x:v>
      </x:c>
      <x:c r="U41" s="28" t="str">
        <x:v>Избыток кислоты делает вкус плоско-резким; белая часть кожуры даёт лишнюю горечь.</x:v>
      </x:c>
      <x:c r="V41" s="28" t="str">
        <x:v>мёд или цветочная вода</x:v>
      </x:c>
      <x:c r="W41" s="28" t="str">
        <x:v>цитрусовый кордиал, мармелад, сорбет, салат или купаж соков</x:v>
      </x:c>
      <x:c r="X41" s="28" t="str">
        <x:v>напитки, десерты</x:v>
      </x:c>
      <x:c r="Y41" s="28" t="str">
        <x:v>Средняя</x:v>
      </x:c>
      <x:c r="Z41" s="28" t="str">
        <x:v>Таблица сочетания(1).pdf</x:v>
      </x:c>
      <x:c r="AA41" s="28" t="str">
        <x:v>Таблица сочетания(1).pdf: 14</x:v>
      </x:c>
      <x:c r="AB41" s="28" t="str">
        <x:v>Пара указана в таблице: «Апельсин» → колонка «Фрукты».</x:v>
      </x:c>
      <x:c r="AC41" s="28" t="n">
        <x:v>1</x:v>
      </x:c>
      <x:c r="AD41" s="28" t="n">
        <x:v>1</x:v>
      </x:c>
    </x:row>
    <x:row r="42" ht="58" customHeight="1">
      <x:c r="A42" s="28" t="str">
        <x:v>CIT-0041</x:v>
      </x:c>
      <x:c r="B42" s="28" t="str">
        <x:v>Универсальные</x:v>
      </x:c>
      <x:c r="C42" s="28" t="str">
        <x:v>апельсин</x:v>
      </x:c>
      <x:c r="D42" s="28" t="str">
        <x:v>Апельсин</x:v>
      </x:c>
      <x:c r="E42" s="28" t="str">
        <x:v>Цитрусовые</x:v>
      </x:c>
      <x:c r="F42" s="28" t="str">
        <x:v>лаванда</x:v>
      </x:c>
      <x:c r="G42" s="28" t="str">
        <x:v>лаванда</x:v>
      </x:c>
      <x:c r="H42" s="28" t="str">
        <x:v>Прочее</x:v>
      </x:c>
      <x:c r="I42" s="28" t="str">
        <x:v>цитрусовый, сладко-фруктовый, цветочный, восковой</x:v>
      </x:c>
      <x:c r="J42" s="28" t="str">
        <x:v>нейтральный/специфический</x:v>
      </x:c>
      <x:c r="K42" s="28" t="str">
        <x:v>лимонен, линалол, деканаль, октаналь, мирцен</x:v>
      </x:c>
      <x:c r="L42" s="28" t="str">
        <x:v>нужен профиль конкретного продукта</x:v>
      </x:c>
      <x:c r="M42" s="28" t="str">
        <x:v>прямое семейное перекрытие не является главным механизмом</x:v>
      </x:c>
      <x:c r="N42" s="28" t="str">
        <x:v>надёжный общий маркер не заявлен; сочетание объясняется семействами и сенсорным балансом</x:v>
      </x:c>
      <x:c r="O42" s="28" t="str">
        <x:v>вкусовой баланс, тройничное восприятие</x:v>
      </x:c>
      <x:c r="P42" s="28" t="str">
        <x:v>Основной эффект определяется ароматическим контрастом и добавлением кислотной свежести; точный баланс зависит от дозировки и матрицы.</x:v>
      </x:c>
      <x:c r="Q42" s="28" t="str">
        <x:v>нет выраженного; нет данных</x:v>
      </x:c>
      <x:c r="R42" s="28" t="str">
        <x:v>сок водный; цедра и ликёры несут гидрофобные эфирные масла; зависит от формы продукта</x:v>
      </x:c>
      <x:c r="S4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2" s="28" t="str">
        <x:v>Апельсин формирует профиль «цитрусовый, сладко-фруктовый, цветочный, восковой»; характерные маркеры: лимонен, линалол, деканаль, октаналь, мирцен. Лаванда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42" s="28" t="str">
        <x:v>Избыток кислоты делает вкус плоско-резким; белая часть кожуры даёт лишнюю горечь.</x:v>
      </x:c>
      <x:c r="V42" s="28" t="str">
        <x:v>мёд или нейтральная жировая основа</x:v>
      </x:c>
      <x:c r="W42" s="28" t="str">
        <x:v>соус, напиток или десерт после пробной дегустации</x:v>
      </x:c>
      <x:c r="X42" s="28" t="str">
        <x:v>универсальное</x:v>
      </x:c>
      <x:c r="Y42" s="28" t="str">
        <x:v>Гипотеза / практическая</x:v>
      </x:c>
      <x:c r="Z42" s="28" t="str">
        <x:v>Таблица сочетания(1).pdf</x:v>
      </x:c>
      <x:c r="AA42" s="28" t="str">
        <x:v>Таблица сочетания(1).pdf: 14</x:v>
      </x:c>
      <x:c r="AB42" s="28" t="str">
        <x:v>Пара указана в таблице: «Апельсин» → колонка «Другое».</x:v>
      </x:c>
      <x:c r="AC42" s="28" t="n">
        <x:v>1</x:v>
      </x:c>
      <x:c r="AD42" s="28" t="n">
        <x:v>1</x:v>
      </x:c>
    </x:row>
    <x:row r="43" ht="58" customHeight="1">
      <x:c r="A43" s="28" t="str">
        <x:v>CIT-0042</x:v>
      </x:c>
      <x:c r="B43" s="28" t="str">
        <x:v>Универсальные</x:v>
      </x:c>
      <x:c r="C43" s="28" t="str">
        <x:v>апельсин</x:v>
      </x:c>
      <x:c r="D43" s="28" t="str">
        <x:v>Апельсин | апельсин</x:v>
      </x:c>
      <x:c r="E43" s="28" t="str">
        <x:v>Цитрусовые</x:v>
      </x:c>
      <x:c r="F43" s="28" t="str">
        <x:v>лайм</x:v>
      </x:c>
      <x:c r="G43" s="28" t="str">
        <x:v>Лайм | лайм</x:v>
      </x:c>
      <x:c r="H43" s="28" t="str">
        <x:v>Цитрусовые</x:v>
      </x:c>
      <x:c r="I43" s="28" t="str">
        <x:v>цитрусовый, сладко-фруктовый, цветочный, восковой</x:v>
      </x:c>
      <x:c r="J43" s="28" t="str">
        <x:v>цитрусовый, зелёный, травяной, камфорный</x:v>
      </x:c>
      <x:c r="K43" s="28" t="str">
        <x:v>лимонен, линалол, деканаль, октаналь, мирцен</x:v>
      </x:c>
      <x:c r="L43" s="28" t="str">
        <x:v>лимонен, гамма-терпинен, цитраль, бета-пинен, линалол</x:v>
      </x:c>
      <x:c r="M43" s="28" t="str">
        <x:v>цитрусовый</x:v>
      </x:c>
      <x:c r="N43" s="28" t="str">
        <x:v>лимонен, линалол</x:v>
      </x:c>
      <x:c r="O43" s="28" t="str">
        <x:v>общие ароматические молекулы, перекрытие ароматических семейств, вкусовой баланс, тройничное восприятие</x:v>
      </x:c>
      <x:c r="P43" s="28" t="str">
        <x:v>Сочетание строится на близком терпеновом профиле; различия в кислотности, горечи и цветочно-зелёных оттенках создают объём.</x:v>
      </x:c>
      <x:c r="Q43" s="28" t="str">
        <x:v>нет выраженного; кислота усиливает слюноотделение; зелёные терпены создают ощущение прохлады</x:v>
      </x:c>
      <x:c r="R43" s="28" t="str">
        <x:v>сок водный; цедра и ликёры несут гидрофобные эфирные масла; сок — водная кислая фаза; цедра — масляная терпеновая</x:v>
      </x:c>
      <x:c r="S4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3" s="28" t="str">
        <x:v>Апельсин формирует профиль «цитрусовый, сладко-фруктовый, цветочный, восковой»; характерные маркеры: лимонен, линалол, деканаль, октаналь, мирцен. Лайм относится к группе «цитрусовые» и даёт ноты «цитрусовый, зелёный, травяной, камфорный». Наиболее правдоподобный молекулярный мост —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Лаймовые цитрусы дают более зелёный и камфорный профиль, чем сладкий апельсин.</x:v>
      </x:c>
      <x:c r="U43" s="28" t="str">
        <x:v>Избыток кислоты делает вкус плоско-резким; белая часть кожуры даёт лишнюю горечь.</x:v>
      </x:c>
      <x:c r="V43" s="28" t="str">
        <x:v>мёд или цветочная вода</x:v>
      </x:c>
      <x:c r="W43" s="28" t="str">
        <x:v>цитрусовый кордиал, мармелад, сорбет, салат или купаж соков</x:v>
      </x:c>
      <x:c r="X43" s="28" t="str">
        <x:v>напитки, десерты</x:v>
      </x:c>
      <x:c r="Y43" s="28" t="str">
        <x:v>Высокая</x:v>
      </x:c>
      <x:c r="Z43" s="28" t="str">
        <x:v>Таблица сочетания(1).pdf | Тезариус вкусов (Ники Сегнит)(1).pdf</x:v>
      </x:c>
      <x:c r="AA43" s="28" t="str">
        <x:v>Таблица сочетания(1).pdf: 12 | Тезариус вкусов (Ники Сегнит)(1).pdf: 776, 792</x:v>
      </x:c>
      <x:c r="AB43" s="28" t="str">
        <x:v>Переплетение этих двух вку- сов создает активную поддержку той роли, которую «высоковольтная» текила играет в «Маргарите» (Margarita), самом популярном коктейле США. Хорошая «Маргарита» – это экстремальные сладость, кислотность, горечь и соленость, причем в исключительно тонком балансе. Глоток – и у вас перехватывает дыхание и вылезают из орбит глаза. Некоторые потребители игнорируют присаливание коктейля, утверждая, что хорошая текила и так соленая, но я не могу их поддержать. Дополнительная по</x:v>
      </x:c>
      <x:c r="AC43" s="28" t="n">
        <x:v>2</x:v>
      </x:c>
      <x:c r="AD43" s="28" t="n">
        <x:v>3</x:v>
      </x:c>
    </x:row>
    <x:row r="44" ht="58" customHeight="1">
      <x:c r="A44" s="28" t="str">
        <x:v>CIT-0043</x:v>
      </x:c>
      <x:c r="B44" s="28" t="str">
        <x:v>Универсальные</x:v>
      </x:c>
      <x:c r="C44" s="28" t="str">
        <x:v>апельсин</x:v>
      </x:c>
      <x:c r="D44" s="28" t="str">
        <x:v>Апельсин | апельсин</x:v>
      </x:c>
      <x:c r="E44" s="28" t="str">
        <x:v>Цитрусовые</x:v>
      </x:c>
      <x:c r="F44" s="28" t="str">
        <x:v>лимон</x:v>
      </x:c>
      <x:c r="G44" s="28" t="str">
        <x:v>Лимон | лимон</x:v>
      </x:c>
      <x:c r="H44" s="28" t="str">
        <x:v>Цитрусовые</x:v>
      </x:c>
      <x:c r="I44" s="28" t="str">
        <x:v>цитрусовый, сладко-фруктовый, цветочный, восковой</x:v>
      </x:c>
      <x:c r="J44" s="28" t="str">
        <x:v>цитрусовый, свежий, цветочный, древесный</x:v>
      </x:c>
      <x:c r="K44" s="28" t="str">
        <x:v>лимонен, линалол, деканаль, октаналь, мирцен</x:v>
      </x:c>
      <x:c r="L44" s="28" t="str">
        <x:v>цитраль (гераниаль + нераль), лимонен, гамма-терпинен, бета-пинен</x:v>
      </x:c>
      <x:c r="M44" s="28" t="str">
        <x:v>цветочный, цитрусовый</x:v>
      </x:c>
      <x:c r="N44" s="28" t="str">
        <x:v>лимонен</x:v>
      </x:c>
      <x:c r="O44" s="28" t="str">
        <x:v>общие ароматические молекулы, перекрытие ароматических семейств, вкусовой баланс, тройничное восприятие</x:v>
      </x:c>
      <x:c r="P44" s="28" t="str">
        <x:v>Сочетание строится на близком терпеновом профиле; различия в кислотности, горечи и цветочно-зелёных оттенках создают объём.</x:v>
      </x:c>
      <x:c r="Q44" s="28" t="str">
        <x:v>нет выраженного; кислота усиливает слюноотделение</x:v>
      </x:c>
      <x:c r="R44" s="28" t="str">
        <x:v>сок водный; цедра и ликёры несут гидрофобные эфирные масла; сок — водная кислая фаза; цедра — гидрофобное эфирное масло</x:v>
      </x:c>
      <x:c r="S4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4" s="28" t="str">
        <x:v>Апельсин формирует профиль «цитрусовый, сладко-фруктовый, цветочный, восковой»; характерные маркеры: лимонен, линалол, деканаль, октаналь, мирцен. Лимон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U44" s="28" t="str">
        <x:v>Избыток кислоты делает вкус плоско-резким; белая часть кожуры даёт лишнюю горечь.</x:v>
      </x:c>
      <x:c r="V44" s="28" t="str">
        <x:v>мёд или цветочная вода</x:v>
      </x:c>
      <x:c r="W44" s="28" t="str">
        <x:v>цитрусовый кордиал, мармелад, сорбет, салат или купаж соков</x:v>
      </x:c>
      <x:c r="X44" s="28" t="str">
        <x:v>напитки, десерты</x:v>
      </x:c>
      <x:c r="Y44" s="28" t="str">
        <x:v>Высокая</x:v>
      </x:c>
      <x:c r="Z44" s="28" t="str">
        <x:v>Тезариус вкусов (Ники Сегнит)(1).pdf</x:v>
      </x:c>
      <x:c r="AA44" s="28" t="str">
        <x:v>Тезариус вкусов (Ники Сегнит)(1).pdf: 776, 800, 809</x:v>
      </x:c>
      <x:c r="AB44" s="28" t="str">
        <x:v>Св. Климент, покровитель за- конопослушных водителей, дал свое имя коктейлю из апельсинового сока и сока горького лимона. При этом горечь в этой смеси обеспечивает не только сам лимон, но и хинин – алкалоид без цвета и запаха, который придает приятную жесткость нрава тонику. Вкус взрослого человека обычно утомлен сладкими напитками. Может быть, именно поэтому в алкогольных коктейлях обычно присутствует горечь, уравновешивающая сладость. Цедра (корочка без белого слоя) апельсинов и лимонов также </x:v>
      </x:c>
      <x:c r="AC44" s="28" t="n">
        <x:v>1</x:v>
      </x:c>
      <x:c r="AD44" s="28" t="n">
        <x:v>3</x:v>
      </x:c>
    </x:row>
    <x:row r="45" ht="58" customHeight="1">
      <x:c r="A45" s="28" t="str">
        <x:v>CIT-0044</x:v>
      </x:c>
      <x:c r="B45" s="28" t="str">
        <x:v>Универсальные</x:v>
      </x:c>
      <x:c r="C45" s="28" t="str">
        <x:v>апельсин</x:v>
      </x:c>
      <x:c r="D45" s="28" t="str">
        <x:v>orange</x:v>
      </x:c>
      <x:c r="E45" s="28" t="str">
        <x:v>Цитрусовые</x:v>
      </x:c>
      <x:c r="F45" s="28" t="str">
        <x:v>лимонная вербена</x:v>
      </x:c>
      <x:c r="G45" s="28" t="str">
        <x:v>lemon verbena</x:v>
      </x:c>
      <x:c r="H45" s="28" t="str">
        <x:v>Цитрусовые</x:v>
      </x:c>
      <x:c r="I45" s="28" t="str">
        <x:v>цитрусовый, сладко-фруктовый, цветочный, восковой</x:v>
      </x:c>
      <x:c r="J45" s="28" t="str">
        <x:v>цитрусовый, свежий, цветочный, древесный</x:v>
      </x:c>
      <x:c r="K45" s="28" t="str">
        <x:v>лимонен, линалол, деканаль, октаналь, мирцен</x:v>
      </x:c>
      <x:c r="L45" s="28" t="str">
        <x:v>цитраль (гераниаль + нераль), лимонен, гамма-терпинен, бета-пинен</x:v>
      </x:c>
      <x:c r="M45" s="28" t="str">
        <x:v>цветочный, цитрусовый</x:v>
      </x:c>
      <x:c r="N45" s="28" t="str">
        <x:v>лимонен</x:v>
      </x:c>
      <x:c r="O45" s="28" t="str">
        <x:v>общие ароматические молекулы, перекрытие ароматических семейств, вкусовой баланс, тройничное восприятие</x:v>
      </x:c>
      <x:c r="P45" s="28" t="str">
        <x:v>Сочетание строится на близком терпеновом профиле; различия в кислотности, горечи и цветочно-зелёных оттенках создают объём.</x:v>
      </x:c>
      <x:c r="Q45" s="28" t="str">
        <x:v>нет выраженного; кислота усиливает слюноотделение</x:v>
      </x:c>
      <x:c r="R45" s="28" t="str">
        <x:v>сок водный; цедра и ликёры несут гидрофобные эфирные масла; сок — водная кислая фаза; цедра — гидрофобное эфирное масло</x:v>
      </x:c>
      <x:c r="S4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5" s="28" t="str">
        <x:v>Апельсин формирует профиль «цитрусовый, сладко-фруктовый, цветочный, восковой»; характерные маркеры: лимонен, линалол, деканаль, октаналь, мирцен. Лимонная вербена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U45" s="28" t="str">
        <x:v>Избыток кислоты делает вкус плоско-резким; белая часть кожуры даёт лишнюю горечь.</x:v>
      </x:c>
      <x:c r="V45" s="28" t="str">
        <x:v>мёд или цветочная вода</x:v>
      </x:c>
      <x:c r="W45" s="28" t="str">
        <x:v>цитрусовый кордиал, мармелад, сорбет, салат или купаж соков</x:v>
      </x:c>
      <x:c r="X45" s="28" t="str">
        <x:v>напитки, десерты</x:v>
      </x:c>
      <x:c r="Y45" s="28" t="str">
        <x:v>Средняя</x:v>
      </x:c>
      <x:c r="Z45" s="28" t="str">
        <x:v>The Art &amp; Science of Foodpairing.pdf</x:v>
      </x:c>
      <x:c r="AA45" s="28" t="str">
        <x:v>The Art &amp; Science of Foodpairing.pdf: 236</x:v>
      </x:c>
      <x:c r="AB45" s="28" t="str">
        <x:v>Пара представлена в ароматической диаграмме Foodpairing на странице 236.</x:v>
      </x:c>
      <x:c r="AC45" s="28" t="n">
        <x:v>1</x:v>
      </x:c>
      <x:c r="AD45" s="28" t="n">
        <x:v>2</x:v>
      </x:c>
    </x:row>
    <x:row r="46" ht="58" customHeight="1">
      <x:c r="A46" s="28" t="str">
        <x:v>CIT-0045</x:v>
      </x:c>
      <x:c r="B46" s="28" t="str">
        <x:v>Универсальные</x:v>
      </x:c>
      <x:c r="C46" s="28" t="str">
        <x:v>апельсин</x:v>
      </x:c>
      <x:c r="D46" s="28" t="str">
        <x:v>апельсин</x:v>
      </x:c>
      <x:c r="E46" s="28" t="str">
        <x:v>Цитрусовые</x:v>
      </x:c>
      <x:c r="F46" s="28" t="str">
        <x:v>лимонный тимьян</x:v>
      </x:c>
      <x:c r="G46" s="28" t="str">
        <x:v>Лимонный тимьян</x:v>
      </x:c>
      <x:c r="H46" s="28" t="str">
        <x:v>Травы</x:v>
      </x:c>
      <x:c r="I46" s="28" t="str">
        <x:v>цитрусовый, сладко-фруктовый, цветочный, восковой</x:v>
      </x:c>
      <x:c r="J46" s="28" t="str">
        <x:v>травяной, хвойный, камфорный, древесный</x:v>
      </x:c>
      <x:c r="K46" s="28" t="str">
        <x:v>лимонен, линалол, деканаль, октаналь, мирцен</x:v>
      </x:c>
      <x:c r="L46" s="28" t="str">
        <x:v>1,8-цинеол, камфора, тимол/карвакрол, альфа-пинен</x:v>
      </x:c>
      <x:c r="M46" s="28" t="str">
        <x:v>прямое семейное перекрытие не является главным механизмом</x:v>
      </x:c>
      <x:c r="N46" s="28" t="str">
        <x:v>надёжный общий маркер не заявлен; сочетание объясняется семействами и сенсорным балансом</x:v>
      </x:c>
      <x:c r="O46" s="28" t="str">
        <x:v>вкусовой баланс, тройничное восприятие</x:v>
      </x:c>
      <x:c r="P46" s="28" t="str">
        <x:v>Кислота усиливает слюноотделение и делает пряный аромат ярче; терпены цитруса образуют мост с эфирными маслами травы или специи.</x:v>
      </x:c>
      <x:c r="Q46" s="28" t="str">
        <x:v>нет выраженного; камфора и цинеол дают прохладно-камфорное ощущение</x:v>
      </x:c>
      <x:c r="R46" s="28" t="str">
        <x:v>сок водный; цедра и ликёры несут гидрофобные эфирные масла; эфирные масла лучше раскрываются в жире и спирте</x:v>
      </x:c>
      <x:c r="S4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6" s="28" t="str">
        <x:v>Апельсин формирует профиль «цитрусовый, сладко-фруктовый, цветочный, восковой»; характерные маркеры: лимонен, линалол, деканаль, октаналь, мирцен.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U46" s="28" t="str">
        <x:v>Избыток кислоты делает вкус плоско-резким; белая часть кожуры даёт лишнюю горечь; цитрус легко подавляет деликатный аромат партнёра.</x:v>
      </x:c>
      <x:c r="V46" s="28" t="str">
        <x:v>оливковое масло или огурец</x:v>
      </x:c>
      <x:c r="W46" s="28" t="str">
        <x:v>лимонад, кордиал, салатная заправка или зелёный соус</x:v>
      </x:c>
      <x:c r="X46" s="28" t="str">
        <x:v>напитки, еда, соусы/маринады</x:v>
      </x:c>
      <x:c r="Y46" s="28" t="str">
        <x:v>Гипотеза / практическая</x:v>
      </x:c>
      <x:c r="Z46" s="28" t="str">
        <x:v>Таблица сочетания(1).pdf</x:v>
      </x:c>
      <x:c r="AA46" s="28" t="str">
        <x:v>Таблица сочетания(1).pdf: 11</x:v>
      </x:c>
      <x:c r="AB46" s="28" t="str">
        <x:v>Пара указана в таблице: «Лимонный тимьян» → колонка «Фрукты».</x:v>
      </x:c>
      <x:c r="AC46" s="28" t="n">
        <x:v>1</x:v>
      </x:c>
      <x:c r="AD46" s="28" t="n">
        <x:v>1</x:v>
      </x:c>
    </x:row>
    <x:row r="47" ht="58" customHeight="1">
      <x:c r="A47" s="28" t="str">
        <x:v>CIT-0046</x:v>
      </x:c>
      <x:c r="B47" s="28" t="str">
        <x:v>Универсальные</x:v>
      </x:c>
      <x:c r="C47" s="28" t="str">
        <x:v>апельсин</x:v>
      </x:c>
      <x:c r="D47" s="28" t="str">
        <x:v>Апельсин | апельсин</x:v>
      </x:c>
      <x:c r="E47" s="28" t="str">
        <x:v>Цитрусовые</x:v>
      </x:c>
      <x:c r="F47" s="28" t="str">
        <x:v>листья кориандра</x:v>
      </x:c>
      <x:c r="G47" s="28" t="str">
        <x:v>Листья кориандра | листья кориандра</x:v>
      </x:c>
      <x:c r="H47" s="28" t="str">
        <x:v>Травы/пряности</x:v>
      </x:c>
      <x:c r="I47" s="28" t="str">
        <x:v>цитрусовый, сладко-фруктовый, цветочный, восковой</x:v>
      </x:c>
      <x:c r="J47" s="28" t="str">
        <x:v>цитрусовый, зелёный, цветочный</x:v>
      </x:c>
      <x:c r="K47" s="28" t="str">
        <x:v>лимонен, линалол, деканаль, октаналь, мирцен</x:v>
      </x:c>
      <x:c r="L47" s="28" t="str">
        <x:v>линалол, деканаль, додеканаль</x:v>
      </x:c>
      <x:c r="M47" s="28" t="str">
        <x:v>цветочный, цитрусовый</x:v>
      </x:c>
      <x:c r="N47" s="28" t="str">
        <x:v>деканаль, линалол</x:v>
      </x:c>
      <x:c r="O47" s="28" t="str">
        <x:v>общие ароматические молекулы, перекрытие ароматических семейств, вкусовой баланс</x:v>
      </x:c>
      <x:c r="P47" s="28" t="str">
        <x:v>Кислота усиливает слюноотделение и делает пряный аромат ярче; терпены цитруса образуют мост с эфирными маслами травы или специи.</x:v>
      </x:c>
      <x:c r="Q47" s="28" t="str">
        <x:v>нет выраженного; нет выраженного</x:v>
      </x:c>
      <x:c r="R47" s="28" t="str">
        <x:v>сок водный; цедра и ликёры несут гидрофобные эфирные масла; листья чувствительны к нагреву; семена устойчивее и слаще</x:v>
      </x:c>
      <x:c r="S4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7" s="28" t="str">
        <x:v>Апельсин формирует профиль «цитрусовый, сладко-фруктовый, цветочный, восковой»; характерные маркеры: лимонен, линалол, деканаль, октаналь, мирцен. Листья кориандра относится к группе «травы/пряности» и даёт ноты «цитрусовый, зелёный, цветочный». Наиболее правдоподобный молекулярный мост — деканаль,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Линалоол создаёт прямой ароматический мост с цитрусами.</x:v>
      </x:c>
      <x:c r="U47" s="28" t="str">
        <x:v>Избыток кислоты делает вкус плоско-резким; белая часть кожуры даёт лишнюю горечь; цитрус легко подавляет деликатный аромат партнёра.</x:v>
      </x:c>
      <x:c r="V47" s="28" t="str">
        <x:v>мёд или зелёная трава</x:v>
      </x:c>
      <x:c r="W47" s="28" t="str">
        <x:v>лимонад, кордиал, маринад или пряный соус</x:v>
      </x:c>
      <x:c r="X47" s="28" t="str">
        <x:v>напитки, еда, соусы/маринады</x:v>
      </x:c>
      <x:c r="Y47" s="28" t="str">
        <x:v>Высокая</x:v>
      </x:c>
      <x:c r="Z47" s="28" t="str">
        <x:v>Тезариус вкусов (Ники Сегнит)(1).pdf</x:v>
      </x:c>
      <x:c r="AA47" s="28" t="str">
        <x:v>Тезариус вкусов (Ники Сегнит)(1).pdf: 515, 776</x:v>
      </x:c>
      <x:c r="AB47" s="28" t="str">
        <x:v>Когда люди гово- рят, что листья кориандра добавляют еде «изюминку», они близки к истине – ближе, чем может показаться на первый взгляд. Гарольд Макги (Harold McGee) пишет, что основным компонентом вкуса кориандра является жирный альдегид под названием деценал (decenal), который также отвечает за восковые ноты во вкусе апельсиновой корки. Деценал крайне нестабилен, поэтому листья кориандра при нагревании быстро теряют свой характерный вкус и в силу этого в основном используются в свежем виде в к</x:v>
      </x:c>
      <x:c r="AC47" s="28" t="n">
        <x:v>1</x:v>
      </x:c>
      <x:c r="AD47" s="28" t="n">
        <x:v>2</x:v>
      </x:c>
    </x:row>
    <x:row r="48" ht="58" customHeight="1">
      <x:c r="A48" s="28" t="str">
        <x:v>CIT-0047</x:v>
      </x:c>
      <x:c r="B48" s="28" t="str">
        <x:v>Десерты и выпечка</x:v>
      </x:c>
      <x:c r="C48" s="28" t="str">
        <x:v>апельсин</x:v>
      </x:c>
      <x:c r="D48" s="28" t="str">
        <x:v>апельсин</x:v>
      </x:c>
      <x:c r="E48" s="28" t="str">
        <x:v>Цитрусовые</x:v>
      </x:c>
      <x:c r="F48" s="28" t="str">
        <x:v>лонган</x:v>
      </x:c>
      <x:c r="G48" s="28" t="str">
        <x:v>Лонган</x:v>
      </x:c>
      <x:c r="H48" s="28" t="str">
        <x:v>Тропические фрукты</x:v>
      </x:c>
      <x:c r="I48" s="28" t="str">
        <x:v>цитрусовый, сладко-фруктовый, цветочный, восковой</x:v>
      </x:c>
      <x:c r="J48" s="28" t="str">
        <x:v>фруктовый, тропический, цветочный, сливочный</x:v>
      </x:c>
      <x:c r="K48" s="28" t="str">
        <x:v>лимонен, линалол, деканаль, октаналь, мирцен</x:v>
      </x:c>
      <x:c r="L48" s="28" t="str">
        <x:v>этилбутират, гексилацетат, лактоны, сернистые тиолы (у части фруктов)</x:v>
      </x:c>
      <x:c r="M48" s="28" t="str">
        <x:v>цветочный</x:v>
      </x:c>
      <x:c r="N48" s="28" t="str">
        <x:v>надёжный общий маркер не заявлен; сочетание объясняется семействами и сенсорным балансом</x:v>
      </x:c>
      <x:c r="O48" s="28" t="str">
        <x:v>перекрытие ароматических семейств, вкусовой баланс</x:v>
      </x:c>
      <x:c r="P48" s="28" t="str">
        <x:v>Общая фруктовая сладость и летучие эфиры создают непрерывный ароматический профиль, а цитрусовая кислота повышает контраст и свежесть.</x:v>
      </x:c>
      <x:c r="Q48" s="28" t="str">
        <x:v>нет выраженного; нет выраженного</x:v>
      </x:c>
      <x:c r="R48" s="28" t="str">
        <x:v>сок водный; цедра и ликёры несут гидрофобные эфирные масла; сочная или кремовая фруктовая матрица</x:v>
      </x:c>
      <x:c r="S4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8" s="28" t="str">
        <x:v>Апельсин формирует профиль «цитрусовый, сладко-фруктовый, цветочный, восковой»; характерные маркеры: лимонен, линалол, деканаль, октаналь, мирцен. Лонган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48" s="28" t="str">
        <x:v>Избыток кислоты делает вкус плоско-резким; белая часть кожуры даёт лишнюю горечь.</x:v>
      </x:c>
      <x:c r="V48" s="28" t="str">
        <x:v>кокос или имбирь</x:v>
      </x:c>
      <x:c r="W48" s="28" t="str">
        <x:v>смузи, кордиал, сорбет, чатни или коктейль</x:v>
      </x:c>
      <x:c r="X48" s="28" t="str">
        <x:v>напитки, десерты</x:v>
      </x:c>
      <x:c r="Y48" s="28" t="str">
        <x:v>Гипотеза / практическая</x:v>
      </x:c>
      <x:c r="Z48" s="28" t="str">
        <x:v>Таблица сочетания(1).pdf</x:v>
      </x:c>
      <x:c r="AA48" s="28" t="str">
        <x:v>Таблица сочетания(1).pdf: 12</x:v>
      </x:c>
      <x:c r="AB48" s="28" t="str">
        <x:v>Пара указана в таблице: «Лонган» → колонка «Фрукты».</x:v>
      </x:c>
      <x:c r="AC48" s="28" t="n">
        <x:v>1</x:v>
      </x:c>
      <x:c r="AD48" s="28" t="n">
        <x:v>1</x:v>
      </x:c>
    </x:row>
    <x:row r="49" ht="58" customHeight="1">
      <x:c r="A49" s="28" t="str">
        <x:v>CIT-0048</x:v>
      </x:c>
      <x:c r="B49" s="28" t="str">
        <x:v>Универсальные</x:v>
      </x:c>
      <x:c r="C49" s="28" t="str">
        <x:v>апельсин</x:v>
      </x:c>
      <x:c r="D49" s="28" t="str">
        <x:v>Апельсин | апельсин</x:v>
      </x:c>
      <x:c r="E49" s="28" t="str">
        <x:v>Цитрусовые</x:v>
      </x:c>
      <x:c r="F49" s="28" t="str">
        <x:v>лук</x:v>
      </x:c>
      <x:c r="G49" s="28" t="str">
        <x:v>Лук | лук</x:v>
      </x:c>
      <x:c r="H49" s="28" t="str">
        <x:v>Прочее</x:v>
      </x:c>
      <x:c r="I49" s="28" t="str">
        <x:v>цитрусовый, сладко-фруктовый, цветочный, восковой</x:v>
      </x:c>
      <x:c r="J49" s="28" t="str">
        <x:v>нейтральный/специфический</x:v>
      </x:c>
      <x:c r="K49" s="28" t="str">
        <x:v>лимонен, линалол, деканаль, октаналь, мирцен</x:v>
      </x:c>
      <x:c r="L49" s="28" t="str">
        <x:v>нужен профиль конкретного продукта</x:v>
      </x:c>
      <x:c r="M49" s="28" t="str">
        <x:v>прямое семейное перекрытие не является главным механизмом</x:v>
      </x:c>
      <x:c r="N49" s="28" t="str">
        <x:v>надёжный общий маркер не заявлен; сочетание объясняется семействами и сенсорным балансом</x:v>
      </x:c>
      <x:c r="O49" s="28" t="str">
        <x:v>вкусовой баланс, тройничное восприятие</x:v>
      </x:c>
      <x:c r="P49" s="28" t="str">
        <x:v>Основной эффект определяется ароматическим контрастом и добавлением кислотной свежести; точный баланс зависит от дозировки и матрицы.</x:v>
      </x:c>
      <x:c r="Q49" s="28" t="str">
        <x:v>нет выраженного; нет данных</x:v>
      </x:c>
      <x:c r="R49" s="28" t="str">
        <x:v>сок водный; цедра и ликёры несут гидрофобные эфирные масла; зависит от формы продукта</x:v>
      </x:c>
      <x:c r="S4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9" s="28" t="str">
        <x:v>Апельсин формирует профиль «цитрусовый, сладко-фруктовый, цветочный, восковой»; характерные маркеры: лимонен, линалол, деканаль, октаналь, мирцен. Лук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49" s="28" t="str">
        <x:v>Избыток кислоты делает вкус плоско-резким; белая часть кожуры даёт лишнюю горечь.</x:v>
      </x:c>
      <x:c r="V49" s="28" t="str">
        <x:v>мёд или нейтральная жировая основа</x:v>
      </x:c>
      <x:c r="W49" s="28" t="str">
        <x:v>соус, напиток или десерт после пробной дегустации</x:v>
      </x:c>
      <x:c r="X49" s="28" t="str">
        <x:v>универсальное</x:v>
      </x:c>
      <x:c r="Y49" s="28" t="str">
        <x:v>Высокая</x:v>
      </x:c>
      <x:c r="Z49" s="28" t="str">
        <x:v>Тезариус вкусов (Ники Сегнит)(1).pdf</x:v>
      </x:c>
      <x:c r="AA49" s="28" t="str">
        <x:v>Тезариус вкусов (Ники Сегнит)(1).pdf: 280, 777</x:v>
      </x:c>
      <x:c r="AB49" s="28" t="str">
        <x:v>Тонко нарезанные кружочками лук и апельсин – уже сами по себе прекрасный свежий салат (ищите сладкие сорта лука, например Viladia и Supasweet). Более высокой уровень сахара в сладком луке достигается за счет уменьшения содержания пировиноградной кислоты, «оборонительного» химического вещества, которое несет ответственность за сильную остроту и послевкусие лука, а значит, и за слезинки, капающие на вашу разделочную доску. Если вы не можете найти натуральный сладкий лук, можно попытаться сделать т</x:v>
      </x:c>
      <x:c r="AC49" s="28" t="n">
        <x:v>1</x:v>
      </x:c>
      <x:c r="AD49" s="28" t="n">
        <x:v>2</x:v>
      </x:c>
    </x:row>
    <x:row r="50" ht="58" customHeight="1">
      <x:c r="A50" s="28" t="str">
        <x:v>CIT-0049</x:v>
      </x:c>
      <x:c r="B50" s="28" t="str">
        <x:v>Десерты и выпечка</x:v>
      </x:c>
      <x:c r="C50" s="28" t="str">
        <x:v>апельсин</x:v>
      </x:c>
      <x:c r="D50" s="28" t="str">
        <x:v>Апельсин | апельсин</x:v>
      </x:c>
      <x:c r="E50" s="28" t="str">
        <x:v>Цитрусовые</x:v>
      </x:c>
      <x:c r="F50" s="28" t="str">
        <x:v>манго</x:v>
      </x:c>
      <x:c r="G50" s="28" t="str">
        <x:v>Манго | манго</x:v>
      </x:c>
      <x:c r="H50" s="28" t="str">
        <x:v>Тропические фрукты</x:v>
      </x:c>
      <x:c r="I50" s="28" t="str">
        <x:v>цитрусовый, сладко-фруктовый, цветочный, восковой</x:v>
      </x:c>
      <x:c r="J50" s="28" t="str">
        <x:v>фруктовый, тропический, цветочный, сливочный</x:v>
      </x:c>
      <x:c r="K50" s="28" t="str">
        <x:v>лимонен, линалол, деканаль, октаналь, мирцен</x:v>
      </x:c>
      <x:c r="L50" s="28" t="str">
        <x:v>этилбутират, гексилацетат, лактоны, сернистые тиолы (у части фруктов)</x:v>
      </x:c>
      <x:c r="M50" s="28" t="str">
        <x:v>цветочный</x:v>
      </x:c>
      <x:c r="N50" s="28" t="str">
        <x:v>надёжный общий маркер не заявлен; сочетание объясняется семействами и сенсорным балансом</x:v>
      </x:c>
      <x:c r="O50" s="28" t="str">
        <x:v>перекрытие ароматических семейств, вкусовой баланс</x:v>
      </x:c>
      <x:c r="P50" s="28" t="str">
        <x:v>Общая фруктовая сладость и летучие эфиры создают непрерывный ароматический профиль, а цитрусовая кислота повышает контраст и свежесть.</x:v>
      </x:c>
      <x:c r="Q50" s="28" t="str">
        <x:v>нет выраженного; нет выраженного</x:v>
      </x:c>
      <x:c r="R50" s="28" t="str">
        <x:v>сок водный; цедра и ликёры несут гидрофобные эфирные масла; сочная или кремовая фруктовая матрица</x:v>
      </x:c>
      <x:c r="S5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0" s="28" t="str">
        <x:v>Апельсин формирует профиль «цитрусовый, сладко-фруктовый, цветочный, восковой»; характерные маркеры: лимонен, линалол, деканаль, октаналь, мирцен.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50" s="28" t="str">
        <x:v>Избыток кислоты делает вкус плоско-резким; белая часть кожуры даёт лишнюю горечь.</x:v>
      </x:c>
      <x:c r="V50" s="28" t="str">
        <x:v>кокос или имбирь</x:v>
      </x:c>
      <x:c r="W50" s="28" t="str">
        <x:v>смузи, кордиал, сорбет, чатни или коктейль</x:v>
      </x:c>
      <x:c r="X50" s="28" t="str">
        <x:v>напитки, десерты</x:v>
      </x:c>
      <x:c r="Y50" s="28" t="str">
        <x:v>Высокая</x:v>
      </x:c>
      <x:c r="Z50" s="28" t="str">
        <x:v>Таблица сочетания(1).pdf | Тезариус вкусов (Ники Сегнит)(1).pdf</x:v>
      </x:c>
      <x:c r="AA50" s="28" t="str">
        <x:v>Таблица сочетания(1).pdf: 13, 14 | Тезариус вкусов (Ники Сегнит)(1).pdf: 764, 777</x:v>
      </x:c>
      <x:c r="AB50" s="28" t="str">
        <x:v>И манго, и апельсин имеют во вкусе цитрусовые и цветочные компоненты, но при смешивании апельсин подчиняется сложному вкусу манго, в котором присутствуют ароматы смол, сушеных фруктов и вечнозеленых растений. Результат: через некоторое время кажется, что апельсина здесь отродясь не бывало.</x:v>
      </x:c>
      <x:c r="AC50" s="28" t="n">
        <x:v>2</x:v>
      </x:c>
      <x:c r="AD50" s="28" t="n">
        <x:v>4</x:v>
      </x:c>
    </x:row>
    <x:row r="51" ht="58" customHeight="1">
      <x:c r="A51" s="28" t="str">
        <x:v>CIT-0050</x:v>
      </x:c>
      <x:c r="B51" s="28" t="str">
        <x:v>Десерты и выпечка</x:v>
      </x:c>
      <x:c r="C51" s="28" t="str">
        <x:v>апельсин</x:v>
      </x:c>
      <x:c r="D51" s="28" t="str">
        <x:v>апельсин</x:v>
      </x:c>
      <x:c r="E51" s="28" t="str">
        <x:v>Цитрусовые</x:v>
      </x:c>
      <x:c r="F51" s="28" t="str">
        <x:v>маракуйя</x:v>
      </x:c>
      <x:c r="G51" s="28" t="str">
        <x:v>Маракуйя</x:v>
      </x:c>
      <x:c r="H51" s="28" t="str">
        <x:v>Тропические фрукты</x:v>
      </x:c>
      <x:c r="I51" s="28" t="str">
        <x:v>цитрусовый, сладко-фруктовый, цветочный, восковой</x:v>
      </x:c>
      <x:c r="J51" s="28" t="str">
        <x:v>фруктовый, тропический, цветочный, сливочный</x:v>
      </x:c>
      <x:c r="K51" s="28" t="str">
        <x:v>лимонен, линалол, деканаль, октаналь, мирцен</x:v>
      </x:c>
      <x:c r="L51" s="28" t="str">
        <x:v>этилбутират, гексилацетат, лактоны, сернистые тиолы (у части фруктов)</x:v>
      </x:c>
      <x:c r="M51" s="28" t="str">
        <x:v>цветочный</x:v>
      </x:c>
      <x:c r="N51" s="28" t="str">
        <x:v>надёжный общий маркер не заявлен; сочетание объясняется семействами и сенсорным балансом</x:v>
      </x:c>
      <x:c r="O51" s="28" t="str">
        <x:v>перекрытие ароматических семейств, вкусовой баланс</x:v>
      </x:c>
      <x:c r="P51" s="28" t="str">
        <x:v>Общая фруктовая сладость и летучие эфиры создают непрерывный ароматический профиль, а цитрусовая кислота повышает контраст и свежесть.</x:v>
      </x:c>
      <x:c r="Q51" s="28" t="str">
        <x:v>нет выраженного; нет выраженного</x:v>
      </x:c>
      <x:c r="R51" s="28" t="str">
        <x:v>сок водный; цедра и ликёры несут гидрофобные эфирные масла; сочная или кремовая фруктовая матрица</x:v>
      </x:c>
      <x:c r="S5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1" s="28" t="str">
        <x:v>Апельсин формирует профиль «цитрусовый, сладко-фруктовый, цветочный, восковой»; характерные маркеры: лимонен, линалол, деканаль, октаналь, мирцен. Маракуйя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51" s="28" t="str">
        <x:v>Избыток кислоты делает вкус плоско-резким; белая часть кожуры даёт лишнюю горечь.</x:v>
      </x:c>
      <x:c r="V51" s="28" t="str">
        <x:v>кокос или имбирь</x:v>
      </x:c>
      <x:c r="W51" s="28" t="str">
        <x:v>смузи, кордиал, сорбет, чатни или коктейль</x:v>
      </x:c>
      <x:c r="X51" s="28" t="str">
        <x:v>напитки, десерты</x:v>
      </x:c>
      <x:c r="Y51" s="28" t="str">
        <x:v>Гипотеза / практическая</x:v>
      </x:c>
      <x:c r="Z51" s="28" t="str">
        <x:v>Таблица сочетания(1).pdf</x:v>
      </x:c>
      <x:c r="AA51" s="28" t="str">
        <x:v>Таблица сочетания(1).pdf: 15</x:v>
      </x:c>
      <x:c r="AB51" s="28" t="str">
        <x:v>Пара указана в таблице: «Маракуйя» → колонка «Фрукты».</x:v>
      </x:c>
      <x:c r="AC51" s="28" t="n">
        <x:v>1</x:v>
      </x:c>
      <x:c r="AD51" s="28" t="n">
        <x:v>1</x:v>
      </x:c>
    </x:row>
    <x:row r="52" ht="58" customHeight="1">
      <x:c r="A52" s="28" t="str">
        <x:v>CIT-0051</x:v>
      </x:c>
      <x:c r="B52" s="28" t="str">
        <x:v>Еда и соусы</x:v>
      </x:c>
      <x:c r="C52" s="28" t="str">
        <x:v>апельсин</x:v>
      </x:c>
      <x:c r="D52" s="28" t="str">
        <x:v>orange</x:v>
      </x:c>
      <x:c r="E52" s="28" t="str">
        <x:v>Цитрусовые</x:v>
      </x:c>
      <x:c r="F52" s="28" t="str">
        <x:v>маринованный огурец</x:v>
      </x:c>
      <x:c r="G52" s="28" t="str">
        <x:v>pickled cucumber</x:v>
      </x:c>
      <x:c r="H52" s="28" t="str">
        <x:v>Овощи</x:v>
      </x:c>
      <x:c r="I52" s="28" t="str">
        <x:v>цитрусовый, сладко-фруктовый, цветочный, восковой</x:v>
      </x:c>
      <x:c r="J52" s="28" t="str">
        <x:v>зелёный, землистый, растительный, иногда сернистый</x:v>
      </x:c>
      <x:c r="K52" s="28" t="str">
        <x:v>лимонен, линалол, деканаль, октаналь, мирцен</x:v>
      </x:c>
      <x:c r="L52" s="28" t="str">
        <x:v>C6-альдегиды, метоксипиразины, геосмин (землистые), сернистые соединения</x:v>
      </x:c>
      <x:c r="M52" s="28" t="str">
        <x:v>прямое семейное перекрытие не является главным механизмом</x:v>
      </x:c>
      <x:c r="N52" s="28" t="str">
        <x:v>надёжный общий маркер не заявлен; сочетание объясняется семействами и сенсорным балансом</x:v>
      </x:c>
      <x:c r="O52" s="28" t="str">
        <x:v>вкусовой баланс</x:v>
      </x:c>
      <x:c r="P52" s="28" t="str">
        <x:v>Кислота подчёркивает природную сладость овоща, сокращает землистое/сернистое послевкусие и повышает слюноотделение.</x:v>
      </x:c>
      <x:c r="Q52" s="28" t="str">
        <x:v>нет выраженного; нет выраженного</x:v>
      </x:c>
      <x:c r="R52" s="28" t="str">
        <x:v>сок водный; цедра и ликёры несут гидрофобные эфирные масла; водная/крахмальная матрица; масло помогает распределить цедру</x:v>
      </x:c>
      <x:c r="S5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2" s="28" t="str">
        <x:v>Апельсин формирует профиль «цитрусовый, сладко-фруктовый, цветочный, восковой»; характерные маркеры: лимонен, линалол, деканаль, октаналь, мирцен. Маринованный огурец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52" s="28" t="str">
        <x:v>Избыток кислоты делает вкус плоско-резким; белая часть кожуры даёт лишнюю горечь.</x:v>
      </x:c>
      <x:c r="V52" s="28" t="str">
        <x:v>оливковое масло или базилик</x:v>
      </x:c>
      <x:c r="W52" s="28" t="str">
        <x:v>винегрет, салат, пюре, запечённое блюдо или овощной соус</x:v>
      </x:c>
      <x:c r="X52" s="28" t="str">
        <x:v>еда, соусы/маринады</x:v>
      </x:c>
      <x:c r="Y52" s="28" t="str">
        <x:v>Средняя</x:v>
      </x:c>
      <x:c r="Z52" s="28" t="str">
        <x:v>The Art &amp; Science of Foodpairing.pdf</x:v>
      </x:c>
      <x:c r="AA52" s="28" t="str">
        <x:v>The Art &amp; Science of Foodpairing.pdf: 268</x:v>
      </x:c>
      <x:c r="AB52" s="28" t="str">
        <x:v>Пара представлена в ароматической диаграмме Foodpairing на странице 268.</x:v>
      </x:c>
      <x:c r="AC52" s="28" t="n">
        <x:v>1</x:v>
      </x:c>
      <x:c r="AD52" s="28" t="n">
        <x:v>1</x:v>
      </x:c>
    </x:row>
    <x:row r="53" ht="58" customHeight="1">
      <x:c r="A53" s="28" t="str">
        <x:v>CIT-0052</x:v>
      </x:c>
      <x:c r="B53" s="28" t="str">
        <x:v>Десерты и выпечка</x:v>
      </x:c>
      <x:c r="C53" s="28" t="str">
        <x:v>апельсин</x:v>
      </x:c>
      <x:c r="D53" s="28" t="str">
        <x:v>апельсин</x:v>
      </x:c>
      <x:c r="E53" s="28" t="str">
        <x:v>Цитрусовые</x:v>
      </x:c>
      <x:c r="F53" s="28" t="str">
        <x:v>мёд</x:v>
      </x:c>
      <x:c r="G53" s="28" t="str">
        <x:v>Мёд</x:v>
      </x:c>
      <x:c r="H53" s="28" t="str">
        <x:v>Подсластители</x:v>
      </x:c>
      <x:c r="I53" s="28" t="str">
        <x:v>цитрусовый, сладко-фруктовый, цветочный, восковой</x:v>
      </x:c>
      <x:c r="J53" s="28" t="str">
        <x:v>медовый, цветочный, карамельный</x:v>
      </x:c>
      <x:c r="K53" s="28" t="str">
        <x:v>лимонен, линалол, деканаль, октаналь, мирцен</x:v>
      </x:c>
      <x:c r="L53" s="28" t="str">
        <x:v>фенилуксусные соединения, фураны, норизопреноиды</x:v>
      </x:c>
      <x:c r="M53" s="28" t="str">
        <x:v>цветочный</x:v>
      </x:c>
      <x:c r="N53" s="28" t="str">
        <x:v>надёжный общий маркер не заявлен; сочетание объясняется семействами и сенсорным балансом</x:v>
      </x:c>
      <x:c r="O53" s="28" t="str">
        <x:v>перекрытие ароматических семейств, вкусовой баланс</x:v>
      </x:c>
      <x:c r="P53" s="28" t="str">
        <x:v>Сладость подавляет воспринимаемую кислотность и горечь кожуры, а кислота не даёт сочетанию стать приторным.</x:v>
      </x:c>
      <x:c r="Q53" s="28" t="str">
        <x:v>нет выраженного; нет выраженного</x:v>
      </x:c>
      <x:c r="R53" s="28" t="str">
        <x:v>сок водный; цедра и ликёры несут гидрофобные эфирные масла; сахар повышает вязкость и снижает воспринимаемую кислотность</x:v>
      </x:c>
      <x:c r="S5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3" s="28" t="str">
        <x:v>Апельсин формирует профиль «цитрусовый, сладко-фруктовый, цветочный, восковой»; характерные маркеры: лимонен, линалол, деканаль, октаналь, мирцен.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Апельсиновый профиль строится на лимонене и альдегидах с восково-сладкой нотой. Сладость балансирует кислоту и горечь кожуры; цветочные компоненты могут поддерживать цитрус.</x:v>
      </x:c>
      <x:c r="U53" s="28" t="str">
        <x:v>Избыток кислоты делает вкус плоско-резким; белая часть кожуры даёт лишнюю горечь.</x:v>
      </x:c>
      <x:c r="V53" s="28" t="str">
        <x:v>имбирь или ваниль</x:v>
      </x:c>
      <x:c r="W53" s="28" t="str">
        <x:v>сироп, мармелад, крем, глазурь или лимонад</x:v>
      </x:c>
      <x:c r="X53" s="28" t="str">
        <x:v>напитки, десерты</x:v>
      </x:c>
      <x:c r="Y53" s="28" t="str">
        <x:v>Гипотеза / практическая</x:v>
      </x:c>
      <x:c r="Z53" s="28" t="str">
        <x:v>Таблица сочетания(1).pdf</x:v>
      </x:c>
      <x:c r="AA53" s="28" t="str">
        <x:v>Таблица сочетания(1).pdf: 9</x:v>
      </x:c>
      <x:c r="AB53" s="28" t="str">
        <x:v>Пара указана в таблице: «Мёд» → колонка «Фрукты».</x:v>
      </x:c>
      <x:c r="AC53" s="28" t="n">
        <x:v>1</x:v>
      </x:c>
      <x:c r="AD53" s="28" t="n">
        <x:v>1</x:v>
      </x:c>
    </x:row>
    <x:row r="54" ht="58" customHeight="1">
      <x:c r="A54" s="28" t="str">
        <x:v>CIT-0053</x:v>
      </x:c>
      <x:c r="B54" s="28" t="str">
        <x:v>Десерты и выпечка</x:v>
      </x:c>
      <x:c r="C54" s="28" t="str">
        <x:v>апельсин</x:v>
      </x:c>
      <x:c r="D54" s="28" t="str">
        <x:v>Апельсин | апельсин</x:v>
      </x:c>
      <x:c r="E54" s="28" t="str">
        <x:v>Цитрусовые</x:v>
      </x:c>
      <x:c r="F54" s="28" t="str">
        <x:v>миндаль</x:v>
      </x:c>
      <x:c r="G54" s="28" t="str">
        <x:v>Миндаль | миндаль</x:v>
      </x:c>
      <x:c r="H54" s="28" t="str">
        <x:v>Орехи и семена</x:v>
      </x:c>
      <x:c r="I54" s="28" t="str">
        <x:v>цитрусовый, сладко-фруктовый, цветочный, восковой</x:v>
      </x:c>
      <x:c r="J54" s="28" t="str">
        <x:v>ореховый, обжаренный, жирный, зелёный</x:v>
      </x:c>
      <x:c r="K54" s="28" t="str">
        <x:v>лимонен, линалол, деканаль, октаналь, мирцен</x:v>
      </x:c>
      <x:c r="L54" s="28" t="str">
        <x:v>пиразины, альдегиды окисления жиров, бензальдегид (миндаль)</x:v>
      </x:c>
      <x:c r="M54" s="28" t="str">
        <x:v>прямое семейное перекрытие не является главным механизмом</x:v>
      </x:c>
      <x:c r="N54" s="28" t="str">
        <x:v>надёжный общий маркер не заявлен; сочетание объясняется семействами и сенсорным балансом</x:v>
      </x:c>
      <x:c r="O54" s="28" t="str">
        <x:v>вкусовой баланс, влияние матрицы/растворимости</x:v>
      </x:c>
      <x:c r="P54" s="28" t="str">
        <x:v>Кислотность и лёгкая горечь цитруса снижают ощущение жирности; соль и умами, в свою очередь, делают фруктовую часть менее резкой.</x:v>
      </x:c>
      <x:c r="Q54" s="28" t="str">
        <x:v>нет выраженного; нет выраженного</x:v>
      </x:c>
      <x:c r="R54" s="28" t="str">
        <x:v>сок водный; цедра и ликёры несут гидрофобные эфирные масла; высокая жирность растворяет терпеновые масла цитруса</x:v>
      </x:c>
      <x:c r="S5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4" s="28" t="str">
        <x:v>Апельсин формирует профиль «цитрусовый, сладко-фруктовый, цветочный, восковой»; характерные маркеры: лимонен, линалол, деканаль, октаналь, мирцен. Миндаль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U54" s="28" t="str">
        <x:v>Избыток кислоты делает вкус плоско-резким; белая часть кожуры даёт лишнюю горечь.</x:v>
      </x:c>
      <x:c r="V54" s="28" t="str">
        <x:v>мёд или шоколад</x:v>
      </x:c>
      <x:c r="W54" s="28" t="str">
        <x:v>пралине, крем, выпечка, салат или ореховый соус</x:v>
      </x:c>
      <x:c r="X54" s="28" t="str">
        <x:v>десерты</x:v>
      </x:c>
      <x:c r="Y54" s="28" t="str">
        <x:v>Высокая</x:v>
      </x:c>
      <x:c r="Z54" s="28" t="str">
        <x:v>Тезариус вкусов (Ники Сегнит)(1).pdf</x:v>
      </x:c>
      <x:c r="AA54" s="28" t="str">
        <x:v>Тезариус вкусов (Ники Сегнит)(1).pdf: 642, 777</x:v>
      </x:c>
      <x:c r="AB54" s="28" t="str">
        <x:v>Легендарный апельсино- во-миндальный пирог от Клаудии Роден (Claudia Roden) необычен тем, что в нем используются почти все части апельсинов: цедра с ее масляными порами, сердцевина, перемычки и мякоть с ее удивительными мешочками с соком, которые выглядят как крошечные капельки слез. Именно скрупулезное использование всех составляющих апельсина придает торту глубоко мускусный, пряный характер с благоуханием мармелада, но без клейкой сладости. Миндаль вносит в него плотную текстуру, что делает пи</x:v>
      </x:c>
      <x:c r="AC54" s="28" t="n">
        <x:v>1</x:v>
      </x:c>
      <x:c r="AD54" s="28" t="n">
        <x:v>2</x:v>
      </x:c>
    </x:row>
    <x:row r="55" ht="58" customHeight="1">
      <x:c r="A55" s="28" t="str">
        <x:v>CIT-0054</x:v>
      </x:c>
      <x:c r="B55" s="28" t="str">
        <x:v>Универсальные</x:v>
      </x:c>
      <x:c r="C55" s="28" t="str">
        <x:v>апельсин</x:v>
      </x:c>
      <x:c r="D55" s="28" t="str">
        <x:v>Апельсин | апельсин</x:v>
      </x:c>
      <x:c r="E55" s="28" t="str">
        <x:v>Цитрусовые</x:v>
      </x:c>
      <x:c r="F55" s="28" t="str">
        <x:v>можжевельник</x:v>
      </x:c>
      <x:c r="G55" s="28" t="str">
        <x:v>Можжевельник | можжевельник</x:v>
      </x:c>
      <x:c r="H55" s="28" t="str">
        <x:v>Прочее</x:v>
      </x:c>
      <x:c r="I55" s="28" t="str">
        <x:v>цитрусовый, сладко-фруктовый, цветочный, восковой</x:v>
      </x:c>
      <x:c r="J55" s="28" t="str">
        <x:v>нейтральный/специфический</x:v>
      </x:c>
      <x:c r="K55" s="28" t="str">
        <x:v>лимонен, линалол, деканаль, октаналь, мирцен</x:v>
      </x:c>
      <x:c r="L55" s="28" t="str">
        <x:v>нужен профиль конкретного продукта</x:v>
      </x:c>
      <x:c r="M55" s="28" t="str">
        <x:v>прямое семейное перекрытие не является главным механизмом</x:v>
      </x:c>
      <x:c r="N55" s="28" t="str">
        <x:v>надёжный общий маркер не заявлен; сочетание объясняется семействами и сенсорным балансом</x:v>
      </x:c>
      <x:c r="O55" s="28" t="str">
        <x:v>вкусовой баланс, тройничное восприятие</x:v>
      </x:c>
      <x:c r="P55" s="28" t="str">
        <x:v>Основной эффект определяется ароматическим контрастом и добавлением кислотной свежести; точный баланс зависит от дозировки и матрицы.</x:v>
      </x:c>
      <x:c r="Q55" s="28" t="str">
        <x:v>нет выраженного; нет данных</x:v>
      </x:c>
      <x:c r="R55" s="28" t="str">
        <x:v>сок водный; цедра и ликёры несут гидрофобные эфирные масла; зависит от формы продукта</x:v>
      </x:c>
      <x:c r="S5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5" s="28" t="str">
        <x:v>Апельсин формирует профиль «цитрусовый, сладко-фруктовый, цветочный, восковой»; характерные маркеры: лимонен, линалол, деканаль, октаналь, мирцен. Можжевельник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55" s="28" t="str">
        <x:v>Избыток кислоты делает вкус плоско-резким; белая часть кожуры даёт лишнюю горечь.</x:v>
      </x:c>
      <x:c r="V55" s="28" t="str">
        <x:v>мёд или нейтральная жировая основа</x:v>
      </x:c>
      <x:c r="W55" s="28" t="str">
        <x:v>соус, напиток или десерт после пробной дегустации</x:v>
      </x:c>
      <x:c r="X55" s="28" t="str">
        <x:v>универсальное</x:v>
      </x:c>
      <x:c r="Y55" s="28" t="str">
        <x:v>Высокая</x:v>
      </x:c>
      <x:c r="Z55" s="28" t="str">
        <x:v>Тезариус вкусов (Ники Сегнит)(1).pdf</x:v>
      </x:c>
      <x:c r="AA55" s="28" t="str">
        <x:v>Тезариус вкусов (Ники Сегнит)(1).pdf: 778, 849</x:v>
      </x:c>
      <x:c r="AB55" s="28" t="str">
        <x:v>Похоже, сочетание джина с апельсином постепенно выходит из моды, но сама закаленная «зимняя» пара вкусов все еще находит себе на обеденном столе много дел. Можжевельник с апельсином часто используют как приправу к мясу с сильным вкусом (оленина, утка). Имеют они сродство и с другими плотными и горькими ингредиентами – капустой, цикорием, темным шоколадом. А пивоварня Brootcoorens Brewery в Бельгии варит La Sambresse, пиво со вкусом цедры горького апельсина и можжевельника.</x:v>
      </x:c>
      <x:c r="AC55" s="28" t="n">
        <x:v>1</x:v>
      </x:c>
      <x:c r="AD55" s="28" t="n">
        <x:v>2</x:v>
      </x:c>
    </x:row>
    <x:row r="56" ht="58" customHeight="1">
      <x:c r="A56" s="28" t="str">
        <x:v>CIT-0055</x:v>
      </x:c>
      <x:c r="B56" s="28" t="str">
        <x:v>Еда и соусы</x:v>
      </x:c>
      <x:c r="C56" s="28" t="str">
        <x:v>апельсин</x:v>
      </x:c>
      <x:c r="D56" s="28" t="str">
        <x:v>Апельсин | апельсин</x:v>
      </x:c>
      <x:c r="E56" s="28" t="str">
        <x:v>Цитрусовые</x:v>
      </x:c>
      <x:c r="F56" s="28" t="str">
        <x:v>морковь</x:v>
      </x:c>
      <x:c r="G56" s="28" t="str">
        <x:v>Морковь | морковь</x:v>
      </x:c>
      <x:c r="H56" s="28" t="str">
        <x:v>Овощи</x:v>
      </x:c>
      <x:c r="I56" s="28" t="str">
        <x:v>цитрусовый, сладко-фруктовый, цветочный, восковой</x:v>
      </x:c>
      <x:c r="J56" s="28" t="str">
        <x:v>зелёный, землистый, растительный, иногда сернистый</x:v>
      </x:c>
      <x:c r="K56" s="28" t="str">
        <x:v>лимонен, линалол, деканаль, октаналь, мирцен</x:v>
      </x:c>
      <x:c r="L56" s="28" t="str">
        <x:v>C6-альдегиды, метоксипиразины, геосмин (землистые), сернистые соединения</x:v>
      </x:c>
      <x:c r="M56" s="28" t="str">
        <x:v>прямое семейное перекрытие не является главным механизмом</x:v>
      </x:c>
      <x:c r="N56" s="28" t="str">
        <x:v>надёжный общий маркер не заявлен; сочетание объясняется семействами и сенсорным балансом</x:v>
      </x:c>
      <x:c r="O56" s="28" t="str">
        <x:v>вкусовой баланс</x:v>
      </x:c>
      <x:c r="P56" s="28" t="str">
        <x:v>Кислота подчёркивает природную сладость овоща, сокращает землистое/сернистое послевкусие и повышает слюноотделение.</x:v>
      </x:c>
      <x:c r="Q56" s="28" t="str">
        <x:v>нет выраженного; нет выраженного</x:v>
      </x:c>
      <x:c r="R56" s="28" t="str">
        <x:v>сок водный; цедра и ликёры несут гидрофобные эфирные масла; водная/крахмальная матрица; масло помогает распределить цедру</x:v>
      </x:c>
      <x:c r="S5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6" s="28" t="str">
        <x:v>Апельсин формирует профиль «цитрусовый, сладко-фруктовый, цветочный, восковой»; характерные маркеры: лимонен, линалол, деканаль, октаналь, мирцен. Морковь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56" s="28" t="str">
        <x:v>Избыток кислоты делает вкус плоско-резким; белая часть кожуры даёт лишнюю горечь.</x:v>
      </x:c>
      <x:c r="V56" s="28" t="str">
        <x:v>оливковое масло или базилик</x:v>
      </x:c>
      <x:c r="W56" s="28" t="str">
        <x:v>винегрет, салат, пюре, запечённое блюдо или овощной соус</x:v>
      </x:c>
      <x:c r="X56" s="28" t="str">
        <x:v>еда, соусы/маринады</x:v>
      </x:c>
      <x:c r="Y56" s="28" t="str">
        <x:v>Высокая</x:v>
      </x:c>
      <x:c r="Z56" s="28" t="str">
        <x:v>Таблица сочетания(1).pdf | Тезариус вкусов (Ники Сегнит)(1).pdf</x:v>
      </x:c>
      <x:c r="AA56" s="28" t="str">
        <x:v>Таблица сочетания(1).pdf: 4 | Тезариус вкусов (Ники Сегнит)(1).pdf: 602, 778</x:v>
      </x:c>
      <x:c r="AB56" s="28" t="str">
        <x:v>Более 80 лет назад фран- цузский эрудит Поль Ребо (Paul Reboux) писал: «Меня не интересуют компот из пауков, жаркόе из летучих мышей или гратен из червяков. Все, что я хочу сделать, – это разрушить традиционные связи между определенными кулинарными ингредиентами. Моя миссия состоит в объединении неожиданного с восхитительным». Изложив таким образом свое кредо, автор дает рецепт смеси из нарезанных листьев салата и вареного картофеля под сливочном соусом с гарниром из апельсиновой цедры и моркови</x:v>
      </x:c>
      <x:c r="AC56" s="28" t="n">
        <x:v>2</x:v>
      </x:c>
      <x:c r="AD56" s="28" t="n">
        <x:v>3</x:v>
      </x:c>
    </x:row>
    <x:row r="57" ht="58" customHeight="1">
      <x:c r="A57" s="28" t="str">
        <x:v>CIT-0056</x:v>
      </x:c>
      <x:c r="B57" s="28" t="str">
        <x:v>Универсальные</x:v>
      </x:c>
      <x:c r="C57" s="28" t="str">
        <x:v>апельсин</x:v>
      </x:c>
      <x:c r="D57" s="28" t="str">
        <x:v>апельсин</x:v>
      </x:c>
      <x:c r="E57" s="28" t="str">
        <x:v>Цитрусовые</x:v>
      </x:c>
      <x:c r="F57" s="28" t="str">
        <x:v>морошка</x:v>
      </x:c>
      <x:c r="G57" s="28" t="str">
        <x:v>Морошка</x:v>
      </x:c>
      <x:c r="H57" s="28" t="str">
        <x:v>Прочее</x:v>
      </x:c>
      <x:c r="I57" s="28" t="str">
        <x:v>цитрусовый, сладко-фруктовый, цветочный, восковой</x:v>
      </x:c>
      <x:c r="J57" s="28" t="str">
        <x:v>нейтральный/специфический</x:v>
      </x:c>
      <x:c r="K57" s="28" t="str">
        <x:v>лимонен, линалол, деканаль, октаналь, мирцен</x:v>
      </x:c>
      <x:c r="L57" s="28" t="str">
        <x:v>нужен профиль конкретного продукта</x:v>
      </x:c>
      <x:c r="M57" s="28" t="str">
        <x:v>прямое семейное перекрытие не является главным механизмом</x:v>
      </x:c>
      <x:c r="N57" s="28" t="str">
        <x:v>надёжный общий маркер не заявлен; сочетание объясняется семействами и сенсорным балансом</x:v>
      </x:c>
      <x:c r="O57" s="28" t="str">
        <x:v>вкусовой баланс, тройничное восприятие</x:v>
      </x:c>
      <x:c r="P57" s="28" t="str">
        <x:v>Основной эффект определяется ароматическим контрастом и добавлением кислотной свежести; точный баланс зависит от дозировки и матрицы.</x:v>
      </x:c>
      <x:c r="Q57" s="28" t="str">
        <x:v>нет выраженного; нет данных</x:v>
      </x:c>
      <x:c r="R57" s="28" t="str">
        <x:v>сок водный; цедра и ликёры несут гидрофобные эфирные масла; зависит от формы продукта</x:v>
      </x:c>
      <x:c r="S5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7" s="28" t="str">
        <x:v>Апельсин формирует профиль «цитрусовый, сладко-фруктовый, цветочный, восковой»; характерные маркеры: лимонен, линалол, деканаль, октаналь, мирцен. Морошка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57" s="28" t="str">
        <x:v>Избыток кислоты делает вкус плоско-резким; белая часть кожуры даёт лишнюю горечь.</x:v>
      </x:c>
      <x:c r="V57" s="28" t="str">
        <x:v>мёд или нейтральная жировая основа</x:v>
      </x:c>
      <x:c r="W57" s="28" t="str">
        <x:v>соус, напиток или десерт после пробной дегустации</x:v>
      </x:c>
      <x:c r="X57" s="28" t="str">
        <x:v>универсальное</x:v>
      </x:c>
      <x:c r="Y57" s="28" t="str">
        <x:v>Гипотеза / практическая</x:v>
      </x:c>
      <x:c r="Z57" s="28" t="str">
        <x:v>Таблица сочетания(1).pdf</x:v>
      </x:c>
      <x:c r="AA57" s="28" t="str">
        <x:v>Таблица сочетания(1).pdf: 5</x:v>
      </x:c>
      <x:c r="AB57" s="28" t="str">
        <x:v>Пара указана в таблице: «Морошка» → колонка «Фрукты».</x:v>
      </x:c>
      <x:c r="AC57" s="28" t="n">
        <x:v>1</x:v>
      </x:c>
      <x:c r="AD57" s="28" t="n">
        <x:v>1</x:v>
      </x:c>
    </x:row>
    <x:row r="58" ht="58" customHeight="1">
      <x:c r="A58" s="28" t="str">
        <x:v>CIT-0057</x:v>
      </x:c>
      <x:c r="B58" s="28" t="str">
        <x:v>Десерты и выпечка</x:v>
      </x:c>
      <x:c r="C58" s="28" t="str">
        <x:v>апельсин</x:v>
      </x:c>
      <x:c r="D58" s="28" t="str">
        <x:v>Апельсин | апельсины</x:v>
      </x:c>
      <x:c r="E58" s="28" t="str">
        <x:v>Цитрусовые</x:v>
      </x:c>
      <x:c r="F58" s="28" t="str">
        <x:v>мускатный орех</x:v>
      </x:c>
      <x:c r="G58" s="28" t="str">
        <x:v>Мускатный орех | мускатный орех</x:v>
      </x:c>
      <x:c r="H58" s="28" t="str">
        <x:v>Орехи и семена</x:v>
      </x:c>
      <x:c r="I58" s="28" t="str">
        <x:v>цитрусовый, сладко-фруктовый, цветочный, восковой</x:v>
      </x:c>
      <x:c r="J58" s="28" t="str">
        <x:v>ореховый, обжаренный, жирный, зелёный</x:v>
      </x:c>
      <x:c r="K58" s="28" t="str">
        <x:v>лимонен, линалол, деканаль, октаналь, мирцен</x:v>
      </x:c>
      <x:c r="L58" s="28" t="str">
        <x:v>пиразины, альдегиды окисления жиров, бензальдегид (миндаль)</x:v>
      </x:c>
      <x:c r="M58" s="28" t="str">
        <x:v>прямое семейное перекрытие не является главным механизмом</x:v>
      </x:c>
      <x:c r="N58" s="28" t="str">
        <x:v>надёжный общий маркер не заявлен; сочетание объясняется семействами и сенсорным балансом</x:v>
      </x:c>
      <x:c r="O58" s="28" t="str">
        <x:v>вкусовой баланс, влияние матрицы/растворимости</x:v>
      </x:c>
      <x:c r="P58" s="28" t="str">
        <x:v>Кислотность и лёгкая горечь цитруса снижают ощущение жирности; соль и умами, в свою очередь, делают фруктовую часть менее резкой.</x:v>
      </x:c>
      <x:c r="Q58" s="28" t="str">
        <x:v>нет выраженного; нет выраженного</x:v>
      </x:c>
      <x:c r="R58" s="28" t="str">
        <x:v>сок водный; цедра и ликёры несут гидрофобные эфирные масла; высокая жирность растворяет терпеновые масла цитруса</x:v>
      </x:c>
      <x:c r="S5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8" s="28" t="str">
        <x:v>Апельсин формирует профиль «цитрусовый, сладко-фруктовый, цветочный, восковой»; характерные маркеры: лимонен, линалол, деканаль, октаналь, мирцен. Мускатный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U58" s="28" t="str">
        <x:v>Избыток кислоты делает вкус плоско-резким; белая часть кожуры даёт лишнюю горечь.</x:v>
      </x:c>
      <x:c r="V58" s="28" t="str">
        <x:v>мёд или шоколад</x:v>
      </x:c>
      <x:c r="W58" s="28" t="str">
        <x:v>пралине, крем, выпечка, салат или ореховый соус</x:v>
      </x:c>
      <x:c r="X58" s="28" t="str">
        <x:v>десерты</x:v>
      </x:c>
      <x:c r="Y58" s="28" t="str">
        <x:v>Гипотеза / практическая</x:v>
      </x:c>
      <x:c r="Z58" s="28" t="str">
        <x:v>Таблица сочетания(1).pdf</x:v>
      </x:c>
      <x:c r="AA58" s="28" t="str">
        <x:v>Таблица сочетания(1).pdf: 14</x:v>
      </x:c>
      <x:c r="AB58" s="28" t="str">
        <x:v>Пара указана в таблице: «Апельсин» → колонка «Травы и специи».</x:v>
      </x:c>
      <x:c r="AC58" s="28" t="n">
        <x:v>1</x:v>
      </x:c>
      <x:c r="AD58" s="28" t="n">
        <x:v>2</x:v>
      </x:c>
    </x:row>
    <x:row r="59" ht="58" customHeight="1">
      <x:c r="A59" s="28" t="str">
        <x:v>CIT-0058</x:v>
      </x:c>
      <x:c r="B59" s="28" t="str">
        <x:v>Универсальные</x:v>
      </x:c>
      <x:c r="C59" s="28" t="str">
        <x:v>апельсин</x:v>
      </x:c>
      <x:c r="D59" s="28" t="str">
        <x:v>апельсин</x:v>
      </x:c>
      <x:c r="E59" s="28" t="str">
        <x:v>Цитрусовые</x:v>
      </x:c>
      <x:c r="F59" s="28" t="str">
        <x:v>мушмула (loquat)</x:v>
      </x:c>
      <x:c r="G59" s="28" t="str">
        <x:v>Мушмула (loquat)</x:v>
      </x:c>
      <x:c r="H59" s="28" t="str">
        <x:v>Прочее</x:v>
      </x:c>
      <x:c r="I59" s="28" t="str">
        <x:v>цитрусовый, сладко-фруктовый, цветочный, восковой</x:v>
      </x:c>
      <x:c r="J59" s="28" t="str">
        <x:v>нейтральный/специфический</x:v>
      </x:c>
      <x:c r="K59" s="28" t="str">
        <x:v>лимонен, линалол, деканаль, октаналь, мирцен</x:v>
      </x:c>
      <x:c r="L59" s="28" t="str">
        <x:v>нужен профиль конкретного продукта</x:v>
      </x:c>
      <x:c r="M59" s="28" t="str">
        <x:v>прямое семейное перекрытие не является главным механизмом</x:v>
      </x:c>
      <x:c r="N59" s="28" t="str">
        <x:v>надёжный общий маркер не заявлен; сочетание объясняется семействами и сенсорным балансом</x:v>
      </x:c>
      <x:c r="O59" s="28" t="str">
        <x:v>вкусовой баланс, тройничное восприятие</x:v>
      </x:c>
      <x:c r="P59" s="28" t="str">
        <x:v>Основной эффект определяется ароматическим контрастом и добавлением кислотной свежести; точный баланс зависит от дозировки и матрицы.</x:v>
      </x:c>
      <x:c r="Q59" s="28" t="str">
        <x:v>нет выраженного; нет данных</x:v>
      </x:c>
      <x:c r="R59" s="28" t="str">
        <x:v>сок водный; цедра и ликёры несут гидрофобные эфирные масла; зависит от формы продукта</x:v>
      </x:c>
      <x:c r="S5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9" s="28" t="str">
        <x:v>Апельсин формирует профиль «цитрусовый, сладко-фруктовый, цветочный, восковой»; характерные маркеры: лимонен, линалол, деканаль, октаналь, мирцен. Мушмула (loquat)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59" s="28" t="str">
        <x:v>Избыток кислоты делает вкус плоско-резким; белая часть кожуры даёт лишнюю горечь.</x:v>
      </x:c>
      <x:c r="V59" s="28" t="str">
        <x:v>мёд или нейтральная жировая основа</x:v>
      </x:c>
      <x:c r="W59" s="28" t="str">
        <x:v>соус, напиток или десерт после пробной дегустации</x:v>
      </x:c>
      <x:c r="X59" s="28" t="str">
        <x:v>универсальное</x:v>
      </x:c>
      <x:c r="Y59" s="28" t="str">
        <x:v>Гипотеза / практическая</x:v>
      </x:c>
      <x:c r="Z59" s="28" t="str">
        <x:v>Таблица сочетания(1).pdf</x:v>
      </x:c>
      <x:c r="AA59" s="28" t="str">
        <x:v>Таблица сочетания(1).pdf: 12</x:v>
      </x:c>
      <x:c r="AB59" s="28" t="str">
        <x:v>Пара указана в таблице: «Мушмула (loquat)» → колонка «Фрукты».</x:v>
      </x:c>
      <x:c r="AC59" s="28" t="n">
        <x:v>1</x:v>
      </x:c>
      <x:c r="AD59" s="28" t="n">
        <x:v>1</x:v>
      </x:c>
    </x:row>
    <x:row r="60" ht="58" customHeight="1">
      <x:c r="A60" s="28" t="str">
        <x:v>CIT-0059</x:v>
      </x:c>
      <x:c r="B60" s="28" t="str">
        <x:v>Универсальные</x:v>
      </x:c>
      <x:c r="C60" s="28" t="str">
        <x:v>апельсин</x:v>
      </x:c>
      <x:c r="D60" s="28" t="str">
        <x:v>Апельсин | апельсин</x:v>
      </x:c>
      <x:c r="E60" s="28" t="str">
        <x:v>Цитрусовые</x:v>
      </x:c>
      <x:c r="F60" s="28" t="str">
        <x:v>мята</x:v>
      </x:c>
      <x:c r="G60" s="28" t="str">
        <x:v>Мята | мята</x:v>
      </x:c>
      <x:c r="H60" s="28" t="str">
        <x:v>Травы</x:v>
      </x:c>
      <x:c r="I60" s="28" t="str">
        <x:v>цитрусовый, сладко-фруктовый, цветочный, восковой</x:v>
      </x:c>
      <x:c r="J60" s="28" t="str">
        <x:v>мятный, зелёный, свежий</x:v>
      </x:c>
      <x:c r="K60" s="28" t="str">
        <x:v>лимонен, линалол, деканаль, октаналь, мирцен</x:v>
      </x:c>
      <x:c r="L60" s="28" t="str">
        <x:v>ментол, ментон, 1,8-цинеол</x:v>
      </x:c>
      <x:c r="M60" s="28" t="str">
        <x:v>прямое семейное перекрытие не является главным механизмом</x:v>
      </x:c>
      <x:c r="N60" s="28" t="str">
        <x:v>надёжный общий маркер не заявлен; сочетание объясняется семействами и сенсорным балансом</x:v>
      </x:c>
      <x:c r="O60" s="28" t="str">
        <x:v>вкусовой баланс, тройничное восприятие</x:v>
      </x:c>
      <x:c r="P60" s="28" t="str">
        <x:v>Кислота усиливает слюноотделение и делает пряный аромат ярче; терпены цитруса образуют мост с эфирными маслами травы или специи.</x:v>
      </x:c>
      <x:c r="Q60" s="28" t="str">
        <x:v>нет выраженного; ментол активирует TRPM8 и создаёт охлаждение</x:v>
      </x:c>
      <x:c r="R60" s="28" t="str">
        <x:v>сок водный; цедра и ликёры несут гидрофобные эфирные масла; эфирные масла извлекаются спиртом; длительный нагрев снижает свежесть</x:v>
      </x:c>
      <x:c r="S6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0" s="28" t="str">
        <x:v>Апельсин формирует профиль «цитрусовый, сладко-фруктовый, цветочный, восковой»; характерные маркеры: лимонен, линалол, деканаль, октаналь, мирцен.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Мята усиливает воспринимаемую прохладу и кислотную свежесть.</x:v>
      </x:c>
      <x:c r="U60" s="28" t="str">
        <x:v>Избыток кислоты делает вкус плоско-резким; белая часть кожуры даёт лишнюю горечь; цитрус легко подавляет деликатный аромат партнёра.</x:v>
      </x:c>
      <x:c r="V60" s="28" t="str">
        <x:v>оливковое масло или огурец</x:v>
      </x:c>
      <x:c r="W60" s="28" t="str">
        <x:v>лимонад, кордиал, салатная заправка или зелёный соус</x:v>
      </x:c>
      <x:c r="X60" s="28" t="str">
        <x:v>напитки, еда, соусы/маринады</x:v>
      </x:c>
      <x:c r="Y60" s="28" t="str">
        <x:v>Высокая</x:v>
      </x:c>
      <x:c r="Z60" s="28" t="str">
        <x:v>Таблица сочетания(1).pdf | Тезариус вкусов (Ники Сегнит)(1).pdf</x:v>
      </x:c>
      <x:c r="AA60" s="28" t="str">
        <x:v>Таблица сочетания(1).pdf: 14 | Тезариус вкусов (Ники Сегнит)(1).pdf: 778, 864</x:v>
      </x:c>
      <x:c r="AB60" s="28" t="str">
        <x:v>Как могут люди в принципе вос- хищаться таким сочетанием? Они что, никогда не пили апельсиновый сок сразу после того, как почистили зубы?</x:v>
      </x:c>
      <x:c r="AC60" s="28" t="n">
        <x:v>2</x:v>
      </x:c>
      <x:c r="AD60" s="28" t="n">
        <x:v>3</x:v>
      </x:c>
    </x:row>
    <x:row r="61" ht="58" customHeight="1">
      <x:c r="A61" s="28" t="str">
        <x:v>CIT-0060</x:v>
      </x:c>
      <x:c r="B61" s="28" t="str">
        <x:v>Десерты и выпечка</x:v>
      </x:c>
      <x:c r="C61" s="28" t="str">
        <x:v>апельсин</x:v>
      </x:c>
      <x:c r="D61" s="28" t="str">
        <x:v>Апельсин | апельсин</x:v>
      </x:c>
      <x:c r="E61" s="28" t="str">
        <x:v>Цитрусовые</x:v>
      </x:c>
      <x:c r="F61" s="28" t="str">
        <x:v>нектарин</x:v>
      </x:c>
      <x:c r="G61" s="28" t="str">
        <x:v>Нектарин | нектарин</x:v>
      </x:c>
      <x:c r="H61" s="28" t="str">
        <x:v>Косточковые фрукты</x:v>
      </x:c>
      <x:c r="I61" s="28" t="str">
        <x:v>цитрусовый, сладко-фруктовый, цветочный, восковой</x:v>
      </x:c>
      <x:c r="J61" s="28" t="str">
        <x:v>фруктовый, цветочный, сливочный, миндальный</x:v>
      </x:c>
      <x:c r="K61" s="28" t="str">
        <x:v>лимонен, линалол, деканаль, октаналь, мирцен</x:v>
      </x:c>
      <x:c r="L61" s="28" t="str">
        <x:v>гамма- и дельта-лактоны, бензальдегид, дамасценон</x:v>
      </x:c>
      <x:c r="M61" s="28" t="str">
        <x:v>цветочный</x:v>
      </x:c>
      <x:c r="N61" s="28" t="str">
        <x:v>надёжный общий маркер не заявлен; сочетание объясняется семействами и сенсорным балансом</x:v>
      </x:c>
      <x:c r="O61" s="28" t="str">
        <x:v>перекрытие ароматических семейств, вкусовой баланс</x:v>
      </x:c>
      <x:c r="P61" s="28" t="str">
        <x:v>Общая фруктовая сладость и летучие эфиры создают непрерывный ароматический профиль, а цитрусовая кислота повышает контраст и свежесть.</x:v>
      </x:c>
      <x:c r="Q61" s="28" t="str">
        <x:v>нет выраженного; нет выраженного</x:v>
      </x:c>
      <x:c r="R61" s="28" t="str">
        <x:v>сок водный; цедра и ликёры несут гидрофобные эфирные масла; сочная матрица; лактоны лучше ощущаются в жирной/сливочной среде</x:v>
      </x:c>
      <x:c r="S6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1" s="28" t="str">
        <x:v>Апельсин формирует профиль «цитрусовый, сладко-фруктовый, цветочный, восковой»; характерные маркеры: лимонен, линалол, деканаль, октаналь, мирцен. Нектарин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добавляет кислотность, а лактоны смягчают его резкость.</x:v>
      </x:c>
      <x:c r="U61" s="28" t="str">
        <x:v>Избыток кислоты делает вкус плоско-резким; белая часть кожуры даёт лишнюю горечь.</x:v>
      </x:c>
      <x:c r="V61" s="28" t="str">
        <x:v>миндаль или ваниль</x:v>
      </x:c>
      <x:c r="W61" s="28" t="str">
        <x:v>тарт, сорбет, джем или фруктовый соус</x:v>
      </x:c>
      <x:c r="X61" s="28" t="str">
        <x:v>десерты</x:v>
      </x:c>
      <x:c r="Y61" s="28" t="str">
        <x:v>Гипотеза / практическая</x:v>
      </x:c>
      <x:c r="Z61" s="28" t="str">
        <x:v>Таблица сочетания(1).pdf</x:v>
      </x:c>
      <x:c r="AA61" s="28" t="str">
        <x:v>Таблица сочетания(1).pdf: 14</x:v>
      </x:c>
      <x:c r="AB61" s="28" t="str">
        <x:v>Пара указана в таблице: «Нектарин» → колонка «Фрукты».</x:v>
      </x:c>
      <x:c r="AC61" s="28" t="n">
        <x:v>1</x:v>
      </x:c>
      <x:c r="AD61" s="28" t="n">
        <x:v>2</x:v>
      </x:c>
    </x:row>
    <x:row r="62" ht="58" customHeight="1">
      <x:c r="A62" s="28" t="str">
        <x:v>CIT-0061</x:v>
      </x:c>
      <x:c r="B62" s="28" t="str">
        <x:v>Десерты и выпечка</x:v>
      </x:c>
      <x:c r="C62" s="28" t="str">
        <x:v>апельсин</x:v>
      </x:c>
      <x:c r="D62" s="28" t="str">
        <x:v>orange</x:v>
      </x:c>
      <x:c r="E62" s="28" t="str">
        <x:v>Цитрусовые</x:v>
      </x:c>
      <x:c r="F62" s="28" t="str">
        <x:v>обжаренный бразильский орех</x:v>
      </x:c>
      <x:c r="G62" s="28" t="str">
        <x:v>roasted Brazil nut</x:v>
      </x:c>
      <x:c r="H62" s="28" t="str">
        <x:v>Орехи и семена</x:v>
      </x:c>
      <x:c r="I62" s="28" t="str">
        <x:v>цитрусовый, сладко-фруктовый, цветочный, восковой</x:v>
      </x:c>
      <x:c r="J62" s="28" t="str">
        <x:v>ореховый, обжаренный, жирный, зелёный</x:v>
      </x:c>
      <x:c r="K62" s="28" t="str">
        <x:v>лимонен, линалол, деканаль, октаналь, мирцен</x:v>
      </x:c>
      <x:c r="L62" s="28" t="str">
        <x:v>пиразины, альдегиды окисления жиров, бензальдегид (миндаль)</x:v>
      </x:c>
      <x:c r="M62" s="28" t="str">
        <x:v>прямое семейное перекрытие не является главным механизмом</x:v>
      </x:c>
      <x:c r="N62" s="28" t="str">
        <x:v>надёжный общий маркер не заявлен; сочетание объясняется семействами и сенсорным балансом</x:v>
      </x:c>
      <x:c r="O62" s="28" t="str">
        <x:v>вкусовой баланс, влияние матрицы/растворимости</x:v>
      </x:c>
      <x:c r="P62" s="28" t="str">
        <x:v>Кислотность и лёгкая горечь цитруса снижают ощущение жирности; соль и умами, в свою очередь, делают фруктовую часть менее резкой.</x:v>
      </x:c>
      <x:c r="Q62" s="28" t="str">
        <x:v>нет выраженного; нет выраженного</x:v>
      </x:c>
      <x:c r="R62" s="28" t="str">
        <x:v>сок водный; цедра и ликёры несут гидрофобные эфирные масла; высокая жирность растворяет терпеновые масла цитруса</x:v>
      </x:c>
      <x:c r="S62"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62" s="28" t="str">
        <x:v>Апельсин формирует профиль «цитрусовый, сладко-фруктовый, цветочный, восковой»; характерные маркеры: лимонен, линалол, деканаль, октаналь, мирцен. Обжаренный бразильский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U62" s="28" t="str">
        <x:v>Избыток кислоты делает вкус плоско-резким; белая часть кожуры даёт лишнюю горечь.</x:v>
      </x:c>
      <x:c r="V62" s="28" t="str">
        <x:v>мёд или шоколад</x:v>
      </x:c>
      <x:c r="W62" s="28" t="str">
        <x:v>пралине, крем, выпечка, салат или ореховый соус</x:v>
      </x:c>
      <x:c r="X62" s="28" t="str">
        <x:v>десерты</x:v>
      </x:c>
      <x:c r="Y62" s="28" t="str">
        <x:v>Средняя</x:v>
      </x:c>
      <x:c r="Z62" s="28" t="str">
        <x:v>The Art &amp; Science of Foodpairing.pdf</x:v>
      </x:c>
      <x:c r="AA62" s="28" t="str">
        <x:v>The Art &amp; Science of Foodpairing.pdf: 236</x:v>
      </x:c>
      <x:c r="AB62" s="28" t="str">
        <x:v>Пара представлена в ароматической диаграмме Foodpairing на странице 236.</x:v>
      </x:c>
      <x:c r="AC62" s="28" t="n">
        <x:v>1</x:v>
      </x:c>
      <x:c r="AD62" s="28" t="n">
        <x:v>2</x:v>
      </x:c>
    </x:row>
    <x:row r="63" ht="58" customHeight="1">
      <x:c r="A63" s="28" t="str">
        <x:v>CIT-0062</x:v>
      </x:c>
      <x:c r="B63" s="28" t="str">
        <x:v>Еда и соусы</x:v>
      </x:c>
      <x:c r="C63" s="28" t="str">
        <x:v>апельсин</x:v>
      </x:c>
      <x:c r="D63" s="28" t="str">
        <x:v>апельсин</x:v>
      </x:c>
      <x:c r="E63" s="28" t="str">
        <x:v>Цитрусовые</x:v>
      </x:c>
      <x:c r="F63" s="28" t="str">
        <x:v>огурец</x:v>
      </x:c>
      <x:c r="G63" s="28" t="str">
        <x:v>Огурец</x:v>
      </x:c>
      <x:c r="H63" s="28" t="str">
        <x:v>Овощи</x:v>
      </x:c>
      <x:c r="I63" s="28" t="str">
        <x:v>цитрусовый, сладко-фруктовый, цветочный, восковой</x:v>
      </x:c>
      <x:c r="J63" s="28" t="str">
        <x:v>зелёный, землистый, растительный, иногда сернистый</x:v>
      </x:c>
      <x:c r="K63" s="28" t="str">
        <x:v>лимонен, линалол, деканаль, октаналь, мирцен</x:v>
      </x:c>
      <x:c r="L63" s="28" t="str">
        <x:v>C6-альдегиды, метоксипиразины, геосмин (землистые), сернистые соединения</x:v>
      </x:c>
      <x:c r="M63" s="28" t="str">
        <x:v>прямое семейное перекрытие не является главным механизмом</x:v>
      </x:c>
      <x:c r="N63" s="28" t="str">
        <x:v>надёжный общий маркер не заявлен; сочетание объясняется семействами и сенсорным балансом</x:v>
      </x:c>
      <x:c r="O63" s="28" t="str">
        <x:v>вкусовой баланс</x:v>
      </x:c>
      <x:c r="P63" s="28" t="str">
        <x:v>Кислота подчёркивает природную сладость овоща, сокращает землистое/сернистое послевкусие и повышает слюноотделение.</x:v>
      </x:c>
      <x:c r="Q63" s="28" t="str">
        <x:v>нет выраженного; нет выраженного</x:v>
      </x:c>
      <x:c r="R63" s="28" t="str">
        <x:v>сок водный; цедра и ликёры несут гидрофобные эфирные масла; водная/крахмальная матрица; масло помогает распределить цедру</x:v>
      </x:c>
      <x:c r="S6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3" s="28" t="str">
        <x:v>Апельсин формирует профиль «цитрусовый, сладко-фруктовый, цветочный, восковой»; характерные маркеры: лимонен, линалол, деканаль, октаналь, мирцен. Огурец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63" s="28" t="str">
        <x:v>Избыток кислоты делает вкус плоско-резким; белая часть кожуры даёт лишнюю горечь.</x:v>
      </x:c>
      <x:c r="V63" s="28" t="str">
        <x:v>оливковое масло или базилик</x:v>
      </x:c>
      <x:c r="W63" s="28" t="str">
        <x:v>винегрет, салат, пюре, запечённое блюдо или овощной соус</x:v>
      </x:c>
      <x:c r="X63" s="28" t="str">
        <x:v>еда, соусы/маринады</x:v>
      </x:c>
      <x:c r="Y63" s="28" t="str">
        <x:v>Гипотеза / практическая</x:v>
      </x:c>
      <x:c r="Z63" s="28" t="str">
        <x:v>Таблица сочетания(1).pdf</x:v>
      </x:c>
      <x:c r="AA63" s="28" t="str">
        <x:v>Таблица сочетания(1).pdf: 6</x:v>
      </x:c>
      <x:c r="AB63" s="28" t="str">
        <x:v>Пара указана в таблице: «Огурец» → колонка «Фрукты».</x:v>
      </x:c>
      <x:c r="AC63" s="28" t="n">
        <x:v>1</x:v>
      </x:c>
      <x:c r="AD63" s="28" t="n">
        <x:v>1</x:v>
      </x:c>
    </x:row>
    <x:row r="64" ht="58" customHeight="1">
      <x:c r="A64" s="28" t="str">
        <x:v>CIT-0063</x:v>
      </x:c>
      <x:c r="B64" s="28" t="str">
        <x:v>Универсальные</x:v>
      </x:c>
      <x:c r="C64" s="28" t="str">
        <x:v>апельсин</x:v>
      </x:c>
      <x:c r="D64" s="28" t="str">
        <x:v>апельсин</x:v>
      </x:c>
      <x:c r="E64" s="28" t="str">
        <x:v>Цитрусовые</x:v>
      </x:c>
      <x:c r="F64" s="28" t="str">
        <x:v>одуванчик</x:v>
      </x:c>
      <x:c r="G64" s="28" t="str">
        <x:v>Одуванчик</x:v>
      </x:c>
      <x:c r="H64" s="28" t="str">
        <x:v>Прочее</x:v>
      </x:c>
      <x:c r="I64" s="28" t="str">
        <x:v>цитрусовый, сладко-фруктовый, цветочный, восковой</x:v>
      </x:c>
      <x:c r="J64" s="28" t="str">
        <x:v>нейтральный/специфический</x:v>
      </x:c>
      <x:c r="K64" s="28" t="str">
        <x:v>лимонен, линалол, деканаль, октаналь, мирцен</x:v>
      </x:c>
      <x:c r="L64" s="28" t="str">
        <x:v>нужен профиль конкретного продукта</x:v>
      </x:c>
      <x:c r="M64" s="28" t="str">
        <x:v>прямое семейное перекрытие не является главным механизмом</x:v>
      </x:c>
      <x:c r="N64" s="28" t="str">
        <x:v>надёжный общий маркер не заявлен; сочетание объясняется семействами и сенсорным балансом</x:v>
      </x:c>
      <x:c r="O64" s="28" t="str">
        <x:v>вкусовой баланс, тройничное восприятие</x:v>
      </x:c>
      <x:c r="P64" s="28" t="str">
        <x:v>Основной эффект определяется ароматическим контрастом и добавлением кислотной свежести; точный баланс зависит от дозировки и матрицы.</x:v>
      </x:c>
      <x:c r="Q64" s="28" t="str">
        <x:v>нет выраженного; нет данных</x:v>
      </x:c>
      <x:c r="R64" s="28" t="str">
        <x:v>сок водный; цедра и ликёры несут гидрофобные эфирные масла; зависит от формы продукта</x:v>
      </x:c>
      <x:c r="S6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4" s="28" t="str">
        <x:v>Апельсин формирует профиль «цитрусовый, сладко-фруктовый, цветочный, восковой»; характерные маркеры: лимонен, линалол, деканаль, октаналь, мирцен. Одуванчик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64" s="28" t="str">
        <x:v>Избыток кислоты делает вкус плоско-резким; белая часть кожуры даёт лишнюю горечь.</x:v>
      </x:c>
      <x:c r="V64" s="28" t="str">
        <x:v>мёд или нейтральная жировая основа</x:v>
      </x:c>
      <x:c r="W64" s="28" t="str">
        <x:v>соус, напиток или десерт после пробной дегустации</x:v>
      </x:c>
      <x:c r="X64" s="28" t="str">
        <x:v>универсальное</x:v>
      </x:c>
      <x:c r="Y64" s="28" t="str">
        <x:v>Гипотеза / практическая</x:v>
      </x:c>
      <x:c r="Z64" s="28" t="str">
        <x:v>Таблица сочетания(1).pdf</x:v>
      </x:c>
      <x:c r="AA64" s="28" t="str">
        <x:v>Таблица сочетания(1).pdf: 6</x:v>
      </x:c>
      <x:c r="AB64" s="28" t="str">
        <x:v>Пара указана в таблице: «Одуванчик» → колонка «Фрукты».</x:v>
      </x:c>
      <x:c r="AC64" s="28" t="n">
        <x:v>1</x:v>
      </x:c>
      <x:c r="AD64" s="28" t="n">
        <x:v>1</x:v>
      </x:c>
    </x:row>
    <x:row r="65" ht="58" customHeight="1">
      <x:c r="A65" s="28" t="str">
        <x:v>CIT-0064</x:v>
      </x:c>
      <x:c r="B65" s="28" t="str">
        <x:v>Универсальные</x:v>
      </x:c>
      <x:c r="C65" s="28" t="str">
        <x:v>апельсин</x:v>
      </x:c>
      <x:c r="D65" s="28" t="str">
        <x:v>апельсин</x:v>
      </x:c>
      <x:c r="E65" s="28" t="str">
        <x:v>Цитрусовые</x:v>
      </x:c>
      <x:c r="F65" s="28" t="str">
        <x:v>олива</x:v>
      </x:c>
      <x:c r="G65" s="28" t="str">
        <x:v>Олива</x:v>
      </x:c>
      <x:c r="H65" s="28" t="str">
        <x:v>Прочее</x:v>
      </x:c>
      <x:c r="I65" s="28" t="str">
        <x:v>цитрусовый, сладко-фруктовый, цветочный, восковой</x:v>
      </x:c>
      <x:c r="J65" s="28" t="str">
        <x:v>нейтральный/специфический</x:v>
      </x:c>
      <x:c r="K65" s="28" t="str">
        <x:v>лимонен, линалол, деканаль, октаналь, мирцен</x:v>
      </x:c>
      <x:c r="L65" s="28" t="str">
        <x:v>нужен профиль конкретного продукта</x:v>
      </x:c>
      <x:c r="M65" s="28" t="str">
        <x:v>прямое семейное перекрытие не является главным механизмом</x:v>
      </x:c>
      <x:c r="N65" s="28" t="str">
        <x:v>надёжный общий маркер не заявлен; сочетание объясняется семействами и сенсорным балансом</x:v>
      </x:c>
      <x:c r="O65" s="28" t="str">
        <x:v>вкусовой баланс, тройничное восприятие</x:v>
      </x:c>
      <x:c r="P65" s="28" t="str">
        <x:v>Основной эффект определяется ароматическим контрастом и добавлением кислотной свежести; точный баланс зависит от дозировки и матрицы.</x:v>
      </x:c>
      <x:c r="Q65" s="28" t="str">
        <x:v>нет выраженного; нет данных</x:v>
      </x:c>
      <x:c r="R65" s="28" t="str">
        <x:v>сок водный; цедра и ликёры несут гидрофобные эфирные масла; зависит от формы продукта</x:v>
      </x:c>
      <x:c r="S6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5" s="28" t="str">
        <x:v>Апельсин формирует профиль «цитрусовый, сладко-фруктовый, цветочный, восковой»; характерные маркеры: лимонен, линалол, деканаль, октаналь, мирцен. Олива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65" s="28" t="str">
        <x:v>Избыток кислоты делает вкус плоско-резким; белая часть кожуры даёт лишнюю горечь.</x:v>
      </x:c>
      <x:c r="V65" s="28" t="str">
        <x:v>мёд или нейтральная жировая основа</x:v>
      </x:c>
      <x:c r="W65" s="28" t="str">
        <x:v>соус, напиток или десерт после пробной дегустации</x:v>
      </x:c>
      <x:c r="X65" s="28" t="str">
        <x:v>универсальное</x:v>
      </x:c>
      <x:c r="Y65" s="28" t="str">
        <x:v>Гипотеза / практическая</x:v>
      </x:c>
      <x:c r="Z65" s="28" t="str">
        <x:v>Таблица сочетания(1).pdf</x:v>
      </x:c>
      <x:c r="AA65" s="28" t="str">
        <x:v>Таблица сочетания(1).pdf: 14</x:v>
      </x:c>
      <x:c r="AB65" s="28" t="str">
        <x:v>Пара указана в таблице: «Олива» → колонка «Фрукты».</x:v>
      </x:c>
      <x:c r="AC65" s="28" t="n">
        <x:v>1</x:v>
      </x:c>
      <x:c r="AD65" s="28" t="n">
        <x:v>1</x:v>
      </x:c>
    </x:row>
    <x:row r="66" ht="58" customHeight="1">
      <x:c r="A66" s="28" t="str">
        <x:v>CIT-0065</x:v>
      </x:c>
      <x:c r="B66" s="28" t="str">
        <x:v>Универсальные</x:v>
      </x:c>
      <x:c r="C66" s="28" t="str">
        <x:v>апельсин</x:v>
      </x:c>
      <x:c r="D66" s="28" t="str">
        <x:v>Апельсин | апельсин</x:v>
      </x:c>
      <x:c r="E66" s="28" t="str">
        <x:v>Цитрусовые</x:v>
      </x:c>
      <x:c r="F66" s="28" t="str">
        <x:v>оливки</x:v>
      </x:c>
      <x:c r="G66" s="28" t="str">
        <x:v>Оливки | оливки</x:v>
      </x:c>
      <x:c r="H66" s="28" t="str">
        <x:v>Прочее</x:v>
      </x:c>
      <x:c r="I66" s="28" t="str">
        <x:v>цитрусовый, сладко-фруктовый, цветочный, восковой</x:v>
      </x:c>
      <x:c r="J66" s="28" t="str">
        <x:v>нейтральный/специфический</x:v>
      </x:c>
      <x:c r="K66" s="28" t="str">
        <x:v>лимонен, линалол, деканаль, октаналь, мирцен</x:v>
      </x:c>
      <x:c r="L66" s="28" t="str">
        <x:v>нужен профиль конкретного продукта</x:v>
      </x:c>
      <x:c r="M66" s="28" t="str">
        <x:v>прямое семейное перекрытие не является главным механизмом</x:v>
      </x:c>
      <x:c r="N66" s="28" t="str">
        <x:v>надёжный общий маркер не заявлен; сочетание объясняется семействами и сенсорным балансом</x:v>
      </x:c>
      <x:c r="O66" s="28" t="str">
        <x:v>вкусовой баланс, тройничное восприятие</x:v>
      </x:c>
      <x:c r="P66" s="28" t="str">
        <x:v>Основной эффект определяется ароматическим контрастом и добавлением кислотной свежести; точный баланс зависит от дозировки и матрицы.</x:v>
      </x:c>
      <x:c r="Q66" s="28" t="str">
        <x:v>нет выраженного; нет данных</x:v>
      </x:c>
      <x:c r="R66" s="28" t="str">
        <x:v>сок водный; цедра и ликёры несут гидрофобные эфирные масла; зависит от формы продукта</x:v>
      </x:c>
      <x:c r="S6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6" s="28" t="str">
        <x:v>Апельсин формирует профиль «цитрусовый, сладко-фруктовый, цветочный, восковой»; характерные маркеры: лимонен, линалол, деканаль, октаналь, мирцен. Оливки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66" s="28" t="str">
        <x:v>Избыток кислоты делает вкус плоско-резким; белая часть кожуры даёт лишнюю горечь.</x:v>
      </x:c>
      <x:c r="V66" s="28" t="str">
        <x:v>мёд или нейтральная жировая основа</x:v>
      </x:c>
      <x:c r="W66" s="28" t="str">
        <x:v>соус, напиток или десерт после пробной дегустации</x:v>
      </x:c>
      <x:c r="X66" s="28" t="str">
        <x:v>универсальное</x:v>
      </x:c>
      <x:c r="Y66" s="28" t="str">
        <x:v>Высокая</x:v>
      </x:c>
      <x:c r="Z66" s="28" t="str">
        <x:v>Тезариус вкусов (Ники Сегнит)(1).pdf</x:v>
      </x:c>
      <x:c r="AA66" s="28" t="str">
        <x:v>Тезариус вкусов (Ники Сегнит)(1).pdf: 464, 778</x:v>
      </x:c>
      <x:c r="AB66" s="28" t="str">
        <x:v>В 1932 году вышла книга ита- льянского поэта Филиппо Томмазо Маринетти «Поваренная книга футуриста» (La Cucina Futurista). Она стала итогом нескольких лет путешествий Маринетти по Европе с организацией банкетов, на которых подавались блюда с дикими сочетаниями вкусов и соответствующими названиями, например «Возбужденная свинья» (Excited Pig), «Эластичный кекс» (Elasticake), «Стальной цыпленок» (Steel Chicken), «Пикантный аэропорт» (Piquant Airport). Мое любимое блюдо называется Aerofood. На фоне</x:v>
      </x:c>
      <x:c r="AC66" s="28" t="n">
        <x:v>1</x:v>
      </x:c>
      <x:c r="AD66" s="28" t="n">
        <x:v>2</x:v>
      </x:c>
    </x:row>
    <x:row r="67" ht="58" customHeight="1">
      <x:c r="A67" s="28" t="str">
        <x:v>CIT-0066</x:v>
      </x:c>
      <x:c r="B67" s="28" t="str">
        <x:v>Еда и соусы</x:v>
      </x:c>
      <x:c r="C67" s="28" t="str">
        <x:v>апельсин</x:v>
      </x:c>
      <x:c r="D67" s="28" t="str">
        <x:v>orange</x:v>
      </x:c>
      <x:c r="E67" s="28" t="str">
        <x:v>Цитрусовые</x:v>
      </x:c>
      <x:c r="F67" s="28" t="str">
        <x:v>отварной кабачок</x:v>
      </x:c>
      <x:c r="G67" s="28" t="str">
        <x:v>boiled courgette</x:v>
      </x:c>
      <x:c r="H67" s="28" t="str">
        <x:v>Овощи</x:v>
      </x:c>
      <x:c r="I67" s="28" t="str">
        <x:v>цитрусовый, сладко-фруктовый, цветочный, восковой</x:v>
      </x:c>
      <x:c r="J67" s="28" t="str">
        <x:v>зелёный, землистый, растительный, иногда сернистый</x:v>
      </x:c>
      <x:c r="K67" s="28" t="str">
        <x:v>лимонен, линалол, деканаль, октаналь, мирцен</x:v>
      </x:c>
      <x:c r="L67" s="28" t="str">
        <x:v>C6-альдегиды, метоксипиразины, геосмин (землистые), сернистые соединения</x:v>
      </x:c>
      <x:c r="M67" s="28" t="str">
        <x:v>прямое семейное перекрытие не является главным механизмом</x:v>
      </x:c>
      <x:c r="N67" s="28" t="str">
        <x:v>надёжный общий маркер не заявлен; сочетание объясняется семействами и сенсорным балансом</x:v>
      </x:c>
      <x:c r="O67" s="28" t="str">
        <x:v>вкусовой баланс</x:v>
      </x:c>
      <x:c r="P67" s="28" t="str">
        <x:v>Кислота подчёркивает природную сладость овоща, сокращает землистое/сернистое послевкусие и повышает слюноотделение.</x:v>
      </x:c>
      <x:c r="Q67" s="28" t="str">
        <x:v>нет выраженного; нет выраженного</x:v>
      </x:c>
      <x:c r="R67" s="28" t="str">
        <x:v>сок водный; цедра и ликёры несут гидрофобные эфирные масла; водная/крахмальная матрица; масло помогает распределить цедру</x:v>
      </x:c>
      <x:c r="S6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7" s="28" t="str">
        <x:v>Апельсин формирует профиль «цитрусовый, сладко-фруктовый, цветочный, восковой»; характерные маркеры: лимонен, линалол, деканаль, октаналь, мирцен. Отварной кабачок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67" s="28" t="str">
        <x:v>Избыток кислоты делает вкус плоско-резким; белая часть кожуры даёт лишнюю горечь.</x:v>
      </x:c>
      <x:c r="V67" s="28" t="str">
        <x:v>оливковое масло или базилик</x:v>
      </x:c>
      <x:c r="W67" s="28" t="str">
        <x:v>винегрет, салат, пюре, запечённое блюдо или овощной соус</x:v>
      </x:c>
      <x:c r="X67" s="28" t="str">
        <x:v>еда, соусы/маринады</x:v>
      </x:c>
      <x:c r="Y67" s="28" t="str">
        <x:v>Средняя</x:v>
      </x:c>
      <x:c r="Z67" s="28" t="str">
        <x:v>The Art &amp; Science of Foodpairing.pdf</x:v>
      </x:c>
      <x:c r="AA67" s="28" t="str">
        <x:v>The Art &amp; Science of Foodpairing.pdf: 332</x:v>
      </x:c>
      <x:c r="AB67" s="28" t="str">
        <x:v>Пара представлена в ароматической диаграмме Foodpairing на странице 332.</x:v>
      </x:c>
      <x:c r="AC67" s="28" t="n">
        <x:v>1</x:v>
      </x:c>
      <x:c r="AD67" s="28" t="n">
        <x:v>1</x:v>
      </x:c>
    </x:row>
    <x:row r="68" ht="58" customHeight="1">
      <x:c r="A68" s="28" t="str">
        <x:v>CIT-0067</x:v>
      </x:c>
      <x:c r="B68" s="28" t="str">
        <x:v>Десерты и выпечка</x:v>
      </x:c>
      <x:c r="C68" s="28" t="str">
        <x:v>апельсин</x:v>
      </x:c>
      <x:c r="D68" s="28" t="str">
        <x:v>апельсин</x:v>
      </x:c>
      <x:c r="E68" s="28" t="str">
        <x:v>Цитрусовые</x:v>
      </x:c>
      <x:c r="F68" s="28" t="str">
        <x:v>папайя</x:v>
      </x:c>
      <x:c r="G68" s="28" t="str">
        <x:v>Папайя</x:v>
      </x:c>
      <x:c r="H68" s="28" t="str">
        <x:v>Тропические фрукты</x:v>
      </x:c>
      <x:c r="I68" s="28" t="str">
        <x:v>цитрусовый, сладко-фруктовый, цветочный, восковой</x:v>
      </x:c>
      <x:c r="J68" s="28" t="str">
        <x:v>фруктовый, тропический, цветочный, сливочный</x:v>
      </x:c>
      <x:c r="K68" s="28" t="str">
        <x:v>лимонен, линалол, деканаль, октаналь, мирцен</x:v>
      </x:c>
      <x:c r="L68" s="28" t="str">
        <x:v>этилбутират, гексилацетат, лактоны, сернистые тиолы (у части фруктов)</x:v>
      </x:c>
      <x:c r="M68" s="28" t="str">
        <x:v>цветочный</x:v>
      </x:c>
      <x:c r="N68" s="28" t="str">
        <x:v>надёжный общий маркер не заявлен; сочетание объясняется семействами и сенсорным балансом</x:v>
      </x:c>
      <x:c r="O68" s="28" t="str">
        <x:v>перекрытие ароматических семейств, вкусовой баланс</x:v>
      </x:c>
      <x:c r="P68" s="28" t="str">
        <x:v>Общая фруктовая сладость и летучие эфиры создают непрерывный ароматический профиль, а цитрусовая кислота повышает контраст и свежесть.</x:v>
      </x:c>
      <x:c r="Q68" s="28" t="str">
        <x:v>нет выраженного; нет выраженного</x:v>
      </x:c>
      <x:c r="R68" s="28" t="str">
        <x:v>сок водный; цедра и ликёры несут гидрофобные эфирные масла; сочная или кремовая фруктовая матрица</x:v>
      </x:c>
      <x:c r="S6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8" s="28" t="str">
        <x:v>Апельсин формирует профиль «цитрусовый, сладко-фруктовый, цветочный, восковой»; характерные маркеры: лимонен, линалол, деканаль, октаналь, мирцен. Папайя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68" s="28" t="str">
        <x:v>Избыток кислоты делает вкус плоско-резким; белая часть кожуры даёт лишнюю горечь.</x:v>
      </x:c>
      <x:c r="V68" s="28" t="str">
        <x:v>кокос или имбирь</x:v>
      </x:c>
      <x:c r="W68" s="28" t="str">
        <x:v>смузи, кордиал, сорбет, чатни или коктейль</x:v>
      </x:c>
      <x:c r="X68" s="28" t="str">
        <x:v>напитки, десерты</x:v>
      </x:c>
      <x:c r="Y68" s="28" t="str">
        <x:v>Гипотеза / практическая</x:v>
      </x:c>
      <x:c r="Z68" s="28" t="str">
        <x:v>Таблица сочетания(1).pdf</x:v>
      </x:c>
      <x:c r="AA68" s="28" t="str">
        <x:v>Таблица сочетания(1).pdf: 15</x:v>
      </x:c>
      <x:c r="AB68" s="28" t="str">
        <x:v>Пара указана в таблице: «Папайя» → колонка «Фрукты».</x:v>
      </x:c>
      <x:c r="AC68" s="28" t="n">
        <x:v>1</x:v>
      </x:c>
      <x:c r="AD68" s="28" t="n">
        <x:v>1</x:v>
      </x:c>
    </x:row>
    <x:row r="69" ht="58" customHeight="1">
      <x:c r="A69" s="28" t="str">
        <x:v>CIT-0068</x:v>
      </x:c>
      <x:c r="B69" s="28" t="str">
        <x:v>Десерты и выпечка</x:v>
      </x:c>
      <x:c r="C69" s="28" t="str">
        <x:v>апельсин</x:v>
      </x:c>
      <x:c r="D69" s="28" t="str">
        <x:v>Апельсин | апельсин</x:v>
      </x:c>
      <x:c r="E69" s="28" t="str">
        <x:v>Цитрусовые</x:v>
      </x:c>
      <x:c r="F69" s="28" t="str">
        <x:v>персик</x:v>
      </x:c>
      <x:c r="G69" s="28" t="str">
        <x:v>Персик | персик</x:v>
      </x:c>
      <x:c r="H69" s="28" t="str">
        <x:v>Косточковые фрукты</x:v>
      </x:c>
      <x:c r="I69" s="28" t="str">
        <x:v>цитрусовый, сладко-фруктовый, цветочный, восковой</x:v>
      </x:c>
      <x:c r="J69" s="28" t="str">
        <x:v>фруктовый, цветочный, сливочный, миндальный</x:v>
      </x:c>
      <x:c r="K69" s="28" t="str">
        <x:v>лимонен, линалол, деканаль, октаналь, мирцен</x:v>
      </x:c>
      <x:c r="L69" s="28" t="str">
        <x:v>гамма- и дельта-лактоны, бензальдегид, дамасценон</x:v>
      </x:c>
      <x:c r="M69" s="28" t="str">
        <x:v>цветочный</x:v>
      </x:c>
      <x:c r="N69" s="28" t="str">
        <x:v>надёжный общий маркер не заявлен; сочетание объясняется семействами и сенсорным балансом</x:v>
      </x:c>
      <x:c r="O69" s="28" t="str">
        <x:v>перекрытие ароматических семейств, вкусовой баланс</x:v>
      </x:c>
      <x:c r="P69" s="28" t="str">
        <x:v>Общая фруктовая сладость и летучие эфиры создают непрерывный ароматический профиль, а цитрусовая кислота повышает контраст и свежесть.</x:v>
      </x:c>
      <x:c r="Q69" s="28" t="str">
        <x:v>нет выраженного; нет выраженного</x:v>
      </x:c>
      <x:c r="R69" s="28" t="str">
        <x:v>сок водный; цедра и ликёры несут гидрофобные эфирные масла; сочная матрица; лактоны лучше ощущаются в жирной/сливочной среде</x:v>
      </x:c>
      <x:c r="S6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9" s="28" t="str">
        <x:v>Апельсин формирует профиль «цитрусовый, сладко-фруктовый, цветочный, восковой»; характерные маркеры: лимонен, линалол, деканаль, октаналь, мирцен. Персик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добавляет кислотность, а лактоны смягчают его резкость.</x:v>
      </x:c>
      <x:c r="U69" s="28" t="str">
        <x:v>Избыток кислоты делает вкус плоско-резким; белая часть кожуры даёт лишнюю горечь.</x:v>
      </x:c>
      <x:c r="V69" s="28" t="str">
        <x:v>миндаль или ваниль</x:v>
      </x:c>
      <x:c r="W69" s="28" t="str">
        <x:v>тарт, сорбет, джем или фруктовый соус</x:v>
      </x:c>
      <x:c r="X69" s="28" t="str">
        <x:v>десерты</x:v>
      </x:c>
      <x:c r="Y69" s="28" t="str">
        <x:v>Гипотеза / практическая</x:v>
      </x:c>
      <x:c r="Z69" s="28" t="str">
        <x:v>Тезариус вкусов (Ники Сегнит)(1).pdf</x:v>
      </x:c>
      <x:c r="AA69" s="28" t="str">
        <x:v>Тезариус вкусов (Ники Сегнит)(1).pdf: 747, 779</x:v>
      </x:c>
      <x:c r="AB69" s="28" t="str">
        <x:v>Апельсин делает вкус персика ярче. Пример – коктейль Fuzzy Navel («Волосатый пупок»), который делают из апельсинового сока и персикового шнапса.</x:v>
      </x:c>
      <x:c r="AC69" s="28" t="n">
        <x:v>1</x:v>
      </x:c>
      <x:c r="AD69" s="28" t="n">
        <x:v>2</x:v>
      </x:c>
    </x:row>
    <x:row r="70" ht="58" customHeight="1">
      <x:c r="A70" s="28" t="str">
        <x:v>CIT-0069</x:v>
      </x:c>
      <x:c r="B70" s="28" t="str">
        <x:v>Десерты и выпечка</x:v>
      </x:c>
      <x:c r="C70" s="28" t="str">
        <x:v>апельсин</x:v>
      </x:c>
      <x:c r="D70" s="28" t="str">
        <x:v>orange</x:v>
      </x:c>
      <x:c r="E70" s="28" t="str">
        <x:v>Цитрусовые</x:v>
      </x:c>
      <x:c r="F70" s="28" t="str">
        <x:v>польский голубой сыр</x:v>
      </x:c>
      <x:c r="G70" s="28" t="str">
        <x:v>Polish blue cheese</x:v>
      </x:c>
      <x:c r="H70" s="28" t="str">
        <x:v>Молочные продукты</x:v>
      </x:c>
      <x:c r="I70" s="28" t="str">
        <x:v>цитрусовый, сладко-фруктовый, цветочный, восковой</x:v>
      </x:c>
      <x:c r="J70" s="28" t="str">
        <x:v>сливочный, молочный, масляный, иногда животный</x:v>
      </x:c>
      <x:c r="K70" s="28" t="str">
        <x:v>лимонен, линалол, деканаль, октаналь, мирцен</x:v>
      </x:c>
      <x:c r="L70" s="28" t="str">
        <x:v>диацетил, молочные лактоны, свободные жирные кислоты</x:v>
      </x:c>
      <x:c r="M70" s="28" t="str">
        <x:v>прямое семейное перекрытие не является главным механизмом</x:v>
      </x:c>
      <x:c r="N70" s="28" t="str">
        <x:v>надёжный общий маркер не заявлен; сочетание объясняется семействами и сенсорным балансом</x:v>
      </x:c>
      <x:c r="O70" s="28" t="str">
        <x:v>вкусовой баланс, влияние матрицы/растворимости</x:v>
      </x:c>
      <x:c r="P70" s="28" t="str">
        <x:v>Кислотность и лёгкая горечь цитруса снижают ощущение жирности; соль и умами, в свою очередь, делают фруктовую часть менее резкой.</x:v>
      </x:c>
      <x:c r="Q70" s="28" t="str">
        <x:v>нет выраженного; нет выраженного</x:v>
      </x:c>
      <x:c r="R70" s="28" t="str">
        <x:v>сок водный; цедра и ликёры несут гидрофобные эфирные масла; жир растворяет терпены; кислота цитруса может коагулировать молочный белок</x:v>
      </x:c>
      <x:c r="S70"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70" s="28" t="str">
        <x:v>Апельсин формирует профиль «цитрусовый, сладко-фруктовый, цветочный, восковой»; характерные маркеры: лимонен, линалол, деканаль, октаналь, мирцен. Польский голубой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U70" s="28" t="str">
        <x:v>Избыток кислоты делает вкус плоско-резким; белая часть кожуры даёт лишнюю горечь; возможна коагуляция белка.</x:v>
      </x:c>
      <x:c r="V70" s="28" t="str">
        <x:v>мёд или ваниль</x:v>
      </x:c>
      <x:c r="W70" s="28" t="str">
        <x:v>чизкейк, крем, мороженое, соус или салат</x:v>
      </x:c>
      <x:c r="X70" s="28" t="str">
        <x:v>десерты, еда</x:v>
      </x:c>
      <x:c r="Y70" s="28" t="str">
        <x:v>Средняя</x:v>
      </x:c>
      <x:c r="Z70" s="28" t="str">
        <x:v>The Art &amp; Science of Foodpairing.pdf</x:v>
      </x:c>
      <x:c r="AA70" s="28" t="str">
        <x:v>The Art &amp; Science of Foodpairing.pdf: 236</x:v>
      </x:c>
      <x:c r="AB70" s="28" t="str">
        <x:v>Пара представлена в ароматической диаграмме Foodpairing на странице 236.</x:v>
      </x:c>
      <x:c r="AC70" s="28" t="n">
        <x:v>1</x:v>
      </x:c>
      <x:c r="AD70" s="28" t="n">
        <x:v>2</x:v>
      </x:c>
    </x:row>
    <x:row r="71" ht="58" customHeight="1">
      <x:c r="A71" s="28" t="str">
        <x:v>CIT-0070</x:v>
      </x:c>
      <x:c r="B71" s="28" t="str">
        <x:v>Универсальные</x:v>
      </x:c>
      <x:c r="C71" s="28" t="str">
        <x:v>апельсин</x:v>
      </x:c>
      <x:c r="D71" s="28" t="str">
        <x:v>Апельсин | апельсин</x:v>
      </x:c>
      <x:c r="E71" s="28" t="str">
        <x:v>Цитрусовые</x:v>
      </x:c>
      <x:c r="F71" s="28" t="str">
        <x:v>ревень</x:v>
      </x:c>
      <x:c r="G71" s="28" t="str">
        <x:v>Ревень | ревень</x:v>
      </x:c>
      <x:c r="H71" s="28" t="str">
        <x:v>Прочее</x:v>
      </x:c>
      <x:c r="I71" s="28" t="str">
        <x:v>цитрусовый, сладко-фруктовый, цветочный, восковой</x:v>
      </x:c>
      <x:c r="J71" s="28" t="str">
        <x:v>нейтральный/специфический</x:v>
      </x:c>
      <x:c r="K71" s="28" t="str">
        <x:v>лимонен, линалол, деканаль, октаналь, мирцен</x:v>
      </x:c>
      <x:c r="L71" s="28" t="str">
        <x:v>нужен профиль конкретного продукта</x:v>
      </x:c>
      <x:c r="M71" s="28" t="str">
        <x:v>прямое семейное перекрытие не является главным механизмом</x:v>
      </x:c>
      <x:c r="N71" s="28" t="str">
        <x:v>надёжный общий маркер не заявлен; сочетание объясняется семействами и сенсорным балансом</x:v>
      </x:c>
      <x:c r="O71" s="28" t="str">
        <x:v>вкусовой баланс, тройничное восприятие</x:v>
      </x:c>
      <x:c r="P71" s="28" t="str">
        <x:v>Основной эффект определяется ароматическим контрастом и добавлением кислотной свежести; точный баланс зависит от дозировки и матрицы.</x:v>
      </x:c>
      <x:c r="Q71" s="28" t="str">
        <x:v>нет выраженного; нет данных</x:v>
      </x:c>
      <x:c r="R71" s="28" t="str">
        <x:v>сок водный; цедра и ликёры несут гидрофобные эфирные масла; зависит от формы продукта</x:v>
      </x:c>
      <x:c r="S7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1" s="28" t="str">
        <x:v>Апельсин формирует профиль «цитрусовый, сладко-фруктовый, цветочный, восковой»; характерные маркеры: лимонен, линалол, деканаль, октаналь, мирцен. Ревень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71" s="28" t="str">
        <x:v>Избыток кислоты делает вкус плоско-резким; белая часть кожуры даёт лишнюю горечь.</x:v>
      </x:c>
      <x:c r="V71" s="28" t="str">
        <x:v>мёд или нейтральная жировая основа</x:v>
      </x:c>
      <x:c r="W71" s="28" t="str">
        <x:v>соус, напиток или десерт после пробной дегустации</x:v>
      </x:c>
      <x:c r="X71" s="28" t="str">
        <x:v>универсальное</x:v>
      </x:c>
      <x:c r="Y71" s="28" t="str">
        <x:v>Высокая</x:v>
      </x:c>
      <x:c r="Z71" s="28" t="str">
        <x:v>Таблица сочетания(1).pdf | Тезариус вкусов (Ники Сегнит)(1).pdf</x:v>
      </x:c>
      <x:c r="AA71" s="28" t="str">
        <x:v>Таблица сочетания(1).pdf: 14, 19 | Тезариус вкусов (Ники Сегнит)(1).pdf: 670, 779</x:v>
      </x:c>
      <x:c r="AB71" s="28" t="str">
        <x:v>Апельсиновую цедру часто сочетают с ревенем, особенно в крамблах, – но не на моей кухне. Мне польза от такого сочетания представляется сомнительной: суперкислый ревень и воинственная цедра апельсина «тянут» вкус в разные стороны; это такой вкусовой эквивалент человека, который одновременно похлопывает себя по голове и потирает живот. Даже в том случае, если ревень приготовлен с более мягким апельсиновым соком, который не демонстрирует напористой горечи цедры, мой язык не обнаруживает в этом соче</x:v>
      </x:c>
      <x:c r="AC71" s="28" t="n">
        <x:v>2</x:v>
      </x:c>
      <x:c r="AD71" s="28" t="n">
        <x:v>4</x:v>
      </x:c>
    </x:row>
    <x:row r="72" ht="58" customHeight="1">
      <x:c r="A72" s="28" t="str">
        <x:v>CIT-0071</x:v>
      </x:c>
      <x:c r="B72" s="28" t="str">
        <x:v>Универсальные</x:v>
      </x:c>
      <x:c r="C72" s="28" t="str">
        <x:v>апельсин</x:v>
      </x:c>
      <x:c r="D72" s="28" t="str">
        <x:v>Апельсин | апельсин</x:v>
      </x:c>
      <x:c r="E72" s="28" t="str">
        <x:v>Цитрусовые</x:v>
      </x:c>
      <x:c r="F72" s="28" t="str">
        <x:v>роза</x:v>
      </x:c>
      <x:c r="G72" s="28" t="str">
        <x:v>Роза | роза</x:v>
      </x:c>
      <x:c r="H72" s="28" t="str">
        <x:v>Прочее</x:v>
      </x:c>
      <x:c r="I72" s="28" t="str">
        <x:v>цитрусовый, сладко-фруктовый, цветочный, восковой</x:v>
      </x:c>
      <x:c r="J72" s="28" t="str">
        <x:v>нейтральный/специфический</x:v>
      </x:c>
      <x:c r="K72" s="28" t="str">
        <x:v>лимонен, линалол, деканаль, октаналь, мирцен</x:v>
      </x:c>
      <x:c r="L72" s="28" t="str">
        <x:v>нужен профиль конкретного продукта</x:v>
      </x:c>
      <x:c r="M72" s="28" t="str">
        <x:v>прямое семейное перекрытие не является главным механизмом</x:v>
      </x:c>
      <x:c r="N72" s="28" t="str">
        <x:v>надёжный общий маркер не заявлен; сочетание объясняется семействами и сенсорным балансом</x:v>
      </x:c>
      <x:c r="O72" s="28" t="str">
        <x:v>вкусовой баланс, тройничное восприятие</x:v>
      </x:c>
      <x:c r="P72" s="28" t="str">
        <x:v>Основной эффект определяется ароматическим контрастом и добавлением кислотной свежести; точный баланс зависит от дозировки и матрицы.</x:v>
      </x:c>
      <x:c r="Q72" s="28" t="str">
        <x:v>нет выраженного; нет данных</x:v>
      </x:c>
      <x:c r="R72" s="28" t="str">
        <x:v>сок водный; цедра и ликёры несут гидрофобные эфирные масла; зависит от формы продукта</x:v>
      </x:c>
      <x:c r="S7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2" s="28" t="str">
        <x:v>Апельсин формирует профиль «цитрусовый, сладко-фруктовый, цветочный, восковой»; характерные маркеры: лимонен, линалол, деканаль, октаналь, мирцен. Роза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72" s="28" t="str">
        <x:v>Избыток кислоты делает вкус плоско-резким; белая часть кожуры даёт лишнюю горечь.</x:v>
      </x:c>
      <x:c r="V72" s="28" t="str">
        <x:v>мёд или нейтральная жировая основа</x:v>
      </x:c>
      <x:c r="W72" s="28" t="str">
        <x:v>соус, напиток или десерт после пробной дегустации</x:v>
      </x:c>
      <x:c r="X72" s="28" t="str">
        <x:v>универсальное</x:v>
      </x:c>
      <x:c r="Y72" s="28" t="str">
        <x:v>Высокая</x:v>
      </x:c>
      <x:c r="Z72" s="28" t="str">
        <x:v>Тезариус вкусов (Ники Сегнит)(1).pdf</x:v>
      </x:c>
      <x:c r="AA72" s="28" t="str">
        <x:v>Тезариус вкусов (Ники Сегнит)(1).pdf: 779, 899</x:v>
      </x:c>
      <x:c r="AB72" s="28" t="str">
        <x:v>Вода из цветков апельсина и розовая вода в рецептах часто рассматриваются как взаимозаменяемые. Это не удивительно, поскольку цветочные ноты доминируют в обеих жидкостях. Однако в апельсиновой воде, которая делается из цветков горького (севильского) апельсина, присутствуют еще и цитрусовые ноты. Хорошую цветочную воду делают в Иране и Ливане, где небольшая компания Mymoune применяет традиционные методы дистилляции и не использует никаких искусственных ингредиентов. Ключ к применению обеих состои</x:v>
      </x:c>
      <x:c r="AC72" s="28" t="n">
        <x:v>1</x:v>
      </x:c>
      <x:c r="AD72" s="28" t="n">
        <x:v>2</x:v>
      </x:c>
    </x:row>
    <x:row r="73" ht="58" customHeight="1">
      <x:c r="A73" s="28" t="str">
        <x:v>CIT-0072</x:v>
      </x:c>
      <x:c r="B73" s="28" t="str">
        <x:v>Универсальные</x:v>
      </x:c>
      <x:c r="C73" s="28" t="str">
        <x:v>апельсин</x:v>
      </x:c>
      <x:c r="D73" s="28" t="str">
        <x:v>Апельсин | апельсин</x:v>
      </x:c>
      <x:c r="E73" s="28" t="str">
        <x:v>Цитрусовые</x:v>
      </x:c>
      <x:c r="F73" s="28" t="str">
        <x:v>розмарин</x:v>
      </x:c>
      <x:c r="G73" s="28" t="str">
        <x:v>Розмарин | розмарин</x:v>
      </x:c>
      <x:c r="H73" s="28" t="str">
        <x:v>Травы</x:v>
      </x:c>
      <x:c r="I73" s="28" t="str">
        <x:v>цитрусовый, сладко-фруктовый, цветочный, восковой</x:v>
      </x:c>
      <x:c r="J73" s="28" t="str">
        <x:v>травяной, хвойный, камфорный, древесный</x:v>
      </x:c>
      <x:c r="K73" s="28" t="str">
        <x:v>лимонен, линалол, деканаль, октаналь, мирцен</x:v>
      </x:c>
      <x:c r="L73" s="28" t="str">
        <x:v>1,8-цинеол, камфора, тимол/карвакрол, альфа-пинен</x:v>
      </x:c>
      <x:c r="M73" s="28" t="str">
        <x:v>прямое семейное перекрытие не является главным механизмом</x:v>
      </x:c>
      <x:c r="N73" s="28" t="str">
        <x:v>надёжный общий маркер не заявлен; сочетание объясняется семействами и сенсорным балансом</x:v>
      </x:c>
      <x:c r="O73" s="28" t="str">
        <x:v>вкусовой баланс, тройничное восприятие</x:v>
      </x:c>
      <x:c r="P73" s="28" t="str">
        <x:v>Кислота усиливает слюноотделение и делает пряный аромат ярче; терпены цитруса образуют мост с эфирными маслами травы или специи.</x:v>
      </x:c>
      <x:c r="Q73" s="28" t="str">
        <x:v>нет выраженного; камфора и цинеол дают прохладно-камфорное ощущение</x:v>
      </x:c>
      <x:c r="R73" s="28" t="str">
        <x:v>сок водный; цедра и ликёры несут гидрофобные эфирные масла; эфирные масла лучше раскрываются в жире и спирте</x:v>
      </x:c>
      <x:c r="S7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73" s="28" t="str">
        <x:v>Апельсин формирует профиль «цитрусовый, сладко-фруктовый, цветочный, восковой»; характерные маркеры: лимонен, линалол, деканаль, октаналь, мирцен.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U73" s="28" t="str">
        <x:v>Избыток кислоты делает вкус плоско-резким; белая часть кожуры даёт лишнюю горечь; цитрус легко подавляет деликатный аромат партнёра.</x:v>
      </x:c>
      <x:c r="V73" s="28" t="str">
        <x:v>оливковое масло или огурец</x:v>
      </x:c>
      <x:c r="W73" s="28" t="str">
        <x:v>лимонад, кордиал, салатная заправка или зелёный соус</x:v>
      </x:c>
      <x:c r="X73" s="28" t="str">
        <x:v>напитки, еда, соусы/маринады</x:v>
      </x:c>
      <x:c r="Y73" s="28" t="str">
        <x:v>Высокая</x:v>
      </x:c>
      <x:c r="Z73" s="28" t="str">
        <x:v>Таблица сочетания(1).pdf | Тезариус вкусов (Ники Сегнит)(1).pdf</x:v>
      </x:c>
      <x:c r="AA73" s="28" t="str">
        <x:v>Таблица сочетания(1).pdf: 14, 19 | Тезариус вкусов (Ники Сегнит)(1).pdf: 780, 834</x:v>
      </x:c>
      <x:c r="AB73" s="28" t="str">
        <x:v>Цветы апельсина стали по- пулярным свадебным символом в XIX веке – именно тогда их стали использовать для украшения тортов, включать в букеты или вышивать их подобия на фате невесты. Цветок апельсина (флёрдоранж) означал удачу, невинность, счастье и плодородие. За розмарином шлейф «брачных» ассоциаций тянется еще дольше. Так, веточка розмарина была в прическе Анны Клевской, когда она выходила замуж за английского короля Генриха VIII. С тех пор розмарин (и по гораздо менее серьезным поводам) испо</x:v>
      </x:c>
      <x:c r="AC73" s="28" t="n">
        <x:v>2</x:v>
      </x:c>
      <x:c r="AD73" s="28" t="n">
        <x:v>4</x:v>
      </x:c>
    </x:row>
    <x:row r="74" ht="58" customHeight="1">
      <x:c r="A74" s="28" t="str">
        <x:v>CIT-0073</x:v>
      </x:c>
      <x:c r="B74" s="28" t="str">
        <x:v>Универсальные</x:v>
      </x:c>
      <x:c r="C74" s="28" t="str">
        <x:v>апельсин</x:v>
      </x:c>
      <x:c r="D74" s="28" t="str">
        <x:v>Апельсин</x:v>
      </x:c>
      <x:c r="E74" s="28" t="str">
        <x:v>Цитрусовые</x:v>
      </x:c>
      <x:c r="F74" s="28" t="str">
        <x:v>розовая вода</x:v>
      </x:c>
      <x:c r="G74" s="28" t="str">
        <x:v>розовая вода</x:v>
      </x:c>
      <x:c r="H74" s="28" t="str">
        <x:v>Прочее</x:v>
      </x:c>
      <x:c r="I74" s="28" t="str">
        <x:v>цитрусовый, сладко-фруктовый, цветочный, восковой</x:v>
      </x:c>
      <x:c r="J74" s="28" t="str">
        <x:v>нейтральный/специфический</x:v>
      </x:c>
      <x:c r="K74" s="28" t="str">
        <x:v>лимонен, линалол, деканаль, октаналь, мирцен</x:v>
      </x:c>
      <x:c r="L74" s="28" t="str">
        <x:v>нужен профиль конкретного продукта</x:v>
      </x:c>
      <x:c r="M74" s="28" t="str">
        <x:v>прямое семейное перекрытие не является главным механизмом</x:v>
      </x:c>
      <x:c r="N74" s="28" t="str">
        <x:v>надёжный общий маркер не заявлен; сочетание объясняется семействами и сенсорным балансом</x:v>
      </x:c>
      <x:c r="O74" s="28" t="str">
        <x:v>вкусовой баланс, тройничное восприятие</x:v>
      </x:c>
      <x:c r="P74" s="28" t="str">
        <x:v>Основной эффект определяется ароматическим контрастом и добавлением кислотной свежести; точный баланс зависит от дозировки и матрицы.</x:v>
      </x:c>
      <x:c r="Q74" s="28" t="str">
        <x:v>нет выраженного; нет данных</x:v>
      </x:c>
      <x:c r="R74" s="28" t="str">
        <x:v>сок водный; цедра и ликёры несут гидрофобные эфирные масла; зависит от формы продукта</x:v>
      </x:c>
      <x:c r="S7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4" s="28" t="str">
        <x:v>Апельсин формирует профиль «цитрусовый, сладко-фруктовый, цветочный, восковой»; характерные маркеры: лимонен, линалол, деканаль, октаналь, мирцен. Розовая вода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74" s="28" t="str">
        <x:v>Избыток кислоты делает вкус плоско-резким; белая часть кожуры даёт лишнюю горечь.</x:v>
      </x:c>
      <x:c r="V74" s="28" t="str">
        <x:v>мёд или нейтральная жировая основа</x:v>
      </x:c>
      <x:c r="W74" s="28" t="str">
        <x:v>соус, напиток или десерт после пробной дегустации</x:v>
      </x:c>
      <x:c r="X74" s="28" t="str">
        <x:v>универсальное</x:v>
      </x:c>
      <x:c r="Y74" s="28" t="str">
        <x:v>Гипотеза / практическая</x:v>
      </x:c>
      <x:c r="Z74" s="28" t="str">
        <x:v>Таблица сочетания(1).pdf</x:v>
      </x:c>
      <x:c r="AA74" s="28" t="str">
        <x:v>Таблица сочетания(1).pdf: 14</x:v>
      </x:c>
      <x:c r="AB74" s="28" t="str">
        <x:v>Пара указана в таблице: «Апельсин» → колонка «Другое».</x:v>
      </x:c>
      <x:c r="AC74" s="28" t="n">
        <x:v>1</x:v>
      </x:c>
      <x:c r="AD74" s="28" t="n">
        <x:v>1</x:v>
      </x:c>
    </x:row>
    <x:row r="75" ht="58" customHeight="1">
      <x:c r="A75" s="28" t="str">
        <x:v>CIT-0074</x:v>
      </x:c>
      <x:c r="B75" s="28" t="str">
        <x:v>Универсальные</x:v>
      </x:c>
      <x:c r="C75" s="28" t="str">
        <x:v>апельсин</x:v>
      </x:c>
      <x:c r="D75" s="28" t="str">
        <x:v>orange</x:v>
      </x:c>
      <x:c r="E75" s="28" t="str">
        <x:v>Цитрусовые</x:v>
      </x:c>
      <x:c r="F75" s="28" t="str">
        <x:v>свежие лепестки розы</x:v>
      </x:c>
      <x:c r="G75" s="28" t="str">
        <x:v>fresh edible rose petals</x:v>
      </x:c>
      <x:c r="H75" s="28" t="str">
        <x:v>Прочее</x:v>
      </x:c>
      <x:c r="I75" s="28" t="str">
        <x:v>цитрусовый, сладко-фруктовый, цветочный, восковой</x:v>
      </x:c>
      <x:c r="J75" s="28" t="str">
        <x:v>нейтральный/специфический</x:v>
      </x:c>
      <x:c r="K75" s="28" t="str">
        <x:v>лимонен, линалол, деканаль, октаналь, мирцен</x:v>
      </x:c>
      <x:c r="L75" s="28" t="str">
        <x:v>нужен профиль конкретного продукта</x:v>
      </x:c>
      <x:c r="M75" s="28" t="str">
        <x:v>прямое семейное перекрытие не является главным механизмом</x:v>
      </x:c>
      <x:c r="N75" s="28" t="str">
        <x:v>надёжный общий маркер не заявлен; сочетание объясняется семействами и сенсорным балансом</x:v>
      </x:c>
      <x:c r="O75" s="28" t="str">
        <x:v>вкусовой баланс, тройничное восприятие</x:v>
      </x:c>
      <x:c r="P75" s="28" t="str">
        <x:v>Основной эффект определяется ароматическим контрастом и добавлением кислотной свежести; точный баланс зависит от дозировки и матрицы.</x:v>
      </x:c>
      <x:c r="Q75" s="28" t="str">
        <x:v>нет выраженного; нет данных</x:v>
      </x:c>
      <x:c r="R75" s="28" t="str">
        <x:v>сок водный; цедра и ликёры несут гидрофобные эфирные масла; зависит от формы продукта</x:v>
      </x:c>
      <x:c r="S7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5" s="28" t="str">
        <x:v>Апельсин формирует профиль «цитрусовый, сладко-фруктовый, цветочный, восковой»; характерные маркеры: лимонен, линалол, деканаль, октаналь, мирцен. Свежие лепестки розы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75" s="28" t="str">
        <x:v>Избыток кислоты делает вкус плоско-резким; белая часть кожуры даёт лишнюю горечь.</x:v>
      </x:c>
      <x:c r="V75" s="28" t="str">
        <x:v>мёд или нейтральная жировая основа</x:v>
      </x:c>
      <x:c r="W75" s="28" t="str">
        <x:v>соус, напиток или десерт после пробной дегустации</x:v>
      </x:c>
      <x:c r="X75" s="28" t="str">
        <x:v>универсальное</x:v>
      </x:c>
      <x:c r="Y75" s="28" t="str">
        <x:v>Средняя</x:v>
      </x:c>
      <x:c r="Z75" s="28" t="str">
        <x:v>The Art &amp; Science of Foodpairing.pdf</x:v>
      </x:c>
      <x:c r="AA75" s="28" t="str">
        <x:v>The Art &amp; Science of Foodpairing.pdf: 70</x:v>
      </x:c>
      <x:c r="AB75" s="28" t="str">
        <x:v>Пара представлена в ароматической диаграмме Foodpairing на странице 70.</x:v>
      </x:c>
      <x:c r="AC75" s="28" t="n">
        <x:v>1</x:v>
      </x:c>
      <x:c r="AD75" s="28" t="n">
        <x:v>1</x:v>
      </x:c>
    </x:row>
    <x:row r="76" ht="58" customHeight="1">
      <x:c r="A76" s="28" t="str">
        <x:v>CIT-0075</x:v>
      </x:c>
      <x:c r="B76" s="28" t="str">
        <x:v>Еда и соусы</x:v>
      </x:c>
      <x:c r="C76" s="28" t="str">
        <x:v>апельсин</x:v>
      </x:c>
      <x:c r="D76" s="28" t="str">
        <x:v>Апельсин | апельсин</x:v>
      </x:c>
      <x:c r="E76" s="28" t="str">
        <x:v>Цитрусовые</x:v>
      </x:c>
      <x:c r="F76" s="28" t="str">
        <x:v>свекла</x:v>
      </x:c>
      <x:c r="G76" s="28" t="str">
        <x:v>Свекла | свекла</x:v>
      </x:c>
      <x:c r="H76" s="28" t="str">
        <x:v>Овощи</x:v>
      </x:c>
      <x:c r="I76" s="28" t="str">
        <x:v>цитрусовый, сладко-фруктовый, цветочный, восковой</x:v>
      </x:c>
      <x:c r="J76" s="28" t="str">
        <x:v>зелёный, землистый, растительный, иногда сернистый</x:v>
      </x:c>
      <x:c r="K76" s="28" t="str">
        <x:v>лимонен, линалол, деканаль, октаналь, мирцен</x:v>
      </x:c>
      <x:c r="L76" s="28" t="str">
        <x:v>C6-альдегиды, метоксипиразины, геосмин (землистые), сернистые соединения</x:v>
      </x:c>
      <x:c r="M76" s="28" t="str">
        <x:v>прямое семейное перекрытие не является главным механизмом</x:v>
      </x:c>
      <x:c r="N76" s="28" t="str">
        <x:v>надёжный общий маркер не заявлен; сочетание объясняется семействами и сенсорным балансом</x:v>
      </x:c>
      <x:c r="O76" s="28" t="str">
        <x:v>вкусовой баланс</x:v>
      </x:c>
      <x:c r="P76" s="28" t="str">
        <x:v>Кислота подчёркивает природную сладость овоща, сокращает землистое/сернистое послевкусие и повышает слюноотделение.</x:v>
      </x:c>
      <x:c r="Q76" s="28" t="str">
        <x:v>нет выраженного; нет выраженного</x:v>
      </x:c>
      <x:c r="R76" s="28" t="str">
        <x:v>сок водный; цедра и ликёры несут гидрофобные эфирные масла; водная/крахмальная матрица; масло помогает распределить цедру</x:v>
      </x:c>
      <x:c r="S7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6" s="28" t="str">
        <x:v>Апельсин формирует профиль «цитрусовый, сладко-фруктовый, цветочный, восковой»; характерные маркеры: лимонен, линалол, деканаль, октаналь, мирцен. Свекла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76" s="28" t="str">
        <x:v>Избыток кислоты делает вкус плоско-резким; белая часть кожуры даёт лишнюю горечь.</x:v>
      </x:c>
      <x:c r="V76" s="28" t="str">
        <x:v>оливковое масло или базилик</x:v>
      </x:c>
      <x:c r="W76" s="28" t="str">
        <x:v>винегрет, салат, пюре, запечённое блюдо или овощной соус</x:v>
      </x:c>
      <x:c r="X76" s="28" t="str">
        <x:v>еда, соусы/маринады</x:v>
      </x:c>
      <x:c r="Y76" s="28" t="str">
        <x:v>Высокая</x:v>
      </x:c>
      <x:c r="Z76" s="28" t="str">
        <x:v>Тезариус вкусов (Ники Сегнит)(1).pdf</x:v>
      </x:c>
      <x:c r="AA76" s="28" t="str">
        <x:v>Тезариус вкусов (Ники Сегнит)(1).pdf: 223, 780</x:v>
      </x:c>
      <x:c r="AB76" s="28" t="str">
        <x:v>В своем ресторане The Fat Duck Хестон Блументаль (Heston Blumenthal) дразнит посетителей желе оранжевого цвета, которое имеет вкус свеклы, и желе малинового цвета со вкусом апельсина. На самом деле свекольное желе сделано из свеклы золотистого цвета и темно-красных апельсинов. Официанты в шутку предлагают вам начать с оранжевого желе.</x:v>
      </x:c>
      <x:c r="AC76" s="28" t="n">
        <x:v>1</x:v>
      </x:c>
      <x:c r="AD76" s="28" t="n">
        <x:v>2</x:v>
      </x:c>
    </x:row>
    <x:row r="77" ht="58" customHeight="1">
      <x:c r="A77" s="28" t="str">
        <x:v>CIT-0076</x:v>
      </x:c>
      <x:c r="B77" s="28" t="str">
        <x:v>Универсальные</x:v>
      </x:c>
      <x:c r="C77" s="28" t="str">
        <x:v>апельсин</x:v>
      </x:c>
      <x:c r="D77" s="28" t="str">
        <x:v>Апельсин | апельсин</x:v>
      </x:c>
      <x:c r="E77" s="28" t="str">
        <x:v>Цитрусовые</x:v>
      </x:c>
      <x:c r="F77" s="28" t="str">
        <x:v>семена кориандра</x:v>
      </x:c>
      <x:c r="G77" s="28" t="str">
        <x:v>Семена кориандра | семена кориандра</x:v>
      </x:c>
      <x:c r="H77" s="28" t="str">
        <x:v>Травы/пряности</x:v>
      </x:c>
      <x:c r="I77" s="28" t="str">
        <x:v>цитрусовый, сладко-фруктовый, цветочный, восковой</x:v>
      </x:c>
      <x:c r="J77" s="28" t="str">
        <x:v>цитрусовый, зелёный, цветочный</x:v>
      </x:c>
      <x:c r="K77" s="28" t="str">
        <x:v>лимонен, линалол, деканаль, октаналь, мирцен</x:v>
      </x:c>
      <x:c r="L77" s="28" t="str">
        <x:v>линалол, деканаль, додеканаль</x:v>
      </x:c>
      <x:c r="M77" s="28" t="str">
        <x:v>цветочный, цитрусовый</x:v>
      </x:c>
      <x:c r="N77" s="28" t="str">
        <x:v>деканаль, линалол</x:v>
      </x:c>
      <x:c r="O77" s="28" t="str">
        <x:v>общие ароматические молекулы, перекрытие ароматических семейств, вкусовой баланс</x:v>
      </x:c>
      <x:c r="P77" s="28" t="str">
        <x:v>Кислота усиливает слюноотделение и делает пряный аромат ярче; терпены цитруса образуют мост с эфирными маслами травы или специи.</x:v>
      </x:c>
      <x:c r="Q77" s="28" t="str">
        <x:v>нет выраженного; нет выраженного</x:v>
      </x:c>
      <x:c r="R77" s="28" t="str">
        <x:v>сок водный; цедра и ликёры несут гидрофобные эфирные масла; листья чувствительны к нагреву; семена устойчивее и слаще</x:v>
      </x:c>
      <x:c r="S7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77" s="28" t="str">
        <x:v>Апельсин формирует профиль «цитрусовый, сладко-фруктовый, цветочный, восковой»; характерные маркеры: лимонен, линалол, деканаль, октаналь, мирцен. Семена кориандра относится к группе «травы/пряности» и даёт ноты «цитрусовый, зелёный, цветочный». Наиболее правдоподобный молекулярный мост — деканаль,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Линалоол создаёт прямой ароматический мост с цитрусами.</x:v>
      </x:c>
      <x:c r="U77" s="28" t="str">
        <x:v>Избыток кислоты делает вкус плоско-резким; белая часть кожуры даёт лишнюю горечь; цитрус легко подавляет деликатный аромат партнёра.</x:v>
      </x:c>
      <x:c r="V77" s="28" t="str">
        <x:v>мёд или зелёная трава</x:v>
      </x:c>
      <x:c r="W77" s="28" t="str">
        <x:v>лимонад, кордиал, маринад или пряный соус</x:v>
      </x:c>
      <x:c r="X77" s="28" t="str">
        <x:v>напитки, еда, соусы/маринады</x:v>
      </x:c>
      <x:c r="Y77" s="28" t="str">
        <x:v>Высокая</x:v>
      </x:c>
      <x:c r="Z77" s="28" t="str">
        <x:v>Тезариус вкусов (Ники Сегнит)(1).pdf</x:v>
      </x:c>
      <x:c r="AA77" s="28" t="str">
        <x:v>Тезариус вкусов (Ники Сегнит)(1).pdf: 780, 906</x:v>
      </x:c>
      <x:c r="AB77" s="28" t="str">
        <x:v>Посмотрите на фотографию семян кориандра, сделанную крупным планом. Они напоминают очищенные мандарины, взятые с кухонного стола в кукольном домике. Надкусите их, и вы поймете, что по вкусу они напоминают апельсины. Точнее, их вкус напоминает вкус мармелада из цедры севильских апельсинов на некоем «кедровом» фоне. Чтобы более детально исследовать «многослойный» вкус данного сочетания, можно подать апельсиновые дольки в сиропе, приправленном семенами кориандра, или выявить пряный апельсиновый хар</x:v>
      </x:c>
      <x:c r="AC77" s="28" t="n">
        <x:v>1</x:v>
      </x:c>
      <x:c r="AD77" s="28" t="n">
        <x:v>2</x:v>
      </x:c>
    </x:row>
    <x:row r="78" ht="58" customHeight="1">
      <x:c r="A78" s="28" t="str">
        <x:v>CIT-0077</x:v>
      </x:c>
      <x:c r="B78" s="28" t="str">
        <x:v>Десерты и выпечка</x:v>
      </x:c>
      <x:c r="C78" s="28" t="str">
        <x:v>апельсин</x:v>
      </x:c>
      <x:c r="D78" s="28" t="str">
        <x:v>orange</x:v>
      </x:c>
      <x:c r="E78" s="28" t="str">
        <x:v>Цитрусовые</x:v>
      </x:c>
      <x:c r="F78" s="28" t="str">
        <x:v>семена чёрного тмина</x:v>
      </x:c>
      <x:c r="G78" s="28" t="str">
        <x:v>black cumin seeds</x:v>
      </x:c>
      <x:c r="H78" s="28" t="str">
        <x:v>Орехи и семена</x:v>
      </x:c>
      <x:c r="I78" s="28" t="str">
        <x:v>цитрусовый, сладко-фруктовый, цветочный, восковой</x:v>
      </x:c>
      <x:c r="J78" s="28" t="str">
        <x:v>ореховый, обжаренный, жирный, зелёный</x:v>
      </x:c>
      <x:c r="K78" s="28" t="str">
        <x:v>лимонен, линалол, деканаль, октаналь, мирцен</x:v>
      </x:c>
      <x:c r="L78" s="28" t="str">
        <x:v>пиразины, альдегиды окисления жиров, бензальдегид (миндаль)</x:v>
      </x:c>
      <x:c r="M78" s="28" t="str">
        <x:v>прямое семейное перекрытие не является главным механизмом</x:v>
      </x:c>
      <x:c r="N78" s="28" t="str">
        <x:v>надёжный общий маркер не заявлен; сочетание объясняется семействами и сенсорным балансом</x:v>
      </x:c>
      <x:c r="O78" s="28" t="str">
        <x:v>вкусовой баланс, влияние матрицы/растворимости</x:v>
      </x:c>
      <x:c r="P78" s="28" t="str">
        <x:v>Кислотность и лёгкая горечь цитруса снижают ощущение жирности; соль и умами, в свою очередь, делают фруктовую часть менее резкой.</x:v>
      </x:c>
      <x:c r="Q78" s="28" t="str">
        <x:v>нет выраженного; нет выраженного</x:v>
      </x:c>
      <x:c r="R78" s="28" t="str">
        <x:v>сок водный; цедра и ликёры несут гидрофобные эфирные масла; высокая жирность растворяет терпеновые масла цитруса</x:v>
      </x:c>
      <x:c r="S7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78" s="28" t="str">
        <x:v>Апельсин формирует профиль «цитрусовый, сладко-фруктовый, цветочный, восковой»; характерные маркеры: лимонен, линалол, деканаль, октаналь, мирцен. Семена чёрного тмина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U78" s="28" t="str">
        <x:v>Избыток кислоты делает вкус плоско-резким; белая часть кожуры даёт лишнюю горечь.</x:v>
      </x:c>
      <x:c r="V78" s="28" t="str">
        <x:v>мёд или шоколад</x:v>
      </x:c>
      <x:c r="W78" s="28" t="str">
        <x:v>пралине, крем, выпечка, салат или ореховый соус</x:v>
      </x:c>
      <x:c r="X78" s="28" t="str">
        <x:v>десерты</x:v>
      </x:c>
      <x:c r="Y78" s="28" t="str">
        <x:v>Средняя</x:v>
      </x:c>
      <x:c r="Z78" s="28" t="str">
        <x:v>The Art &amp; Science of Foodpairing.pdf</x:v>
      </x:c>
      <x:c r="AA78" s="28" t="str">
        <x:v>The Art &amp; Science of Foodpairing.pdf: 236</x:v>
      </x:c>
      <x:c r="AB78" s="28" t="str">
        <x:v>Пара представлена в ароматической диаграмме Foodpairing на странице 236.</x:v>
      </x:c>
      <x:c r="AC78" s="28" t="n">
        <x:v>1</x:v>
      </x:c>
      <x:c r="AD78" s="28" t="n">
        <x:v>1</x:v>
      </x:c>
    </x:row>
    <x:row r="79" ht="58" customHeight="1">
      <x:c r="A79" s="28" t="str">
        <x:v>CIT-0078</x:v>
      </x:c>
      <x:c r="B79" s="28" t="str">
        <x:v>Еда и соусы</x:v>
      </x:c>
      <x:c r="C79" s="28" t="str">
        <x:v>апельсин</x:v>
      </x:c>
      <x:c r="D79" s="28" t="str">
        <x:v>Апельсин | апельсин</x:v>
      </x:c>
      <x:c r="E79" s="28" t="str">
        <x:v>Цитрусовые</x:v>
      </x:c>
      <x:c r="F79" s="28" t="str">
        <x:v>спаржа</x:v>
      </x:c>
      <x:c r="G79" s="28" t="str">
        <x:v>Спаржа | спаржа</x:v>
      </x:c>
      <x:c r="H79" s="28" t="str">
        <x:v>Овощи</x:v>
      </x:c>
      <x:c r="I79" s="28" t="str">
        <x:v>цитрусовый, сладко-фруктовый, цветочный, восковой</x:v>
      </x:c>
      <x:c r="J79" s="28" t="str">
        <x:v>зелёный, землистый, растительный, иногда сернистый</x:v>
      </x:c>
      <x:c r="K79" s="28" t="str">
        <x:v>лимонен, линалол, деканаль, октаналь, мирцен</x:v>
      </x:c>
      <x:c r="L79" s="28" t="str">
        <x:v>C6-альдегиды, метоксипиразины, геосмин (землистые), сернистые соединения</x:v>
      </x:c>
      <x:c r="M79" s="28" t="str">
        <x:v>прямое семейное перекрытие не является главным механизмом</x:v>
      </x:c>
      <x:c r="N79" s="28" t="str">
        <x:v>надёжный общий маркер не заявлен; сочетание объясняется семействами и сенсорным балансом</x:v>
      </x:c>
      <x:c r="O79" s="28" t="str">
        <x:v>вкусовой баланс</x:v>
      </x:c>
      <x:c r="P79" s="28" t="str">
        <x:v>Кислота подчёркивает природную сладость овоща, сокращает землистое/сернистое послевкусие и повышает слюноотделение.</x:v>
      </x:c>
      <x:c r="Q79" s="28" t="str">
        <x:v>нет выраженного; нет выраженного</x:v>
      </x:c>
      <x:c r="R79" s="28" t="str">
        <x:v>сок водный; цедра и ликёры несут гидрофобные эфирные масла; водная/крахмальная матрица; масло помогает распределить цедру</x:v>
      </x:c>
      <x:c r="S7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9" s="28" t="str">
        <x:v>Апельсин формирует профиль «цитрусовый, сладко-фруктовый, цветочный, восковой»; характерные маркеры: лимонен, линалол, деканаль, октаналь, мирцен. Спаржа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79" s="28" t="str">
        <x:v>Избыток кислоты делает вкус плоско-резким; белая часть кожуры даёт лишнюю горечь.</x:v>
      </x:c>
      <x:c r="V79" s="28" t="str">
        <x:v>оливковое масло или базилик</x:v>
      </x:c>
      <x:c r="W79" s="28" t="str">
        <x:v>винегрет, салат, пюре, запечённое блюдо или овощной соус</x:v>
      </x:c>
      <x:c r="X79" s="28" t="str">
        <x:v>еда, соусы/маринады</x:v>
      </x:c>
      <x:c r="Y79" s="28" t="str">
        <x:v>Высокая</x:v>
      </x:c>
      <x:c r="Z79" s="28" t="str">
        <x:v>Тезариус вкусов (Ники Сегнит)(1).pdf</x:v>
      </x:c>
      <x:c r="AA79" s="28" t="str">
        <x:v>Тезариус вкусов (Ники Сегнит)(1).pdf: 345, 781</x:v>
      </x:c>
      <x:c r="AB79" s="28" t="str">
        <x:v>На первый взгляд сочетание сдержанной спаржи со сладострастным апельсином может показаться малоуспешным, но оно работает. Пример: специально для спаржи был создан мальтийский соус, или мальтез (maltaise), который представляет собой голландский соус с добавлением сока красных апельсинов. Кипятите 100 мл сока красных апельсинов до тех пор, пока он не уварится примерно до 2 ст. л., добавьте цедру одного апельсина и тушите еще 1 мин. Добавьте голландский соус из четырех яичных желтков и сразу же под</x:v>
      </x:c>
      <x:c r="AC79" s="28" t="n">
        <x:v>1</x:v>
      </x:c>
      <x:c r="AD79" s="28" t="n">
        <x:v>2</x:v>
      </x:c>
    </x:row>
    <x:row r="80" ht="58" customHeight="1">
      <x:c r="A80" s="28" t="str">
        <x:v>CIT-0079</x:v>
      </x:c>
      <x:c r="B80" s="28" t="str">
        <x:v>Универсальные</x:v>
      </x:c>
      <x:c r="C80" s="28" t="str">
        <x:v>апельсин</x:v>
      </x:c>
      <x:c r="D80" s="28" t="str">
        <x:v>апельсин</x:v>
      </x:c>
      <x:c r="E80" s="28" t="str">
        <x:v>Цитрусовые</x:v>
      </x:c>
      <x:c r="F80" s="28" t="str">
        <x:v>танжерин (tangerine)</x:v>
      </x:c>
      <x:c r="G80" s="28" t="str">
        <x:v>Танжерин (tangerine)</x:v>
      </x:c>
      <x:c r="H80" s="28" t="str">
        <x:v>Цитрусовые</x:v>
      </x:c>
      <x:c r="I80" s="28" t="str">
        <x:v>цитрусовый, сладко-фруктовый, цветочный, восковой</x:v>
      </x:c>
      <x:c r="J80" s="28" t="str">
        <x:v>цитрусовый, фруктовый, цветочный, пряный</x:v>
      </x:c>
      <x:c r="K80" s="28" t="str">
        <x:v>лимонен, линалол, деканаль, октаналь, мирцен</x:v>
      </x:c>
      <x:c r="L80" s="28" t="str">
        <x:v>лимонен, гамма-терпинен, метил-N-метилантранилат, линалол</x:v>
      </x:c>
      <x:c r="M80" s="28" t="str">
        <x:v>цветочный, цитрусовый</x:v>
      </x:c>
      <x:c r="N80" s="28" t="str">
        <x:v>лимонен, линалол</x:v>
      </x:c>
      <x:c r="O80" s="28" t="str">
        <x:v>общие ароматические молекулы, перекрытие ароматических семейств, вкусовой баланс</x:v>
      </x:c>
      <x:c r="P80" s="28" t="str">
        <x:v>Сочетание строится на близком терпеновом профиле; различия в кислотности, горечи и цветочно-зелёных оттенках создают объём.</x:v>
      </x:c>
      <x:c r="Q80" s="28" t="str">
        <x:v>нет выраженного; нет выраженного</x:v>
      </x:c>
      <x:c r="R80" s="28" t="str">
        <x:v>сок водный; цедра и ликёры несут гидрофобные эфирные масла; сок водный; кожура богата эфирным маслом</x:v>
      </x:c>
      <x:c r="S8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80" s="28" t="str">
        <x:v>Апельсин формирует профиль «цитрусовый, сладко-фруктовый, цветочный, восковой»; характерные маркеры: лимонен, линалол, деканаль, октаналь, мирцен. Танжерин (tangerine) относится к группе «цитрусовые» и даёт ноты «цитрусовый, фруктовый, цветочный, пряный». Наиболее правдоподобный молекулярный мост — лимонен, линалол;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Мандариновая группа мягче по кислотности и выраженнее по сладко-цветочным нотам.</x:v>
      </x:c>
      <x:c r="U80" s="28" t="str">
        <x:v>Избыток кислоты делает вкус плоско-резким; белая часть кожуры даёт лишнюю горечь.</x:v>
      </x:c>
      <x:c r="V80" s="28" t="str">
        <x:v>мёд или цветочная вода</x:v>
      </x:c>
      <x:c r="W80" s="28" t="str">
        <x:v>цитрусовый кордиал, мармелад, сорбет, салат или купаж соков</x:v>
      </x:c>
      <x:c r="X80" s="28" t="str">
        <x:v>напитки, десерты</x:v>
      </x:c>
      <x:c r="Y80" s="28" t="str">
        <x:v>Средняя</x:v>
      </x:c>
      <x:c r="Z80" s="28" t="str">
        <x:v>Таблица сочетания(1).pdf</x:v>
      </x:c>
      <x:c r="AA80" s="28" t="str">
        <x:v>Таблица сочетания(1).pdf: 21</x:v>
      </x:c>
      <x:c r="AB80" s="28" t="str">
        <x:v>Пара указана в таблице: «Танжерин (tangerine)» → колонка «Фрукты».</x:v>
      </x:c>
      <x:c r="AC80" s="28" t="n">
        <x:v>1</x:v>
      </x:c>
      <x:c r="AD80" s="28" t="n">
        <x:v>1</x:v>
      </x:c>
    </x:row>
    <x:row r="81" ht="58" customHeight="1">
      <x:c r="A81" s="28" t="str">
        <x:v>CIT-0080</x:v>
      </x:c>
      <x:c r="B81" s="28" t="str">
        <x:v>Универсальные</x:v>
      </x:c>
      <x:c r="C81" s="28" t="str">
        <x:v>апельсин</x:v>
      </x:c>
      <x:c r="D81" s="28" t="str">
        <x:v>апельсин</x:v>
      </x:c>
      <x:c r="E81" s="28" t="str">
        <x:v>Цитрусовые</x:v>
      </x:c>
      <x:c r="F81" s="28" t="str">
        <x:v>тархун</x:v>
      </x:c>
      <x:c r="G81" s="28" t="str">
        <x:v>Тархун</x:v>
      </x:c>
      <x:c r="H81" s="28" t="str">
        <x:v>Прочее</x:v>
      </x:c>
      <x:c r="I81" s="28" t="str">
        <x:v>цитрусовый, сладко-фруктовый, цветочный, восковой</x:v>
      </x:c>
      <x:c r="J81" s="28" t="str">
        <x:v>нейтральный/специфический</x:v>
      </x:c>
      <x:c r="K81" s="28" t="str">
        <x:v>лимонен, линалол, деканаль, октаналь, мирцен</x:v>
      </x:c>
      <x:c r="L81" s="28" t="str">
        <x:v>нужен профиль конкретного продукта</x:v>
      </x:c>
      <x:c r="M81" s="28" t="str">
        <x:v>прямое семейное перекрытие не является главным механизмом</x:v>
      </x:c>
      <x:c r="N81" s="28" t="str">
        <x:v>надёжный общий маркер не заявлен; сочетание объясняется семействами и сенсорным балансом</x:v>
      </x:c>
      <x:c r="O81" s="28" t="str">
        <x:v>вкусовой баланс, тройничное восприятие</x:v>
      </x:c>
      <x:c r="P81" s="28" t="str">
        <x:v>Основной эффект определяется ароматическим контрастом и добавлением кислотной свежести; точный баланс зависит от дозировки и матрицы.</x:v>
      </x:c>
      <x:c r="Q81" s="28" t="str">
        <x:v>нет выраженного; нет данных</x:v>
      </x:c>
      <x:c r="R81" s="28" t="str">
        <x:v>сок водный; цедра и ликёры несут гидрофобные эфирные масла; зависит от формы продукта</x:v>
      </x:c>
      <x:c r="S8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81" s="28" t="str">
        <x:v>Апельсин формирует профиль «цитрусовый, сладко-фруктовый, цветочный, восковой»; характерные маркеры: лимонен, линалол, деканаль, октаналь, мирцен. Тархун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81" s="28" t="str">
        <x:v>Избыток кислоты делает вкус плоско-резким; белая часть кожуры даёт лишнюю горечь.</x:v>
      </x:c>
      <x:c r="V81" s="28" t="str">
        <x:v>мёд или нейтральная жировая основа</x:v>
      </x:c>
      <x:c r="W81" s="28" t="str">
        <x:v>соус, напиток или десерт после пробной дегустации</x:v>
      </x:c>
      <x:c r="X81" s="28" t="str">
        <x:v>универсальное</x:v>
      </x:c>
      <x:c r="Y81" s="28" t="str">
        <x:v>Гипотеза / практическая</x:v>
      </x:c>
      <x:c r="Z81" s="28" t="str">
        <x:v>Таблица сочетания(1).pdf</x:v>
      </x:c>
      <x:c r="AA81" s="28" t="str">
        <x:v>Таблица сочетания(1).pdf: 21</x:v>
      </x:c>
      <x:c r="AB81" s="28" t="str">
        <x:v>Пара указана в таблице: «Тархун» → колонка «Фрукты».</x:v>
      </x:c>
      <x:c r="AC81" s="28" t="n">
        <x:v>1</x:v>
      </x:c>
      <x:c r="AD81" s="28" t="n">
        <x:v>1</x:v>
      </x:c>
    </x:row>
    <x:row r="82" ht="58" customHeight="1">
      <x:c r="A82" s="28" t="str">
        <x:v>CIT-0081</x:v>
      </x:c>
      <x:c r="B82" s="28" t="str">
        <x:v>Десерты и выпечка</x:v>
      </x:c>
      <x:c r="C82" s="28" t="str">
        <x:v>апельсин</x:v>
      </x:c>
      <x:c r="D82" s="28" t="str">
        <x:v>Апельсин | апельсин</x:v>
      </x:c>
      <x:c r="E82" s="28" t="str">
        <x:v>Цитрусовые</x:v>
      </x:c>
      <x:c r="F82" s="28" t="str">
        <x:v>твердый сыр</x:v>
      </x:c>
      <x:c r="G82" s="28" t="str">
        <x:v>Твердый сыр | твердый сыр</x:v>
      </x:c>
      <x:c r="H82" s="28" t="str">
        <x:v>Молочные продукты</x:v>
      </x:c>
      <x:c r="I82" s="28" t="str">
        <x:v>цитрусовый, сладко-фруктовый, цветочный, восковой</x:v>
      </x:c>
      <x:c r="J82" s="28" t="str">
        <x:v>сливочный, молочный, масляный, иногда животный</x:v>
      </x:c>
      <x:c r="K82" s="28" t="str">
        <x:v>лимонен, линалол, деканаль, октаналь, мирцен</x:v>
      </x:c>
      <x:c r="L82" s="28" t="str">
        <x:v>диацетил, молочные лактоны, свободные жирные кислоты</x:v>
      </x:c>
      <x:c r="M82" s="28" t="str">
        <x:v>прямое семейное перекрытие не является главным механизмом</x:v>
      </x:c>
      <x:c r="N82" s="28" t="str">
        <x:v>надёжный общий маркер не заявлен; сочетание объясняется семействами и сенсорным балансом</x:v>
      </x:c>
      <x:c r="O82" s="28" t="str">
        <x:v>вкусовой баланс, влияние матрицы/растворимости</x:v>
      </x:c>
      <x:c r="P82" s="28" t="str">
        <x:v>Кислотность и лёгкая горечь цитруса снижают ощущение жирности; соль и умами, в свою очередь, делают фруктовую часть менее резкой.</x:v>
      </x:c>
      <x:c r="Q82" s="28" t="str">
        <x:v>нет выраженного; нет выраженного</x:v>
      </x:c>
      <x:c r="R82" s="28" t="str">
        <x:v>сок водный; цедра и ликёры несут гидрофобные эфирные масла; жир растворяет терпены; кислота цитруса может коагулировать молочный белок</x:v>
      </x:c>
      <x:c r="S82"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82" s="28" t="str">
        <x:v>Апельсин формирует профиль «цитрусовый, сладко-фруктовый, цветочный, восковой»; характерные маркеры: лимонен, линалол, деканаль, октаналь, мирцен. Твердый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U82" s="28" t="str">
        <x:v>Избыток кислоты делает вкус плоско-резким; белая часть кожуры даёт лишнюю горечь; возможна коагуляция белка.</x:v>
      </x:c>
      <x:c r="V82" s="28" t="str">
        <x:v>мёд или ваниль</x:v>
      </x:c>
      <x:c r="W82" s="28" t="str">
        <x:v>чизкейк, крем, мороженое, соус или салат</x:v>
      </x:c>
      <x:c r="X82" s="28" t="str">
        <x:v>десерты, еда</x:v>
      </x:c>
      <x:c r="Y82" s="28" t="str">
        <x:v>Высокая</x:v>
      </x:c>
      <x:c r="Z82" s="28" t="str">
        <x:v>Тезариус вкусов (Ники Сегнит)(1).pdf</x:v>
      </x:c>
      <x:c r="AA82" s="28" t="str">
        <x:v>Тезариус вкусов (Ники Сегнит)(1).pdf: 165, 781</x:v>
      </x:c>
      <x:c r="AB82" s="28" t="str">
        <x:v>Сыр и всевозможные фрукты – виноград, яблоки, груши, айва – это, бес- спорно удачные сочетания. К таковым можно отнести и цитрусы на чизкейке. Но уже сочетание чеддера (Cheddar) с мармеладом заставляет некоторых в изумлении поднимать брови. А чему удивляться? Насыщенный соленый, зрелый чеддер может изысканно пронзить горькую сладость мармелада… В таком сочетании есть реальный баланс вкусов. Чтобы убедиться в этом, сделайте сэндвич из хлеба (лучше – орехового) с натертым сыром и тонким ломтиком м</x:v>
      </x:c>
      <x:c r="AC82" s="28" t="n">
        <x:v>1</x:v>
      </x:c>
      <x:c r="AD82" s="28" t="n">
        <x:v>2</x:v>
      </x:c>
    </x:row>
    <x:row r="83" ht="58" customHeight="1">
      <x:c r="A83" s="28" t="str">
        <x:v>CIT-0082</x:v>
      </x:c>
      <x:c r="B83" s="28" t="str">
        <x:v>Универсальные</x:v>
      </x:c>
      <x:c r="C83" s="28" t="str">
        <x:v>апельсин</x:v>
      </x:c>
      <x:c r="D83" s="28" t="str">
        <x:v>Апельсин | апельсин</x:v>
      </x:c>
      <x:c r="E83" s="28" t="str">
        <x:v>Цитрусовые</x:v>
      </x:c>
      <x:c r="F83" s="28" t="str">
        <x:v>тимьян</x:v>
      </x:c>
      <x:c r="G83" s="28" t="str">
        <x:v>Тимьян | тимьян</x:v>
      </x:c>
      <x:c r="H83" s="28" t="str">
        <x:v>Травы</x:v>
      </x:c>
      <x:c r="I83" s="28" t="str">
        <x:v>цитрусовый, сладко-фруктовый, цветочный, восковой</x:v>
      </x:c>
      <x:c r="J83" s="28" t="str">
        <x:v>травяной, хвойный, камфорный, древесный</x:v>
      </x:c>
      <x:c r="K83" s="28" t="str">
        <x:v>лимонен, линалол, деканаль, октаналь, мирцен</x:v>
      </x:c>
      <x:c r="L83" s="28" t="str">
        <x:v>1,8-цинеол, камфора, тимол/карвакрол, альфа-пинен</x:v>
      </x:c>
      <x:c r="M83" s="28" t="str">
        <x:v>прямое семейное перекрытие не является главным механизмом</x:v>
      </x:c>
      <x:c r="N83" s="28" t="str">
        <x:v>надёжный общий маркер не заявлен; сочетание объясняется семействами и сенсорным балансом</x:v>
      </x:c>
      <x:c r="O83" s="28" t="str">
        <x:v>вкусовой баланс, тройничное восприятие</x:v>
      </x:c>
      <x:c r="P83" s="28" t="str">
        <x:v>Кислота усиливает слюноотделение и делает пряный аромат ярче; терпены цитруса образуют мост с эфирными маслами травы или специи.</x:v>
      </x:c>
      <x:c r="Q83" s="28" t="str">
        <x:v>нет выраженного; камфора и цинеол дают прохладно-камфорное ощущение</x:v>
      </x:c>
      <x:c r="R83" s="28" t="str">
        <x:v>сок водный; цедра и ликёры несут гидрофобные эфирные масла; эфирные масла лучше раскрываются в жире и спирте</x:v>
      </x:c>
      <x:c r="S8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83" s="28" t="str">
        <x:v>Апельсин формирует профиль «цитрусовый, сладко-фруктовый, цветочный, восковой»; характерные маркеры: лимонен, линалол, деканаль, октаналь, мирцен.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U83" s="28" t="str">
        <x:v>Избыток кислоты делает вкус плоско-резким; белая часть кожуры даёт лишнюю горечь; цитрус легко подавляет деликатный аромат партнёра.</x:v>
      </x:c>
      <x:c r="V83" s="28" t="str">
        <x:v>оливковое масло или огурец</x:v>
      </x:c>
      <x:c r="W83" s="28" t="str">
        <x:v>лимонад, кордиал, салатная заправка или зелёный соус</x:v>
      </x:c>
      <x:c r="X83" s="28" t="str">
        <x:v>напитки, еда, соусы/маринады</x:v>
      </x:c>
      <x:c r="Y83" s="28" t="str">
        <x:v>Высокая</x:v>
      </x:c>
      <x:c r="Z83" s="28" t="str">
        <x:v>Таблица сочетания(1).pdf | Тезариус вкусов (Ники Сегнит)(1).pdf</x:v>
      </x:c>
      <x:c r="AA83" s="28" t="str">
        <x:v>Таблица сочетания(1).pdf: 14, 21 | Тезариус вкусов (Ники Сегнит)(1).pdf: 782, 855</x:v>
      </x:c>
      <x:c r="AB83" s="28" t="str">
        <x:v>Тимол – соединение, кото- рое отвечает за особый вкус тимьяна, – присутствует также в мандарине и тем отличает его от других представителей семейства апельсиновых. Будете чистить мандарин – вдохните аромат его корки, и вы об- наружите среди бодрого цитрусового запаха прекрасные травяные ноты. Апельсин и тимьян гораздо реже объединяют в пару, нежели лимон и тимьян, но в тех случаях, когда это делают, их часто используют при приготовлении дичи или крупной домашней птицы, например цесарки или индей</x:v>
      </x:c>
      <x:c r="AC83" s="28" t="n">
        <x:v>2</x:v>
      </x:c>
      <x:c r="AD83" s="28" t="n">
        <x:v>4</x:v>
      </x:c>
    </x:row>
    <x:row r="84" ht="58" customHeight="1">
      <x:c r="A84" s="28" t="str">
        <x:v>CIT-0083</x:v>
      </x:c>
      <x:c r="B84" s="28" t="str">
        <x:v>Универсальные</x:v>
      </x:c>
      <x:c r="C84" s="28" t="str">
        <x:v>апельсин</x:v>
      </x:c>
      <x:c r="D84" s="28" t="str">
        <x:v>Апельсин</x:v>
      </x:c>
      <x:c r="E84" s="28" t="str">
        <x:v>Цитрусовые</x:v>
      </x:c>
      <x:c r="F84" s="28" t="str">
        <x:v>укроп</x:v>
      </x:c>
      <x:c r="G84" s="28" t="str">
        <x:v>укроп</x:v>
      </x:c>
      <x:c r="H84" s="28" t="str">
        <x:v>Прочее</x:v>
      </x:c>
      <x:c r="I84" s="28" t="str">
        <x:v>цитрусовый, сладко-фруктовый, цветочный, восковой</x:v>
      </x:c>
      <x:c r="J84" s="28" t="str">
        <x:v>нейтральный/специфический</x:v>
      </x:c>
      <x:c r="K84" s="28" t="str">
        <x:v>лимонен, линалол, деканаль, октаналь, мирцен</x:v>
      </x:c>
      <x:c r="L84" s="28" t="str">
        <x:v>нужен профиль конкретного продукта</x:v>
      </x:c>
      <x:c r="M84" s="28" t="str">
        <x:v>прямое семейное перекрытие не является главным механизмом</x:v>
      </x:c>
      <x:c r="N84" s="28" t="str">
        <x:v>надёжный общий маркер не заявлен; сочетание объясняется семействами и сенсорным балансом</x:v>
      </x:c>
      <x:c r="O84" s="28" t="str">
        <x:v>вкусовой баланс, тройничное восприятие</x:v>
      </x:c>
      <x:c r="P84" s="28" t="str">
        <x:v>Основной эффект определяется ароматическим контрастом и добавлением кислотной свежести; точный баланс зависит от дозировки и матрицы.</x:v>
      </x:c>
      <x:c r="Q84" s="28" t="str">
        <x:v>нет выраженного; нет данных</x:v>
      </x:c>
      <x:c r="R84" s="28" t="str">
        <x:v>сок водный; цедра и ликёры несут гидрофобные эфирные масла; зависит от формы продукта</x:v>
      </x:c>
      <x:c r="S8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84" s="28" t="str">
        <x:v>Апельсин формирует профиль «цитрусовый, сладко-фруктовый, цветочный, восковой»; характерные маркеры: лимонен, линалол, деканаль, октаналь, мирцен. Укроп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84" s="28" t="str">
        <x:v>Избыток кислоты делает вкус плоско-резким; белая часть кожуры даёт лишнюю горечь.</x:v>
      </x:c>
      <x:c r="V84" s="28" t="str">
        <x:v>мёд или нейтральная жировая основа</x:v>
      </x:c>
      <x:c r="W84" s="28" t="str">
        <x:v>соус, напиток или десерт после пробной дегустации</x:v>
      </x:c>
      <x:c r="X84" s="28" t="str">
        <x:v>универсальное</x:v>
      </x:c>
      <x:c r="Y84" s="28" t="str">
        <x:v>Гипотеза / практическая</x:v>
      </x:c>
      <x:c r="Z84" s="28" t="str">
        <x:v>Таблица сочетания(1).pdf</x:v>
      </x:c>
      <x:c r="AA84" s="28" t="str">
        <x:v>Таблица сочетания(1).pdf: 14</x:v>
      </x:c>
      <x:c r="AB84" s="28" t="str">
        <x:v>Пара указана в таблице: «Апельсин» → колонка «Травы и специи».</x:v>
      </x:c>
      <x:c r="AC84" s="28" t="n">
        <x:v>1</x:v>
      </x:c>
      <x:c r="AD84" s="28" t="n">
        <x:v>1</x:v>
      </x:c>
    </x:row>
    <x:row r="85" ht="58" customHeight="1">
      <x:c r="A85" s="28" t="str">
        <x:v>CIT-0084</x:v>
      </x:c>
      <x:c r="B85" s="28" t="str">
        <x:v>Универсальные</x:v>
      </x:c>
      <x:c r="C85" s="28" t="str">
        <x:v>апельсин</x:v>
      </x:c>
      <x:c r="D85" s="28" t="str">
        <x:v>апельсин</x:v>
      </x:c>
      <x:c r="E85" s="28" t="str">
        <x:v>Цитрусовые</x:v>
      </x:c>
      <x:c r="F85" s="28" t="str">
        <x:v>фенхель</x:v>
      </x:c>
      <x:c r="G85" s="28" t="str">
        <x:v>Фенхель</x:v>
      </x:c>
      <x:c r="H85" s="28" t="str">
        <x:v>Пряности/травы</x:v>
      </x:c>
      <x:c r="I85" s="28" t="str">
        <x:v>цитрусовый, сладко-фруктовый, цветочный, восковой</x:v>
      </x:c>
      <x:c r="J85" s="28" t="str">
        <x:v>анисовый, сладко-пряный, зелёный</x:v>
      </x:c>
      <x:c r="K85" s="28" t="str">
        <x:v>лимонен, линалол, деканаль, октаналь, мирцен</x:v>
      </x:c>
      <x:c r="L85" s="28" t="str">
        <x:v>транс-анетол, фенхон, эстрагол</x:v>
      </x:c>
      <x:c r="M85" s="28" t="str">
        <x:v>прямое семейное перекрытие не является главным механизмом</x:v>
      </x:c>
      <x:c r="N85" s="28" t="str">
        <x:v>надёжный общий маркер не заявлен; сочетание объясняется семействами и сенсорным балансом</x:v>
      </x:c>
      <x:c r="O85" s="28" t="str">
        <x:v>вкусовой баланс, тройничное восприятие</x:v>
      </x:c>
      <x:c r="P85" s="28" t="str">
        <x:v>Основной эффект определяется ароматическим контрастом и добавлением кислотной свежести; точный баланс зависит от дозировки и матрицы.</x:v>
      </x:c>
      <x:c r="Q85" s="28" t="str">
        <x:v>нет выраженного; анетол создаёт охлаждающе-сладкое впечатление</x:v>
      </x:c>
      <x:c r="R85" s="28" t="str">
        <x:v>сок водный; цедра и ликёры несут гидрофобные эфирные масла; анетол гидрофобен и мутнеет при разбавлении спиртовых настоев водой</x:v>
      </x:c>
      <x:c r="S8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85" s="28" t="str">
        <x:v>Апельсин формирует профиль «цитрусовый, сладко-фруктовый, цветочный, восковой»; характерные маркеры: лимонен, линалол, деканаль, октаналь, мирцен. Фенхель относится к группе «пряности/травы» и даёт ноты «анисовый, сладко-пряный,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Анисовые соединения дают сильный ароматический мост с цветочными и цитрусовыми терпенами.</x:v>
      </x:c>
      <x:c r="U85" s="28" t="str">
        <x:v>Избыток кислоты делает вкус плоско-резким; белая часть кожуры даёт лишнюю горечь.</x:v>
      </x:c>
      <x:c r="V85" s="28" t="str">
        <x:v>мёд или нейтральная жировая основа</x:v>
      </x:c>
      <x:c r="W85" s="28" t="str">
        <x:v>соус, напиток или десерт после пробной дегустации</x:v>
      </x:c>
      <x:c r="X85" s="28" t="str">
        <x:v>универсальное</x:v>
      </x:c>
      <x:c r="Y85" s="28" t="str">
        <x:v>Гипотеза / практическая</x:v>
      </x:c>
      <x:c r="Z85" s="28" t="str">
        <x:v>Таблица сочетания(1).pdf</x:v>
      </x:c>
      <x:c r="AA85" s="28" t="str">
        <x:v>Таблица сочетания(1).pdf: 8</x:v>
      </x:c>
      <x:c r="AB85" s="28" t="str">
        <x:v>Пара указана в таблице: «Фенхель» → колонка «Фрукты».</x:v>
      </x:c>
      <x:c r="AC85" s="28" t="n">
        <x:v>1</x:v>
      </x:c>
      <x:c r="AD85" s="28" t="n">
        <x:v>1</x:v>
      </x:c>
    </x:row>
    <x:row r="86" ht="58" customHeight="1">
      <x:c r="A86" s="28" t="str">
        <x:v>CIT-0085</x:v>
      </x:c>
      <x:c r="B86" s="28" t="str">
        <x:v>Универсальные</x:v>
      </x:c>
      <x:c r="C86" s="28" t="str">
        <x:v>апельсин</x:v>
      </x:c>
      <x:c r="D86" s="28" t="str">
        <x:v>Апельсин | апельсин</x:v>
      </x:c>
      <x:c r="E86" s="28" t="str">
        <x:v>Цитрусовые</x:v>
      </x:c>
      <x:c r="F86" s="28" t="str">
        <x:v>финик</x:v>
      </x:c>
      <x:c r="G86" s="28" t="str">
        <x:v>Финик | финик</x:v>
      </x:c>
      <x:c r="H86" s="28" t="str">
        <x:v>Прочее</x:v>
      </x:c>
      <x:c r="I86" s="28" t="str">
        <x:v>цитрусовый, сладко-фруктовый, цветочный, восковой</x:v>
      </x:c>
      <x:c r="J86" s="28" t="str">
        <x:v>нейтральный/специфический</x:v>
      </x:c>
      <x:c r="K86" s="28" t="str">
        <x:v>лимонен, линалол, деканаль, октаналь, мирцен</x:v>
      </x:c>
      <x:c r="L86" s="28" t="str">
        <x:v>нужен профиль конкретного продукта</x:v>
      </x:c>
      <x:c r="M86" s="28" t="str">
        <x:v>прямое семейное перекрытие не является главным механизмом</x:v>
      </x:c>
      <x:c r="N86" s="28" t="str">
        <x:v>надёжный общий маркер не заявлен; сочетание объясняется семействами и сенсорным балансом</x:v>
      </x:c>
      <x:c r="O86" s="28" t="str">
        <x:v>вкусовой баланс, тройничное восприятие</x:v>
      </x:c>
      <x:c r="P86" s="28" t="str">
        <x:v>Основной эффект определяется ароматическим контрастом и добавлением кислотной свежести; точный баланс зависит от дозировки и матрицы.</x:v>
      </x:c>
      <x:c r="Q86" s="28" t="str">
        <x:v>нет выраженного; нет данных</x:v>
      </x:c>
      <x:c r="R86" s="28" t="str">
        <x:v>сок водный; цедра и ликёры несут гидрофобные эфирные масла; зависит от формы продукта</x:v>
      </x:c>
      <x:c r="S8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86" s="28" t="str">
        <x:v>Апельсин формирует профиль «цитрусовый, сладко-фруктовый, цветочный, восковой»; характерные маркеры: лимонен, линалол, деканаль, октаналь, мирцен. Финик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86" s="28" t="str">
        <x:v>Избыток кислоты делает вкус плоско-резким; белая часть кожуры даёт лишнюю горечь.</x:v>
      </x:c>
      <x:c r="V86" s="28" t="str">
        <x:v>мёд или нейтральная жировая основа</x:v>
      </x:c>
      <x:c r="W86" s="28" t="str">
        <x:v>соус, напиток или десерт после пробной дегустации</x:v>
      </x:c>
      <x:c r="X86" s="28" t="str">
        <x:v>универсальное</x:v>
      </x:c>
      <x:c r="Y86" s="28" t="str">
        <x:v>Гипотеза / практическая</x:v>
      </x:c>
      <x:c r="Z86" s="28" t="str">
        <x:v>Таблица сочетания(1).pdf</x:v>
      </x:c>
      <x:c r="AA86" s="28" t="str">
        <x:v>Таблица сочетания(1).pdf: 7, 14</x:v>
      </x:c>
      <x:c r="AB86" s="28" t="str">
        <x:v>Пара указана в таблице: «Апельсин» → колонка «Фрукты».</x:v>
      </x:c>
      <x:c r="AC86" s="28" t="n">
        <x:v>1</x:v>
      </x:c>
      <x:c r="AD86" s="28" t="n">
        <x:v>2</x:v>
      </x:c>
    </x:row>
    <x:row r="87" ht="58" customHeight="1">
      <x:c r="A87" s="28" t="str">
        <x:v>CIT-0086</x:v>
      </x:c>
      <x:c r="B87" s="28" t="str">
        <x:v>Универсальные</x:v>
      </x:c>
      <x:c r="C87" s="28" t="str">
        <x:v>апельсин</x:v>
      </x:c>
      <x:c r="D87" s="28" t="str">
        <x:v>апельсин</x:v>
      </x:c>
      <x:c r="E87" s="28" t="str">
        <x:v>Цитрусовые</x:v>
      </x:c>
      <x:c r="F87" s="28" t="str">
        <x:v>хурма</x:v>
      </x:c>
      <x:c r="G87" s="28" t="str">
        <x:v>Хурма</x:v>
      </x:c>
      <x:c r="H87" s="28" t="str">
        <x:v>Прочее</x:v>
      </x:c>
      <x:c r="I87" s="28" t="str">
        <x:v>цитрусовый, сладко-фруктовый, цветочный, восковой</x:v>
      </x:c>
      <x:c r="J87" s="28" t="str">
        <x:v>нейтральный/специфический</x:v>
      </x:c>
      <x:c r="K87" s="28" t="str">
        <x:v>лимонен, линалол, деканаль, октаналь, мирцен</x:v>
      </x:c>
      <x:c r="L87" s="28" t="str">
        <x:v>нужен профиль конкретного продукта</x:v>
      </x:c>
      <x:c r="M87" s="28" t="str">
        <x:v>прямое семейное перекрытие не является главным механизмом</x:v>
      </x:c>
      <x:c r="N87" s="28" t="str">
        <x:v>надёжный общий маркер не заявлен; сочетание объясняется семействами и сенсорным балансом</x:v>
      </x:c>
      <x:c r="O87" s="28" t="str">
        <x:v>вкусовой баланс, тройничное восприятие</x:v>
      </x:c>
      <x:c r="P87" s="28" t="str">
        <x:v>Основной эффект определяется ароматическим контрастом и добавлением кислотной свежести; точный баланс зависит от дозировки и матрицы.</x:v>
      </x:c>
      <x:c r="Q87" s="28" t="str">
        <x:v>нет выраженного; нет данных</x:v>
      </x:c>
      <x:c r="R87" s="28" t="str">
        <x:v>сок водный; цедра и ликёры несут гидрофобные эфирные масла; зависит от формы продукта</x:v>
      </x:c>
      <x:c r="S8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87" s="28" t="str">
        <x:v>Апельсин формирует профиль «цитрусовый, сладко-фруктовый, цветочный, восковой»; характерные маркеры: лимонен, линалол, деканаль, октаналь, мирцен. Хурма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87" s="28" t="str">
        <x:v>Избыток кислоты делает вкус плоско-резким; белая часть кожуры даёт лишнюю горечь.</x:v>
      </x:c>
      <x:c r="V87" s="28" t="str">
        <x:v>мёд или нейтральная жировая основа</x:v>
      </x:c>
      <x:c r="W87" s="28" t="str">
        <x:v>соус, напиток или десерт после пробной дегустации</x:v>
      </x:c>
      <x:c r="X87" s="28" t="str">
        <x:v>универсальное</x:v>
      </x:c>
      <x:c r="Y87" s="28" t="str">
        <x:v>Гипотеза / практическая</x:v>
      </x:c>
      <x:c r="Z87" s="28" t="str">
        <x:v>Таблица сочетания(1).pdf</x:v>
      </x:c>
      <x:c r="AA87" s="28" t="str">
        <x:v>Таблица сочетания(1).pdf: 16</x:v>
      </x:c>
      <x:c r="AB87" s="28" t="str">
        <x:v>Пара указана в таблице: «Хурма» → колонка «Фрукты».</x:v>
      </x:c>
      <x:c r="AC87" s="28" t="n">
        <x:v>1</x:v>
      </x:c>
      <x:c r="AD87" s="28" t="n">
        <x:v>1</x:v>
      </x:c>
    </x:row>
    <x:row r="88" ht="58" customHeight="1">
      <x:c r="A88" s="28" t="str">
        <x:v>CIT-0087</x:v>
      </x:c>
      <x:c r="B88" s="28" t="str">
        <x:v>Универсальные</x:v>
      </x:c>
      <x:c r="C88" s="28" t="str">
        <x:v>апельсин</x:v>
      </x:c>
      <x:c r="D88" s="28" t="str">
        <x:v>orange</x:v>
      </x:c>
      <x:c r="E88" s="28" t="str">
        <x:v>Цитрусовые</x:v>
      </x:c>
      <x:c r="F88" s="28" t="str">
        <x:v>цветы агастахе</x:v>
      </x:c>
      <x:c r="G88" s="28" t="str">
        <x:v>agastache flower</x:v>
      </x:c>
      <x:c r="H88" s="28" t="str">
        <x:v>Прочее</x:v>
      </x:c>
      <x:c r="I88" s="28" t="str">
        <x:v>цитрусовый, сладко-фруктовый, цветочный, восковой</x:v>
      </x:c>
      <x:c r="J88" s="28" t="str">
        <x:v>нейтральный/специфический</x:v>
      </x:c>
      <x:c r="K88" s="28" t="str">
        <x:v>лимонен, линалол, деканаль, октаналь, мирцен</x:v>
      </x:c>
      <x:c r="L88" s="28" t="str">
        <x:v>нужен профиль конкретного продукта</x:v>
      </x:c>
      <x:c r="M88" s="28" t="str">
        <x:v>прямое семейное перекрытие не является главным механизмом</x:v>
      </x:c>
      <x:c r="N88" s="28" t="str">
        <x:v>надёжный общий маркер не заявлен; сочетание объясняется семействами и сенсорным балансом</x:v>
      </x:c>
      <x:c r="O88" s="28" t="str">
        <x:v>вкусовой баланс, тройничное восприятие</x:v>
      </x:c>
      <x:c r="P88" s="28" t="str">
        <x:v>Основной эффект определяется ароматическим контрастом и добавлением кислотной свежести; точный баланс зависит от дозировки и матрицы.</x:v>
      </x:c>
      <x:c r="Q88" s="28" t="str">
        <x:v>нет выраженного; нет данных</x:v>
      </x:c>
      <x:c r="R88" s="28" t="str">
        <x:v>сок водный; цедра и ликёры несут гидрофобные эфирные масла; зависит от формы продукта</x:v>
      </x:c>
      <x:c r="S8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88" s="28" t="str">
        <x:v>Апельсин формирует профиль «цитрусовый, сладко-фруктовый, цветочный, восковой»; характерные маркеры: лимонен, линалол, деканаль, октаналь, мирцен. Цветы агастахе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88" s="28" t="str">
        <x:v>Избыток кислоты делает вкус плоско-резким; белая часть кожуры даёт лишнюю горечь.</x:v>
      </x:c>
      <x:c r="V88" s="28" t="str">
        <x:v>мёд или нейтральная жировая основа</x:v>
      </x:c>
      <x:c r="W88" s="28" t="str">
        <x:v>соус, напиток или десерт после пробной дегустации</x:v>
      </x:c>
      <x:c r="X88" s="28" t="str">
        <x:v>универсальное</x:v>
      </x:c>
      <x:c r="Y88" s="28" t="str">
        <x:v>Средняя</x:v>
      </x:c>
      <x:c r="Z88" s="28" t="str">
        <x:v>The Art &amp; Science of Foodpairing.pdf</x:v>
      </x:c>
      <x:c r="AA88" s="28" t="str">
        <x:v>The Art &amp; Science of Foodpairing.pdf: 236</x:v>
      </x:c>
      <x:c r="AB88" s="28" t="str">
        <x:v>Пара представлена в ароматической диаграмме Foodpairing на странице 236.</x:v>
      </x:c>
      <x:c r="AC88" s="28" t="n">
        <x:v>1</x:v>
      </x:c>
      <x:c r="AD88" s="28" t="n">
        <x:v>1</x:v>
      </x:c>
    </x:row>
    <x:row r="89" ht="58" customHeight="1">
      <x:c r="A89" s="28" t="str">
        <x:v>CIT-0088</x:v>
      </x:c>
      <x:c r="B89" s="28" t="str">
        <x:v>Универсальные</x:v>
      </x:c>
      <x:c r="C89" s="28" t="str">
        <x:v>апельсин</x:v>
      </x:c>
      <x:c r="D89" s="28" t="str">
        <x:v>Апельсин</x:v>
      </x:c>
      <x:c r="E89" s="28" t="str">
        <x:v>Цитрусовые</x:v>
      </x:c>
      <x:c r="F89" s="28" t="str">
        <x:v>цитрусовые</x:v>
      </x:c>
      <x:c r="G89" s="28" t="str">
        <x:v>цитрусовые</x:v>
      </x:c>
      <x:c r="H89" s="28" t="str">
        <x:v>Цитрусовые</x:v>
      </x:c>
      <x:c r="I89" s="28" t="str">
        <x:v>цитрусовый, сладко-фруктовый, цветочный, восковой</x:v>
      </x:c>
      <x:c r="J89" s="28" t="str">
        <x:v>цитрусовый, свежий, цветочный, древесный</x:v>
      </x:c>
      <x:c r="K89" s="28" t="str">
        <x:v>лимонен, линалол, деканаль, октаналь, мирцен</x:v>
      </x:c>
      <x:c r="L89" s="28" t="str">
        <x:v>цитраль (гераниаль + нераль), лимонен, гамма-терпинен, бета-пинен</x:v>
      </x:c>
      <x:c r="M89" s="28" t="str">
        <x:v>цветочный, цитрусовый</x:v>
      </x:c>
      <x:c r="N89" s="28" t="str">
        <x:v>лимонен</x:v>
      </x:c>
      <x:c r="O89" s="28" t="str">
        <x:v>общие ароматические молекулы, перекрытие ароматических семейств, вкусовой баланс, тройничное восприятие</x:v>
      </x:c>
      <x:c r="P89" s="28" t="str">
        <x:v>Сочетание строится на близком терпеновом профиле; различия в кислотности, горечи и цветочно-зелёных оттенках создают объём.</x:v>
      </x:c>
      <x:c r="Q89" s="28" t="str">
        <x:v>нет выраженного; кислота усиливает слюноотделение</x:v>
      </x:c>
      <x:c r="R89" s="28" t="str">
        <x:v>сок водный; цедра и ликёры несут гидрофобные эфирные масла; сок — водная кислая фаза; цедра — гидрофобное эфирное масло</x:v>
      </x:c>
      <x:c r="S8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89" s="28" t="str">
        <x:v>Апельсин формирует профиль «цитрусовый, сладко-фруктовый, цветочный, восковой»; характерные маркеры: лимонен, линалол, деканаль, октаналь, мирцен. Цитрусовые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U89" s="28" t="str">
        <x:v>Избыток кислоты делает вкус плоско-резким; белая часть кожуры даёт лишнюю горечь.</x:v>
      </x:c>
      <x:c r="V89" s="28" t="str">
        <x:v>мёд или цветочная вода</x:v>
      </x:c>
      <x:c r="W89" s="28" t="str">
        <x:v>цитрусовый кордиал, мармелад, сорбет, салат или купаж соков</x:v>
      </x:c>
      <x:c r="X89" s="28" t="str">
        <x:v>напитки, десерты</x:v>
      </x:c>
      <x:c r="Y89" s="28" t="str">
        <x:v>Средняя</x:v>
      </x:c>
      <x:c r="Z89" s="28" t="str">
        <x:v>Таблица сочетания(1).pdf</x:v>
      </x:c>
      <x:c r="AA89" s="28" t="str">
        <x:v>Таблица сочетания(1).pdf: 14</x:v>
      </x:c>
      <x:c r="AB89" s="28" t="str">
        <x:v>Пара указана в таблице: «Апельсин» → колонка «Фрукты».</x:v>
      </x:c>
      <x:c r="AC89" s="28" t="n">
        <x:v>1</x:v>
      </x:c>
      <x:c r="AD89" s="28" t="n">
        <x:v>1</x:v>
      </x:c>
    </x:row>
    <x:row r="90" ht="58" customHeight="1">
      <x:c r="A90" s="28" t="str">
        <x:v>CIT-0089</x:v>
      </x:c>
      <x:c r="B90" s="28" t="str">
        <x:v>Десерты и выпечка</x:v>
      </x:c>
      <x:c r="C90" s="28" t="str">
        <x:v>апельсин</x:v>
      </x:c>
      <x:c r="D90" s="28" t="str">
        <x:v>апельсин</x:v>
      </x:c>
      <x:c r="E90" s="28" t="str">
        <x:v>Цитрусовые</x:v>
      </x:c>
      <x:c r="F90" s="28" t="str">
        <x:v>чернослив</x:v>
      </x:c>
      <x:c r="G90" s="28" t="str">
        <x:v>Чернослив</x:v>
      </x:c>
      <x:c r="H90" s="28" t="str">
        <x:v>Косточковые фрукты</x:v>
      </x:c>
      <x:c r="I90" s="28" t="str">
        <x:v>цитрусовый, сладко-фруктовый, цветочный, восковой</x:v>
      </x:c>
      <x:c r="J90" s="28" t="str">
        <x:v>фруктовый, цветочный, сливочный, миндальный</x:v>
      </x:c>
      <x:c r="K90" s="28" t="str">
        <x:v>лимонен, линалол, деканаль, октаналь, мирцен</x:v>
      </x:c>
      <x:c r="L90" s="28" t="str">
        <x:v>гамма- и дельта-лактоны, бензальдегид, дамасценон</x:v>
      </x:c>
      <x:c r="M90" s="28" t="str">
        <x:v>цветочный</x:v>
      </x:c>
      <x:c r="N90" s="28" t="str">
        <x:v>надёжный общий маркер не заявлен; сочетание объясняется семействами и сенсорным балансом</x:v>
      </x:c>
      <x:c r="O90" s="28" t="str">
        <x:v>перекрытие ароматических семейств, вкусовой баланс</x:v>
      </x:c>
      <x:c r="P90" s="28" t="str">
        <x:v>Общая фруктовая сладость и летучие эфиры создают непрерывный ароматический профиль, а цитрусовая кислота повышает контраст и свежесть.</x:v>
      </x:c>
      <x:c r="Q90" s="28" t="str">
        <x:v>нет выраженного; нет выраженного</x:v>
      </x:c>
      <x:c r="R90" s="28" t="str">
        <x:v>сок водный; цедра и ликёры несут гидрофобные эфирные масла; сочная матрица; лактоны лучше ощущаются в жирной/сливочной среде</x:v>
      </x:c>
      <x:c r="S9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90" s="28" t="str">
        <x:v>Апельсин формирует профиль «цитрусовый, сладко-фруктовый, цветочный, восковой»; характерные маркеры: лимонен, линалол, деканаль, октаналь, мирцен. Чернослив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добавляет кислотность, а лактоны смягчают его резкость.</x:v>
      </x:c>
      <x:c r="U90" s="28" t="str">
        <x:v>Избыток кислоты делает вкус плоско-резким; белая часть кожуры даёт лишнюю горечь.</x:v>
      </x:c>
      <x:c r="V90" s="28" t="str">
        <x:v>миндаль или ваниль</x:v>
      </x:c>
      <x:c r="W90" s="28" t="str">
        <x:v>тарт, сорбет, джем или фруктовый соус</x:v>
      </x:c>
      <x:c r="X90" s="28" t="str">
        <x:v>десерты</x:v>
      </x:c>
      <x:c r="Y90" s="28" t="str">
        <x:v>Гипотеза / практическая</x:v>
      </x:c>
      <x:c r="Z90" s="28" t="str">
        <x:v>Таблица сочетания(1).pdf</x:v>
      </x:c>
      <x:c r="AA90" s="28" t="str">
        <x:v>Таблица сочетания(1).pdf: 18</x:v>
      </x:c>
      <x:c r="AB90" s="28" t="str">
        <x:v>Пара указана в таблице: «Чернослив» → колонка «Фрукты».</x:v>
      </x:c>
      <x:c r="AC90" s="28" t="n">
        <x:v>1</x:v>
      </x:c>
      <x:c r="AD90" s="28" t="n">
        <x:v>1</x:v>
      </x:c>
    </x:row>
    <x:row r="91" ht="58" customHeight="1">
      <x:c r="A91" s="28" t="str">
        <x:v>CIT-0090</x:v>
      </x:c>
      <x:c r="B91" s="28" t="str">
        <x:v>Универсальные</x:v>
      </x:c>
      <x:c r="C91" s="28" t="str">
        <x:v>апельсин</x:v>
      </x:c>
      <x:c r="D91" s="28" t="str">
        <x:v>Апельсин | апельсин</x:v>
      </x:c>
      <x:c r="E91" s="28" t="str">
        <x:v>Цитрусовые</x:v>
      </x:c>
      <x:c r="F91" s="28" t="str">
        <x:v>чили</x:v>
      </x:c>
      <x:c r="G91" s="28" t="str">
        <x:v>Чили | чили</x:v>
      </x:c>
      <x:c r="H91" s="28" t="str">
        <x:v>Пряности</x:v>
      </x:c>
      <x:c r="I91" s="28" t="str">
        <x:v>цитрусовый, сладко-фруктовый, цветочный, восковой</x:v>
      </x:c>
      <x:c r="J91" s="28" t="str">
        <x:v>зелёный, фруктовый, пряный</x:v>
      </x:c>
      <x:c r="K91" s="28" t="str">
        <x:v>лимонен, линалол, деканаль, октаналь, мирцен</x:v>
      </x:c>
      <x:c r="L91" s="28" t="str">
        <x:v>капсаицин, пиразины, эфиры</x:v>
      </x:c>
      <x:c r="M91" s="28" t="str">
        <x:v>прямое семейное перекрытие не является главным механизмом</x:v>
      </x:c>
      <x:c r="N91" s="28" t="str">
        <x:v>надёжный общий маркер не заявлен; сочетание объясняется семействами и сенсорным балансом</x:v>
      </x:c>
      <x:c r="O91" s="28" t="str">
        <x:v>вкусовой баланс, тройничное восприятие</x:v>
      </x:c>
      <x:c r="P91" s="28" t="str">
        <x:v>Кислота усиливает слюноотделение и делает пряный аромат ярче; терпены цитруса образуют мост с эфирными маслами травы или специи.</x:v>
      </x:c>
      <x:c r="Q91" s="28" t="str">
        <x:v>нет выраженного; капсаицин активирует TRPV1 и создаёт жжение</x:v>
      </x:c>
      <x:c r="R91" s="28" t="str">
        <x:v>сок водный; цедра и ликёры несут гидрофобные эфирные масла; капсаицин жирорастворим; кислота не нейтрализует жжение, но усиливает слюноотделение</x:v>
      </x:c>
      <x:c r="S9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91" s="28" t="str">
        <x:v>Апельсин формирует профиль «цитрусовый, сладко-фруктовый, цветочный, восковой»; характерные маркеры: лимонен, линалол, деканаль, октаналь, мирцен.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Фруктовые чили могут поддерживать цитрусовые эфиры, но острота требует баланса.</x:v>
      </x:c>
      <x:c r="U91"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V91" s="28" t="str">
        <x:v>мёд или ваниль</x:v>
      </x:c>
      <x:c r="W91" s="28" t="str">
        <x:v>сироп, кордиал, чатни, маринад или пряный десерт</x:v>
      </x:c>
      <x:c r="X91" s="28" t="str">
        <x:v>напитки, еда, соусы/маринады</x:v>
      </x:c>
      <x:c r="Y91" s="28" t="str">
        <x:v>Высокая</x:v>
      </x:c>
      <x:c r="Z91" s="28" t="str">
        <x:v>Тезариус вкусов (Ники Сегнит)(1).pdf</x:v>
      </x:c>
      <x:c r="AA91" s="28" t="str">
        <x:v>Тезариус вкусов (Ники Сегнит)(1).pdf: 551, 782</x:v>
      </x:c>
      <x:c r="AB91" s="28" t="str">
        <x:v>Рик Бейлесс (Rick Bayless) пи- шет, что спелый оранжевый чили Хабанеро обладает заметной пикантностью, поскольку демонстрирует вкусы маракуйи, абрикоса, цветка апельсина и трав. Спектр ароматов этого чили похож на спектр вкусов, только к нему добавляются ноты сладкого, островатого мандарина. Хочется надеяться, что вы сможете обнаружить все эти ноты в бокале слез, пролитых при попытке попробовать самый грозный из всех видов чили. В высушенных чили, причем не только в Хабанеро, часто обнаруживаютс</x:v>
      </x:c>
      <x:c r="AC91" s="28" t="n">
        <x:v>1</x:v>
      </x:c>
      <x:c r="AD91" s="28" t="n">
        <x:v>2</x:v>
      </x:c>
    </x:row>
    <x:row r="92" ht="58" customHeight="1">
      <x:c r="A92" s="28" t="str">
        <x:v>CIT-0091</x:v>
      </x:c>
      <x:c r="B92" s="28" t="str">
        <x:v>Универсальные</x:v>
      </x:c>
      <x:c r="C92" s="28" t="str">
        <x:v>апельсин</x:v>
      </x:c>
      <x:c r="D92" s="28" t="str">
        <x:v>апельсин</x:v>
      </x:c>
      <x:c r="E92" s="28" t="str">
        <x:v>Цитрусовые</x:v>
      </x:c>
      <x:c r="F92" s="28" t="str">
        <x:v>чили (перцы)</x:v>
      </x:c>
      <x:c r="G92" s="28" t="str">
        <x:v>Чили (перцы)</x:v>
      </x:c>
      <x:c r="H92" s="28" t="str">
        <x:v>Пряности</x:v>
      </x:c>
      <x:c r="I92" s="28" t="str">
        <x:v>цитрусовый, сладко-фруктовый, цветочный, восковой</x:v>
      </x:c>
      <x:c r="J92" s="28" t="str">
        <x:v>зелёный, фруктовый, пряный</x:v>
      </x:c>
      <x:c r="K92" s="28" t="str">
        <x:v>лимонен, линалол, деканаль, октаналь, мирцен</x:v>
      </x:c>
      <x:c r="L92" s="28" t="str">
        <x:v>капсаицин, пиразины, эфиры</x:v>
      </x:c>
      <x:c r="M92" s="28" t="str">
        <x:v>прямое семейное перекрытие не является главным механизмом</x:v>
      </x:c>
      <x:c r="N92" s="28" t="str">
        <x:v>надёжный общий маркер не заявлен; сочетание объясняется семействами и сенсорным балансом</x:v>
      </x:c>
      <x:c r="O92" s="28" t="str">
        <x:v>вкусовой баланс, тройничное восприятие</x:v>
      </x:c>
      <x:c r="P92" s="28" t="str">
        <x:v>Кислота усиливает слюноотделение и делает пряный аромат ярче; терпены цитруса образуют мост с эфирными маслами травы или специи.</x:v>
      </x:c>
      <x:c r="Q92" s="28" t="str">
        <x:v>нет выраженного; капсаицин активирует TRPV1 и создаёт жжение</x:v>
      </x:c>
      <x:c r="R92" s="28" t="str">
        <x:v>сок водный; цедра и ликёры несут гидрофобные эфирные масла; капсаицин жирорастворим; кислота не нейтрализует жжение, но усиливает слюноотделение</x:v>
      </x:c>
      <x:c r="S9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92" s="28" t="str">
        <x:v>Апельсин формирует профиль «цитрусовый, сладко-фруктовый, цветочный, восковой»; характерные маркеры: лимонен, линалол, деканаль, октаналь, мирцен. Чили (перцы)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Фруктовые чили могут поддерживать цитрусовые эфиры, но острота требует баланса.</x:v>
      </x:c>
      <x:c r="U92"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V92" s="28" t="str">
        <x:v>мёд или ваниль</x:v>
      </x:c>
      <x:c r="W92" s="28" t="str">
        <x:v>сироп, кордиал, чатни, маринад или пряный десерт</x:v>
      </x:c>
      <x:c r="X92" s="28" t="str">
        <x:v>напитки, еда, соусы/маринады</x:v>
      </x:c>
      <x:c r="Y92" s="28" t="str">
        <x:v>Гипотеза / практическая</x:v>
      </x:c>
      <x:c r="Z92" s="28" t="str">
        <x:v>Таблица сочетания(1).pdf</x:v>
      </x:c>
      <x:c r="AA92" s="28" t="str">
        <x:v>Таблица сочетания(1).pdf: 5</x:v>
      </x:c>
      <x:c r="AB92" s="28" t="str">
        <x:v>Пара указана в таблице: «Чили (перцы)» → колонка «Фрукты».</x:v>
      </x:c>
      <x:c r="AC92" s="28" t="n">
        <x:v>1</x:v>
      </x:c>
      <x:c r="AD92" s="28" t="n">
        <x:v>1</x:v>
      </x:c>
    </x:row>
    <x:row r="93" ht="58" customHeight="1">
      <x:c r="A93" s="28" t="str">
        <x:v>CIT-0092</x:v>
      </x:c>
      <x:c r="B93" s="28" t="str">
        <x:v>Универсальные</x:v>
      </x:c>
      <x:c r="C93" s="28" t="str">
        <x:v>апельсин</x:v>
      </x:c>
      <x:c r="D93" s="28" t="str">
        <x:v>Апельсин | апельсин</x:v>
      </x:c>
      <x:c r="E93" s="28" t="str">
        <x:v>Цитрусовые</x:v>
      </x:c>
      <x:c r="F93" s="28" t="str">
        <x:v>шафран</x:v>
      </x:c>
      <x:c r="G93" s="28" t="str">
        <x:v>Шафран | шафран</x:v>
      </x:c>
      <x:c r="H93" s="28" t="str">
        <x:v>Пряности</x:v>
      </x:c>
      <x:c r="I93" s="28" t="str">
        <x:v>цитрусовый, сладко-фруктовый, цветочный, восковой</x:v>
      </x:c>
      <x:c r="J93" s="28" t="str">
        <x:v>медовый, сенной, цветочный, кожистый</x:v>
      </x:c>
      <x:c r="K93" s="28" t="str">
        <x:v>лимонен, линалол, деканаль, октаналь, мирцен</x:v>
      </x:c>
      <x:c r="L93" s="28" t="str">
        <x:v>сафраналь, пикрокроцин</x:v>
      </x:c>
      <x:c r="M93" s="28" t="str">
        <x:v>цветочный</x:v>
      </x:c>
      <x:c r="N93" s="28" t="str">
        <x:v>надёжный общий маркер не заявлен; сочетание объясняется семействами и сенсорным балансом</x:v>
      </x:c>
      <x:c r="O93" s="28" t="str">
        <x:v>перекрытие ароматических семейств, вкусовой баланс</x:v>
      </x:c>
      <x:c r="P93" s="28" t="str">
        <x:v>Кислота усиливает слюноотделение и делает пряный аромат ярче; терпены цитруса образуют мост с эфирными маслами травы или специи.</x:v>
      </x:c>
      <x:c r="Q93" s="28" t="str">
        <x:v>нет выраженного; нет выраженного</x:v>
      </x:c>
      <x:c r="R93" s="28" t="str">
        <x:v>сок водный; цедра и ликёры несут гидрофобные эфирные масла; сафраналь летуч; небольшая доза достаточна</x:v>
      </x:c>
      <x:c r="S9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93" s="28" t="str">
        <x:v>Апельсин формирует профиль «цитрусовый, сладко-фруктовый, цветочный, восковой»; характерные маркеры: лимонен, линалол, деканаль, октаналь, мирцен. Шафран относится к группе «пряности» и даёт ноты «медовый, сенной, цветочный, кожистый».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Шафран даёт сухую цветочно-медовую глубину.</x:v>
      </x:c>
      <x:c r="U93" s="28" t="str">
        <x:v>Избыток кислоты делает вкус плоско-резким; белая часть кожуры даёт лишнюю горечь.</x:v>
      </x:c>
      <x:c r="V93" s="28" t="str">
        <x:v>мёд или ваниль</x:v>
      </x:c>
      <x:c r="W93" s="28" t="str">
        <x:v>сироп, кордиал, чатни, маринад или пряный десерт</x:v>
      </x:c>
      <x:c r="X93" s="28" t="str">
        <x:v>напитки, еда, соусы/маринады</x:v>
      </x:c>
      <x:c r="Y93" s="28" t="str">
        <x:v>Высокая</x:v>
      </x:c>
      <x:c r="Z93" s="28" t="str">
        <x:v>Тезариус вкусов (Ники Сегнит)(1).pdf</x:v>
      </x:c>
      <x:c r="AA93" s="28" t="str">
        <x:v>Тезариус вкусов (Ники Сегнит)(1).pdf: 474, 783</x:v>
      </x:c>
      <x:c r="AB93" s="28" t="str">
        <x:v>Цитрусовые вкусы хорошо сочетаются с шафраном. Так, апельсин и шафран встречаются в средиземноморских блюдах из тушеной рыбы и североафриканских таджинах, но главную роль играют в пирожных и печенье. Замочите щепотку шафрана в столовой ложке теплого молока и добавьте в смесь для приготовления бисквита «Виктория» (Victoria). Сделайте из бисквита подобие сэндвича с мармеладом – будет очень по-мавритански.</x:v>
      </x:c>
      <x:c r="AC93" s="28" t="n">
        <x:v>1</x:v>
      </x:c>
      <x:c r="AD93" s="28" t="n">
        <x:v>2</x:v>
      </x:c>
    </x:row>
    <x:row r="94" ht="58" customHeight="1">
      <x:c r="A94" s="28" t="str">
        <x:v>CIT-0093</x:v>
      </x:c>
      <x:c r="B94" s="28" t="str">
        <x:v>Десерты и выпечка</x:v>
      </x:c>
      <x:c r="C94" s="28" t="str">
        <x:v>апельсин</x:v>
      </x:c>
      <x:c r="D94" s="28" t="str">
        <x:v>Апельсин | апельсин</x:v>
      </x:c>
      <x:c r="E94" s="28" t="str">
        <x:v>Цитрусовые</x:v>
      </x:c>
      <x:c r="F94" s="28" t="str">
        <x:v>шоколад</x:v>
      </x:c>
      <x:c r="G94" s="28" t="str">
        <x:v>Шоколад | шоколад</x:v>
      </x:c>
      <x:c r="H94" s="28" t="str">
        <x:v>Шоколад/обжаренное</x:v>
      </x:c>
      <x:c r="I94" s="28" t="str">
        <x:v>цитрусовый, сладко-фруктовый, цветочный, восковой</x:v>
      </x:c>
      <x:c r="J94" s="28" t="str">
        <x:v>обжаренный, какао, ореховый, карамельный</x:v>
      </x:c>
      <x:c r="K94" s="28" t="str">
        <x:v>лимонен, линалол, деканаль, октаналь, мирцен</x:v>
      </x:c>
      <x:c r="L94" s="28" t="str">
        <x:v>пиразины, фураны, фенилуксусная кислота, ванилин</x:v>
      </x:c>
      <x:c r="M94" s="28" t="str">
        <x:v>прямое семейное перекрытие не является главным механизмом</x:v>
      </x:c>
      <x:c r="N94" s="28" t="str">
        <x:v>надёжный общий маркер не заявлен; сочетание объясняется семействами и сенсорным балансом</x:v>
      </x:c>
      <x:c r="O94" s="28" t="str">
        <x:v>вкусовой баланс</x:v>
      </x:c>
      <x:c r="P94" s="28" t="str">
        <x:v>Высокая кисло-ароматическая нота контрастирует с жареными, горькими и карамельными оттенками; сахар или жир связывает два регистра.</x:v>
      </x:c>
      <x:c r="Q94" s="28" t="str">
        <x:v>нет выраженного; нет выраженного</x:v>
      </x:c>
      <x:c r="R94" s="28" t="str">
        <x:v>сок водный; цедра и ликёры несут гидрофобные эфирные масла; жир какао удерживает гидрофобные терпены</x:v>
      </x:c>
      <x:c r="S9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94" s="28" t="str">
        <x:v>Апельсин формирует профиль «цитрусовый, сладко-фруктовый, цветочный, восковой»; характерные маркеры: лимонен, линалол, деканаль, октаналь, мирцен.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даёт высокую свежую ноту на фоне тёмных жареных соединений.</x:v>
      </x:c>
      <x:c r="U94" s="28" t="str">
        <x:v>Избыток кислоты делает вкус плоско-резким; белая часть кожуры даёт лишнюю горечь.</x:v>
      </x:c>
      <x:c r="V94" s="28" t="str">
        <x:v>ваниль или кардамон</x:v>
      </x:c>
      <x:c r="W94" s="28" t="str">
        <x:v>ганаш, тарт, конфеты, кофейный напиток или биттер</x:v>
      </x:c>
      <x:c r="X94" s="28" t="str">
        <x:v>десерты</x:v>
      </x:c>
      <x:c r="Y94" s="28" t="str">
        <x:v>Высокая</x:v>
      </x:c>
      <x:c r="Z94" s="28" t="str">
        <x:v>Таблица сочетания(1).pdf | Тезариус вкусов (Ники Сегнит)(1).pdf</x:v>
      </x:c>
      <x:c r="AA94" s="28" t="str">
        <x:v>Таблица сочетания(1).pdf: 5 | Тезариус вкусов (Ники Сегнит)(1).pdf: 26, 783</x:v>
      </x:c>
      <x:c r="AB94" s="28" t="str">
        <x:v>Апельсиновая цедра и во- да из цветов апельсина используются для ароматизации шоколада, по крайней мере, с XVII века. Сочетание апельсина и шоколада пережило многие другие вкусовые союзы, например с черным перцем и анисом (последние уже канули в Лету). Удивительно, что знаменитый Terry’s Chocolate Orange изначально делали с яблоками. Созданная в 1926 году «яблочная» версия оказалась настолько популярной, что ва- риант с апельсином компания «запустила» лишь четыре года спустя. Когда же после войн</x:v>
      </x:c>
      <x:c r="AC94" s="28" t="n">
        <x:v>2</x:v>
      </x:c>
      <x:c r="AD94" s="28" t="n">
        <x:v>3</x:v>
      </x:c>
    </x:row>
    <x:row r="95" ht="58" customHeight="1">
      <x:c r="A95" s="28" t="str">
        <x:v>CIT-0094</x:v>
      </x:c>
      <x:c r="B95" s="28" t="str">
        <x:v>Универсальные</x:v>
      </x:c>
      <x:c r="C95" s="28" t="str">
        <x:v>апельсин</x:v>
      </x:c>
      <x:c r="D95" s="28" t="str">
        <x:v>апельсин</x:v>
      </x:c>
      <x:c r="E95" s="28" t="str">
        <x:v>Цитрусовые</x:v>
      </x:c>
      <x:c r="F95" s="28" t="str">
        <x:v>юдзу</x:v>
      </x:c>
      <x:c r="G95" s="28" t="str">
        <x:v>Юдзу</x:v>
      </x:c>
      <x:c r="H95" s="28" t="str">
        <x:v>Цитрусовые</x:v>
      </x:c>
      <x:c r="I95" s="28" t="str">
        <x:v>цитрусовый, сладко-фруктовый, цветочный, восковой</x:v>
      </x:c>
      <x:c r="J95" s="28" t="str">
        <x:v>цитрусовый, зелёный, травяной, камфорный</x:v>
      </x:c>
      <x:c r="K95" s="28" t="str">
        <x:v>лимонен, линалол, деканаль, октаналь, мирцен</x:v>
      </x:c>
      <x:c r="L95" s="28" t="str">
        <x:v>лимонен, гамма-терпинен, цитраль, бета-пинен, линалол</x:v>
      </x:c>
      <x:c r="M95" s="28" t="str">
        <x:v>цитрусовый</x:v>
      </x:c>
      <x:c r="N95" s="28" t="str">
        <x:v>лимонен, линалол</x:v>
      </x:c>
      <x:c r="O95" s="28" t="str">
        <x:v>общие ароматические молекулы, перекрытие ароматических семейств, вкусовой баланс, тройничное восприятие</x:v>
      </x:c>
      <x:c r="P95" s="28" t="str">
        <x:v>Сочетание строится на близком терпеновом профиле; различия в кислотности, горечи и цветочно-зелёных оттенках создают объём.</x:v>
      </x:c>
      <x:c r="Q95" s="28" t="str">
        <x:v>нет выраженного; кислота усиливает слюноотделение; зелёные терпены создают ощущение прохлады</x:v>
      </x:c>
      <x:c r="R95" s="28" t="str">
        <x:v>сок водный; цедра и ликёры несут гидрофобные эфирные масла; сок — водная кислая фаза; цедра — масляная терпеновая</x:v>
      </x:c>
      <x:c r="S9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95" s="28" t="str">
        <x:v>Апельсин формирует профиль «цитрусовый, сладко-фруктовый, цветочный, восковой»; характерные маркеры: лимонен, линалол, деканаль, октаналь, мирцен. Юдзу относится к группе «цитрусовые» и даёт ноты «цитрусовый, зелёный, травяной, камфорный». Наиболее правдоподобный молекулярный мост —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Лаймовые цитрусы дают более зелёный и камфорный профиль, чем сладкий апельсин.</x:v>
      </x:c>
      <x:c r="U95" s="28" t="str">
        <x:v>Избыток кислоты делает вкус плоско-резким; белая часть кожуры даёт лишнюю горечь.</x:v>
      </x:c>
      <x:c r="V95" s="28" t="str">
        <x:v>мёд или цветочная вода</x:v>
      </x:c>
      <x:c r="W95" s="28" t="str">
        <x:v>цитрусовый кордиал, мармелад, сорбет, салат или купаж соков</x:v>
      </x:c>
      <x:c r="X95" s="28" t="str">
        <x:v>напитки, десерты</x:v>
      </x:c>
      <x:c r="Y95" s="28" t="str">
        <x:v>Средняя</x:v>
      </x:c>
      <x:c r="Z95" s="28" t="str">
        <x:v>Таблица сочетания(1).pdf</x:v>
      </x:c>
      <x:c r="AA95" s="28" t="str">
        <x:v>Таблица сочетания(1).pdf: 22</x:v>
      </x:c>
      <x:c r="AB95" s="28" t="str">
        <x:v>Пара указана в таблице: «Юдзу» → колонка «Фрукты».</x:v>
      </x:c>
      <x:c r="AC95" s="28" t="n">
        <x:v>1</x:v>
      </x:c>
      <x:c r="AD95" s="28" t="n">
        <x:v>1</x:v>
      </x:c>
    </x:row>
    <x:row r="96" ht="58" customHeight="1">
      <x:c r="A96" s="28" t="str">
        <x:v>CIT-0095</x:v>
      </x:c>
      <x:c r="B96" s="28" t="str">
        <x:v>Десерты и выпечка</x:v>
      </x:c>
      <x:c r="C96" s="28" t="str">
        <x:v>апельсин</x:v>
      </x:c>
      <x:c r="D96" s="28" t="str">
        <x:v>Апельсин | апельсин</x:v>
      </x:c>
      <x:c r="E96" s="28" t="str">
        <x:v>Цитрусовые</x:v>
      </x:c>
      <x:c r="F96" s="28" t="str">
        <x:v>яблоко</x:v>
      </x:c>
      <x:c r="G96" s="28" t="str">
        <x:v>Яблоко | яблоко</x:v>
      </x:c>
      <x:c r="H96" s="28" t="str">
        <x:v>Фрукты</x:v>
      </x:c>
      <x:c r="I96" s="28" t="str">
        <x:v>цитрусовый, сладко-фруктовый, цветочный, восковой</x:v>
      </x:c>
      <x:c r="J96" s="28" t="str">
        <x:v>фруктовый, зелёный, цветочный</x:v>
      </x:c>
      <x:c r="K96" s="28" t="str">
        <x:v>лимонен, линалол, деканаль, октаналь, мирцен</x:v>
      </x:c>
      <x:c r="L96" s="28" t="str">
        <x:v>гексилацетат, гексаналь, транс-2-гексеналь, бета-дамасценон</x:v>
      </x:c>
      <x:c r="M96" s="28" t="str">
        <x:v>цветочный</x:v>
      </x:c>
      <x:c r="N96" s="28" t="str">
        <x:v>надёжный общий маркер не заявлен; сочетание объясняется семействами и сенсорным балансом</x:v>
      </x:c>
      <x:c r="O96" s="28" t="str">
        <x:v>перекрытие ароматических семейств, вкусовой баланс</x:v>
      </x:c>
      <x:c r="P96" s="28" t="str">
        <x:v>Общая фруктовая сладость и летучие эфиры создают непрерывный ароматический профиль, а цитрусовая кислота повышает контраст и свежесть.</x:v>
      </x:c>
      <x:c r="Q96" s="28" t="str">
        <x:v>нет выраженного; нет выраженного</x:v>
      </x:c>
      <x:c r="R96" s="28" t="str">
        <x:v>сок водный; цедра и ликёры несут гидрофобные эфирные масла; водная сочная матрица; пектин повышает вязкость</x:v>
      </x:c>
      <x:c r="S9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96" s="28" t="str">
        <x:v>Апельсин формирует профиль «цитрусовый, сладко-фруктовый, цветочный, восковой»; характерные маркеры: лимонен, линалол, деканаль, октаналь, мирцен.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Яблочные эфиры и зелёные альдегиды хорошо поддерживают свежий цитрус.</x:v>
      </x:c>
      <x:c r="U96" s="28" t="str">
        <x:v>Избыток кислоты делает вкус плоско-резким; белая часть кожуры даёт лишнюю горечь.</x:v>
      </x:c>
      <x:c r="V96" s="28" t="str">
        <x:v>мята или имбирь</x:v>
      </x:c>
      <x:c r="W96" s="28" t="str">
        <x:v>лимонад, сорбет, компот, салат или фруктовый кордиал</x:v>
      </x:c>
      <x:c r="X96" s="28" t="str">
        <x:v>напитки, десерты</x:v>
      </x:c>
      <x:c r="Y96" s="28" t="str">
        <x:v>Высокая</x:v>
      </x:c>
      <x:c r="Z96" s="28" t="str">
        <x:v>Таблица сочетания(1).pdf | Тезариус вкусов (Ники Сегнит)(1).pdf</x:v>
      </x:c>
      <x:c r="AA96" s="28" t="str">
        <x:v>Таблица сочетания(1).pdf: 14 | Тезариус вкусов (Ники Сегнит)(1).pdf: 710, 784</x:v>
      </x:c>
      <x:c r="AB96" s="28" t="str">
        <x:v>Несравнимые фрукты, кото- рые, однако, нельзя назвать несочетаемыми. Найджел Слейтер (Nigel Slater) предлагает вам взять пару очищенных десертных яблок, разрезать их на осьмушки и потушить в 50 г сливочного масла в течение 6–7 мин. После этого перенесите яблоки на подогретое блюдо для десерта. Высыпьте в сковороду с жидкостью 2 ст. л. коричневого сахара и размешивайте ее 2–3 мин., пока яблочное масло не карамелизируется. Влейте сок одного большого апельсина, положите его цедру и добавьте 150 мл </x:v>
      </x:c>
      <x:c r="AC96" s="28" t="n">
        <x:v>2</x:v>
      </x:c>
      <x:c r="AD96" s="28" t="n">
        <x:v>3</x:v>
      </x:c>
    </x:row>
    <x:row r="97" ht="58" customHeight="1">
      <x:c r="A97" s="28" t="str">
        <x:v>CIT-0096</x:v>
      </x:c>
      <x:c r="B97" s="28" t="str">
        <x:v>Десерты и выпечка</x:v>
      </x:c>
      <x:c r="C97" s="28" t="str">
        <x:v>апельсин</x:v>
      </x:c>
      <x:c r="D97" s="28" t="str">
        <x:v>Апельсин</x:v>
      </x:c>
      <x:c r="E97" s="28" t="str">
        <x:v>Цитрусовые</x:v>
      </x:c>
      <x:c r="F97" s="28" t="str">
        <x:v>ягоды</x:v>
      </x:c>
      <x:c r="G97" s="28" t="str">
        <x:v>ягоды</x:v>
      </x:c>
      <x:c r="H97" s="28" t="str">
        <x:v>Ягоды/косточковые</x:v>
      </x:c>
      <x:c r="I97" s="28" t="str">
        <x:v>цитрусовый, сладко-фруктовый, цветочный, восковой</x:v>
      </x:c>
      <x:c r="J97" s="28" t="str">
        <x:v>фруктовый, цветочный, зелёный, винный</x:v>
      </x:c>
      <x:c r="K97" s="28" t="str">
        <x:v>лимонен, линалол, деканаль, октаналь, мирцен</x:v>
      </x:c>
      <x:c r="L97" s="28" t="str">
        <x:v>иононы, дамасценон, эфиры, бензальдегид (для косточковых)</x:v>
      </x:c>
      <x:c r="M97" s="28" t="str">
        <x:v>цветочный</x:v>
      </x:c>
      <x:c r="N97" s="28" t="str">
        <x:v>надёжный общий маркер не заявлен; сочетание объясняется семействами и сенсорным балансом</x:v>
      </x:c>
      <x:c r="O97" s="28" t="str">
        <x:v>перекрытие ароматических семейств, вкусовой баланс</x:v>
      </x:c>
      <x:c r="P97" s="28" t="str">
        <x:v>Общая фруктовая сладость и летучие эфиры создают непрерывный ароматический профиль, а цитрусовая кислота повышает контраст и свежесть.</x:v>
      </x:c>
      <x:c r="Q97" s="28" t="str">
        <x:v>нет выраженного; нет выраженного</x:v>
      </x:c>
      <x:c r="R97" s="28" t="str">
        <x:v>сок водный; цедра и ликёры несут гидрофобные эфирные масла; водная матрица с антоцианами и полифенолами</x:v>
      </x:c>
      <x:c r="S9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97" s="28" t="str">
        <x:v>Апельсин формирует профиль «цитрусовый, сладко-фруктовый, цветочный, восковой»; характерные маркеры: лимонен, линалол, деканаль, октаналь, мирцен.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U97" s="28" t="str">
        <x:v>Избыток кислоты делает вкус плоско-резким; белая часть кожуры даёт лишнюю горечь.</x:v>
      </x:c>
      <x:c r="V97" s="28" t="str">
        <x:v>ваниль или миндаль</x:v>
      </x:c>
      <x:c r="W97" s="28" t="str">
        <x:v>джем, сорбет, коктейль или соус</x:v>
      </x:c>
      <x:c r="X97" s="28" t="str">
        <x:v>напитки, десерты</x:v>
      </x:c>
      <x:c r="Y97" s="28" t="str">
        <x:v>Гипотеза / практическая</x:v>
      </x:c>
      <x:c r="Z97" s="28" t="str">
        <x:v>Таблица сочетания(1).pdf</x:v>
      </x:c>
      <x:c r="AA97" s="28" t="str">
        <x:v>Таблица сочетания(1).pdf: 14</x:v>
      </x:c>
      <x:c r="AB97" s="28" t="str">
        <x:v>Пара указана в таблице: «Апельсин» → колонка «Фрукты».</x:v>
      </x:c>
      <x:c r="AC97" s="28" t="n">
        <x:v>1</x:v>
      </x:c>
      <x:c r="AD97" s="28" t="n">
        <x:v>1</x:v>
      </x:c>
    </x:row>
    <x:row r="98" ht="58" customHeight="1">
      <x:c r="A98" s="28" t="str">
        <x:v>CIT-0097</x:v>
      </x:c>
      <x:c r="B98" s="28" t="str">
        <x:v>Десерты и выпечка</x:v>
      </x:c>
      <x:c r="C98" s="28" t="str">
        <x:v>апельсин</x:v>
      </x:c>
      <x:c r="D98" s="28" t="str">
        <x:v>апельсин</x:v>
      </x:c>
      <x:c r="E98" s="28" t="str">
        <x:v>Цитрусовые</x:v>
      </x:c>
      <x:c r="F98" s="28" t="str">
        <x:v>ягоды можжевельника</x:v>
      </x:c>
      <x:c r="G98" s="28" t="str">
        <x:v>Ягоды можжевельника</x:v>
      </x:c>
      <x:c r="H98" s="28" t="str">
        <x:v>Ягоды/косточковые</x:v>
      </x:c>
      <x:c r="I98" s="28" t="str">
        <x:v>цитрусовый, сладко-фруктовый, цветочный, восковой</x:v>
      </x:c>
      <x:c r="J98" s="28" t="str">
        <x:v>фруктовый, цветочный, зелёный, винный</x:v>
      </x:c>
      <x:c r="K98" s="28" t="str">
        <x:v>лимонен, линалол, деканаль, октаналь, мирцен</x:v>
      </x:c>
      <x:c r="L98" s="28" t="str">
        <x:v>иононы, дамасценон, эфиры, бензальдегид (для косточковых)</x:v>
      </x:c>
      <x:c r="M98" s="28" t="str">
        <x:v>цветочный</x:v>
      </x:c>
      <x:c r="N98" s="28" t="str">
        <x:v>надёжный общий маркер не заявлен; сочетание объясняется семействами и сенсорным балансом</x:v>
      </x:c>
      <x:c r="O98" s="28" t="str">
        <x:v>перекрытие ароматических семейств, вкусовой баланс</x:v>
      </x:c>
      <x:c r="P98" s="28" t="str">
        <x:v>Общая фруктовая сладость и летучие эфиры создают непрерывный ароматический профиль, а цитрусовая кислота повышает контраст и свежесть.</x:v>
      </x:c>
      <x:c r="Q98" s="28" t="str">
        <x:v>нет выраженного; нет выраженного</x:v>
      </x:c>
      <x:c r="R98" s="28" t="str">
        <x:v>сок водный; цедра и ликёры несут гидрофобные эфирные масла; водная матрица с антоцианами и полифенолами</x:v>
      </x:c>
      <x:c r="S9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98" s="28" t="str">
        <x:v>Апельсин формирует профиль «цитрусовый, сладко-фруктовый, цветочный, восковой»; характерные маркеры: лимонен, линалол, деканаль, октаналь, мирцен. Ягоды можжевельника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U98" s="28" t="str">
        <x:v>Избыток кислоты делает вкус плоско-резким; белая часть кожуры даёт лишнюю горечь.</x:v>
      </x:c>
      <x:c r="V98" s="28" t="str">
        <x:v>ваниль или миндаль</x:v>
      </x:c>
      <x:c r="W98" s="28" t="str">
        <x:v>джем, сорбет, коктейль или соус</x:v>
      </x:c>
      <x:c r="X98" s="28" t="str">
        <x:v>напитки, десерты</x:v>
      </x:c>
      <x:c r="Y98" s="28" t="str">
        <x:v>Гипотеза / практическая</x:v>
      </x:c>
      <x:c r="Z98" s="28" t="str">
        <x:v>Таблица сочетания(1).pdf</x:v>
      </x:c>
      <x:c r="AA98" s="28" t="str">
        <x:v>Таблица сочетания(1).pdf: 10</x:v>
      </x:c>
      <x:c r="AB98" s="28" t="str">
        <x:v>Пара указана в таблице: «Ягоды можжевельника» → колонка «Фрукты».</x:v>
      </x:c>
      <x:c r="AC98" s="28" t="n">
        <x:v>1</x:v>
      </x:c>
      <x:c r="AD98" s="28" t="n">
        <x:v>1</x:v>
      </x:c>
    </x:row>
    <x:row r="99" ht="58" customHeight="1">
      <x:c r="A99" s="28" t="str">
        <x:v>CIT-0098</x:v>
      </x:c>
      <x:c r="B99" s="28" t="str">
        <x:v>Универсальные</x:v>
      </x:c>
      <x:c r="C99" s="28" t="str">
        <x:v>апельсиновая</x:v>
      </x:c>
      <x:c r="D99" s="28" t="str">
        <x:v>апельсиновая</x:v>
      </x:c>
      <x:c r="E99" s="28" t="str">
        <x:v>Цитрусовые</x:v>
      </x:c>
      <x:c r="F99" s="28" t="str">
        <x:v>голубика</x:v>
      </x:c>
      <x:c r="G99" s="28" t="str">
        <x:v>Голубика</x:v>
      </x:c>
      <x:c r="H99" s="28" t="str">
        <x:v>Прочее</x:v>
      </x:c>
      <x:c r="I99" s="28" t="str">
        <x:v>цитрусовый, сладко-фруктовый, цветочный, восковой</x:v>
      </x:c>
      <x:c r="J99" s="28" t="str">
        <x:v>нейтральный/специфический</x:v>
      </x:c>
      <x:c r="K99" s="28" t="str">
        <x:v>лимонен, линалол, деканаль, октаналь, мирцен</x:v>
      </x:c>
      <x:c r="L99" s="28" t="str">
        <x:v>нужен профиль конкретного продукта</x:v>
      </x:c>
      <x:c r="M99" s="28" t="str">
        <x:v>прямое семейное перекрытие не является главным механизмом</x:v>
      </x:c>
      <x:c r="N99" s="28" t="str">
        <x:v>надёжный общий маркер не заявлен; сочетание объясняется семействами и сенсорным балансом</x:v>
      </x:c>
      <x:c r="O99" s="28" t="str">
        <x:v>вкусовой баланс, тройничное восприятие</x:v>
      </x:c>
      <x:c r="P99" s="28" t="str">
        <x:v>Основной эффект определяется ароматическим контрастом и добавлением кислотной свежести; точный баланс зависит от дозировки и матрицы.</x:v>
      </x:c>
      <x:c r="Q99" s="28" t="str">
        <x:v>нет выраженного; нет данных</x:v>
      </x:c>
      <x:c r="R99" s="28" t="str">
        <x:v>сок водный; цедра и ликёры несут гидрофобные эфирные масла; зависит от формы продукта</x:v>
      </x:c>
      <x:c r="S9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99" s="28" t="str">
        <x:v>Апельсиновая формирует профиль «цитрусовый, сладко-фруктовый, цветочный, восковой»; характерные маркеры: лимонен, линалол, деканаль, октаналь, мирцен. Голубика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99" s="28" t="str">
        <x:v>Избыток кислоты делает вкус плоско-резким; белая часть кожуры даёт лишнюю горечь.</x:v>
      </x:c>
      <x:c r="V99" s="28" t="str">
        <x:v>мёд или нейтральная жировая основа</x:v>
      </x:c>
      <x:c r="W99" s="28" t="str">
        <x:v>соус, напиток или десерт после пробной дегустации</x:v>
      </x:c>
      <x:c r="X99" s="28" t="str">
        <x:v>универсальное</x:v>
      </x:c>
      <x:c r="Y99" s="28" t="str">
        <x:v>Гипотеза / практическая</x:v>
      </x:c>
      <x:c r="Z99" s="28" t="str">
        <x:v>Таблица сочетания(1).pdf</x:v>
      </x:c>
      <x:c r="AA99" s="28" t="str">
        <x:v>Таблица сочетания(1).pdf: 3</x:v>
      </x:c>
      <x:c r="AB99" s="28" t="str">
        <x:v>Пара указана в таблице: «Голубика» → колонка «Другое».</x:v>
      </x:c>
      <x:c r="AC99" s="28" t="n">
        <x:v>1</x:v>
      </x:c>
      <x:c r="AD99" s="28" t="n">
        <x:v>1</x:v>
      </x:c>
    </x:row>
    <x:row r="100" ht="58" customHeight="1">
      <x:c r="A100" s="28" t="str">
        <x:v>CIT-0099</x:v>
      </x:c>
      <x:c r="B100" s="28" t="str">
        <x:v>Универсальные</x:v>
      </x:c>
      <x:c r="C100" s="28" t="str">
        <x:v>апельсиновая</x:v>
      </x:c>
      <x:c r="D100" s="28" t="str">
        <x:v>апельсиновая</x:v>
      </x:c>
      <x:c r="E100" s="28" t="str">
        <x:v>Цитрусовые</x:v>
      </x:c>
      <x:c r="F100" s="28" t="str">
        <x:v>киви</x:v>
      </x:c>
      <x:c r="G100" s="28" t="str">
        <x:v>Киви</x:v>
      </x:c>
      <x:c r="H100" s="28" t="str">
        <x:v>Прочее</x:v>
      </x:c>
      <x:c r="I100" s="28" t="str">
        <x:v>цитрусовый, сладко-фруктовый, цветочный, восковой</x:v>
      </x:c>
      <x:c r="J100" s="28" t="str">
        <x:v>нейтральный/специфический</x:v>
      </x:c>
      <x:c r="K100" s="28" t="str">
        <x:v>лимонен, линалол, деканаль, октаналь, мирцен</x:v>
      </x:c>
      <x:c r="L100" s="28" t="str">
        <x:v>нужен профиль конкретного продукта</x:v>
      </x:c>
      <x:c r="M100" s="28" t="str">
        <x:v>прямое семейное перекрытие не является главным механизмом</x:v>
      </x:c>
      <x:c r="N100" s="28" t="str">
        <x:v>надёжный общий маркер не заявлен; сочетание объясняется семействами и сенсорным балансом</x:v>
      </x:c>
      <x:c r="O100" s="28" t="str">
        <x:v>вкусовой баланс, тройничное восприятие</x:v>
      </x:c>
      <x:c r="P100" s="28" t="str">
        <x:v>Основной эффект определяется ароматическим контрастом и добавлением кислотной свежести; точный баланс зависит от дозировки и матрицы.</x:v>
      </x:c>
      <x:c r="Q100" s="28" t="str">
        <x:v>нет выраженного; нет данных</x:v>
      </x:c>
      <x:c r="R100" s="28" t="str">
        <x:v>сок водный; цедра и ликёры несут гидрофобные эфирные масла; зависит от формы продукта</x:v>
      </x:c>
      <x:c r="S10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00" s="28" t="str">
        <x:v>Апельсиновая формирует профиль «цитрусовый, сладко-фруктовый, цветочный, восковой»; характерные маркеры: лимонен, линалол, деканаль, октаналь, мирцен. Киви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100" s="28" t="str">
        <x:v>Избыток кислоты делает вкус плоско-резким; белая часть кожуры даёт лишнюю горечь.</x:v>
      </x:c>
      <x:c r="V100" s="28" t="str">
        <x:v>мёд или нейтральная жировая основа</x:v>
      </x:c>
      <x:c r="W100" s="28" t="str">
        <x:v>соус, напиток или десерт после пробной дегустации</x:v>
      </x:c>
      <x:c r="X100" s="28" t="str">
        <x:v>универсальное</x:v>
      </x:c>
      <x:c r="Y100" s="28" t="str">
        <x:v>Гипотеза / практическая</x:v>
      </x:c>
      <x:c r="Z100" s="28" t="str">
        <x:v>Таблица сочетания(1).pdf</x:v>
      </x:c>
      <x:c r="AA100" s="28" t="str">
        <x:v>Таблица сочетания(1).pdf: 10</x:v>
      </x:c>
      <x:c r="AB100" s="28" t="str">
        <x:v>Пара указана в таблице: «Киви» → колонка «Другое».</x:v>
      </x:c>
      <x:c r="AC100" s="28" t="n">
        <x:v>1</x:v>
      </x:c>
      <x:c r="AD100" s="28" t="n">
        <x:v>1</x:v>
      </x:c>
    </x:row>
    <x:row r="101" ht="58" customHeight="1">
      <x:c r="A101" s="28" t="str">
        <x:v>CIT-0100</x:v>
      </x:c>
      <x:c r="B101" s="28" t="str">
        <x:v>Еда и соусы</x:v>
      </x:c>
      <x:c r="C101" s="28" t="str">
        <x:v>апельсиновая кожура</x:v>
      </x:c>
      <x:c r="D101" s="28" t="str">
        <x:v>orange peel</x:v>
      </x:c>
      <x:c r="E101" s="28" t="str">
        <x:v>Цитрусовые</x:v>
      </x:c>
      <x:c r="F101" s="28" t="str">
        <x:v>жареный кабан</x:v>
      </x:c>
      <x:c r="G101" s="28" t="str">
        <x:v>roast wild boar</x:v>
      </x:c>
      <x:c r="H101" s="28" t="str">
        <x:v>Мясо и птица</x:v>
      </x:c>
      <x:c r="I101" s="28" t="str">
        <x:v>цитрусовый, сладко-фруктовый, цветочный, восковой</x:v>
      </x:c>
      <x:c r="J101" s="28" t="str">
        <x:v>жареный, мясной, сернистый, жирный</x:v>
      </x:c>
      <x:c r="K101" s="28" t="str">
        <x:v>лимонен, линалол, деканаль, октаналь, мирцен</x:v>
      </x:c>
      <x:c r="L101" s="28" t="str">
        <x:v>пиразины, тиазолы, альдегиды жиров, сернистые соединения</x:v>
      </x:c>
      <x:c r="M101" s="28" t="str">
        <x:v>прямое семейное перекрытие не является главным механизмом</x:v>
      </x:c>
      <x:c r="N101" s="28" t="str">
        <x:v>надёжный общий маркер не заявлен; сочетание объясняется семействами и сенсорным балансом</x:v>
      </x:c>
      <x:c r="O101" s="28" t="str">
        <x:v>вкусовой баланс, влияние матрицы/растворимости</x:v>
      </x:c>
      <x:c r="P101" s="28" t="str">
        <x:v>Кислотность и лёгкая горечь цитруса снижают ощущение жирности; соль и умами, в свою очередь, делают фруктовую часть менее резкой.</x:v>
      </x:c>
      <x:c r="Q101" s="28" t="str">
        <x:v>нет выраженного; нет выраженного</x:v>
      </x:c>
      <x:c r="R101" s="28" t="str">
        <x:v>сок водный; цедра и ликёры несут гидрофобные эфирные масла; жир удерживает терпеновые масла; кислота снижает ощущение жирности</x:v>
      </x:c>
      <x:c r="S10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101" s="28" t="str">
        <x:v>Апельсиновая кожура формирует профиль «цитрусовый, сладко-фруктовый, цветочный, восковой»; характерные маркеры: лимонен, линалол, деканаль, октаналь, мирцен. Жареный кабан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U101" s="28" t="str">
        <x:v>Избыток кислоты делает вкус плоско-резким; белая часть кожуры даёт лишнюю горечь; слишком долгая маринация ухудшает текстуру.</x:v>
      </x:c>
      <x:c r="V101" s="28" t="str">
        <x:v>розмарин или чёрный перец</x:v>
      </x:c>
      <x:c r="W101" s="28" t="str">
        <x:v>маринад, глазурь, соус, жаркое или салат</x:v>
      </x:c>
      <x:c r="X101" s="28" t="str">
        <x:v>еда, соусы/маринады</x:v>
      </x:c>
      <x:c r="Y101" s="28" t="str">
        <x:v>Средняя</x:v>
      </x:c>
      <x:c r="Z101" s="28" t="str">
        <x:v>The Art &amp; Science of Foodpairing.pdf</x:v>
      </x:c>
      <x:c r="AA101" s="28" t="str">
        <x:v>The Art &amp; Science of Foodpairing.pdf: 242</x:v>
      </x:c>
      <x:c r="AB101" s="28" t="str">
        <x:v>Пара представлена в ароматической диаграмме Foodpairing на странице 242.</x:v>
      </x:c>
      <x:c r="AC101" s="28" t="n">
        <x:v>1</x:v>
      </x:c>
      <x:c r="AD101" s="28" t="n">
        <x:v>1</x:v>
      </x:c>
    </x:row>
    <x:row r="102" ht="58" customHeight="1">
      <x:c r="A102" s="28" t="str">
        <x:v>CIT-0101</x:v>
      </x:c>
      <x:c r="B102" s="28" t="str">
        <x:v>Напитки</x:v>
      </x:c>
      <x:c r="C102" s="28" t="str">
        <x:v>апельсиновая кожура</x:v>
      </x:c>
      <x:c r="D102" s="28" t="str">
        <x:v>orange peel</x:v>
      </x:c>
      <x:c r="E102" s="28" t="str">
        <x:v>Цитрусовые</x:v>
      </x:c>
      <x:c r="F102" s="28" t="str">
        <x:v>кальвадос</x:v>
      </x:c>
      <x:c r="G102" s="28" t="str">
        <x:v>Calvados</x:v>
      </x:c>
      <x:c r="H102" s="28" t="str">
        <x:v>Алкогольные напитки</x:v>
      </x:c>
      <x:c r="I102" s="28" t="str">
        <x:v>цитрусовый, сладко-фруктовый, цветочный, восковой</x:v>
      </x:c>
      <x:c r="J102" s="28" t="str">
        <x:v>зависит от основы, эфирный, древесный/пряный</x:v>
      </x:c>
      <x:c r="K102" s="28" t="str">
        <x:v>лимонен, линалол, деканаль, октаналь, мирцен</x:v>
      </x:c>
      <x:c r="L102" s="28" t="str">
        <x:v>этанол, эфиры, терпены/дубовые соединения</x:v>
      </x:c>
      <x:c r="M102" s="28" t="str">
        <x:v>прямое семейное перекрытие не является главным механизмом</x:v>
      </x:c>
      <x:c r="N102" s="28" t="str">
        <x:v>надёжный общий маркер не заявлен; сочетание объясняется семействами и сенсорным балансом</x:v>
      </x:c>
      <x:c r="O102" s="28" t="str">
        <x:v>вкусовой баланс, тройничное восприятие, влияние матрицы/растворимости</x:v>
      </x:c>
      <x:c r="P102" s="28" t="str">
        <x:v>Этанол усиливает летучесть терпенов и ощущение тепла; сахар и вода регулируют кислотность, горечь кожуры и спиртуозность.</x:v>
      </x:c>
      <x:c r="Q102" s="28" t="str">
        <x:v>нет выраженного; этанол усиливает тепло и летучесть аромата</x:v>
      </x:c>
      <x:c r="R102" s="28" t="str">
        <x:v>сок водный; цедра и ликёры несут гидрофобные эфирные масла; этанол — хороший растворитель гидрофобных эфирных масел</x:v>
      </x:c>
      <x:c r="S102"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102" s="28" t="str">
        <x:v>Апельсиновая кожура формирует профиль «цитрусовый, сладко-фруктовый, цветочный, восковой»; характерные маркеры: лимонен, линалол, деканаль, октаналь, мирцен. Кальвадос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Апельсиновый профиль строится на лимонене и альдегидах с восково-сладкой нотой. Спирт извлекает цедру и усиливает ретроназальный выход терпенов; сахар и разбавление меняют баланс.</x:v>
      </x:c>
      <x:c r="U102" s="28" t="str">
        <x:v>Избыток кислоты делает вкус плоско-резким; белая часть кожуры даёт лишнюю горечь.</x:v>
      </x:c>
      <x:c r="V102" s="28" t="str">
        <x:v>сахарный сироп или биттер</x:v>
      </x:c>
      <x:c r="W102" s="28" t="str">
        <x:v>коктейль, спритц, настойка, ликёр или кордиал</x:v>
      </x:c>
      <x:c r="X102" s="28" t="str">
        <x:v>напитки</x:v>
      </x:c>
      <x:c r="Y102" s="28" t="str">
        <x:v>Средняя</x:v>
      </x:c>
      <x:c r="Z102" s="28" t="str">
        <x:v>The Art &amp; Science of Foodpairing.pdf</x:v>
      </x:c>
      <x:c r="AA102" s="28" t="str">
        <x:v>The Art &amp; Science of Foodpairing.pdf: 292</x:v>
      </x:c>
      <x:c r="AB102" s="28" t="str">
        <x:v>Пара представлена в ароматической диаграмме Foodpairing на странице 292.</x:v>
      </x:c>
      <x:c r="AC102" s="28" t="n">
        <x:v>1</x:v>
      </x:c>
      <x:c r="AD102" s="28" t="n">
        <x:v>1</x:v>
      </x:c>
    </x:row>
    <x:row r="103" ht="58" customHeight="1">
      <x:c r="A103" s="28" t="str">
        <x:v>CIT-0102</x:v>
      </x:c>
      <x:c r="B103" s="28" t="str">
        <x:v>Универсальные</x:v>
      </x:c>
      <x:c r="C103" s="28" t="str">
        <x:v>апельсиновая кожура</x:v>
      </x:c>
      <x:c r="D103" s="28" t="str">
        <x:v>orange peel</x:v>
      </x:c>
      <x:c r="E103" s="28" t="str">
        <x:v>Цитрусовые</x:v>
      </x:c>
      <x:c r="F103" s="28" t="str">
        <x:v>пшеничные крутоны</x:v>
      </x:c>
      <x:c r="G103" s="28" t="str">
        <x:v>wheat bread croutons</x:v>
      </x:c>
      <x:c r="H103" s="28" t="str">
        <x:v>Прочее</x:v>
      </x:c>
      <x:c r="I103" s="28" t="str">
        <x:v>цитрусовый, сладко-фруктовый, цветочный, восковой</x:v>
      </x:c>
      <x:c r="J103" s="28" t="str">
        <x:v>нейтральный/специфический</x:v>
      </x:c>
      <x:c r="K103" s="28" t="str">
        <x:v>лимонен, линалол, деканаль, октаналь, мирцен</x:v>
      </x:c>
      <x:c r="L103" s="28" t="str">
        <x:v>нужен профиль конкретного продукта</x:v>
      </x:c>
      <x:c r="M103" s="28" t="str">
        <x:v>прямое семейное перекрытие не является главным механизмом</x:v>
      </x:c>
      <x:c r="N103" s="28" t="str">
        <x:v>надёжный общий маркер не заявлен; сочетание объясняется семействами и сенсорным балансом</x:v>
      </x:c>
      <x:c r="O103" s="28" t="str">
        <x:v>вкусовой баланс, тройничное восприятие</x:v>
      </x:c>
      <x:c r="P103" s="28" t="str">
        <x:v>Основной эффект определяется ароматическим контрастом и добавлением кислотной свежести; точный баланс зависит от дозировки и матрицы.</x:v>
      </x:c>
      <x:c r="Q103" s="28" t="str">
        <x:v>нет выраженного; нет данных</x:v>
      </x:c>
      <x:c r="R103" s="28" t="str">
        <x:v>сок водный; цедра и ликёры несут гидрофобные эфирные масла; зависит от формы продукта</x:v>
      </x:c>
      <x:c r="S10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03" s="28" t="str">
        <x:v>Апельсиновая кожура формирует профиль «цитрусовый, сладко-фруктовый, цветочный, восковой»; характерные маркеры: лимонен, линалол, деканаль, октаналь, мирцен. Пшеничные крутоны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103" s="28" t="str">
        <x:v>Избыток кислоты делает вкус плоско-резким; белая часть кожуры даёт лишнюю горечь.</x:v>
      </x:c>
      <x:c r="V103" s="28" t="str">
        <x:v>мёд или нейтральная жировая основа</x:v>
      </x:c>
      <x:c r="W103" s="28" t="str">
        <x:v>соус, напиток или десерт после пробной дегустации</x:v>
      </x:c>
      <x:c r="X103" s="28" t="str">
        <x:v>универсальное</x:v>
      </x:c>
      <x:c r="Y103" s="28" t="str">
        <x:v>Средняя</x:v>
      </x:c>
      <x:c r="Z103" s="28" t="str">
        <x:v>The Art &amp; Science of Foodpairing.pdf</x:v>
      </x:c>
      <x:c r="AA103" s="28" t="str">
        <x:v>The Art &amp; Science of Foodpairing.pdf: 316</x:v>
      </x:c>
      <x:c r="AB103" s="28" t="str">
        <x:v>Пара представлена в ароматической диаграмме Foodpairing на странице 316.</x:v>
      </x:c>
      <x:c r="AC103" s="28" t="n">
        <x:v>1</x:v>
      </x:c>
      <x:c r="AD103" s="28" t="n">
        <x:v>1</x:v>
      </x:c>
    </x:row>
    <x:row r="104" ht="58" customHeight="1">
      <x:c r="A104" s="28" t="str">
        <x:v>CIT-0103</x:v>
      </x:c>
      <x:c r="B104" s="28" t="str">
        <x:v>Десерты и выпечка</x:v>
      </x:c>
      <x:c r="C104" s="28" t="str">
        <x:v>апельсиновая кожура</x:v>
      </x:c>
      <x:c r="D104" s="28" t="str">
        <x:v>orange peel</x:v>
      </x:c>
      <x:c r="E104" s="28" t="str">
        <x:v>Цитрусовые</x:v>
      </x:c>
      <x:c r="F104" s="28" t="str">
        <x:v>семена чёрного тмина</x:v>
      </x:c>
      <x:c r="G104" s="28" t="str">
        <x:v>black cumin seeds</x:v>
      </x:c>
      <x:c r="H104" s="28" t="str">
        <x:v>Орехи и семена</x:v>
      </x:c>
      <x:c r="I104" s="28" t="str">
        <x:v>цитрусовый, сладко-фруктовый, цветочный, восковой</x:v>
      </x:c>
      <x:c r="J104" s="28" t="str">
        <x:v>ореховый, обжаренный, жирный, зелёный</x:v>
      </x:c>
      <x:c r="K104" s="28" t="str">
        <x:v>лимонен, линалол, деканаль, октаналь, мирцен</x:v>
      </x:c>
      <x:c r="L104" s="28" t="str">
        <x:v>пиразины, альдегиды окисления жиров, бензальдегид (миндаль)</x:v>
      </x:c>
      <x:c r="M104" s="28" t="str">
        <x:v>прямое семейное перекрытие не является главным механизмом</x:v>
      </x:c>
      <x:c r="N104" s="28" t="str">
        <x:v>надёжный общий маркер не заявлен; сочетание объясняется семействами и сенсорным балансом</x:v>
      </x:c>
      <x:c r="O104" s="28" t="str">
        <x:v>вкусовой баланс, влияние матрицы/растворимости</x:v>
      </x:c>
      <x:c r="P104" s="28" t="str">
        <x:v>Кислотность и лёгкая горечь цитруса снижают ощущение жирности; соль и умами, в свою очередь, делают фруктовую часть менее резкой.</x:v>
      </x:c>
      <x:c r="Q104" s="28" t="str">
        <x:v>нет выраженного; нет выраженного</x:v>
      </x:c>
      <x:c r="R104" s="28" t="str">
        <x:v>сок водный; цедра и ликёры несут гидрофобные эфирные масла; высокая жирность растворяет терпеновые масла цитруса</x:v>
      </x:c>
      <x:c r="S10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104" s="28" t="str">
        <x:v>Апельсиновая кожура формирует профиль «цитрусовый, сладко-фруктовый, цветочный, восковой»; характерные маркеры: лимонен, линалол, деканаль, октаналь, мирцен. Семена чёрного тмина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U104" s="28" t="str">
        <x:v>Избыток кислоты делает вкус плоско-резким; белая часть кожуры даёт лишнюю горечь.</x:v>
      </x:c>
      <x:c r="V104" s="28" t="str">
        <x:v>мёд или шоколад</x:v>
      </x:c>
      <x:c r="W104" s="28" t="str">
        <x:v>пралине, крем, выпечка, салат или ореховый соус</x:v>
      </x:c>
      <x:c r="X104" s="28" t="str">
        <x:v>десерты</x:v>
      </x:c>
      <x:c r="Y104" s="28" t="str">
        <x:v>Средняя</x:v>
      </x:c>
      <x:c r="Z104" s="28" t="str">
        <x:v>The Art &amp; Science of Foodpairing.pdf</x:v>
      </x:c>
      <x:c r="AA104" s="28" t="str">
        <x:v>The Art &amp; Science of Foodpairing.pdf: 236</x:v>
      </x:c>
      <x:c r="AB104" s="28" t="str">
        <x:v>Пара представлена в ароматической диаграмме Foodpairing на странице 236.</x:v>
      </x:c>
      <x:c r="AC104" s="28" t="n">
        <x:v>1</x:v>
      </x:c>
      <x:c r="AD104" s="28" t="n">
        <x:v>1</x:v>
      </x:c>
    </x:row>
    <x:row r="105" ht="58" customHeight="1">
      <x:c r="A105" s="28" t="str">
        <x:v>CIT-0104</x:v>
      </x:c>
      <x:c r="B105" s="28" t="str">
        <x:v>Десерты и выпечка</x:v>
      </x:c>
      <x:c r="C105" s="28" t="str">
        <x:v>апельсиновый сок</x:v>
      </x:c>
      <x:c r="D105" s="28" t="str">
        <x:v>orange juice</x:v>
      </x:c>
      <x:c r="E105" s="28" t="str">
        <x:v>Цитрусовые</x:v>
      </x:c>
      <x:c r="F105" s="28" t="str">
        <x:v>бойзенова ягода</x:v>
      </x:c>
      <x:c r="G105" s="28" t="str">
        <x:v>boysenberry</x:v>
      </x:c>
      <x:c r="H105" s="28" t="str">
        <x:v>Ягоды/косточковые</x:v>
      </x:c>
      <x:c r="I105" s="28" t="str">
        <x:v>цитрусовый, сладко-фруктовый, цветочный, восковой</x:v>
      </x:c>
      <x:c r="J105" s="28" t="str">
        <x:v>фруктовый, цветочный, зелёный, винный</x:v>
      </x:c>
      <x:c r="K105" s="28" t="str">
        <x:v>лимонен, линалол, деканаль, октаналь, мирцен</x:v>
      </x:c>
      <x:c r="L105" s="28" t="str">
        <x:v>иононы, дамасценон, эфиры, бензальдегид (для косточковых)</x:v>
      </x:c>
      <x:c r="M105" s="28" t="str">
        <x:v>цветочный</x:v>
      </x:c>
      <x:c r="N105" s="28" t="str">
        <x:v>надёжный общий маркер не заявлен; сочетание объясняется семействами и сенсорным балансом</x:v>
      </x:c>
      <x:c r="O105" s="28" t="str">
        <x:v>перекрытие ароматических семейств, вкусовой баланс</x:v>
      </x:c>
      <x:c r="P105" s="28" t="str">
        <x:v>Общая фруктовая сладость и летучие эфиры создают непрерывный ароматический профиль, а цитрусовая кислота повышает контраст и свежесть.</x:v>
      </x:c>
      <x:c r="Q105" s="28" t="str">
        <x:v>нет выраженного; нет выраженного</x:v>
      </x:c>
      <x:c r="R105" s="28" t="str">
        <x:v>сок водный; цедра и ликёры несут гидрофобные эфирные масла; водная матрица с антоцианами и полифенолами</x:v>
      </x:c>
      <x:c r="S10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05"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Бойзенова ягода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U105" s="28" t="str">
        <x:v>Избыток кислоты делает вкус плоско-резким; белая часть кожуры даёт лишнюю горечь.</x:v>
      </x:c>
      <x:c r="V105" s="28" t="str">
        <x:v>ваниль или миндаль</x:v>
      </x:c>
      <x:c r="W105" s="28" t="str">
        <x:v>джем, сорбет, коктейль или соус</x:v>
      </x:c>
      <x:c r="X105" s="28" t="str">
        <x:v>напитки, десерты</x:v>
      </x:c>
      <x:c r="Y105" s="28" t="str">
        <x:v>Средняя</x:v>
      </x:c>
      <x:c r="Z105" s="28" t="str">
        <x:v>The Art &amp; Science of Foodpairing.pdf</x:v>
      </x:c>
      <x:c r="AA105" s="28" t="str">
        <x:v>The Art &amp; Science of Foodpairing.pdf: 74</x:v>
      </x:c>
      <x:c r="AB105" s="28" t="str">
        <x:v>Пара представлена в ароматической диаграмме Foodpairing на странице 74.</x:v>
      </x:c>
      <x:c r="AC105" s="28" t="n">
        <x:v>1</x:v>
      </x:c>
      <x:c r="AD105" s="28" t="n">
        <x:v>1</x:v>
      </x:c>
    </x:row>
    <x:row r="106" ht="58" customHeight="1">
      <x:c r="A106" s="28" t="str">
        <x:v>CIT-0105</x:v>
      </x:c>
      <x:c r="B106" s="28" t="str">
        <x:v>Еда и соусы</x:v>
      </x:c>
      <x:c r="C106" s="28" t="str">
        <x:v>апельсиновый сок</x:v>
      </x:c>
      <x:c r="D106" s="28" t="str">
        <x:v>orange juice</x:v>
      </x:c>
      <x:c r="E106" s="28" t="str">
        <x:v>Цитрусовые</x:v>
      </x:c>
      <x:c r="F106" s="28" t="str">
        <x:v>варёная ветчина</x:v>
      </x:c>
      <x:c r="G106" s="28" t="str">
        <x:v>boiled ham</x:v>
      </x:c>
      <x:c r="H106" s="28" t="str">
        <x:v>Мясо и птица</x:v>
      </x:c>
      <x:c r="I106" s="28" t="str">
        <x:v>цитрусовый, сладко-фруктовый, цветочный, восковой</x:v>
      </x:c>
      <x:c r="J106" s="28" t="str">
        <x:v>жареный, мясной, сернистый, жирный</x:v>
      </x:c>
      <x:c r="K106" s="28" t="str">
        <x:v>лимонен, линалол, деканаль, октаналь, мирцен</x:v>
      </x:c>
      <x:c r="L106" s="28" t="str">
        <x:v>пиразины, тиазолы, альдегиды жиров, сернистые соединения</x:v>
      </x:c>
      <x:c r="M106" s="28" t="str">
        <x:v>прямое семейное перекрытие не является главным механизмом</x:v>
      </x:c>
      <x:c r="N106" s="28" t="str">
        <x:v>надёжный общий маркер не заявлен; сочетание объясняется семействами и сенсорным балансом</x:v>
      </x:c>
      <x:c r="O106" s="28" t="str">
        <x:v>вкусовой баланс, влияние матрицы/растворимости</x:v>
      </x:c>
      <x:c r="P106" s="28" t="str">
        <x:v>Кислотность и лёгкая горечь цитруса снижают ощущение жирности; соль и умами, в свою очередь, делают фруктовую часть менее резкой.</x:v>
      </x:c>
      <x:c r="Q106" s="28" t="str">
        <x:v>нет выраженного; нет выраженного</x:v>
      </x:c>
      <x:c r="R106" s="28" t="str">
        <x:v>сок водный; цедра и ликёры несут гидрофобные эфирные масла; жир удерживает терпеновые масла; кислота снижает ощущение жирности</x:v>
      </x:c>
      <x:c r="S10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106"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Варёная ветчина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U106" s="28" t="str">
        <x:v>Избыток кислоты делает вкус плоско-резким; белая часть кожуры даёт лишнюю горечь; слишком долгая маринация ухудшает текстуру.</x:v>
      </x:c>
      <x:c r="V106" s="28" t="str">
        <x:v>розмарин или чёрный перец</x:v>
      </x:c>
      <x:c r="W106" s="28" t="str">
        <x:v>маринад, глазурь, соус, жаркое или салат</x:v>
      </x:c>
      <x:c r="X106" s="28" t="str">
        <x:v>еда, соусы/маринады</x:v>
      </x:c>
      <x:c r="Y106" s="28" t="str">
        <x:v>Средняя</x:v>
      </x:c>
      <x:c r="Z106" s="28" t="str">
        <x:v>The Art &amp; Science of Foodpairing.pdf</x:v>
      </x:c>
      <x:c r="AA106" s="28" t="str">
        <x:v>The Art &amp; Science of Foodpairing.pdf: 232</x:v>
      </x:c>
      <x:c r="AB106" s="28" t="str">
        <x:v>Пара представлена в ароматической диаграмме Foodpairing на странице 232.</x:v>
      </x:c>
      <x:c r="AC106" s="28" t="n">
        <x:v>1</x:v>
      </x:c>
      <x:c r="AD106" s="28" t="n">
        <x:v>1</x:v>
      </x:c>
    </x:row>
    <x:row r="107" ht="58" customHeight="1">
      <x:c r="A107" s="28" t="str">
        <x:v>CIT-0106</x:v>
      </x:c>
      <x:c r="B107" s="28" t="str">
        <x:v>Десерты и выпечка</x:v>
      </x:c>
      <x:c r="C107" s="28" t="str">
        <x:v>апельсиновый сок</x:v>
      </x:c>
      <x:c r="D107" s="28" t="str">
        <x:v>orange juice</x:v>
      </x:c>
      <x:c r="E107" s="28" t="str">
        <x:v>Цитрусовые</x:v>
      </x:c>
      <x:c r="F107" s="28" t="str">
        <x:v>попкорн</x:v>
      </x:c>
      <x:c r="G107" s="28" t="str">
        <x:v>popcorn</x:v>
      </x:c>
      <x:c r="H107" s="28" t="str">
        <x:v>Злаки и хлеб</x:v>
      </x:c>
      <x:c r="I107" s="28" t="str">
        <x:v>цитрусовый, сладко-фруктовый, цветочный, восковой</x:v>
      </x:c>
      <x:c r="J107" s="28" t="str">
        <x:v>зерновой, обжаренный, ореховый, дрожжевой</x:v>
      </x:c>
      <x:c r="K107" s="28" t="str">
        <x:v>лимонен, линалол, деканаль, октаналь, мирцен</x:v>
      </x:c>
      <x:c r="L107" s="28" t="str">
        <x:v>пиразины, мальтол, фураны, эфиры брожения</x:v>
      </x:c>
      <x:c r="M107" s="28" t="str">
        <x:v>прямое семейное перекрытие не является главным механизмом</x:v>
      </x:c>
      <x:c r="N107" s="28" t="str">
        <x:v>надёжный общий маркер не заявлен; сочетание объясняется семействами и сенсорным балансом</x:v>
      </x:c>
      <x:c r="O107" s="28" t="str">
        <x:v>вкусовой баланс</x:v>
      </x:c>
      <x:c r="P107" s="28" t="str">
        <x:v>Высокая кисло-ароматическая нота контрастирует с жареными, горькими и карамельными оттенками; сахар или жир связывает два регистра.</x:v>
      </x:c>
      <x:c r="Q107" s="28" t="str">
        <x:v>нет выраженного; нет выраженного</x:v>
      </x:c>
      <x:c r="R107" s="28" t="str">
        <x:v>сок водный; цедра и ликёры несут гидрофобные эфирные масла; крахмал смягчает кислотность; жир/масло помогает аромату цедры</x:v>
      </x:c>
      <x:c r="S10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07"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Попкорн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освежает зерновой профиль и создаёт контраст с обжаренными нотами.</x:v>
      </x:c>
      <x:c r="U107" s="28" t="str">
        <x:v>Избыток кислоты делает вкус плоско-резким; белая часть кожуры даёт лишнюю горечь.</x:v>
      </x:c>
      <x:c r="V107" s="28" t="str">
        <x:v>сливочное масло или мёд</x:v>
      </x:c>
      <x:c r="W107" s="28" t="str">
        <x:v>кекс, каша, хлеб, крамбл или салат</x:v>
      </x:c>
      <x:c r="X107" s="28" t="str">
        <x:v>десерты, еда</x:v>
      </x:c>
      <x:c r="Y107" s="28" t="str">
        <x:v>Средняя</x:v>
      </x:c>
      <x:c r="Z107" s="28" t="str">
        <x:v>The Art &amp; Science of Foodpairing.pdf</x:v>
      </x:c>
      <x:c r="AA107" s="28" t="str">
        <x:v>The Art &amp; Science of Foodpairing.pdf: 232</x:v>
      </x:c>
      <x:c r="AB107" s="28" t="str">
        <x:v>Пара представлена в ароматической диаграмме Foodpairing на странице 232.</x:v>
      </x:c>
      <x:c r="AC107" s="28" t="n">
        <x:v>1</x:v>
      </x:c>
      <x:c r="AD107" s="28" t="n">
        <x:v>1</x:v>
      </x:c>
    </x:row>
    <x:row r="108" ht="58" customHeight="1">
      <x:c r="A108" s="28" t="str">
        <x:v>CIT-0107</x:v>
      </x:c>
      <x:c r="B108" s="28" t="str">
        <x:v>Еда и соусы</x:v>
      </x:c>
      <x:c r="C108" s="28" t="str">
        <x:v>апельсиновый сок</x:v>
      </x:c>
      <x:c r="D108" s="28" t="str">
        <x:v>orange juice</x:v>
      </x:c>
      <x:c r="E108" s="28" t="str">
        <x:v>Цитрусовые</x:v>
      </x:c>
      <x:c r="F108" s="28" t="str">
        <x:v>припущенное филе атлантического лосося</x:v>
      </x:c>
      <x:c r="G108" s="28" t="str">
        <x:v>poached Atlantic salmon fillet</x:v>
      </x:c>
      <x:c r="H108" s="28" t="str">
        <x:v>Рыба и морепродукты</x:v>
      </x:c>
      <x:c r="I108" s="28" t="str">
        <x:v>цитрусовый, сладко-фруктовый, цветочный, восковой</x:v>
      </x:c>
      <x:c r="J108" s="28" t="str">
        <x:v>морской, йодистый, зелёный, жирный</x:v>
      </x:c>
      <x:c r="K108" s="28" t="str">
        <x:v>лимонен, линалол, деканаль, октаналь, мирцен</x:v>
      </x:c>
      <x:c r="L108" s="28" t="str">
        <x:v>альдегиды окисления липидов, бромфенолы, диметилсульфид, умами-соединения</x:v>
      </x:c>
      <x:c r="M108" s="28" t="str">
        <x:v>прямое семейное перекрытие не является главным механизмом</x:v>
      </x:c>
      <x:c r="N108" s="28" t="str">
        <x:v>надёжный общий маркер не заявлен; сочетание объясняется семействами и сенсорным балансом</x:v>
      </x:c>
      <x:c r="O108" s="28" t="str">
        <x:v>вкусовой баланс, влияние матрицы/растворимости</x:v>
      </x:c>
      <x:c r="P108" s="28" t="str">
        <x:v>Кислотность и лёгкая горечь цитруса снижают ощущение жирности; соль и умами, в свою очередь, делают фруктовую часть менее резкой.</x:v>
      </x:c>
      <x:c r="Q108" s="28" t="str">
        <x:v>нет выраженного; нет выраженного</x:v>
      </x:c>
      <x:c r="R108" s="28" t="str">
        <x:v>сок водный; цедра и ликёры несут гидрофобные эфирные масла; кислота может денатурировать поверхностные белки; жир рыбы удерживает терпены</x:v>
      </x:c>
      <x:c r="S10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108"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Припущенное филе атлантического лосося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U108" s="28" t="str">
        <x:v>Избыток кислоты делает вкус плоско-резким; белая часть кожуры даёт лишнюю горечь; слишком долгая маринация ухудшает текстуру.</x:v>
      </x:c>
      <x:c r="V108" s="28" t="str">
        <x:v>кинза или фенхель</x:v>
      </x:c>
      <x:c r="W108" s="28" t="str">
        <x:v>севиче, маринад, beurre blanc, тартар или салат</x:v>
      </x:c>
      <x:c r="X108" s="28" t="str">
        <x:v>еда, соусы/маринады</x:v>
      </x:c>
      <x:c r="Y108" s="28" t="str">
        <x:v>Средняя</x:v>
      </x:c>
      <x:c r="Z108" s="28" t="str">
        <x:v>The Art &amp; Science of Foodpairing.pdf</x:v>
      </x:c>
      <x:c r="AA108" s="28" t="str">
        <x:v>The Art &amp; Science of Foodpairing.pdf: 142</x:v>
      </x:c>
      <x:c r="AB108" s="28" t="str">
        <x:v>Пара представлена в ароматической диаграмме Foodpairing на странице 142.</x:v>
      </x:c>
      <x:c r="AC108" s="28" t="n">
        <x:v>1</x:v>
      </x:c>
      <x:c r="AD108" s="28" t="n">
        <x:v>1</x:v>
      </x:c>
    </x:row>
    <x:row r="109" ht="58" customHeight="1">
      <x:c r="A109" s="28" t="str">
        <x:v>CIT-0108</x:v>
      </x:c>
      <x:c r="B109" s="28" t="str">
        <x:v>Десерты и выпечка</x:v>
      </x:c>
      <x:c r="C109" s="28" t="str">
        <x:v>бергамот</x:v>
      </x:c>
      <x:c r="D109" s="28" t="str">
        <x:v>bergamot orange</x:v>
      </x:c>
      <x:c r="E109" s="28" t="str">
        <x:v>Цитрусовые</x:v>
      </x:c>
      <x:c r="F109" s="28" t="str">
        <x:v>багет</x:v>
      </x:c>
      <x:c r="G109" s="28" t="str">
        <x:v>baguette</x:v>
      </x:c>
      <x:c r="H109" s="28" t="str">
        <x:v>Злаки и хлеб</x:v>
      </x:c>
      <x:c r="I109" s="28" t="str">
        <x:v>цитрусовый, цветочный, травяной, хвойный</x:v>
      </x:c>
      <x:c r="J109" s="28" t="str">
        <x:v>зерновой, обжаренный, ореховый, дрожжевой</x:v>
      </x:c>
      <x:c r="K109" s="28" t="str">
        <x:v>лимонен, линалол, линалил ацетат, гамма-терпинен</x:v>
      </x:c>
      <x:c r="L109" s="28" t="str">
        <x:v>пиразины, мальтол, фураны, эфиры брожения</x:v>
      </x:c>
      <x:c r="M109" s="28" t="str">
        <x:v>прямое семейное перекрытие не является главным механизмом</x:v>
      </x:c>
      <x:c r="N109" s="28" t="str">
        <x:v>надёжный общий маркер не заявлен; сочетание объясняется семействами и сенсорным балансом</x:v>
      </x:c>
      <x:c r="O109" s="28" t="str">
        <x:v>вкусовой баланс</x:v>
      </x:c>
      <x:c r="P109" s="28" t="str">
        <x:v>Высокая кисло-ароматическая нота контрастирует с жареными, горькими и карамельными оттенками; сахар или жир связывает два регистра.</x:v>
      </x:c>
      <x:c r="Q109" s="28" t="str">
        <x:v>нет выраженного; эфирные масла дают лёгкую свежесть; нет выраженного</x:v>
      </x:c>
      <x:c r="R109" s="28" t="str">
        <x:v>эфирное масло кожуры особенно хорошо растворяется в жире и этаноле; крахмал смягчает кислотность; жир/масло помогает аромату цедры</x:v>
      </x:c>
      <x:c r="S10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09" s="28" t="str">
        <x:v>Бергамот формирует профиль «цитрусовый, цветочный, травяной, хвойный»; характерные маркеры: лимонен, линалол, линалил ацетат, гамма-терпинен. Багет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Бергамот отличается высоким вкладом линалоола и линалилацетата. Цитрус освежает зерновой профиль и создаёт контраст с обжаренными нотами.</x:v>
      </x:c>
      <x:c r="U109" s="28" t="str">
        <x:v>Избыток кислоты делает вкус плоско-резким; белая часть кожуры даёт лишнюю горечь.</x:v>
      </x:c>
      <x:c r="V109" s="28" t="str">
        <x:v>сливочное масло или мёд</x:v>
      </x:c>
      <x:c r="W109" s="28" t="str">
        <x:v>кекс, каша, хлеб, крамбл или салат</x:v>
      </x:c>
      <x:c r="X109" s="28" t="str">
        <x:v>десерты, еда</x:v>
      </x:c>
      <x:c r="Y109" s="28" t="str">
        <x:v>Средняя</x:v>
      </x:c>
      <x:c r="Z109" s="28" t="str">
        <x:v>The Art &amp; Science of Foodpairing.pdf</x:v>
      </x:c>
      <x:c r="AA109" s="28" t="str">
        <x:v>The Art &amp; Science of Foodpairing.pdf: 332</x:v>
      </x:c>
      <x:c r="AB109" s="28" t="str">
        <x:v>Пара представлена в ароматической диаграмме Foodpairing на странице 332.</x:v>
      </x:c>
      <x:c r="AC109" s="28" t="n">
        <x:v>1</x:v>
      </x:c>
      <x:c r="AD109" s="28" t="n">
        <x:v>1</x:v>
      </x:c>
    </x:row>
    <x:row r="110" ht="58" customHeight="1">
      <x:c r="A110" s="28" t="str">
        <x:v>CIT-0109</x:v>
      </x:c>
      <x:c r="B110" s="28" t="str">
        <x:v>Универсальные</x:v>
      </x:c>
      <x:c r="C110" s="28" t="str">
        <x:v>бергамот</x:v>
      </x:c>
      <x:c r="D110" s="28" t="str">
        <x:v>bergamot orange</x:v>
      </x:c>
      <x:c r="E110" s="28" t="str">
        <x:v>Цитрусовые</x:v>
      </x:c>
      <x:c r="F110" s="28" t="str">
        <x:v>блё д’Овернь</x:v>
      </x:c>
      <x:c r="G110" s="28" t="str">
        <x:v>Bleu d'Auvergne</x:v>
      </x:c>
      <x:c r="H110" s="28" t="str">
        <x:v>Прочее</x:v>
      </x:c>
      <x:c r="I110" s="28" t="str">
        <x:v>цитрусовый, цветочный, травяной, хвойный</x:v>
      </x:c>
      <x:c r="J110" s="28" t="str">
        <x:v>нейтральный/специфический</x:v>
      </x:c>
      <x:c r="K110" s="28" t="str">
        <x:v>лимонен, линалол, линалил ацетат, гамма-терпинен</x:v>
      </x:c>
      <x:c r="L110" s="28" t="str">
        <x:v>нужен профиль конкретного продукта</x:v>
      </x:c>
      <x:c r="M110" s="28" t="str">
        <x:v>прямое семейное перекрытие не является главным механизмом</x:v>
      </x:c>
      <x:c r="N110" s="28" t="str">
        <x:v>надёжный общий маркер не заявлен; сочетание объясняется семействами и сенсорным балансом</x:v>
      </x:c>
      <x:c r="O110" s="28" t="str">
        <x:v>вкусовой баланс, тройничное восприятие</x:v>
      </x:c>
      <x:c r="P110" s="28" t="str">
        <x:v>Основной эффект определяется ароматическим контрастом и добавлением кислотной свежести; точный баланс зависит от дозировки и матрицы.</x:v>
      </x:c>
      <x:c r="Q110" s="28" t="str">
        <x:v>нет выраженного; эфирные масла дают лёгкую свежесть; нет данных</x:v>
      </x:c>
      <x:c r="R110" s="28" t="str">
        <x:v>эфирное масло кожуры особенно хорошо растворяется в жире и этаноле; зависит от формы продукта</x:v>
      </x:c>
      <x:c r="S11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10" s="28" t="str">
        <x:v>Бергамот формирует профиль «цитрусовый, цветочный, травяной, хвойный»; характерные маркеры: лимонен, линалол, линалил ацетат, гамма-терпинен. Блё д’овернь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Бергамот отличается высоким вкладом линалоола и линалилацетата. Для точного молекулярного вывода нужен профиль конкретного ингредиента и способа обработки.</x:v>
      </x:c>
      <x:c r="U110" s="28" t="str">
        <x:v>Избыток кислоты делает вкус плоско-резким; белая часть кожуры даёт лишнюю горечь.</x:v>
      </x:c>
      <x:c r="V110" s="28" t="str">
        <x:v>мёд или нейтральная жировая основа</x:v>
      </x:c>
      <x:c r="W110" s="28" t="str">
        <x:v>соус, напиток или десерт после пробной дегустации</x:v>
      </x:c>
      <x:c r="X110" s="28" t="str">
        <x:v>универсальное</x:v>
      </x:c>
      <x:c r="Y110" s="28" t="str">
        <x:v>Средняя</x:v>
      </x:c>
      <x:c r="Z110" s="28" t="str">
        <x:v>The Art &amp; Science of Foodpairing.pdf</x:v>
      </x:c>
      <x:c r="AA110" s="28" t="str">
        <x:v>The Art &amp; Science of Foodpairing.pdf: 364</x:v>
      </x:c>
      <x:c r="AB110" s="28" t="str">
        <x:v>Пара представлена в ароматической диаграмме Foodpairing на странице 364.</x:v>
      </x:c>
      <x:c r="AC110" s="28" t="n">
        <x:v>1</x:v>
      </x:c>
      <x:c r="AD110" s="28" t="n">
        <x:v>1</x:v>
      </x:c>
    </x:row>
    <x:row r="111" ht="58" customHeight="1">
      <x:c r="A111" s="28" t="str">
        <x:v>CIT-0110</x:v>
      </x:c>
      <x:c r="B111" s="28" t="str">
        <x:v>Напитки</x:v>
      </x:c>
      <x:c r="C111" s="28" t="str">
        <x:v>бергамот</x:v>
      </x:c>
      <x:c r="D111" s="28" t="str">
        <x:v>bergamot orange</x:v>
      </x:c>
      <x:c r="E111" s="28" t="str">
        <x:v>Цитрусовые</x:v>
      </x:c>
      <x:c r="F111" s="28" t="str">
        <x:v>джин Bombay Sapphire</x:v>
      </x:c>
      <x:c r="G111" s="28" t="str">
        <x:v>Bombay Sapphire gin</x:v>
      </x:c>
      <x:c r="H111" s="28" t="str">
        <x:v>Алкогольные напитки</x:v>
      </x:c>
      <x:c r="I111" s="28" t="str">
        <x:v>цитрусовый, цветочный, травяной, хвойный</x:v>
      </x:c>
      <x:c r="J111" s="28" t="str">
        <x:v>зависит от основы, эфирный, древесный/пряный</x:v>
      </x:c>
      <x:c r="K111" s="28" t="str">
        <x:v>лимонен, линалол, линалил ацетат, гамма-терпинен</x:v>
      </x:c>
      <x:c r="L111" s="28" t="str">
        <x:v>этанол, эфиры, терпены/дубовые соединения</x:v>
      </x:c>
      <x:c r="M111" s="28" t="str">
        <x:v>прямое семейное перекрытие не является главным механизмом</x:v>
      </x:c>
      <x:c r="N111" s="28" t="str">
        <x:v>надёжный общий маркер не заявлен; сочетание объясняется семействами и сенсорным балансом</x:v>
      </x:c>
      <x:c r="O111" s="28" t="str">
        <x:v>вкусовой баланс, тройничное восприятие, влияние матрицы/растворимости</x:v>
      </x:c>
      <x:c r="P111" s="28" t="str">
        <x:v>Этанол усиливает летучесть терпенов и ощущение тепла; сахар и вода регулируют кислотность, горечь кожуры и спиртуозность.</x:v>
      </x:c>
      <x:c r="Q111" s="28" t="str">
        <x:v>нет выраженного; эфирные масла дают лёгкую свежесть; этанол усиливает тепло и летучесть аромата</x:v>
      </x:c>
      <x:c r="R111" s="28" t="str">
        <x:v>эфирное масло кожуры особенно хорошо растворяется в жире и этаноле; этанол — хороший растворитель гидрофобных эфирных масел</x:v>
      </x:c>
      <x:c r="S111"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111" s="28" t="str">
        <x:v>Бергамот формирует профиль «цитрусовый, цветочный, травяной, хвойный»; характерные маркеры: лимонен, линалол, линалил ацетат, гамма-терпинен. Джин bombay sapphire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Бергамот отличается высоким вкладом линалоола и линалилацетата. Спирт извлекает цедру и усиливает ретроназальный выход терпенов; сахар и разбавление меняют баланс.</x:v>
      </x:c>
      <x:c r="U111" s="28" t="str">
        <x:v>Избыток кислоты делает вкус плоско-резким; белая часть кожуры даёт лишнюю горечь.</x:v>
      </x:c>
      <x:c r="V111" s="28" t="str">
        <x:v>сахарный сироп или биттер</x:v>
      </x:c>
      <x:c r="W111" s="28" t="str">
        <x:v>коктейль, спритц, настойка, ликёр или кордиал</x:v>
      </x:c>
      <x:c r="X111" s="28" t="str">
        <x:v>напитки</x:v>
      </x:c>
      <x:c r="Y111" s="28" t="str">
        <x:v>Средняя</x:v>
      </x:c>
      <x:c r="Z111" s="28" t="str">
        <x:v>The Art &amp; Science of Foodpairing.pdf</x:v>
      </x:c>
      <x:c r="AA111" s="28" t="str">
        <x:v>The Art &amp; Science of Foodpairing.pdf: 218</x:v>
      </x:c>
      <x:c r="AB111" s="28" t="str">
        <x:v>Пара представлена в ароматической диаграмме Foodpairing на странице 218.</x:v>
      </x:c>
      <x:c r="AC111" s="28" t="n">
        <x:v>1</x:v>
      </x:c>
      <x:c r="AD111" s="28" t="n">
        <x:v>2</x:v>
      </x:c>
    </x:row>
    <x:row r="112" ht="58" customHeight="1">
      <x:c r="A112" s="28" t="str">
        <x:v>CIT-0111</x:v>
      </x:c>
      <x:c r="B112" s="28" t="str">
        <x:v>Напитки</x:v>
      </x:c>
      <x:c r="C112" s="28" t="str">
        <x:v>бергамот</x:v>
      </x:c>
      <x:c r="D112" s="28" t="str">
        <x:v>bergamot orange</x:v>
      </x:c>
      <x:c r="E112" s="28" t="str">
        <x:v>Цитрусовые</x:v>
      </x:c>
      <x:c r="F112" s="28" t="str">
        <x:v>джин де Маон</x:v>
      </x:c>
      <x:c r="G112" s="28" t="str">
        <x:v>Gin de Mahon</x:v>
      </x:c>
      <x:c r="H112" s="28" t="str">
        <x:v>Алкогольные напитки</x:v>
      </x:c>
      <x:c r="I112" s="28" t="str">
        <x:v>цитрусовый, цветочный, травяной, хвойный</x:v>
      </x:c>
      <x:c r="J112" s="28" t="str">
        <x:v>зависит от основы, эфирный, древесный/пряный</x:v>
      </x:c>
      <x:c r="K112" s="28" t="str">
        <x:v>лимонен, линалол, линалил ацетат, гамма-терпинен</x:v>
      </x:c>
      <x:c r="L112" s="28" t="str">
        <x:v>этанол, эфиры, терпены/дубовые соединения</x:v>
      </x:c>
      <x:c r="M112" s="28" t="str">
        <x:v>прямое семейное перекрытие не является главным механизмом</x:v>
      </x:c>
      <x:c r="N112" s="28" t="str">
        <x:v>надёжный общий маркер не заявлен; сочетание объясняется семействами и сенсорным балансом</x:v>
      </x:c>
      <x:c r="O112" s="28" t="str">
        <x:v>вкусовой баланс, тройничное восприятие, влияние матрицы/растворимости</x:v>
      </x:c>
      <x:c r="P112" s="28" t="str">
        <x:v>Этанол усиливает летучесть терпенов и ощущение тепла; сахар и вода регулируют кислотность, горечь кожуры и спиртуозность.</x:v>
      </x:c>
      <x:c r="Q112" s="28" t="str">
        <x:v>нет выраженного; эфирные масла дают лёгкую свежесть; этанол усиливает тепло и летучесть аромата</x:v>
      </x:c>
      <x:c r="R112" s="28" t="str">
        <x:v>эфирное масло кожуры особенно хорошо растворяется в жире и этаноле; этанол — хороший растворитель гидрофобных эфирных масел</x:v>
      </x:c>
      <x:c r="S112"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112" s="28" t="str">
        <x:v>Бергамот формирует профиль «цитрусовый, цветочный, травяной, хвойный»; характерные маркеры: лимонен, линалол, линалил ацетат, гамма-терпинен. Джин де маон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Бергамот отличается высоким вкладом линалоола и линалилацетата. Спирт извлекает цедру и усиливает ретроназальный выход терпенов; сахар и разбавление меняют баланс.</x:v>
      </x:c>
      <x:c r="U112" s="28" t="str">
        <x:v>Избыток кислоты делает вкус плоско-резким; белая часть кожуры даёт лишнюю горечь.</x:v>
      </x:c>
      <x:c r="V112" s="28" t="str">
        <x:v>сахарный сироп или биттер</x:v>
      </x:c>
      <x:c r="W112" s="28" t="str">
        <x:v>коктейль, спритц, настойка, ликёр или кордиал</x:v>
      </x:c>
      <x:c r="X112" s="28" t="str">
        <x:v>напитки</x:v>
      </x:c>
      <x:c r="Y112" s="28" t="str">
        <x:v>Средняя</x:v>
      </x:c>
      <x:c r="Z112" s="28" t="str">
        <x:v>The Art &amp; Science of Foodpairing.pdf</x:v>
      </x:c>
      <x:c r="AA112" s="28" t="str">
        <x:v>The Art &amp; Science of Foodpairing.pdf: 215</x:v>
      </x:c>
      <x:c r="AB112" s="28" t="str">
        <x:v>Пара представлена в ароматической диаграмме Foodpairing на странице 215.</x:v>
      </x:c>
      <x:c r="AC112" s="28" t="n">
        <x:v>1</x:v>
      </x:c>
      <x:c r="AD112" s="28" t="n">
        <x:v>1</x:v>
      </x:c>
    </x:row>
    <x:row r="113" ht="58" customHeight="1">
      <x:c r="A113" s="28" t="str">
        <x:v>CIT-0112</x:v>
      </x:c>
      <x:c r="B113" s="28" t="str">
        <x:v>Напитки</x:v>
      </x:c>
      <x:c r="C113" s="28" t="str">
        <x:v>бергамот</x:v>
      </x:c>
      <x:c r="D113" s="28" t="str">
        <x:v>bergamot orange</x:v>
      </x:c>
      <x:c r="E113" s="28" t="str">
        <x:v>Цитрусовые</x:v>
      </x:c>
      <x:c r="F113" s="28" t="str">
        <x:v>жасминовый чай</x:v>
      </x:c>
      <x:c r="G113" s="28" t="str">
        <x:v>jasmine tea</x:v>
      </x:c>
      <x:c r="H113" s="28" t="str">
        <x:v>Чай и настои</x:v>
      </x:c>
      <x:c r="I113" s="28" t="str">
        <x:v>цитрусовый, цветочный, травяной, хвойный</x:v>
      </x:c>
      <x:c r="J113" s="28" t="str">
        <x:v>травяной, цветочный, танинный, иногда обжаренный</x:v>
      </x:c>
      <x:c r="K113" s="28" t="str">
        <x:v>лимонен, линалол, линалил ацетат, гамма-терпинен</x:v>
      </x:c>
      <x:c r="L113" s="28" t="str">
        <x:v>линалол, гераниол, иононы, катехины</x:v>
      </x:c>
      <x:c r="M113" s="28" t="str">
        <x:v>травяной, цветочный</x:v>
      </x:c>
      <x:c r="N113" s="28" t="str">
        <x:v>линалол</x:v>
      </x:c>
      <x:c r="O113" s="28" t="str">
        <x:v>общие ароматические молекулы, перекрытие ароматических семейств, вкусовой баланс</x:v>
      </x:c>
      <x:c r="P113" s="28" t="str">
        <x:v>Цитрус добавляет верхние ароматические ноты; сахар может смягчить совместную кислотность и танинную вяжущесть.</x:v>
      </x:c>
      <x:c r="Q113" s="28" t="str">
        <x:v>нет выраженного; эфирные масла дают лёгкую свежесть; нет выраженного</x:v>
      </x:c>
      <x:c r="R113" s="28" t="str">
        <x:v>эфирное масло кожуры особенно хорошо растворяется в жире и этаноле; вода извлекает полифенолы; эфирные масла лучше добавлять после заваривания</x:v>
      </x:c>
      <x:c r="S11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13" s="28" t="str">
        <x:v>Бергамот формирует профиль «цитрусовый, цветочный, травяной, хвойный»; характерные маркеры: лимонен, линалол, линалил ацетат, гамма-терпинен. Жасминовый чай относится к группе «чай и настои» и даёт ноты «травяной, цветочный, танинный, иногда обжаренный». Наиболее правдоподобный молекулярный мост — линалол; дополнительно совпадают ароматические семейства: травяной, цветочный. Цитрус добавляет верхние ароматические ноты; сахар может смягчить совместную кислотность и танинную вяжущесть. Бергамот отличается высоким вкладом линалоола и линалилацетата. Цитрус связывается с цветочными терпенами чая и снижает ощущение вяжущей сухости при наличии сахара.</x:v>
      </x:c>
      <x:c r="U113" s="28" t="str">
        <x:v>Избыток кислоты делает вкус плоско-резким; белая часть кожуры даёт лишнюю горечь.</x:v>
      </x:c>
      <x:c r="V113" s="28" t="str">
        <x:v>мёд или цветы</x:v>
      </x:c>
      <x:c r="W113" s="28" t="str">
        <x:v>чайный кордиал, холодный чай, пунш или безалкогольный напиток</x:v>
      </x:c>
      <x:c r="X113" s="28" t="str">
        <x:v>напитки</x:v>
      </x:c>
      <x:c r="Y113" s="28" t="str">
        <x:v>Средняя</x:v>
      </x:c>
      <x:c r="Z113" s="28" t="str">
        <x:v>The Art &amp; Science of Foodpairing.pdf</x:v>
      </x:c>
      <x:c r="AA113" s="28" t="str">
        <x:v>The Art &amp; Science of Foodpairing.pdf: 82</x:v>
      </x:c>
      <x:c r="AB113" s="28" t="str">
        <x:v>Пара представлена в ароматической диаграмме Foodpairing на странице 82.</x:v>
      </x:c>
      <x:c r="AC113" s="28" t="n">
        <x:v>1</x:v>
      </x:c>
      <x:c r="AD113" s="28" t="n">
        <x:v>1</x:v>
      </x:c>
    </x:row>
    <x:row r="114" ht="58" customHeight="1">
      <x:c r="A114" s="28" t="str">
        <x:v>CIT-0113</x:v>
      </x:c>
      <x:c r="B114" s="28" t="str">
        <x:v>Напитки</x:v>
      </x:c>
      <x:c r="C114" s="28" t="str">
        <x:v>бергамот</x:v>
      </x:c>
      <x:c r="D114" s="28" t="str">
        <x:v>bergamot orange</x:v>
      </x:c>
      <x:c r="E114" s="28" t="str">
        <x:v>Цитрусовые</x:v>
      </x:c>
      <x:c r="F114" s="28" t="str">
        <x:v>ирисовый ликёр</x:v>
      </x:c>
      <x:c r="G114" s="28" t="str">
        <x:v>butterscotch liqueur</x:v>
      </x:c>
      <x:c r="H114" s="28" t="str">
        <x:v>Алкогольные напитки</x:v>
      </x:c>
      <x:c r="I114" s="28" t="str">
        <x:v>цитрусовый, цветочный, травяной, хвойный</x:v>
      </x:c>
      <x:c r="J114" s="28" t="str">
        <x:v>зависит от основы, эфирный, древесный/пряный</x:v>
      </x:c>
      <x:c r="K114" s="28" t="str">
        <x:v>лимонен, линалол, линалил ацетат, гамма-терпинен</x:v>
      </x:c>
      <x:c r="L114" s="28" t="str">
        <x:v>этанол, эфиры, терпены/дубовые соединения</x:v>
      </x:c>
      <x:c r="M114" s="28" t="str">
        <x:v>прямое семейное перекрытие не является главным механизмом</x:v>
      </x:c>
      <x:c r="N114" s="28" t="str">
        <x:v>надёжный общий маркер не заявлен; сочетание объясняется семействами и сенсорным балансом</x:v>
      </x:c>
      <x:c r="O114" s="28" t="str">
        <x:v>вкусовой баланс, тройничное восприятие, влияние матрицы/растворимости</x:v>
      </x:c>
      <x:c r="P114" s="28" t="str">
        <x:v>Этанол усиливает летучесть терпенов и ощущение тепла; сахар и вода регулируют кислотность, горечь кожуры и спиртуозность.</x:v>
      </x:c>
      <x:c r="Q114" s="28" t="str">
        <x:v>нет выраженного; эфирные масла дают лёгкую свежесть; этанол усиливает тепло и летучесть аромата</x:v>
      </x:c>
      <x:c r="R114" s="28" t="str">
        <x:v>эфирное масло кожуры особенно хорошо растворяется в жире и этаноле; этанол — хороший растворитель гидрофобных эфирных масел</x:v>
      </x:c>
      <x:c r="S114"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114" s="28" t="str">
        <x:v>Бергамот формирует профиль «цитрусовый, цветочный, травяной, хвойный»; характерные маркеры: лимонен, линалол, линалил ацетат, гамма-терпинен. Ирисовый ликёр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Бергамот отличается высоким вкладом линалоола и линалилацетата. Спирт извлекает цедру и усиливает ретроназальный выход терпенов; сахар и разбавление меняют баланс.</x:v>
      </x:c>
      <x:c r="U114" s="28" t="str">
        <x:v>Избыток кислоты делает вкус плоско-резким; белая часть кожуры даёт лишнюю горечь.</x:v>
      </x:c>
      <x:c r="V114" s="28" t="str">
        <x:v>сахарный сироп или биттер</x:v>
      </x:c>
      <x:c r="W114" s="28" t="str">
        <x:v>коктейль, спритц, настойка, ликёр или кордиал</x:v>
      </x:c>
      <x:c r="X114" s="28" t="str">
        <x:v>напитки</x:v>
      </x:c>
      <x:c r="Y114" s="28" t="str">
        <x:v>Средняя</x:v>
      </x:c>
      <x:c r="Z114" s="28" t="str">
        <x:v>The Art &amp; Science of Foodpairing.pdf</x:v>
      </x:c>
      <x:c r="AA114" s="28" t="str">
        <x:v>The Art &amp; Science of Foodpairing.pdf: 260</x:v>
      </x:c>
      <x:c r="AB114" s="28" t="str">
        <x:v>Пара представлена в ароматической диаграмме Foodpairing на странице 260.</x:v>
      </x:c>
      <x:c r="AC114" s="28" t="n">
        <x:v>1</x:v>
      </x:c>
      <x:c r="AD114" s="28" t="n">
        <x:v>1</x:v>
      </x:c>
    </x:row>
    <x:row r="115" ht="58" customHeight="1">
      <x:c r="A115" s="28" t="str">
        <x:v>CIT-0114</x:v>
      </x:c>
      <x:c r="B115" s="28" t="str">
        <x:v>Напитки</x:v>
      </x:c>
      <x:c r="C115" s="28" t="str">
        <x:v>бергамот</x:v>
      </x:c>
      <x:c r="D115" s="28" t="str">
        <x:v>bergamot orange</x:v>
      </x:c>
      <x:c r="E115" s="28" t="str">
        <x:v>Цитрусовые</x:v>
      </x:c>
      <x:c r="F115" s="28" t="str">
        <x:v>йерба мате</x:v>
      </x:c>
      <x:c r="G115" s="28" t="str">
        <x:v>yerba mate</x:v>
      </x:c>
      <x:c r="H115" s="28" t="str">
        <x:v>Чай и настои</x:v>
      </x:c>
      <x:c r="I115" s="28" t="str">
        <x:v>цитрусовый, цветочный, травяной, хвойный</x:v>
      </x:c>
      <x:c r="J115" s="28" t="str">
        <x:v>травяной, цветочный, танинный, иногда обжаренный</x:v>
      </x:c>
      <x:c r="K115" s="28" t="str">
        <x:v>лимонен, линалол, линалил ацетат, гамма-терпинен</x:v>
      </x:c>
      <x:c r="L115" s="28" t="str">
        <x:v>линалол, гераниол, иононы, катехины</x:v>
      </x:c>
      <x:c r="M115" s="28" t="str">
        <x:v>травяной, цветочный</x:v>
      </x:c>
      <x:c r="N115" s="28" t="str">
        <x:v>линалол</x:v>
      </x:c>
      <x:c r="O115" s="28" t="str">
        <x:v>общие ароматические молекулы, перекрытие ароматических семейств, вкусовой баланс</x:v>
      </x:c>
      <x:c r="P115" s="28" t="str">
        <x:v>Цитрус добавляет верхние ароматические ноты; сахар может смягчить совместную кислотность и танинную вяжущесть.</x:v>
      </x:c>
      <x:c r="Q115" s="28" t="str">
        <x:v>нет выраженного; эфирные масла дают лёгкую свежесть; нет выраженного</x:v>
      </x:c>
      <x:c r="R115" s="28" t="str">
        <x:v>эфирное масло кожуры особенно хорошо растворяется в жире и этаноле; вода извлекает полифенолы; эфирные масла лучше добавлять после заваривания</x:v>
      </x:c>
      <x:c r="S11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15" s="28" t="str">
        <x:v>Бергамот формирует профиль «цитрусовый, цветочный, травяной, хвойный»; характерные маркеры: лимонен, линалол, линалил ацетат, гамма-терпинен. Йерба мате относится к группе «чай и настои» и даёт ноты «травяной, цветочный, танинный, иногда обжаренный». Наиболее правдоподобный молекулярный мост — линалол; дополнительно совпадают ароматические семейства: травяной, цветочный. Цитрус добавляет верхние ароматические ноты; сахар может смягчить совместную кислотность и танинную вяжущесть. Бергамот отличается высоким вкладом линалоола и линалилацетата. Цитрус связывается с цветочными терпенами чая и снижает ощущение вяжущей сухости при наличии сахара.</x:v>
      </x:c>
      <x:c r="U115" s="28" t="str">
        <x:v>Избыток кислоты делает вкус плоско-резким; белая часть кожуры даёт лишнюю горечь.</x:v>
      </x:c>
      <x:c r="V115" s="28" t="str">
        <x:v>мёд или цветы</x:v>
      </x:c>
      <x:c r="W115" s="28" t="str">
        <x:v>чайный кордиал, холодный чай, пунш или безалкогольный напиток</x:v>
      </x:c>
      <x:c r="X115" s="28" t="str">
        <x:v>напитки</x:v>
      </x:c>
      <x:c r="Y115" s="28" t="str">
        <x:v>Средняя</x:v>
      </x:c>
      <x:c r="Z115" s="28" t="str">
        <x:v>The Art &amp; Science of Foodpairing.pdf</x:v>
      </x:c>
      <x:c r="AA115" s="28" t="str">
        <x:v>The Art &amp; Science of Foodpairing.pdf: 147</x:v>
      </x:c>
      <x:c r="AB115" s="28" t="str">
        <x:v>Пара представлена в ароматической диаграмме Foodpairing на странице 147.</x:v>
      </x:c>
      <x:c r="AC115" s="28" t="n">
        <x:v>1</x:v>
      </x:c>
      <x:c r="AD115" s="28" t="n">
        <x:v>1</x:v>
      </x:c>
    </x:row>
    <x:row r="116" ht="58" customHeight="1">
      <x:c r="A116" s="28" t="str">
        <x:v>CIT-0115</x:v>
      </x:c>
      <x:c r="B116" s="28" t="str">
        <x:v>Еда и соусы</x:v>
      </x:c>
      <x:c r="C116" s="28" t="str">
        <x:v>бергамот</x:v>
      </x:c>
      <x:c r="D116" s="28" t="str">
        <x:v>bergamot orange</x:v>
      </x:c>
      <x:c r="E116" s="28" t="str">
        <x:v>Цитрусовые</x:v>
      </x:c>
      <x:c r="F116" s="28" t="str">
        <x:v>коричневый телячий бульон</x:v>
      </x:c>
      <x:c r="G116" s="28" t="str">
        <x:v>brown veal stock</x:v>
      </x:c>
      <x:c r="H116" s="28" t="str">
        <x:v>Мясо и птица</x:v>
      </x:c>
      <x:c r="I116" s="28" t="str">
        <x:v>цитрусовый, цветочный, травяной, хвойный</x:v>
      </x:c>
      <x:c r="J116" s="28" t="str">
        <x:v>жареный, мясной, сернистый, жирный</x:v>
      </x:c>
      <x:c r="K116" s="28" t="str">
        <x:v>лимонен, линалол, линалил ацетат, гамма-терпинен</x:v>
      </x:c>
      <x:c r="L116" s="28" t="str">
        <x:v>пиразины, тиазолы, альдегиды жиров, сернистые соединения</x:v>
      </x:c>
      <x:c r="M116" s="28" t="str">
        <x:v>прямое семейное перекрытие не является главным механизмом</x:v>
      </x:c>
      <x:c r="N116" s="28" t="str">
        <x:v>надёжный общий маркер не заявлен; сочетание объясняется семействами и сенсорным балансом</x:v>
      </x:c>
      <x:c r="O116" s="28" t="str">
        <x:v>вкусовой баланс, влияние матрицы/растворимости</x:v>
      </x:c>
      <x:c r="P116" s="28" t="str">
        <x:v>Кислотность и лёгкая горечь цитруса снижают ощущение жирности; соль и умами, в свою очередь, делают фруктовую часть менее резкой.</x:v>
      </x:c>
      <x:c r="Q116" s="28" t="str">
        <x:v>нет выраженного; эфирные масла дают лёгкую свежесть; нет выраженного</x:v>
      </x:c>
      <x:c r="R116" s="28" t="str">
        <x:v>эфирное масло кожуры особенно хорошо растворяется в жире и этаноле; жир удерживает терпеновые масла; кислота снижает ощущение жирности</x:v>
      </x:c>
      <x:c r="S11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116" s="28" t="str">
        <x:v>Бергамот формирует профиль «цитрусовый, цветочный, травяной, хвойный»; характерные маркеры: лимонен, линалол, линалил ацетат, гамма-терпинен. Коричневый телячий бульон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Цитрус создаёт контраст с реакциями Майяра и освежает мясную матрицу.</x:v>
      </x:c>
      <x:c r="U116" s="28" t="str">
        <x:v>Избыток кислоты делает вкус плоско-резким; белая часть кожуры даёт лишнюю горечь; слишком долгая маринация ухудшает текстуру.</x:v>
      </x:c>
      <x:c r="V116" s="28" t="str">
        <x:v>розмарин или чёрный перец</x:v>
      </x:c>
      <x:c r="W116" s="28" t="str">
        <x:v>маринад, глазурь, соус, жаркое или салат</x:v>
      </x:c>
      <x:c r="X116" s="28" t="str">
        <x:v>еда, соусы/маринады</x:v>
      </x:c>
      <x:c r="Y116" s="28" t="str">
        <x:v>Средняя</x:v>
      </x:c>
      <x:c r="Z116" s="28" t="str">
        <x:v>The Art &amp; Science of Foodpairing.pdf</x:v>
      </x:c>
      <x:c r="AA116" s="28" t="str">
        <x:v>The Art &amp; Science of Foodpairing.pdf: 364</x:v>
      </x:c>
      <x:c r="AB116" s="28" t="str">
        <x:v>Пара представлена в ароматической диаграмме Foodpairing на странице 364.</x:v>
      </x:c>
      <x:c r="AC116" s="28" t="n">
        <x:v>1</x:v>
      </x:c>
      <x:c r="AD116" s="28" t="n">
        <x:v>1</x:v>
      </x:c>
    </x:row>
    <x:row r="117" ht="58" customHeight="1">
      <x:c r="A117" s="28" t="str">
        <x:v>CIT-0116</x:v>
      </x:c>
      <x:c r="B117" s="28" t="str">
        <x:v>Еда и соусы</x:v>
      </x:c>
      <x:c r="C117" s="28" t="str">
        <x:v>бергамот</x:v>
      </x:c>
      <x:c r="D117" s="28" t="str">
        <x:v>bergamot orange</x:v>
      </x:c>
      <x:c r="E117" s="28" t="str">
        <x:v>Цитрусовые</x:v>
      </x:c>
      <x:c r="F117" s="28" t="str">
        <x:v>королевская креветка</x:v>
      </x:c>
      <x:c r="G117" s="28" t="str">
        <x:v>king prawn</x:v>
      </x:c>
      <x:c r="H117" s="28" t="str">
        <x:v>Рыба и морепродукты</x:v>
      </x:c>
      <x:c r="I117" s="28" t="str">
        <x:v>цитрусовый, цветочный, травяной, хвойный</x:v>
      </x:c>
      <x:c r="J117" s="28" t="str">
        <x:v>морской, йодистый, зелёный, жирный</x:v>
      </x:c>
      <x:c r="K117" s="28" t="str">
        <x:v>лимонен, линалол, линалил ацетат, гамма-терпинен</x:v>
      </x:c>
      <x:c r="L117" s="28" t="str">
        <x:v>альдегиды окисления липидов, бромфенолы, диметилсульфид, умами-соединения</x:v>
      </x:c>
      <x:c r="M117" s="28" t="str">
        <x:v>прямое семейное перекрытие не является главным механизмом</x:v>
      </x:c>
      <x:c r="N117" s="28" t="str">
        <x:v>надёжный общий маркер не заявлен; сочетание объясняется семействами и сенсорным балансом</x:v>
      </x:c>
      <x:c r="O117" s="28" t="str">
        <x:v>вкусовой баланс, влияние матрицы/растворимости</x:v>
      </x:c>
      <x:c r="P117" s="28" t="str">
        <x:v>Кислотность и лёгкая горечь цитруса снижают ощущение жирности; соль и умами, в свою очередь, делают фруктовую часть менее резкой.</x:v>
      </x:c>
      <x:c r="Q117" s="28" t="str">
        <x:v>нет выраженного; эфирные масла дают лёгкую свежесть; нет выраженного</x:v>
      </x:c>
      <x:c r="R117" s="28" t="str">
        <x:v>эфирное масло кожуры особенно хорошо растворяется в жире и этаноле; кислота может денатурировать поверхностные белки; жир рыбы удерживает терпены</x:v>
      </x:c>
      <x:c r="S11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117" s="28" t="str">
        <x:v>Бергамот формирует профиль «цитрусовый, цветочный, травяной, хвойный»; характерные маркеры: лимонен, линалол, линалил ацетат, гамма-терпинен. Королевская креветка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Цитрус уменьшает восприятие жирности и рыбных нот, усиливая свежесть и слюноотделение.</x:v>
      </x:c>
      <x:c r="U117" s="28" t="str">
        <x:v>Избыток кислоты делает вкус плоско-резким; белая часть кожуры даёт лишнюю горечь; слишком долгая маринация ухудшает текстуру.</x:v>
      </x:c>
      <x:c r="V117" s="28" t="str">
        <x:v>кинза или фенхель</x:v>
      </x:c>
      <x:c r="W117" s="28" t="str">
        <x:v>севиче, маринад, beurre blanc, тартар или салат</x:v>
      </x:c>
      <x:c r="X117" s="28" t="str">
        <x:v>еда, соусы/маринады</x:v>
      </x:c>
      <x:c r="Y117" s="28" t="str">
        <x:v>Средняя</x:v>
      </x:c>
      <x:c r="Z117" s="28" t="str">
        <x:v>The Art &amp; Science of Foodpairing.pdf</x:v>
      </x:c>
      <x:c r="AA117" s="28" t="str">
        <x:v>The Art &amp; Science of Foodpairing.pdf: 267</x:v>
      </x:c>
      <x:c r="AB117" s="28" t="str">
        <x:v>Пара представлена в ароматической диаграмме Foodpairing на странице 267.</x:v>
      </x:c>
      <x:c r="AC117" s="28" t="n">
        <x:v>1</x:v>
      </x:c>
      <x:c r="AD117" s="28" t="n">
        <x:v>1</x:v>
      </x:c>
    </x:row>
    <x:row r="118" ht="58" customHeight="1">
      <x:c r="A118" s="28" t="str">
        <x:v>CIT-0117</x:v>
      </x:c>
      <x:c r="B118" s="28" t="str">
        <x:v>Универсальные</x:v>
      </x:c>
      <x:c r="C118" s="28" t="str">
        <x:v>бергамот</x:v>
      </x:c>
      <x:c r="D118" s="28" t="str">
        <x:v>bergamot orange</x:v>
      </x:c>
      <x:c r="E118" s="28" t="str">
        <x:v>Цитрусовые</x:v>
      </x:c>
      <x:c r="F118" s="28" t="str">
        <x:v>крекер Грэм</x:v>
      </x:c>
      <x:c r="G118" s="28" t="str">
        <x:v>graham cracker</x:v>
      </x:c>
      <x:c r="H118" s="28" t="str">
        <x:v>Прочее</x:v>
      </x:c>
      <x:c r="I118" s="28" t="str">
        <x:v>цитрусовый, цветочный, травяной, хвойный</x:v>
      </x:c>
      <x:c r="J118" s="28" t="str">
        <x:v>нейтральный/специфический</x:v>
      </x:c>
      <x:c r="K118" s="28" t="str">
        <x:v>лимонен, линалол, линалил ацетат, гамма-терпинен</x:v>
      </x:c>
      <x:c r="L118" s="28" t="str">
        <x:v>нужен профиль конкретного продукта</x:v>
      </x:c>
      <x:c r="M118" s="28" t="str">
        <x:v>прямое семейное перекрытие не является главным механизмом</x:v>
      </x:c>
      <x:c r="N118" s="28" t="str">
        <x:v>надёжный общий маркер не заявлен; сочетание объясняется семействами и сенсорным балансом</x:v>
      </x:c>
      <x:c r="O118" s="28" t="str">
        <x:v>вкусовой баланс, тройничное восприятие</x:v>
      </x:c>
      <x:c r="P118" s="28" t="str">
        <x:v>Основной эффект определяется ароматическим контрастом и добавлением кислотной свежести; точный баланс зависит от дозировки и матрицы.</x:v>
      </x:c>
      <x:c r="Q118" s="28" t="str">
        <x:v>нет выраженного; эфирные масла дают лёгкую свежесть; нет данных</x:v>
      </x:c>
      <x:c r="R118" s="28" t="str">
        <x:v>эфирное масло кожуры особенно хорошо растворяется в жире и этаноле; зависит от формы продукта</x:v>
      </x:c>
      <x:c r="S1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18" s="28" t="str">
        <x:v>Бергамот формирует профиль «цитрусовый, цветочный, травяной, хвойный»; характерные маркеры: лимонен, линалол, линалил ацетат, гамма-терпинен. Крекер грэм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Бергамот отличается высоким вкладом линалоола и линалилацетата. Для точного молекулярного вывода нужен профиль конкретного ингредиента и способа обработки.</x:v>
      </x:c>
      <x:c r="U118" s="28" t="str">
        <x:v>Избыток кислоты делает вкус плоско-резким; белая часть кожуры даёт лишнюю горечь.</x:v>
      </x:c>
      <x:c r="V118" s="28" t="str">
        <x:v>мёд или нейтральная жировая основа</x:v>
      </x:c>
      <x:c r="W118" s="28" t="str">
        <x:v>соус, напиток или десерт после пробной дегустации</x:v>
      </x:c>
      <x:c r="X118" s="28" t="str">
        <x:v>универсальное</x:v>
      </x:c>
      <x:c r="Y118" s="28" t="str">
        <x:v>Средняя</x:v>
      </x:c>
      <x:c r="Z118" s="28" t="str">
        <x:v>The Art &amp; Science of Foodpairing.pdf</x:v>
      </x:c>
      <x:c r="AA118" s="28" t="str">
        <x:v>The Art &amp; Science of Foodpairing.pdf: 178</x:v>
      </x:c>
      <x:c r="AB118" s="28" t="str">
        <x:v>Пара представлена в ароматической диаграмме Foodpairing на странице 178.</x:v>
      </x:c>
      <x:c r="AC118" s="28" t="n">
        <x:v>1</x:v>
      </x:c>
      <x:c r="AD118" s="28" t="n">
        <x:v>1</x:v>
      </x:c>
    </x:row>
    <x:row r="119" ht="58" customHeight="1">
      <x:c r="A119" s="28" t="str">
        <x:v>CIT-0118</x:v>
      </x:c>
      <x:c r="B119" s="28" t="str">
        <x:v>Десерты и выпечка</x:v>
      </x:c>
      <x:c r="C119" s="28" t="str">
        <x:v>бергамот</x:v>
      </x:c>
      <x:c r="D119" s="28" t="str">
        <x:v>bergamot orange</x:v>
      </x:c>
      <x:c r="E119" s="28" t="str">
        <x:v>Цитрусовые</x:v>
      </x:c>
      <x:c r="F119" s="28" t="str">
        <x:v>лавандовый мёд</x:v>
      </x:c>
      <x:c r="G119" s="28" t="str">
        <x:v>lavender honey</x:v>
      </x:c>
      <x:c r="H119" s="28" t="str">
        <x:v>Подсластители</x:v>
      </x:c>
      <x:c r="I119" s="28" t="str">
        <x:v>цитрусовый, цветочный, травяной, хвойный</x:v>
      </x:c>
      <x:c r="J119" s="28" t="str">
        <x:v>медовый, цветочный, карамельный</x:v>
      </x:c>
      <x:c r="K119" s="28" t="str">
        <x:v>лимонен, линалол, линалил ацетат, гамма-терпинен</x:v>
      </x:c>
      <x:c r="L119" s="28" t="str">
        <x:v>фенилуксусные соединения, фураны, норизопреноиды</x:v>
      </x:c>
      <x:c r="M119" s="28" t="str">
        <x:v>цветочный</x:v>
      </x:c>
      <x:c r="N119" s="28" t="str">
        <x:v>надёжный общий маркер не заявлен; сочетание объясняется семействами и сенсорным балансом</x:v>
      </x:c>
      <x:c r="O119" s="28" t="str">
        <x:v>перекрытие ароматических семейств, вкусовой баланс</x:v>
      </x:c>
      <x:c r="P119" s="28" t="str">
        <x:v>Сладость подавляет воспринимаемую кислотность и горечь кожуры, а кислота не даёт сочетанию стать приторным.</x:v>
      </x:c>
      <x:c r="Q119" s="28" t="str">
        <x:v>нет выраженного; эфирные масла дают лёгкую свежесть; нет выраженного</x:v>
      </x:c>
      <x:c r="R119" s="28" t="str">
        <x:v>эфирное масло кожуры особенно хорошо растворяется в жире и этаноле; сахар повышает вязкость и снижает воспринимаемую кислотность</x:v>
      </x:c>
      <x:c r="S11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19" s="28" t="str">
        <x:v>Бергамот формирует профиль «цитрусовый, цветочный, травяной, хвойный»; характерные маркеры: лимонен, линалол, линалил ацетат, гамма-терпинен. Лавандовый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Бергамот отличается высоким вкладом линалоола и линалилацетата. Сладость балансирует кислоту и горечь кожуры; цветочные компоненты могут поддерживать цитрус.</x:v>
      </x:c>
      <x:c r="U119" s="28" t="str">
        <x:v>Избыток кислоты делает вкус плоско-резким; белая часть кожуры даёт лишнюю горечь.</x:v>
      </x:c>
      <x:c r="V119" s="28" t="str">
        <x:v>имбирь или ваниль</x:v>
      </x:c>
      <x:c r="W119" s="28" t="str">
        <x:v>сироп, мармелад, крем, глазурь или лимонад</x:v>
      </x:c>
      <x:c r="X119" s="28" t="str">
        <x:v>напитки, десерты</x:v>
      </x:c>
      <x:c r="Y119" s="28" t="str">
        <x:v>Средняя</x:v>
      </x:c>
      <x:c r="Z119" s="28" t="str">
        <x:v>The Art &amp; Science of Foodpairing.pdf</x:v>
      </x:c>
      <x:c r="AA119" s="28" t="str">
        <x:v>The Art &amp; Science of Foodpairing.pdf: 188</x:v>
      </x:c>
      <x:c r="AB119" s="28" t="str">
        <x:v>Пара представлена в ароматической диаграмме Foodpairing на странице 188.</x:v>
      </x:c>
      <x:c r="AC119" s="28" t="n">
        <x:v>1</x:v>
      </x:c>
      <x:c r="AD119" s="28" t="n">
        <x:v>1</x:v>
      </x:c>
    </x:row>
    <x:row r="120" ht="58" customHeight="1">
      <x:c r="A120" s="28" t="str">
        <x:v>CIT-0119</x:v>
      </x:c>
      <x:c r="B120" s="28" t="str">
        <x:v>Универсальные</x:v>
      </x:c>
      <x:c r="C120" s="28" t="str">
        <x:v>бергамот</x:v>
      </x:c>
      <x:c r="D120" s="28" t="str">
        <x:v>bergamot | bergamot orange</x:v>
      </x:c>
      <x:c r="E120" s="28" t="str">
        <x:v>Цитрусовые</x:v>
      </x:c>
      <x:c r="F120" s="28" t="str">
        <x:v>лимонник китайский (омиджа)</x:v>
      </x:c>
      <x:c r="G120" s="28" t="str">
        <x:v>omija berry</x:v>
      </x:c>
      <x:c r="H120" s="28" t="str">
        <x:v>Цитрусовые</x:v>
      </x:c>
      <x:c r="I120" s="28" t="str">
        <x:v>цитрусовый, цветочный, травяной, хвойный</x:v>
      </x:c>
      <x:c r="J120" s="28" t="str">
        <x:v>цитрусовый, свежий, цветочный, древесный</x:v>
      </x:c>
      <x:c r="K120" s="28" t="str">
        <x:v>лимонен, линалол, линалил ацетат, гамма-терпинен</x:v>
      </x:c>
      <x:c r="L120" s="28" t="str">
        <x:v>цитраль (гераниаль + нераль), лимонен, гамма-терпинен, бета-пинен</x:v>
      </x:c>
      <x:c r="M120" s="28" t="str">
        <x:v>цветочный, цитрусовый</x:v>
      </x:c>
      <x:c r="N120" s="28" t="str">
        <x:v>гамма-терпинен, лимонен</x:v>
      </x:c>
      <x:c r="O120" s="28" t="str">
        <x:v>общие ароматические молекулы, перекрытие ароматических семейств, вкусовой баланс, тройничное восприятие</x:v>
      </x:c>
      <x:c r="P120" s="28" t="str">
        <x:v>Сочетание строится на близком терпеновом профиле; различия в кислотности, горечи и цветочно-зелёных оттенках создают объём.</x:v>
      </x:c>
      <x:c r="Q120" s="28" t="str">
        <x:v>нет выраженного; эфирные масла дают лёгкую свежесть; кислота усиливает слюноотделение</x:v>
      </x:c>
      <x:c r="R120" s="28" t="str">
        <x:v>эфирное масло кожуры особенно хорошо растворяется в жире и этаноле; сок — водная кислая фаза; цедра — гидрофобное эфирное масло</x:v>
      </x:c>
      <x:c r="S12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20" s="28" t="str">
        <x:v>Бергамот формирует профиль «цитрусовый, цветочный, травяной, хвойный»; характерные маркеры: лимонен, линалол, линалил ацетат, гамма-терпинен. Лимонник китайский (омиджа) относится к группе «цитрусовые» и даёт ноты «цитрусовый, свежий, цветочный, древесный».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Бергамот отличается высоким вкладом линалоола и линалилацетата. Сок определяется цитралем и кислотностью, цедра — лимоненом и терпенами.</x:v>
      </x:c>
      <x:c r="U120" s="28" t="str">
        <x:v>Избыток кислоты делает вкус плоско-резким; белая часть кожуры даёт лишнюю горечь.</x:v>
      </x:c>
      <x:c r="V120" s="28" t="str">
        <x:v>мёд или цветочная вода</x:v>
      </x:c>
      <x:c r="W120" s="28" t="str">
        <x:v>цитрусовый кордиал, мармелад, сорбет, салат или купаж соков</x:v>
      </x:c>
      <x:c r="X120" s="28" t="str">
        <x:v>напитки, десерты</x:v>
      </x:c>
      <x:c r="Y120" s="28" t="str">
        <x:v>Средняя</x:v>
      </x:c>
      <x:c r="Z120" s="28" t="str">
        <x:v>The Art &amp; Science of Foodpairing.pdf</x:v>
      </x:c>
      <x:c r="AA120" s="28" t="str">
        <x:v>The Art &amp; Science of Foodpairing.pdf: 218</x:v>
      </x:c>
      <x:c r="AB120" s="28" t="str">
        <x:v>Пара представлена в ароматической диаграмме Foodpairing на странице 218.</x:v>
      </x:c>
      <x:c r="AC120" s="28" t="n">
        <x:v>1</x:v>
      </x:c>
      <x:c r="AD120" s="28" t="n">
        <x:v>2</x:v>
      </x:c>
    </x:row>
    <x:row r="121" ht="58" customHeight="1">
      <x:c r="A121" s="28" t="str">
        <x:v>CIT-0120</x:v>
      </x:c>
      <x:c r="B121" s="28" t="str">
        <x:v>Десерты и выпечка</x:v>
      </x:c>
      <x:c r="C121" s="28" t="str">
        <x:v>бергамот</x:v>
      </x:c>
      <x:c r="D121" s="28" t="str">
        <x:v>bergamot orange</x:v>
      </x:c>
      <x:c r="E121" s="28" t="str">
        <x:v>Цитрусовые</x:v>
      </x:c>
      <x:c r="F121" s="28" t="str">
        <x:v>личи</x:v>
      </x:c>
      <x:c r="G121" s="28" t="str">
        <x:v>lychee</x:v>
      </x:c>
      <x:c r="H121" s="28" t="str">
        <x:v>Тропические фрукты</x:v>
      </x:c>
      <x:c r="I121" s="28" t="str">
        <x:v>цитрусовый, цветочный, травяной, хвойный</x:v>
      </x:c>
      <x:c r="J121" s="28" t="str">
        <x:v>фруктовый, тропический, цветочный, сливочный</x:v>
      </x:c>
      <x:c r="K121" s="28" t="str">
        <x:v>лимонен, линалол, линалил ацетат, гамма-терпинен</x:v>
      </x:c>
      <x:c r="L121" s="28" t="str">
        <x:v>этилбутират, гексилацетат, лактоны, сернистые тиолы (у части фруктов)</x:v>
      </x:c>
      <x:c r="M121" s="28" t="str">
        <x:v>цветочный</x:v>
      </x:c>
      <x:c r="N121" s="28" t="str">
        <x:v>надёжный общий маркер не заявлен; сочетание объясняется семействами и сенсорным балансом</x:v>
      </x:c>
      <x:c r="O121" s="28" t="str">
        <x:v>перекрытие ароматических семейств, вкусовой баланс</x:v>
      </x:c>
      <x:c r="P121" s="28" t="str">
        <x:v>Общая фруктовая сладость и летучие эфиры создают непрерывный ароматический профиль, а цитрусовая кислота повышает контраст и свежесть.</x:v>
      </x:c>
      <x:c r="Q121" s="28" t="str">
        <x:v>нет выраженного; эфирные масла дают лёгкую свежесть; нет выраженного</x:v>
      </x:c>
      <x:c r="R121" s="28" t="str">
        <x:v>эфирное масло кожуры особенно хорошо растворяется в жире и этаноле; сочная или кремовая фруктовая матрица</x:v>
      </x:c>
      <x:c r="S12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21" s="28" t="str">
        <x:v>Бергамот формирует профиль «цитрусовый, цветочный, травяной, хвойный»; характерные маркеры: лимонен, линалол, линалил ацетат, гамма-терпинен. Личи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Бергамот отличается высоким вкладом линалоола и линалилацетата. Цитрус снижает ощущение приторности и усиливает летучие фруктовые эфиры.</x:v>
      </x:c>
      <x:c r="U121" s="28" t="str">
        <x:v>Избыток кислоты делает вкус плоско-резким; белая часть кожуры даёт лишнюю горечь.</x:v>
      </x:c>
      <x:c r="V121" s="28" t="str">
        <x:v>кокос или имбирь</x:v>
      </x:c>
      <x:c r="W121" s="28" t="str">
        <x:v>смузи, кордиал, сорбет, чатни или коктейль</x:v>
      </x:c>
      <x:c r="X121" s="28" t="str">
        <x:v>напитки, десерты</x:v>
      </x:c>
      <x:c r="Y121" s="28" t="str">
        <x:v>Средняя</x:v>
      </x:c>
      <x:c r="Z121" s="28" t="str">
        <x:v>The Art &amp; Science of Foodpairing.pdf</x:v>
      </x:c>
      <x:c r="AA121" s="28" t="str">
        <x:v>The Art &amp; Science of Foodpairing.pdf: 210</x:v>
      </x:c>
      <x:c r="AB121" s="28" t="str">
        <x:v>Пара представлена в ароматической диаграмме Foodpairing на странице 210.</x:v>
      </x:c>
      <x:c r="AC121" s="28" t="n">
        <x:v>1</x:v>
      </x:c>
      <x:c r="AD121" s="28" t="n">
        <x:v>1</x:v>
      </x:c>
    </x:row>
    <x:row r="122" ht="58" customHeight="1">
      <x:c r="A122" s="28" t="str">
        <x:v>CIT-0121</x:v>
      </x:c>
      <x:c r="B122" s="28" t="str">
        <x:v>Еда и соусы</x:v>
      </x:c>
      <x:c r="C122" s="28" t="str">
        <x:v>бергамот</x:v>
      </x:c>
      <x:c r="D122" s="28" t="str">
        <x:v>bergamot orange</x:v>
      </x:c>
      <x:c r="E122" s="28" t="str">
        <x:v>Цитрусовые</x:v>
      </x:c>
      <x:c r="F122" s="28" t="str">
        <x:v>припущенное филе атлантического лосося</x:v>
      </x:c>
      <x:c r="G122" s="28" t="str">
        <x:v>poached Atlantic salmon fillet</x:v>
      </x:c>
      <x:c r="H122" s="28" t="str">
        <x:v>Рыба и морепродукты</x:v>
      </x:c>
      <x:c r="I122" s="28" t="str">
        <x:v>цитрусовый, цветочный, травяной, хвойный</x:v>
      </x:c>
      <x:c r="J122" s="28" t="str">
        <x:v>морской, йодистый, зелёный, жирный</x:v>
      </x:c>
      <x:c r="K122" s="28" t="str">
        <x:v>лимонен, линалол, линалил ацетат, гамма-терпинен</x:v>
      </x:c>
      <x:c r="L122" s="28" t="str">
        <x:v>альдегиды окисления липидов, бромфенолы, диметилсульфид, умами-соединения</x:v>
      </x:c>
      <x:c r="M122" s="28" t="str">
        <x:v>прямое семейное перекрытие не является главным механизмом</x:v>
      </x:c>
      <x:c r="N122" s="28" t="str">
        <x:v>надёжный общий маркер не заявлен; сочетание объясняется семействами и сенсорным балансом</x:v>
      </x:c>
      <x:c r="O122" s="28" t="str">
        <x:v>вкусовой баланс, влияние матрицы/растворимости</x:v>
      </x:c>
      <x:c r="P122" s="28" t="str">
        <x:v>Кислотность и лёгкая горечь цитруса снижают ощущение жирности; соль и умами, в свою очередь, делают фруктовую часть менее резкой.</x:v>
      </x:c>
      <x:c r="Q122" s="28" t="str">
        <x:v>нет выраженного; эфирные масла дают лёгкую свежесть; нет выраженного</x:v>
      </x:c>
      <x:c r="R122" s="28" t="str">
        <x:v>эфирное масло кожуры особенно хорошо растворяется в жире и этаноле; кислота может денатурировать поверхностные белки; жир рыбы удерживает терпены</x:v>
      </x:c>
      <x:c r="S12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122" s="28" t="str">
        <x:v>Бергамот формирует профиль «цитрусовый, цветочный, травяной, хвойный»; характерные маркеры: лимонен, линалол, линалил ацетат, гамма-терпинен. Припущенное филе атлантического лосося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Цитрус уменьшает восприятие жирности и рыбных нот, усиливая свежесть и слюноотделение.</x:v>
      </x:c>
      <x:c r="U122" s="28" t="str">
        <x:v>Избыток кислоты делает вкус плоско-резким; белая часть кожуры даёт лишнюю горечь; слишком долгая маринация ухудшает текстуру.</x:v>
      </x:c>
      <x:c r="V122" s="28" t="str">
        <x:v>кинза или фенхель</x:v>
      </x:c>
      <x:c r="W122" s="28" t="str">
        <x:v>севиче, маринад, beurre blanc, тартар или салат</x:v>
      </x:c>
      <x:c r="X122" s="28" t="str">
        <x:v>еда, соусы/маринады</x:v>
      </x:c>
      <x:c r="Y122" s="28" t="str">
        <x:v>Средняя</x:v>
      </x:c>
      <x:c r="Z122" s="28" t="str">
        <x:v>The Art &amp; Science of Foodpairing.pdf</x:v>
      </x:c>
      <x:c r="AA122" s="28" t="str">
        <x:v>The Art &amp; Science of Foodpairing.pdf: 142</x:v>
      </x:c>
      <x:c r="AB122" s="28" t="str">
        <x:v>Пара представлена в ароматической диаграмме Foodpairing на странице 142.</x:v>
      </x:c>
      <x:c r="AC122" s="28" t="n">
        <x:v>1</x:v>
      </x:c>
      <x:c r="AD122" s="28" t="n">
        <x:v>1</x:v>
      </x:c>
    </x:row>
    <x:row r="123" ht="58" customHeight="1">
      <x:c r="A123" s="28" t="str">
        <x:v>CIT-0122</x:v>
      </x:c>
      <x:c r="B123" s="28" t="str">
        <x:v>Десерты и выпечка</x:v>
      </x:c>
      <x:c r="C123" s="28" t="str">
        <x:v>бергамот</x:v>
      </x:c>
      <x:c r="D123" s="28" t="str">
        <x:v>bergamot orange</x:v>
      </x:c>
      <x:c r="E123" s="28" t="str">
        <x:v>Цитрусовые</x:v>
      </x:c>
      <x:c r="F123" s="28" t="str">
        <x:v>семена чёрного тмина</x:v>
      </x:c>
      <x:c r="G123" s="28" t="str">
        <x:v>black cumin seeds</x:v>
      </x:c>
      <x:c r="H123" s="28" t="str">
        <x:v>Орехи и семена</x:v>
      </x:c>
      <x:c r="I123" s="28" t="str">
        <x:v>цитрусовый, цветочный, травяной, хвойный</x:v>
      </x:c>
      <x:c r="J123" s="28" t="str">
        <x:v>ореховый, обжаренный, жирный, зелёный</x:v>
      </x:c>
      <x:c r="K123" s="28" t="str">
        <x:v>лимонен, линалол, линалил ацетат, гамма-терпинен</x:v>
      </x:c>
      <x:c r="L123" s="28" t="str">
        <x:v>пиразины, альдегиды окисления жиров, бензальдегид (миндаль)</x:v>
      </x:c>
      <x:c r="M123" s="28" t="str">
        <x:v>прямое семейное перекрытие не является главным механизмом</x:v>
      </x:c>
      <x:c r="N123" s="28" t="str">
        <x:v>надёжный общий маркер не заявлен; сочетание объясняется семействами и сенсорным балансом</x:v>
      </x:c>
      <x:c r="O123" s="28" t="str">
        <x:v>вкусовой баланс, влияние матрицы/растворимости</x:v>
      </x:c>
      <x:c r="P123" s="28" t="str">
        <x:v>Кислотность и лёгкая горечь цитруса снижают ощущение жирности; соль и умами, в свою очередь, делают фруктовую часть менее резкой.</x:v>
      </x:c>
      <x:c r="Q123" s="28" t="str">
        <x:v>нет выраженного; эфирные масла дают лёгкую свежесть; нет выраженного</x:v>
      </x:c>
      <x:c r="R123" s="28" t="str">
        <x:v>эфирное масло кожуры особенно хорошо растворяется в жире и этаноле; высокая жирность растворяет терпеновые масла цитруса</x:v>
      </x:c>
      <x:c r="S12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123" s="28" t="str">
        <x:v>Бергамот формирует профиль «цитрусовый, цветочный, травяной, хвойный»; характерные маркеры: лимонен, линалол, линалил ацетат, гамма-терпинен. Семена чёрного тмина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Кислота режет жирность, а цедра связывается с обжаренными и цветочными нотами.</x:v>
      </x:c>
      <x:c r="U123" s="28" t="str">
        <x:v>Избыток кислоты делает вкус плоско-резким; белая часть кожуры даёт лишнюю горечь.</x:v>
      </x:c>
      <x:c r="V123" s="28" t="str">
        <x:v>мёд или шоколад</x:v>
      </x:c>
      <x:c r="W123" s="28" t="str">
        <x:v>пралине, крем, выпечка, салат или ореховый соус</x:v>
      </x:c>
      <x:c r="X123" s="28" t="str">
        <x:v>десерты</x:v>
      </x:c>
      <x:c r="Y123" s="28" t="str">
        <x:v>Средняя</x:v>
      </x:c>
      <x:c r="Z123" s="28" t="str">
        <x:v>The Art &amp; Science of Foodpairing.pdf</x:v>
      </x:c>
      <x:c r="AA123" s="28" t="str">
        <x:v>The Art &amp; Science of Foodpairing.pdf: 236</x:v>
      </x:c>
      <x:c r="AB123" s="28" t="str">
        <x:v>Пара представлена в ароматической диаграмме Foodpairing на странице 236.</x:v>
      </x:c>
      <x:c r="AC123" s="28" t="n">
        <x:v>1</x:v>
      </x:c>
      <x:c r="AD123" s="28" t="n">
        <x:v>1</x:v>
      </x:c>
    </x:row>
    <x:row r="124" ht="58" customHeight="1">
      <x:c r="A124" s="28" t="str">
        <x:v>CIT-0123</x:v>
      </x:c>
      <x:c r="B124" s="28" t="str">
        <x:v>Универсальные</x:v>
      </x:c>
      <x:c r="C124" s="28" t="str">
        <x:v>бергамот</x:v>
      </x:c>
      <x:c r="D124" s="28" t="str">
        <x:v>bergamot orange</x:v>
      </x:c>
      <x:c r="E124" s="28" t="str">
        <x:v>Цитрусовые</x:v>
      </x:c>
      <x:c r="F124" s="28" t="str">
        <x:v>соус чили</x:v>
      </x:c>
      <x:c r="G124" s="28" t="str">
        <x:v>chilli sauce</x:v>
      </x:c>
      <x:c r="H124" s="28" t="str">
        <x:v>Пряности</x:v>
      </x:c>
      <x:c r="I124" s="28" t="str">
        <x:v>цитрусовый, цветочный, травяной, хвойный</x:v>
      </x:c>
      <x:c r="J124" s="28" t="str">
        <x:v>зелёный, фруктовый, пряный</x:v>
      </x:c>
      <x:c r="K124" s="28" t="str">
        <x:v>лимонен, линалол, линалил ацетат, гамма-терпинен</x:v>
      </x:c>
      <x:c r="L124" s="28" t="str">
        <x:v>капсаицин, пиразины, эфиры</x:v>
      </x:c>
      <x:c r="M124" s="28" t="str">
        <x:v>прямое семейное перекрытие не является главным механизмом</x:v>
      </x:c>
      <x:c r="N124" s="28" t="str">
        <x:v>надёжный общий маркер не заявлен; сочетание объясняется семействами и сенсорным балансом</x:v>
      </x:c>
      <x:c r="O124" s="28" t="str">
        <x:v>вкусовой баланс, тройничное восприятие</x:v>
      </x:c>
      <x:c r="P124" s="28" t="str">
        <x:v>Кислота усиливает слюноотделение и делает пряный аромат ярче; терпены цитруса образуют мост с эфирными маслами травы или специи.</x:v>
      </x:c>
      <x:c r="Q124" s="28" t="str">
        <x:v>нет выраженного; эфирные масла дают лёгкую свежесть; капсаицин активирует TRPV1 и создаёт жжение</x:v>
      </x:c>
      <x:c r="R124" s="28" t="str">
        <x:v>эфирное масло кожуры особенно хорошо растворяется в жире и этаноле; капсаицин жирорастворим; кислота не нейтрализует жжение, но усиливает слюноотделение</x:v>
      </x:c>
      <x:c r="S12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24" s="28" t="str">
        <x:v>Бергамот формирует профиль «цитрусовый, цветочный, травяной, хвойный»; характерные маркеры: лимонен, линалол, линалил ацетат, гамма-терпинен. Соус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Бергамот отличается высоким вкладом линалоола и линалилацетата. Фруктовые чили могут поддерживать цитрусовые эфиры, но острота требует баланса.</x:v>
      </x:c>
      <x:c r="U124"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V124" s="28" t="str">
        <x:v>мёд или ваниль</x:v>
      </x:c>
      <x:c r="W124" s="28" t="str">
        <x:v>сироп, кордиал, чатни, маринад или пряный десерт</x:v>
      </x:c>
      <x:c r="X124" s="28" t="str">
        <x:v>напитки, еда, соусы/маринады</x:v>
      </x:c>
      <x:c r="Y124" s="28" t="str">
        <x:v>Средняя</x:v>
      </x:c>
      <x:c r="Z124" s="28" t="str">
        <x:v>The Art &amp; Science of Foodpairing.pdf</x:v>
      </x:c>
      <x:c r="AA124" s="28" t="str">
        <x:v>The Art &amp; Science of Foodpairing.pdf: 161</x:v>
      </x:c>
      <x:c r="AB124" s="28" t="str">
        <x:v>Пара представлена в ароматической диаграмме Foodpairing на странице 161.</x:v>
      </x:c>
      <x:c r="AC124" s="28" t="n">
        <x:v>1</x:v>
      </x:c>
      <x:c r="AD124" s="28" t="n">
        <x:v>1</x:v>
      </x:c>
    </x:row>
    <x:row r="125" ht="58" customHeight="1">
      <x:c r="A125" s="28" t="str">
        <x:v>CIT-0124</x:v>
      </x:c>
      <x:c r="B125" s="28" t="str">
        <x:v>Универсальные</x:v>
      </x:c>
      <x:c r="C125" s="28" t="str">
        <x:v>бергамот</x:v>
      </x:c>
      <x:c r="D125" s="28" t="str">
        <x:v>bergamot orange</x:v>
      </x:c>
      <x:c r="E125" s="28" t="str">
        <x:v>Цитрусовые</x:v>
      </x:c>
      <x:c r="F125" s="28" t="str">
        <x:v>сушёная вешенка</x:v>
      </x:c>
      <x:c r="G125" s="28" t="str">
        <x:v>dried oyster mushroom</x:v>
      </x:c>
      <x:c r="H125" s="28" t="str">
        <x:v>Прочее</x:v>
      </x:c>
      <x:c r="I125" s="28" t="str">
        <x:v>цитрусовый, цветочный, травяной, хвойный</x:v>
      </x:c>
      <x:c r="J125" s="28" t="str">
        <x:v>нейтральный/специфический</x:v>
      </x:c>
      <x:c r="K125" s="28" t="str">
        <x:v>лимонен, линалол, линалил ацетат, гамма-терпинен</x:v>
      </x:c>
      <x:c r="L125" s="28" t="str">
        <x:v>нужен профиль конкретного продукта</x:v>
      </x:c>
      <x:c r="M125" s="28" t="str">
        <x:v>прямое семейное перекрытие не является главным механизмом</x:v>
      </x:c>
      <x:c r="N125" s="28" t="str">
        <x:v>надёжный общий маркер не заявлен; сочетание объясняется семействами и сенсорным балансом</x:v>
      </x:c>
      <x:c r="O125" s="28" t="str">
        <x:v>вкусовой баланс, тройничное восприятие</x:v>
      </x:c>
      <x:c r="P125" s="28" t="str">
        <x:v>Основной эффект определяется ароматическим контрастом и добавлением кислотной свежести; точный баланс зависит от дозировки и матрицы.</x:v>
      </x:c>
      <x:c r="Q125" s="28" t="str">
        <x:v>нет выраженного; эфирные масла дают лёгкую свежесть; нет данных</x:v>
      </x:c>
      <x:c r="R125" s="28" t="str">
        <x:v>эфирное масло кожуры особенно хорошо растворяется в жире и этаноле; зависит от формы продукта</x:v>
      </x:c>
      <x:c r="S12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25" s="28" t="str">
        <x:v>Бергамот формирует профиль «цитрусовый, цветочный, травяной, хвойный»; характерные маркеры: лимонен, линалол, линалил ацетат, гамма-терпинен. Сушёная вешенка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Бергамот отличается высоким вкладом линалоола и линалилацетата. Для точного молекулярного вывода нужен профиль конкретного ингредиента и способа обработки.</x:v>
      </x:c>
      <x:c r="U125" s="28" t="str">
        <x:v>Избыток кислоты делает вкус плоско-резким; белая часть кожуры даёт лишнюю горечь.</x:v>
      </x:c>
      <x:c r="V125" s="28" t="str">
        <x:v>мёд или нейтральная жировая основа</x:v>
      </x:c>
      <x:c r="W125" s="28" t="str">
        <x:v>соус, напиток или десерт после пробной дегустации</x:v>
      </x:c>
      <x:c r="X125" s="28" t="str">
        <x:v>универсальное</x:v>
      </x:c>
      <x:c r="Y125" s="28" t="str">
        <x:v>Средняя</x:v>
      </x:c>
      <x:c r="Z125" s="28" t="str">
        <x:v>The Art &amp; Science of Foodpairing.pdf</x:v>
      </x:c>
      <x:c r="AA125" s="28" t="str">
        <x:v>The Art &amp; Science of Foodpairing.pdf: 210</x:v>
      </x:c>
      <x:c r="AB125" s="28" t="str">
        <x:v>Пара представлена в ароматической диаграмме Foodpairing на странице 210.</x:v>
      </x:c>
      <x:c r="AC125" s="28" t="n">
        <x:v>1</x:v>
      </x:c>
      <x:c r="AD125" s="28" t="n">
        <x:v>1</x:v>
      </x:c>
    </x:row>
    <x:row r="126" ht="58" customHeight="1">
      <x:c r="A126" s="28" t="str">
        <x:v>CIT-0125</x:v>
      </x:c>
      <x:c r="B126" s="28" t="str">
        <x:v>Напитки</x:v>
      </x:c>
      <x:c r="C126" s="28" t="str">
        <x:v>бергамот</x:v>
      </x:c>
      <x:c r="D126" s="28" t="str">
        <x:v>bergamot orange</x:v>
      </x:c>
      <x:c r="E126" s="28" t="str">
        <x:v>Цитрусовые</x:v>
      </x:c>
      <x:c r="F126" s="28" t="str">
        <x:v>умэсю</x:v>
      </x:c>
      <x:c r="G126" s="28" t="str">
        <x:v>umeshu</x:v>
      </x:c>
      <x:c r="H126" s="28" t="str">
        <x:v>Алкогольные напитки</x:v>
      </x:c>
      <x:c r="I126" s="28" t="str">
        <x:v>цитрусовый, цветочный, травяной, хвойный</x:v>
      </x:c>
      <x:c r="J126" s="28" t="str">
        <x:v>зависит от основы, эфирный, древесный/пряный</x:v>
      </x:c>
      <x:c r="K126" s="28" t="str">
        <x:v>лимонен, линалол, линалил ацетат, гамма-терпинен</x:v>
      </x:c>
      <x:c r="L126" s="28" t="str">
        <x:v>этанол, эфиры, терпены/дубовые соединения</x:v>
      </x:c>
      <x:c r="M126" s="28" t="str">
        <x:v>прямое семейное перекрытие не является главным механизмом</x:v>
      </x:c>
      <x:c r="N126" s="28" t="str">
        <x:v>надёжный общий маркер не заявлен; сочетание объясняется семействами и сенсорным балансом</x:v>
      </x:c>
      <x:c r="O126" s="28" t="str">
        <x:v>вкусовой баланс, тройничное восприятие, влияние матрицы/растворимости</x:v>
      </x:c>
      <x:c r="P126" s="28" t="str">
        <x:v>Этанол усиливает летучесть терпенов и ощущение тепла; сахар и вода регулируют кислотность, горечь кожуры и спиртуозность.</x:v>
      </x:c>
      <x:c r="Q126" s="28" t="str">
        <x:v>нет выраженного; эфирные масла дают лёгкую свежесть; этанол усиливает тепло и летучесть аромата</x:v>
      </x:c>
      <x:c r="R126" s="28" t="str">
        <x:v>эфирное масло кожуры особенно хорошо растворяется в жире и этаноле; этанол — хороший растворитель гидрофобных эфирных масел</x:v>
      </x:c>
      <x:c r="S126"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126" s="28" t="str">
        <x:v>Бергамот формирует профиль «цитрусовый, цветочный, травяной, хвойный»; характерные маркеры: лимонен, линалол, линалил ацетат, гамма-терпинен. Умэсю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Бергамот отличается высоким вкладом линалоола и линалилацетата. Спирт извлекает цедру и усиливает ретроназальный выход терпенов; сахар и разбавление меняют баланс.</x:v>
      </x:c>
      <x:c r="U126" s="28" t="str">
        <x:v>Избыток кислоты делает вкус плоско-резким; белая часть кожуры даёт лишнюю горечь.</x:v>
      </x:c>
      <x:c r="V126" s="28" t="str">
        <x:v>сахарный сироп или биттер</x:v>
      </x:c>
      <x:c r="W126" s="28" t="str">
        <x:v>коктейль, спритц, настойка, ликёр или кордиал</x:v>
      </x:c>
      <x:c r="X126" s="28" t="str">
        <x:v>напитки</x:v>
      </x:c>
      <x:c r="Y126" s="28" t="str">
        <x:v>Средняя</x:v>
      </x:c>
      <x:c r="Z126" s="28" t="str">
        <x:v>The Art &amp; Science of Foodpairing.pdf</x:v>
      </x:c>
      <x:c r="AA126" s="28" t="str">
        <x:v>The Art &amp; Science of Foodpairing.pdf: 130</x:v>
      </x:c>
      <x:c r="AB126" s="28" t="str">
        <x:v>Пара представлена в ароматической диаграмме Foodpairing на странице 130.</x:v>
      </x:c>
      <x:c r="AC126" s="28" t="n">
        <x:v>1</x:v>
      </x:c>
      <x:c r="AD126" s="28" t="n">
        <x:v>1</x:v>
      </x:c>
    </x:row>
    <x:row r="127" ht="58" customHeight="1">
      <x:c r="A127" s="28" t="str">
        <x:v>CIT-0126</x:v>
      </x:c>
      <x:c r="B127" s="28" t="str">
        <x:v>Универсальные</x:v>
      </x:c>
      <x:c r="C127" s="28" t="str">
        <x:v>бергамот</x:v>
      </x:c>
      <x:c r="D127" s="28" t="str">
        <x:v>bergamot orange</x:v>
      </x:c>
      <x:c r="E127" s="28" t="str">
        <x:v>Цитрусовые</x:v>
      </x:c>
      <x:c r="F127" s="28" t="str">
        <x:v>чабер</x:v>
      </x:c>
      <x:c r="G127" s="28" t="str">
        <x:v>summer savory</x:v>
      </x:c>
      <x:c r="H127" s="28" t="str">
        <x:v>Прочее</x:v>
      </x:c>
      <x:c r="I127" s="28" t="str">
        <x:v>цитрусовый, цветочный, травяной, хвойный</x:v>
      </x:c>
      <x:c r="J127" s="28" t="str">
        <x:v>нейтральный/специфический</x:v>
      </x:c>
      <x:c r="K127" s="28" t="str">
        <x:v>лимонен, линалол, линалил ацетат, гамма-терпинен</x:v>
      </x:c>
      <x:c r="L127" s="28" t="str">
        <x:v>нужен профиль конкретного продукта</x:v>
      </x:c>
      <x:c r="M127" s="28" t="str">
        <x:v>прямое семейное перекрытие не является главным механизмом</x:v>
      </x:c>
      <x:c r="N127" s="28" t="str">
        <x:v>надёжный общий маркер не заявлен; сочетание объясняется семействами и сенсорным балансом</x:v>
      </x:c>
      <x:c r="O127" s="28" t="str">
        <x:v>вкусовой баланс, тройничное восприятие</x:v>
      </x:c>
      <x:c r="P127" s="28" t="str">
        <x:v>Основной эффект определяется ароматическим контрастом и добавлением кислотной свежести; точный баланс зависит от дозировки и матрицы.</x:v>
      </x:c>
      <x:c r="Q127" s="28" t="str">
        <x:v>нет выраженного; эфирные масла дают лёгкую свежесть; нет данных</x:v>
      </x:c>
      <x:c r="R127" s="28" t="str">
        <x:v>эфирное масло кожуры особенно хорошо растворяется в жире и этаноле; зависит от формы продукта</x:v>
      </x:c>
      <x:c r="S12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27" s="28" t="str">
        <x:v>Бергамот формирует профиль «цитрусовый, цветочный, травяной, хвойный»; характерные маркеры: лимонен, линалол, линалил ацетат, гамма-терпинен. Чабер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Бергамот отличается высоким вкладом линалоола и линалилацетата. Для точного молекулярного вывода нужен профиль конкретного ингредиента и способа обработки.</x:v>
      </x:c>
      <x:c r="U127" s="28" t="str">
        <x:v>Избыток кислоты делает вкус плоско-резким; белая часть кожуры даёт лишнюю горечь.</x:v>
      </x:c>
      <x:c r="V127" s="28" t="str">
        <x:v>мёд или нейтральная жировая основа</x:v>
      </x:c>
      <x:c r="W127" s="28" t="str">
        <x:v>соус, напиток или десерт после пробной дегустации</x:v>
      </x:c>
      <x:c r="X127" s="28" t="str">
        <x:v>универсальное</x:v>
      </x:c>
      <x:c r="Y127" s="28" t="str">
        <x:v>Средняя</x:v>
      </x:c>
      <x:c r="Z127" s="28" t="str">
        <x:v>The Art &amp; Science of Foodpairing.pdf</x:v>
      </x:c>
      <x:c r="AA127" s="28" t="str">
        <x:v>The Art &amp; Science of Foodpairing.pdf: 119</x:v>
      </x:c>
      <x:c r="AB127" s="28" t="str">
        <x:v>Пара представлена в ароматической диаграмме Foodpairing на странице 119.</x:v>
      </x:c>
      <x:c r="AC127" s="28" t="n">
        <x:v>1</x:v>
      </x:c>
      <x:c r="AD127" s="28" t="n">
        <x:v>1</x:v>
      </x:c>
    </x:row>
    <x:row r="128" ht="58" customHeight="1">
      <x:c r="A128" s="28" t="str">
        <x:v>CIT-0127</x:v>
      </x:c>
      <x:c r="B128" s="28" t="str">
        <x:v>Универсальные</x:v>
      </x:c>
      <x:c r="C128" s="28" t="str">
        <x:v>цукаты из апельсиновой кожуры</x:v>
      </x:c>
      <x:c r="D128" s="28" t="str">
        <x:v>candied orange peel</x:v>
      </x:c>
      <x:c r="E128" s="28" t="str">
        <x:v>Цитрусовые</x:v>
      </x:c>
      <x:c r="F128" s="28" t="str">
        <x:v>вода флердоранжа</x:v>
      </x:c>
      <x:c r="G128" s="28" t="str">
        <x:v>orange blossom water</x:v>
      </x:c>
      <x:c r="H128" s="28" t="str">
        <x:v>Прочее</x:v>
      </x:c>
      <x:c r="I128" s="28" t="str">
        <x:v>цитрусовый, сладко-фруктовый, цветочный, восковой</x:v>
      </x:c>
      <x:c r="J128" s="28" t="str">
        <x:v>нейтральный/специфический</x:v>
      </x:c>
      <x:c r="K128" s="28" t="str">
        <x:v>лимонен, линалол, деканаль, октаналь, мирцен</x:v>
      </x:c>
      <x:c r="L128" s="28" t="str">
        <x:v>нужен профиль конкретного продукта</x:v>
      </x:c>
      <x:c r="M128" s="28" t="str">
        <x:v>прямое семейное перекрытие не является главным механизмом</x:v>
      </x:c>
      <x:c r="N128" s="28" t="str">
        <x:v>надёжный общий маркер не заявлен; сочетание объясняется семействами и сенсорным балансом</x:v>
      </x:c>
      <x:c r="O128" s="28" t="str">
        <x:v>вкусовой баланс, тройничное восприятие</x:v>
      </x:c>
      <x:c r="P128" s="28" t="str">
        <x:v>Основной эффект определяется ароматическим контрастом и добавлением кислотной свежести; точный баланс зависит от дозировки и матрицы.</x:v>
      </x:c>
      <x:c r="Q128" s="28" t="str">
        <x:v>нет выраженного; нет данных</x:v>
      </x:c>
      <x:c r="R128" s="28" t="str">
        <x:v>сок водный; цедра и ликёры несут гидрофобные эфирные масла; зависит от формы продукта</x:v>
      </x:c>
      <x:c r="S12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28"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Вода флердоранжа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128" s="28" t="str">
        <x:v>Избыток кислоты делает вкус плоско-резким; белая часть кожуры даёт лишнюю горечь.</x:v>
      </x:c>
      <x:c r="V128" s="28" t="str">
        <x:v>мёд или нейтральная жировая основа</x:v>
      </x:c>
      <x:c r="W128" s="28" t="str">
        <x:v>соус, напиток или десерт после пробной дегустации</x:v>
      </x:c>
      <x:c r="X128" s="28" t="str">
        <x:v>универсальное</x:v>
      </x:c>
      <x:c r="Y128" s="28" t="str">
        <x:v>Средняя</x:v>
      </x:c>
      <x:c r="Z128" s="28" t="str">
        <x:v>The Art &amp; Science of Foodpairing.pdf</x:v>
      </x:c>
      <x:c r="AA128" s="28" t="str">
        <x:v>The Art &amp; Science of Foodpairing.pdf: 267</x:v>
      </x:c>
      <x:c r="AB128" s="28" t="str">
        <x:v>Пара представлена в ароматической диаграмме Foodpairing на странице 267.</x:v>
      </x:c>
      <x:c r="AC128" s="28" t="n">
        <x:v>1</x:v>
      </x:c>
      <x:c r="AD128" s="28" t="n">
        <x:v>1</x:v>
      </x:c>
    </x:row>
    <x:row r="129" ht="58" customHeight="1">
      <x:c r="A129" s="28" t="str">
        <x:v>CIT-0128</x:v>
      </x:c>
      <x:c r="B129" s="28" t="str">
        <x:v>Универсальные</x:v>
      </x:c>
      <x:c r="C129" s="28" t="str">
        <x:v>грейпфрут</x:v>
      </x:c>
      <x:c r="D129" s="28" t="str">
        <x:v>Грейпфрут | грейпфрут</x:v>
      </x:c>
      <x:c r="E129" s="28" t="str">
        <x:v>Цитрусовые</x:v>
      </x:c>
      <x:c r="F129" s="28" t="str">
        <x:v>авокадо</x:v>
      </x:c>
      <x:c r="G129" s="28" t="str">
        <x:v>Авокадо | авокадо</x:v>
      </x:c>
      <x:c r="H129" s="28" t="str">
        <x:v>Прочее</x:v>
      </x:c>
      <x:c r="I129" s="28" t="str">
        <x:v>цитрусовый, горький, свежий, сернистый</x:v>
      </x:c>
      <x:c r="J129" s="28" t="str">
        <x:v>нейтральный/специфический</x:v>
      </x:c>
      <x:c r="K129" s="28" t="str">
        <x:v>лимонен, нооткатон, грейпфрутовые тиолы, нарингин</x:v>
      </x:c>
      <x:c r="L129" s="28" t="str">
        <x:v>нужен профиль конкретного продукта</x:v>
      </x:c>
      <x:c r="M129" s="28" t="str">
        <x:v>прямое семейное перекрытие не является главным механизмом</x:v>
      </x:c>
      <x:c r="N129" s="28" t="str">
        <x:v>надёжный общий маркер не заявлен; сочетание объясняется семействами и сенсорным балансом</x:v>
      </x:c>
      <x:c r="O129" s="28" t="str">
        <x:v>вкусовой баланс, тройничное восприятие</x:v>
      </x:c>
      <x:c r="P129" s="28" t="str">
        <x:v>Основной эффект определяется ароматическим контрастом и добавлением кислотной свежести; точный баланс зависит от дозировки и матрицы.</x:v>
      </x:c>
      <x:c r="Q129" s="28" t="str">
        <x:v>нет выраженного; кислота усиливает слюноотделение; нет данных</x:v>
      </x:c>
      <x:c r="R129" s="28" t="str">
        <x:v>водная фаза сока + гидрофобные масла кожуры; зависит от формы продукта</x:v>
      </x:c>
      <x:c r="S12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29" s="28" t="str">
        <x:v>Грейпфрут формирует профиль «цитрусовый, горький, свежий, сернистый»; характерные маркеры: лимонен, нооткатон, грейпфрутовые тиолы, нарингин. Авокадо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29"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29" s="28" t="str">
        <x:v>мёд или нейтральная жировая основа</x:v>
      </x:c>
      <x:c r="W129" s="28" t="str">
        <x:v>соус, напиток или десерт после пробной дегустации</x:v>
      </x:c>
      <x:c r="X129" s="28" t="str">
        <x:v>универсальное</x:v>
      </x:c>
      <x:c r="Y129" s="28" t="str">
        <x:v>Высокая</x:v>
      </x:c>
      <x:c r="Z129" s="28" t="str">
        <x:v>Тезариус вкусов (Ники Сегнит)(1).pdf</x:v>
      </x:c>
      <x:c r="AA129" s="28" t="str">
        <x:v>Тезариус вкусов (Ники Сегнит)(1).pdf: 527, 785</x:v>
      </x:c>
      <x:c r="AB129" s="28" t="str">
        <x:v>Это сочетание – современ- ная классика, которая встречается в салате из омара, крупных креветок и свежих крабов. В кафе в Монпелье такой салат называют Fraîcheur («Свежесть») и подают с рюмкой гаспачо. В иссушающе жаркий полдень такого блюда оказывается достаточно для того, чтобы смягчить тело и душу. Салат запоминается не только яркостью вкусов, но и удовольствием, которое чувствуешь, когда горьковатые кусочки авокадо стал- киваются с тугими ломтиками грейпфрута, неровными, словно мокрый песок </x:v>
      </x:c>
      <x:c r="AC129" s="28" t="n">
        <x:v>1</x:v>
      </x:c>
      <x:c r="AD129" s="28" t="n">
        <x:v>2</x:v>
      </x:c>
    </x:row>
    <x:row r="130" ht="58" customHeight="1">
      <x:c r="A130" s="28" t="str">
        <x:v>CIT-0129</x:v>
      </x:c>
      <x:c r="B130" s="28" t="str">
        <x:v>Универсальные</x:v>
      </x:c>
      <x:c r="C130" s="28" t="str">
        <x:v>грейпфрут</x:v>
      </x:c>
      <x:c r="D130" s="28" t="str">
        <x:v>грейпфрут</x:v>
      </x:c>
      <x:c r="E130" s="28" t="str">
        <x:v>Цитрусовые</x:v>
      </x:c>
      <x:c r="F130" s="28" t="str">
        <x:v>агава</x:v>
      </x:c>
      <x:c r="G130" s="28" t="str">
        <x:v>Агава</x:v>
      </x:c>
      <x:c r="H130" s="28" t="str">
        <x:v>Прочее</x:v>
      </x:c>
      <x:c r="I130" s="28" t="str">
        <x:v>цитрусовый, горький, свежий, сернистый</x:v>
      </x:c>
      <x:c r="J130" s="28" t="str">
        <x:v>нейтральный/специфический</x:v>
      </x:c>
      <x:c r="K130" s="28" t="str">
        <x:v>лимонен, нооткатон, грейпфрутовые тиолы, нарингин</x:v>
      </x:c>
      <x:c r="L130" s="28" t="str">
        <x:v>нужен профиль конкретного продукта</x:v>
      </x:c>
      <x:c r="M130" s="28" t="str">
        <x:v>прямое семейное перекрытие не является главным механизмом</x:v>
      </x:c>
      <x:c r="N130" s="28" t="str">
        <x:v>надёжный общий маркер не заявлен; сочетание объясняется семействами и сенсорным балансом</x:v>
      </x:c>
      <x:c r="O130" s="28" t="str">
        <x:v>вкусовой баланс, тройничное восприятие</x:v>
      </x:c>
      <x:c r="P130" s="28" t="str">
        <x:v>Основной эффект определяется ароматическим контрастом и добавлением кислотной свежести; точный баланс зависит от дозировки и матрицы.</x:v>
      </x:c>
      <x:c r="Q130" s="28" t="str">
        <x:v>нет выраженного; кислота усиливает слюноотделение; нет данных</x:v>
      </x:c>
      <x:c r="R130" s="28" t="str">
        <x:v>водная фаза сока + гидрофобные масла кожуры; зависит от формы продукта</x:v>
      </x:c>
      <x:c r="S13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30" s="28" t="str">
        <x:v>Грейпфрут формирует профиль «цитрусовый, горький, свежий, сернистый»; характерные маркеры: лимонен, нооткатон, грейпфрутовые тиолы, нарингин. Агава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30"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30" s="28" t="str">
        <x:v>мёд или нейтральная жировая основа</x:v>
      </x:c>
      <x:c r="W130" s="28" t="str">
        <x:v>соус, напиток или десерт после пробной дегустации</x:v>
      </x:c>
      <x:c r="X130" s="28" t="str">
        <x:v>универсальное</x:v>
      </x:c>
      <x:c r="Y130" s="28" t="str">
        <x:v>Гипотеза / практическая</x:v>
      </x:c>
      <x:c r="Z130" s="28" t="str">
        <x:v>Таблица сочетания(1).pdf</x:v>
      </x:c>
      <x:c r="AA130" s="28" t="str">
        <x:v>Таблица сочетания(1).pdf: 1</x:v>
      </x:c>
      <x:c r="AB130" s="28" t="str">
        <x:v>Пара указана в таблице: «Агава» → колонка «Фрукты».</x:v>
      </x:c>
      <x:c r="AC130" s="28" t="n">
        <x:v>1</x:v>
      </x:c>
      <x:c r="AD130" s="28" t="n">
        <x:v>1</x:v>
      </x:c>
    </x:row>
    <x:row r="131" ht="58" customHeight="1">
      <x:c r="A131" s="28" t="str">
        <x:v>CIT-0130</x:v>
      </x:c>
      <x:c r="B131" s="28" t="str">
        <x:v>Десерты и выпечка</x:v>
      </x:c>
      <x:c r="C131" s="28" t="str">
        <x:v>грейпфрут</x:v>
      </x:c>
      <x:c r="D131" s="28" t="str">
        <x:v>Грейпфрут | грейпфрут</x:v>
      </x:c>
      <x:c r="E131" s="28" t="str">
        <x:v>Цитрусовые</x:v>
      </x:c>
      <x:c r="F131" s="28" t="str">
        <x:v>ананас</x:v>
      </x:c>
      <x:c r="G131" s="28" t="str">
        <x:v>Ананас | ананас</x:v>
      </x:c>
      <x:c r="H131" s="28" t="str">
        <x:v>Тропические фрукты</x:v>
      </x:c>
      <x:c r="I131" s="28" t="str">
        <x:v>цитрусовый, горький, свежий, сернистый</x:v>
      </x:c>
      <x:c r="J131" s="28" t="str">
        <x:v>фруктовый, тропический, цветочный, сливочный</x:v>
      </x:c>
      <x:c r="K131" s="28" t="str">
        <x:v>лимонен, нооткатон, грейпфрутовые тиолы, нарингин</x:v>
      </x:c>
      <x:c r="L131" s="28" t="str">
        <x:v>этилбутират, гексилацетат, лактоны, сернистые тиолы (у части фруктов)</x:v>
      </x:c>
      <x:c r="M131" s="28" t="str">
        <x:v>прямое семейное перекрытие не является главным механизмом</x:v>
      </x:c>
      <x:c r="N131" s="28" t="str">
        <x:v>надёжный общий маркер не заявлен; сочетание объясняется семействами и сенсорным балансом</x:v>
      </x:c>
      <x:c r="O131" s="28" t="str">
        <x:v>вкусовой баланс</x:v>
      </x:c>
      <x:c r="P131" s="28" t="str">
        <x:v>Общая фруктовая сладость и летучие эфиры создают непрерывный ароматический профиль, а цитрусовая кислота повышает контраст и свежесть.</x:v>
      </x:c>
      <x:c r="Q131" s="28" t="str">
        <x:v>нет выраженного; кислота усиливает слюноотделение; нет выраженного</x:v>
      </x:c>
      <x:c r="R131" s="28" t="str">
        <x:v>водная фаза сока + гидрофобные масла кожуры; сочная или кремовая фруктовая матрица</x:v>
      </x:c>
      <x:c r="S13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31" s="28" t="str">
        <x:v>Грейпфрут формирует профиль «цитрусовый, горький, свежий, сернистый»; характерные маркеры: лимонен, нооткатон, грейпфрутовые тиолы, нарингин. Ананас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снижает ощущение приторности и усиливает летучие фруктовые эфиры.</x:v>
      </x:c>
      <x:c r="U131"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31" s="28" t="str">
        <x:v>кокос или имбирь</x:v>
      </x:c>
      <x:c r="W131" s="28" t="str">
        <x:v>смузи, кордиал, сорбет, чатни или коктейль</x:v>
      </x:c>
      <x:c r="X131" s="28" t="str">
        <x:v>напитки, десерты</x:v>
      </x:c>
      <x:c r="Y131" s="28" t="str">
        <x:v>Высокая</x:v>
      </x:c>
      <x:c r="Z131" s="28" t="str">
        <x:v>Таблица сочетания(1).pdf | Тезариус вкусов (Ники Сегнит)(1).pdf</x:v>
      </x:c>
      <x:c r="AA131" s="28" t="str">
        <x:v>Таблица сочетания(1).pdf: 9, 17 | Тезариус вкусов (Ники Сегнит)(1).pdf: 703, 786</x:v>
      </x:c>
      <x:c r="AB131" s="28" t="str">
        <x:v>Возьмите кусочек ананаса и ломтик грейпфрута и представьте себе, что лежите в гамаке где-то в тропиках или, по крайней мере, в районе Аксбридж, на западной окраине Лондона, где Coca-Cola Company разливает свой напиток Lilt. А может быть, вы почувствуете себя на Луне? В 1969 году экипаж космического корабля «Аполлон-11» запивал напитком из ананаса и грейпфрута свою первую лунную еду – ломтики бекона, персики, кубики сахарного печенья. Нет, это был не Lilt, его запустили в производство только шест</x:v>
      </x:c>
      <x:c r="AC131" s="28" t="n">
        <x:v>2</x:v>
      </x:c>
      <x:c r="AD131" s="28" t="n">
        <x:v>4</x:v>
      </x:c>
    </x:row>
    <x:row r="132" ht="58" customHeight="1">
      <x:c r="A132" s="28" t="str">
        <x:v>CIT-0131</x:v>
      </x:c>
      <x:c r="B132" s="28" t="str">
        <x:v>Универсальные</x:v>
      </x:c>
      <x:c r="C132" s="28" t="str">
        <x:v>грейпфрут</x:v>
      </x:c>
      <x:c r="D132" s="28" t="str">
        <x:v>Грейпфрут</x:v>
      </x:c>
      <x:c r="E132" s="28" t="str">
        <x:v>Цитрусовые</x:v>
      </x:c>
      <x:c r="F132" s="28" t="str">
        <x:v>базилик</x:v>
      </x:c>
      <x:c r="G132" s="28" t="str">
        <x:v>базилик</x:v>
      </x:c>
      <x:c r="H132" s="28" t="str">
        <x:v>Травы</x:v>
      </x:c>
      <x:c r="I132" s="28" t="str">
        <x:v>цитрусовый, горький, свежий, сернистый</x:v>
      </x:c>
      <x:c r="J132" s="28" t="str">
        <x:v>зелёный, анисовый, цветочный, пряный</x:v>
      </x:c>
      <x:c r="K132" s="28" t="str">
        <x:v>лимонен, нооткатон, грейпфрутовые тиолы, нарингин</x:v>
      </x:c>
      <x:c r="L132" s="28" t="str">
        <x:v>линалол, эстрагол, эвгенол</x:v>
      </x:c>
      <x:c r="M132" s="28" t="str">
        <x:v>прямое семейное перекрытие не является главным механизмом</x:v>
      </x:c>
      <x:c r="N132" s="28" t="str">
        <x:v>надёжный общий маркер не заявлен; сочетание объясняется семействами и сенсорным балансом</x:v>
      </x:c>
      <x:c r="O132" s="28" t="str">
        <x:v>вкусовой баланс</x:v>
      </x:c>
      <x:c r="P132" s="28" t="str">
        <x:v>Кислота усиливает слюноотделение и делает пряный аромат ярче; терпены цитруса образуют мост с эфирными маслами травы или специи.</x:v>
      </x:c>
      <x:c r="Q132" s="28" t="str">
        <x:v>нет выраженного; кислота усиливает слюноотделение; нет выраженного</x:v>
      </x:c>
      <x:c r="R132" s="28" t="str">
        <x:v>водная фаза сока + гидрофобные масла кожуры; летучие масла чувствительны к длительному нагреву</x:v>
      </x:c>
      <x:c r="S13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32" s="28" t="str">
        <x:v>Грейпфрут формирует профиль «цитрусовый, горький, свежий, сернистый»; характерные маркеры: лимонен, нооткатон, грейпфрутовые тиолы, нарингин. Базилик относится к группе «травы» и даёт ноты «зелёный, анисовый, цветочный,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Базилик и эстрагон могут связать цитрус с фруктами, томатом и сливочными матрицами.</x:v>
      </x:c>
      <x:c r="U132"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V132" s="28" t="str">
        <x:v>оливковое масло или огурец</x:v>
      </x:c>
      <x:c r="W132" s="28" t="str">
        <x:v>лимонад, кордиал, салатная заправка или зелёный соус</x:v>
      </x:c>
      <x:c r="X132" s="28" t="str">
        <x:v>напитки, еда, соусы/маринады</x:v>
      </x:c>
      <x:c r="Y132" s="28" t="str">
        <x:v>Гипотеза / практическая</x:v>
      </x:c>
      <x:c r="Z132" s="28" t="str">
        <x:v>Таблица сочетания(1).pdf</x:v>
      </x:c>
      <x:c r="AA132" s="28" t="str">
        <x:v>Таблица сочетания(1).pdf: 9</x:v>
      </x:c>
      <x:c r="AB132" s="28" t="str">
        <x:v>Пара указана в таблице: «Грейпфрут» → колонка «Травы и специи».</x:v>
      </x:c>
      <x:c r="AC132" s="28" t="n">
        <x:v>1</x:v>
      </x:c>
      <x:c r="AD132" s="28" t="n">
        <x:v>1</x:v>
      </x:c>
    </x:row>
    <x:row r="133" ht="58" customHeight="1">
      <x:c r="A133" s="28" t="str">
        <x:v>CIT-0132</x:v>
      </x:c>
      <x:c r="B133" s="28" t="str">
        <x:v>Универсальные</x:v>
      </x:c>
      <x:c r="C133" s="28" t="str">
        <x:v>грейпфрут</x:v>
      </x:c>
      <x:c r="D133" s="28" t="str">
        <x:v>грейпфрут</x:v>
      </x:c>
      <x:c r="E133" s="28" t="str">
        <x:v>Цитрусовые</x:v>
      </x:c>
      <x:c r="F133" s="28" t="str">
        <x:v>бузина (цветки бузины)</x:v>
      </x:c>
      <x:c r="G133" s="28" t="str">
        <x:v>Бузина (цветки бузины)</x:v>
      </x:c>
      <x:c r="H133" s="28" t="str">
        <x:v>Прочее</x:v>
      </x:c>
      <x:c r="I133" s="28" t="str">
        <x:v>цитрусовый, горький, свежий, сернистый</x:v>
      </x:c>
      <x:c r="J133" s="28" t="str">
        <x:v>нейтральный/специфический</x:v>
      </x:c>
      <x:c r="K133" s="28" t="str">
        <x:v>лимонен, нооткатон, грейпфрутовые тиолы, нарингин</x:v>
      </x:c>
      <x:c r="L133" s="28" t="str">
        <x:v>нужен профиль конкретного продукта</x:v>
      </x:c>
      <x:c r="M133" s="28" t="str">
        <x:v>прямое семейное перекрытие не является главным механизмом</x:v>
      </x:c>
      <x:c r="N133" s="28" t="str">
        <x:v>надёжный общий маркер не заявлен; сочетание объясняется семействами и сенсорным балансом</x:v>
      </x:c>
      <x:c r="O133" s="28" t="str">
        <x:v>вкусовой баланс, тройничное восприятие</x:v>
      </x:c>
      <x:c r="P133" s="28" t="str">
        <x:v>Основной эффект определяется ароматическим контрастом и добавлением кислотной свежести; точный баланс зависит от дозировки и матрицы.</x:v>
      </x:c>
      <x:c r="Q133" s="28" t="str">
        <x:v>нет выраженного; кислота усиливает слюноотделение; нет данных</x:v>
      </x:c>
      <x:c r="R133" s="28" t="str">
        <x:v>водная фаза сока + гидрофобные масла кожуры; зависит от формы продукта</x:v>
      </x:c>
      <x:c r="S13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33" s="28" t="str">
        <x:v>Грейпфрут формирует профиль «цитрусовый, горький, свежий, сернистый»; характерные маркеры: лимонен, нооткатон, грейпфрутовые тиолы, нарингин. Бузина (цветки бузины)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33"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33" s="28" t="str">
        <x:v>мёд или нейтральная жировая основа</x:v>
      </x:c>
      <x:c r="W133" s="28" t="str">
        <x:v>соус, напиток или десерт после пробной дегустации</x:v>
      </x:c>
      <x:c r="X133" s="28" t="str">
        <x:v>универсальное</x:v>
      </x:c>
      <x:c r="Y133" s="28" t="str">
        <x:v>Гипотеза / практическая</x:v>
      </x:c>
      <x:c r="Z133" s="28" t="str">
        <x:v>Таблица сочетания(1).pdf</x:v>
      </x:c>
      <x:c r="AA133" s="28" t="str">
        <x:v>Таблица сочетания(1).pdf: 8</x:v>
      </x:c>
      <x:c r="AB133" s="28" t="str">
        <x:v>Пара указана в таблице: «Бузина (цветки бузины)» → колонка «Фрукты».</x:v>
      </x:c>
      <x:c r="AC133" s="28" t="n">
        <x:v>1</x:v>
      </x:c>
      <x:c r="AD133" s="28" t="n">
        <x:v>1</x:v>
      </x:c>
    </x:row>
    <x:row r="134" ht="58" customHeight="1">
      <x:c r="A134" s="28" t="str">
        <x:v>CIT-0133</x:v>
      </x:c>
      <x:c r="B134" s="28" t="str">
        <x:v>Универсальные</x:v>
      </x:c>
      <x:c r="C134" s="28" t="str">
        <x:v>грейпфрут</x:v>
      </x:c>
      <x:c r="D134" s="28" t="str">
        <x:v>grapefruit</x:v>
      </x:c>
      <x:c r="E134" s="28" t="str">
        <x:v>Цитрусовые</x:v>
      </x:c>
      <x:c r="F134" s="28" t="str">
        <x:v>бурбон</x:v>
      </x:c>
      <x:c r="G134" s="28" t="str">
        <x:v>bourbon whiskey</x:v>
      </x:c>
      <x:c r="H134" s="28" t="str">
        <x:v>Прочее</x:v>
      </x:c>
      <x:c r="I134" s="28" t="str">
        <x:v>цитрусовый, горький, свежий, сернистый</x:v>
      </x:c>
      <x:c r="J134" s="28" t="str">
        <x:v>нейтральный/специфический</x:v>
      </x:c>
      <x:c r="K134" s="28" t="str">
        <x:v>лимонен, нооткатон, грейпфрутовые тиолы, нарингин</x:v>
      </x:c>
      <x:c r="L134" s="28" t="str">
        <x:v>нужен профиль конкретного продукта</x:v>
      </x:c>
      <x:c r="M134" s="28" t="str">
        <x:v>прямое семейное перекрытие не является главным механизмом</x:v>
      </x:c>
      <x:c r="N134" s="28" t="str">
        <x:v>надёжный общий маркер не заявлен; сочетание объясняется семействами и сенсорным балансом</x:v>
      </x:c>
      <x:c r="O134" s="28" t="str">
        <x:v>вкусовой баланс, тройничное восприятие</x:v>
      </x:c>
      <x:c r="P134" s="28" t="str">
        <x:v>Основной эффект определяется ароматическим контрастом и добавлением кислотной свежести; точный баланс зависит от дозировки и матрицы.</x:v>
      </x:c>
      <x:c r="Q134" s="28" t="str">
        <x:v>нет выраженного; кислота усиливает слюноотделение; нет данных</x:v>
      </x:c>
      <x:c r="R134" s="28" t="str">
        <x:v>водная фаза сока + гидрофобные масла кожуры; зависит от формы продукта</x:v>
      </x:c>
      <x:c r="S13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34" s="28" t="str">
        <x:v>Грейпфрут формирует профиль «цитрусовый, горький, свежий, сернистый»; характерные маркеры: лимонен, нооткатон, грейпфрутовые тиолы, нарингин. Бурбон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3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34" s="28" t="str">
        <x:v>мёд или нейтральная жировая основа</x:v>
      </x:c>
      <x:c r="W134" s="28" t="str">
        <x:v>соус, напиток или десерт после пробной дегустации</x:v>
      </x:c>
      <x:c r="X134" s="28" t="str">
        <x:v>универсальное</x:v>
      </x:c>
      <x:c r="Y134" s="28" t="str">
        <x:v>Средняя</x:v>
      </x:c>
      <x:c r="Z134" s="28" t="str">
        <x:v>The Art &amp; Science of Foodpairing.pdf</x:v>
      </x:c>
      <x:c r="AA134" s="28" t="str">
        <x:v>The Art &amp; Science of Foodpairing.pdf: 358</x:v>
      </x:c>
      <x:c r="AB134" s="28" t="str">
        <x:v>Пара представлена в ароматической диаграмме Foodpairing на странице 358.</x:v>
      </x:c>
      <x:c r="AC134" s="28" t="n">
        <x:v>1</x:v>
      </x:c>
      <x:c r="AD134" s="28" t="n">
        <x:v>2</x:v>
      </x:c>
    </x:row>
    <x:row r="135" ht="58" customHeight="1">
      <x:c r="A135" s="28" t="str">
        <x:v>CIT-0134</x:v>
      </x:c>
      <x:c r="B135" s="28" t="str">
        <x:v>Универсальные</x:v>
      </x:c>
      <x:c r="C135" s="28" t="str">
        <x:v>грейпфрут</x:v>
      </x:c>
      <x:c r="D135" s="28" t="str">
        <x:v>Грейпфрут</x:v>
      </x:c>
      <x:c r="E135" s="28" t="str">
        <x:v>Цитрусовые</x:v>
      </x:c>
      <x:c r="F135" s="28" t="str">
        <x:v>ваниль</x:v>
      </x:c>
      <x:c r="G135" s="28" t="str">
        <x:v>ваниль</x:v>
      </x:c>
      <x:c r="H135" s="28" t="str">
        <x:v>Пряности</x:v>
      </x:c>
      <x:c r="I135" s="28" t="str">
        <x:v>цитрусовый, горький, свежий, сернистый</x:v>
      </x:c>
      <x:c r="J135" s="28" t="str">
        <x:v>ванильный, бальзамический, сладкий, древесный</x:v>
      </x:c>
      <x:c r="K135" s="28" t="str">
        <x:v>лимонен, нооткатон, грейпфрутовые тиолы, нарингин</x:v>
      </x:c>
      <x:c r="L135" s="28" t="str">
        <x:v>ванилин, п-гидроксибензальдегид, анисовый альдегид</x:v>
      </x:c>
      <x:c r="M135" s="28" t="str">
        <x:v>прямое семейное перекрытие не является главным механизмом</x:v>
      </x:c>
      <x:c r="N135" s="28" t="str">
        <x:v>надёжный общий маркер не заявлен; сочетание объясняется семействами и сенсорным балансом</x:v>
      </x:c>
      <x:c r="O135" s="28" t="str">
        <x:v>вкусовой баланс</x:v>
      </x:c>
      <x:c r="P135" s="28" t="str">
        <x:v>Кислота усиливает слюноотделение и делает пряный аромат ярче; терпены цитруса образуют мост с эфирными маслами травы или специи.</x:v>
      </x:c>
      <x:c r="Q135" s="28" t="str">
        <x:v>нет выраженного; кислота усиливает слюноотделение; нет выраженного</x:v>
      </x:c>
      <x:c r="R135" s="28" t="str">
        <x:v>водная фаза сока + гидрофобные масла кожуры; ванилин растворим в спирте и частично в воде; жир продлевает аромат</x:v>
      </x:c>
      <x:c r="S13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35" s="28" t="str">
        <x:v>Грейпфрут формирует профиль «цитрусовый, горький, свежий, сернистый»; характерные маркеры: лимонен, нооткатон, грейпфрутовые тиолы, нарингин.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Ваниль округляет кислотность и связывает цитрус с десертными и молочными нотами.</x:v>
      </x:c>
      <x:c r="U135"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35" s="28" t="str">
        <x:v>мёд или ваниль</x:v>
      </x:c>
      <x:c r="W135" s="28" t="str">
        <x:v>сироп, кордиал, чатни, маринад или пряный десерт</x:v>
      </x:c>
      <x:c r="X135" s="28" t="str">
        <x:v>напитки, еда, соусы/маринады</x:v>
      </x:c>
      <x:c r="Y135" s="28" t="str">
        <x:v>Гипотеза / практическая</x:v>
      </x:c>
      <x:c r="Z135" s="28" t="str">
        <x:v>Таблица сочетания(1).pdf</x:v>
      </x:c>
      <x:c r="AA135" s="28" t="str">
        <x:v>Таблица сочетания(1).pdf: 9</x:v>
      </x:c>
      <x:c r="AB135" s="28" t="str">
        <x:v>Пара указана в таблице: «Грейпфрут» → колонка «Другое».</x:v>
      </x:c>
      <x:c r="AC135" s="28" t="n">
        <x:v>1</x:v>
      </x:c>
      <x:c r="AD135" s="28" t="n">
        <x:v>1</x:v>
      </x:c>
    </x:row>
    <x:row r="136" ht="58" customHeight="1">
      <x:c r="A136" s="28" t="str">
        <x:v>CIT-0135</x:v>
      </x:c>
      <x:c r="B136" s="28" t="str">
        <x:v>Универсальные</x:v>
      </x:c>
      <x:c r="C136" s="28" t="str">
        <x:v>грейпфрут</x:v>
      </x:c>
      <x:c r="D136" s="28" t="str">
        <x:v>Грейпфрут | грейпфрут</x:v>
      </x:c>
      <x:c r="E136" s="28" t="str">
        <x:v>Цитрусовые</x:v>
      </x:c>
      <x:c r="F136" s="28" t="str">
        <x:v>водяной кресс</x:v>
      </x:c>
      <x:c r="G136" s="28" t="str">
        <x:v>Водяной кресс | водяной кресс</x:v>
      </x:c>
      <x:c r="H136" s="28" t="str">
        <x:v>Прочее</x:v>
      </x:c>
      <x:c r="I136" s="28" t="str">
        <x:v>цитрусовый, горький, свежий, сернистый</x:v>
      </x:c>
      <x:c r="J136" s="28" t="str">
        <x:v>нейтральный/специфический</x:v>
      </x:c>
      <x:c r="K136" s="28" t="str">
        <x:v>лимонен, нооткатон, грейпфрутовые тиолы, нарингин</x:v>
      </x:c>
      <x:c r="L136" s="28" t="str">
        <x:v>нужен профиль конкретного продукта</x:v>
      </x:c>
      <x:c r="M136" s="28" t="str">
        <x:v>прямое семейное перекрытие не является главным механизмом</x:v>
      </x:c>
      <x:c r="N136" s="28" t="str">
        <x:v>надёжный общий маркер не заявлен; сочетание объясняется семействами и сенсорным балансом</x:v>
      </x:c>
      <x:c r="O136" s="28" t="str">
        <x:v>вкусовой баланс, тройничное восприятие</x:v>
      </x:c>
      <x:c r="P136" s="28" t="str">
        <x:v>Основной эффект определяется ароматическим контрастом и добавлением кислотной свежести; точный баланс зависит от дозировки и матрицы.</x:v>
      </x:c>
      <x:c r="Q136" s="28" t="str">
        <x:v>нет выраженного; кислота усиливает слюноотделение; нет данных</x:v>
      </x:c>
      <x:c r="R136" s="28" t="str">
        <x:v>водная фаза сока + гидрофобные масла кожуры; зависит от формы продукта</x:v>
      </x:c>
      <x:c r="S13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36" s="28" t="str">
        <x:v>Грейпфрут формирует профиль «цитрусовый, горький, свежий, сернистый»; характерные маркеры: лимонен, нооткатон, грейпфрутовые тиолы, нарингин. Водяной кресс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36"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36" s="28" t="str">
        <x:v>мёд или нейтральная жировая основа</x:v>
      </x:c>
      <x:c r="W136" s="28" t="str">
        <x:v>соус, напиток или десерт после пробной дегустации</x:v>
      </x:c>
      <x:c r="X136" s="28" t="str">
        <x:v>универсальное</x:v>
      </x:c>
      <x:c r="Y136" s="28" t="str">
        <x:v>Высокая</x:v>
      </x:c>
      <x:c r="Z136" s="28" t="str">
        <x:v>Тезариус вкусов (Ники Сегнит)(1).pdf</x:v>
      </x:c>
      <x:c r="AA136" s="28" t="str">
        <x:v>Тезариус вкусов (Ники Сегнит)(1).pdf: 258, 786</x:v>
      </x:c>
      <x:c r="AB136" s="28" t="str">
        <x:v>Их объединяют сильные минеральность и горечь – признаки вкусных жирных белков. Естественный выбор партнера к этой паре – голубой сыр, особенно если это сладко-соленый рокфор (Roquefort), в основе вкуса которого лежит собственная минеральная компонента. Перед тем как смешать нарезанные листья водяного кресса с дольками грейпфрута без кожицы и посыпать их сыром, удалите все «негабаритные» стебли растения. Может быть, стоит добавить к салату немного грецких орехов. Отличную замену сыру может обеспе</x:v>
      </x:c>
      <x:c r="AC136" s="28" t="n">
        <x:v>1</x:v>
      </x:c>
      <x:c r="AD136" s="28" t="n">
        <x:v>2</x:v>
      </x:c>
    </x:row>
    <x:row r="137" ht="58" customHeight="1">
      <x:c r="A137" s="28" t="str">
        <x:v>CIT-0136</x:v>
      </x:c>
      <x:c r="B137" s="28" t="str">
        <x:v>Десерты и выпечка</x:v>
      </x:c>
      <x:c r="C137" s="28" t="str">
        <x:v>грейпфрут</x:v>
      </x:c>
      <x:c r="D137" s="28" t="str">
        <x:v>Грейпфрут | грейпфрут</x:v>
      </x:c>
      <x:c r="E137" s="28" t="str">
        <x:v>Цитрусовые</x:v>
      </x:c>
      <x:c r="F137" s="28" t="str">
        <x:v>голубой сыр</x:v>
      </x:c>
      <x:c r="G137" s="28" t="str">
        <x:v>Голубой сыр | голубой сыр</x:v>
      </x:c>
      <x:c r="H137" s="28" t="str">
        <x:v>Молочные продукты</x:v>
      </x:c>
      <x:c r="I137" s="28" t="str">
        <x:v>цитрусовый, горький, свежий, сернистый</x:v>
      </x:c>
      <x:c r="J137" s="28" t="str">
        <x:v>сливочный, молочный, масляный, иногда животный</x:v>
      </x:c>
      <x:c r="K137" s="28" t="str">
        <x:v>лимонен, нооткатон, грейпфрутовые тиолы, нарингин</x:v>
      </x:c>
      <x:c r="L137" s="28" t="str">
        <x:v>диацетил, молочные лактоны, свободные жирные кислоты</x:v>
      </x:c>
      <x:c r="M137" s="28" t="str">
        <x:v>прямое семейное перекрытие не является главным механизмом</x:v>
      </x:c>
      <x:c r="N137" s="28" t="str">
        <x:v>надёжный общий маркер не заявлен; сочетание объясняется семействами и сенсорным балансом</x:v>
      </x:c>
      <x:c r="O137" s="28" t="str">
        <x:v>вкусовой баланс, влияние матрицы/растворимости</x:v>
      </x:c>
      <x:c r="P137" s="28" t="str">
        <x:v>Кислотность и лёгкая горечь цитруса снижают ощущение жирности; соль и умами, в свою очередь, делают фруктовую часть менее резкой.</x:v>
      </x:c>
      <x:c r="Q137" s="28" t="str">
        <x:v>нет выраженного; кислота усиливает слюноотделение; нет выраженного</x:v>
      </x:c>
      <x:c r="R137" s="28" t="str">
        <x:v>водная фаза сока + гидрофобные масла кожуры; жир растворяет терпены; кислота цитруса может коагулировать молочный белок</x:v>
      </x:c>
      <x:c r="S137"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137" s="28" t="str">
        <x:v>Грейпфрут формирует профиль «цитрусовый, горький, свежий, сернистый»; характерные маркеры: лимонен, нооткатон, грейпфрутовые тиолы, нарингин. Голубой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режет жирность и освежает, а молочная матрица смягчает кислотность.</x:v>
      </x:c>
      <x:c r="U137" s="28" t="str">
        <x:v>Избыток кислоты делает вкус плоско-резким; белая часть кожуры даёт лишнюю горечь; возможна коагуляция белка; горечь нооткатона и нарингина требует контроля сахара и соли.</x:v>
      </x:c>
      <x:c r="V137" s="28" t="str">
        <x:v>мёд или ваниль</x:v>
      </x:c>
      <x:c r="W137" s="28" t="str">
        <x:v>чизкейк, крем, мороженое, соус или салат</x:v>
      </x:c>
      <x:c r="X137" s="28" t="str">
        <x:v>десерты, еда</x:v>
      </x:c>
      <x:c r="Y137" s="28" t="str">
        <x:v>Высокая</x:v>
      </x:c>
      <x:c r="Z137" s="28" t="str">
        <x:v>Тезариус вкусов (Ники Сегнит)(1).pdf</x:v>
      </x:c>
      <x:c r="AA137" s="28" t="str">
        <x:v>Тезариус вкусов (Ники Сегнит)(1).pdf: 156, 787</x:v>
      </x:c>
      <x:c r="AB137" s="28" t="str">
        <x:v>Успевший устареть мо- дерн – типа многоразового космолета Skylon или летающих автомобилей. Объедините их в салат с красным луком, свеклой и каким-нибудь хрустящим горьким салатом. Потрясающий сэндвич получается из голубого сыра с грейпфрутовым мармеладом, если последний удастся найти.</x:v>
      </x:c>
      <x:c r="AC137" s="28" t="n">
        <x:v>1</x:v>
      </x:c>
      <x:c r="AD137" s="28" t="n">
        <x:v>2</x:v>
      </x:c>
    </x:row>
    <x:row r="138" ht="58" customHeight="1">
      <x:c r="A138" s="28" t="str">
        <x:v>CIT-0137</x:v>
      </x:c>
      <x:c r="B138" s="28" t="str">
        <x:v>Универсальные</x:v>
      </x:c>
      <x:c r="C138" s="28" t="str">
        <x:v>грейпфрут</x:v>
      </x:c>
      <x:c r="D138" s="28" t="str">
        <x:v>Грейпфрут</x:v>
      </x:c>
      <x:c r="E138" s="28" t="str">
        <x:v>Цитрусовые</x:v>
      </x:c>
      <x:c r="F138" s="28" t="str">
        <x:v>гранат</x:v>
      </x:c>
      <x:c r="G138" s="28" t="str">
        <x:v>гранат</x:v>
      </x:c>
      <x:c r="H138" s="28" t="str">
        <x:v>Прочее</x:v>
      </x:c>
      <x:c r="I138" s="28" t="str">
        <x:v>цитрусовый, горький, свежий, сернистый</x:v>
      </x:c>
      <x:c r="J138" s="28" t="str">
        <x:v>нейтральный/специфический</x:v>
      </x:c>
      <x:c r="K138" s="28" t="str">
        <x:v>лимонен, нооткатон, грейпфрутовые тиолы, нарингин</x:v>
      </x:c>
      <x:c r="L138" s="28" t="str">
        <x:v>нужен профиль конкретного продукта</x:v>
      </x:c>
      <x:c r="M138" s="28" t="str">
        <x:v>прямое семейное перекрытие не является главным механизмом</x:v>
      </x:c>
      <x:c r="N138" s="28" t="str">
        <x:v>надёжный общий маркер не заявлен; сочетание объясняется семействами и сенсорным балансом</x:v>
      </x:c>
      <x:c r="O138" s="28" t="str">
        <x:v>вкусовой баланс, тройничное восприятие</x:v>
      </x:c>
      <x:c r="P138" s="28" t="str">
        <x:v>Основной эффект определяется ароматическим контрастом и добавлением кислотной свежести; точный баланс зависит от дозировки и матрицы.</x:v>
      </x:c>
      <x:c r="Q138" s="28" t="str">
        <x:v>нет выраженного; кислота усиливает слюноотделение; нет данных</x:v>
      </x:c>
      <x:c r="R138" s="28" t="str">
        <x:v>водная фаза сока + гидрофобные масла кожуры; зависит от формы продукта</x:v>
      </x:c>
      <x:c r="S13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38" s="28" t="str">
        <x:v>Грейпфрут формирует профиль «цитрусовый, горький, свежий, сернистый»; характерные маркеры: лимонен, нооткатон, грейпфрутовые тиолы, нарингин. Гранат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38"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38" s="28" t="str">
        <x:v>мёд или нейтральная жировая основа</x:v>
      </x:c>
      <x:c r="W138" s="28" t="str">
        <x:v>соус, напиток или десерт после пробной дегустации</x:v>
      </x:c>
      <x:c r="X138" s="28" t="str">
        <x:v>универсальное</x:v>
      </x:c>
      <x:c r="Y138" s="28" t="str">
        <x:v>Гипотеза / практическая</x:v>
      </x:c>
      <x:c r="Z138" s="28" t="str">
        <x:v>Таблица сочетания(1).pdf</x:v>
      </x:c>
      <x:c r="AA138" s="28" t="str">
        <x:v>Таблица сочетания(1).pdf: 9</x:v>
      </x:c>
      <x:c r="AB138" s="28" t="str">
        <x:v>Пара указана в таблице: «Грейпфрут» → колонка «Фрукты».</x:v>
      </x:c>
      <x:c r="AC138" s="28" t="n">
        <x:v>1</x:v>
      </x:c>
      <x:c r="AD138" s="28" t="n">
        <x:v>1</x:v>
      </x:c>
    </x:row>
    <x:row r="139" ht="58" customHeight="1">
      <x:c r="A139" s="28" t="str">
        <x:v>CIT-0138</x:v>
      </x:c>
      <x:c r="B139" s="28" t="str">
        <x:v>Десерты и выпечка</x:v>
      </x:c>
      <x:c r="C139" s="28" t="str">
        <x:v>грейпфрут</x:v>
      </x:c>
      <x:c r="D139" s="28" t="str">
        <x:v>Грейпфрут</x:v>
      </x:c>
      <x:c r="E139" s="28" t="str">
        <x:v>Цитрусовые</x:v>
      </x:c>
      <x:c r="F139" s="28" t="str">
        <x:v>дыня</x:v>
      </x:c>
      <x:c r="G139" s="28" t="str">
        <x:v>дыня</x:v>
      </x:c>
      <x:c r="H139" s="28" t="str">
        <x:v>Бахчевые</x:v>
      </x:c>
      <x:c r="I139" s="28" t="str">
        <x:v>цитрусовый, горький, свежий, сернистый</x:v>
      </x:c>
      <x:c r="J139" s="28" t="str">
        <x:v>свежий, зелёный, водянистый, фруктовый</x:v>
      </x:c>
      <x:c r="K139" s="28" t="str">
        <x:v>лимонен, нооткатон, грейпфрутовые тиолы, нарингин</x:v>
      </x:c>
      <x:c r="L139" s="28" t="str">
        <x:v>C6/C9-альдегиды, эфиры, нонадиеналь</x:v>
      </x:c>
      <x:c r="M139" s="28" t="str">
        <x:v>свежий</x:v>
      </x:c>
      <x:c r="N139" s="28" t="str">
        <x:v>надёжный общий маркер не заявлен; сочетание объясняется семействами и сенсорным балансом</x:v>
      </x:c>
      <x:c r="O139" s="28" t="str">
        <x:v>перекрытие ароматических семейств, вкусовой баланс</x:v>
      </x:c>
      <x:c r="P139" s="28" t="str">
        <x:v>Общая фруктовая сладость и летучие эфиры создают непрерывный ароматический профиль, а цитрусовая кислота повышает контраст и свежесть.</x:v>
      </x:c>
      <x:c r="Q139" s="28" t="str">
        <x:v>нет выраженного; кислота усиливает слюноотделение; нет выраженного</x:v>
      </x:c>
      <x:c r="R139" s="28" t="str">
        <x:v>водная фаза сока + гидрофобные масла кожуры; очень водная матрица с деликатным ароматом</x:v>
      </x:c>
      <x:c r="S13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39" s="28" t="str">
        <x:v>Грейпфрут формирует профиль «цитрусовый, горький, свежий, сернистый»; характерные маркеры: лимонен, нооткатон, грейпфрутовые тиолы, нарингин. Дыня относится к группе «бахчевые» и даёт ноты «свежий, зелёный, водянистый, фруктовый».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придаёт структуру, но легко подавляет тонкий аромат дыни.</x:v>
      </x:c>
      <x:c r="U139"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V139" s="28" t="str">
        <x:v>мята или огурец</x:v>
      </x:c>
      <x:c r="W139" s="28" t="str">
        <x:v>холодный напиток, гранита, салат или сорбет</x:v>
      </x:c>
      <x:c r="X139" s="28" t="str">
        <x:v>десерты</x:v>
      </x:c>
      <x:c r="Y139" s="28" t="str">
        <x:v>Гипотеза / практическая</x:v>
      </x:c>
      <x:c r="Z139" s="28" t="str">
        <x:v>Таблица сочетания(1).pdf</x:v>
      </x:c>
      <x:c r="AA139" s="28" t="str">
        <x:v>Таблица сочетания(1).pdf: 9</x:v>
      </x:c>
      <x:c r="AB139" s="28" t="str">
        <x:v>Пара указана в таблице: «Грейпфрут» → колонка «Фрукты».</x:v>
      </x:c>
      <x:c r="AC139" s="28" t="n">
        <x:v>1</x:v>
      </x:c>
      <x:c r="AD139" s="28" t="n">
        <x:v>1</x:v>
      </x:c>
    </x:row>
    <x:row r="140" ht="58" customHeight="1">
      <x:c r="A140" s="28" t="str">
        <x:v>CIT-0139</x:v>
      </x:c>
      <x:c r="B140" s="28" t="str">
        <x:v>Универсальные</x:v>
      </x:c>
      <x:c r="C140" s="28" t="str">
        <x:v>грейпфрут</x:v>
      </x:c>
      <x:c r="D140" s="28" t="str">
        <x:v>Грейпфрут | грейпфрут</x:v>
      </x:c>
      <x:c r="E140" s="28" t="str">
        <x:v>Цитрусовые</x:v>
      </x:c>
      <x:c r="F140" s="28" t="str">
        <x:v>имбирь</x:v>
      </x:c>
      <x:c r="G140" s="28" t="str">
        <x:v>Имбирь | имбирь</x:v>
      </x:c>
      <x:c r="H140" s="28" t="str">
        <x:v>Пряности</x:v>
      </x:c>
      <x:c r="I140" s="28" t="str">
        <x:v>цитрусовый, горький, свежий, сернистый</x:v>
      </x:c>
      <x:c r="J140" s="28" t="str">
        <x:v>цитрусовый, пряный, древесный, тёплый</x:v>
      </x:c>
      <x:c r="K140" s="28" t="str">
        <x:v>лимонен, нооткатон, грейпфрутовые тиолы, нарингин</x:v>
      </x:c>
      <x:c r="L140" s="28" t="str">
        <x:v>зингиберен, цитраль, гераниол, гингеролы/шогаолы</x:v>
      </x:c>
      <x:c r="M140" s="28" t="str">
        <x:v>цитрусовый</x:v>
      </x:c>
      <x:c r="N140" s="28" t="str">
        <x:v>надёжный общий маркер не заявлен; сочетание объясняется семействами и сенсорным балансом</x:v>
      </x:c>
      <x:c r="O140" s="28" t="str">
        <x:v>перекрытие ароматических семейств, вкусовой баланс, тройничное восприятие</x:v>
      </x:c>
      <x:c r="P140" s="28" t="str">
        <x:v>Кислота усиливает слюноотделение и делает пряный аромат ярче; терпены цитруса образуют мост с эфирными маслами травы или специи.</x:v>
      </x:c>
      <x:c r="Q140" s="28" t="str">
        <x:v>нет выраженного; кислота усиливает слюноотделение; гингеролы и шогаолы активируют TRPV1 и дают тепло</x:v>
      </x:c>
      <x:c r="R140" s="28" t="str">
        <x:v>водная фаза сока + гидрофобные масла кожуры; ароматические терпены лучше извлекаются этанолом и жиром</x:v>
      </x:c>
      <x:c r="S14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40" s="28" t="str">
        <x:v>Грейпфрут формирует профиль «цитрусовый, горький, свежий, сернистый»; характерные маркеры: лимонен, нооткатон, грейпфрутовые тиолы, нарингин.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Свежий имбирь более цитрусовый, нагретый и сушёный — более тёплый и жгучий.</x:v>
      </x:c>
      <x:c r="U140"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40" s="28" t="str">
        <x:v>мёд или ваниль</x:v>
      </x:c>
      <x:c r="W140" s="28" t="str">
        <x:v>сироп, кордиал, чатни, маринад или пряный десерт</x:v>
      </x:c>
      <x:c r="X140" s="28" t="str">
        <x:v>напитки, еда, соусы/маринады</x:v>
      </x:c>
      <x:c r="Y140" s="28" t="str">
        <x:v>Гипотеза / практическая</x:v>
      </x:c>
      <x:c r="Z140" s="28" t="str">
        <x:v>Таблица сочетания(1).pdf</x:v>
      </x:c>
      <x:c r="AA140" s="28" t="str">
        <x:v>Таблица сочетания(1).pdf: 8, 9</x:v>
      </x:c>
      <x:c r="AB140" s="28" t="str">
        <x:v>Пара указана в таблице: «Грейпфрут» → колонка «Травы и специи».</x:v>
      </x:c>
      <x:c r="AC140" s="28" t="n">
        <x:v>1</x:v>
      </x:c>
      <x:c r="AD140" s="28" t="n">
        <x:v>2</x:v>
      </x:c>
    </x:row>
    <x:row r="141" ht="58" customHeight="1">
      <x:c r="A141" s="28" t="str">
        <x:v>CIT-0140</x:v>
      </x:c>
      <x:c r="B141" s="28" t="str">
        <x:v>Универсальные</x:v>
      </x:c>
      <x:c r="C141" s="28" t="str">
        <x:v>грейпфрут</x:v>
      </x:c>
      <x:c r="D141" s="28" t="str">
        <x:v>Грейпфрут | грейпфрут</x:v>
      </x:c>
      <x:c r="E141" s="28" t="str">
        <x:v>Цитрусовые</x:v>
      </x:c>
      <x:c r="F141" s="28" t="str">
        <x:v>кардамон</x:v>
      </x:c>
      <x:c r="G141" s="28" t="str">
        <x:v>Кардамон | кардамон</x:v>
      </x:c>
      <x:c r="H141" s="28" t="str">
        <x:v>Пряности</x:v>
      </x:c>
      <x:c r="I141" s="28" t="str">
        <x:v>цитрусовый, горький, свежий, сернистый</x:v>
      </x:c>
      <x:c r="J141" s="28" t="str">
        <x:v>цитрусовый, камфорный, цветочный, эвкалиптовый</x:v>
      </x:c>
      <x:c r="K141" s="28" t="str">
        <x:v>лимонен, нооткатон, грейпфрутовые тиолы, нарингин</x:v>
      </x:c>
      <x:c r="L141" s="28" t="str">
        <x:v>1,8-цинеол, альфа-терпинилацетат, линалол, лимонен</x:v>
      </x:c>
      <x:c r="M141" s="28" t="str">
        <x:v>цитрусовый</x:v>
      </x:c>
      <x:c r="N141" s="28" t="str">
        <x:v>лимонен</x:v>
      </x:c>
      <x:c r="O141" s="28" t="str">
        <x:v>общие ароматические молекулы, перекрытие ароматических семейств, вкусовой баланс, тройничное восприятие</x:v>
      </x:c>
      <x:c r="P141" s="28" t="str">
        <x:v>Кислота усиливает слюноотделение и делает пряный аромат ярче; терпены цитруса образуют мост с эфирными маслами травы или специи.</x:v>
      </x:c>
      <x:c r="Q141" s="28" t="str">
        <x:v>нет выраженного; кислота усиливает слюноотделение; 1,8-цинеол создаёт прохладно-камфорное ощущение</x:v>
      </x:c>
      <x:c r="R141" s="28" t="str">
        <x:v>водная фаза сока + гидрофобные масла кожуры; эфирные масла гидрофобны, хорошо переходят в жир и спирт</x:v>
      </x:c>
      <x:c r="S14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41" s="28" t="str">
        <x:v>Грейпфрут формирует профиль «цитрусовый, горький, свежий, сернистый»; характерные маркеры: лимонен, нооткатон, грейпфрутовые тиолы, нарингин. Кардамон относится к группе «пряности» и даёт ноты «цитрусовый, камфорный, цветочный, эвкалиптовый».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Кардамон часто служит мостом между цитрусом, цветами и древесными нотами.</x:v>
      </x:c>
      <x:c r="U141"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41" s="28" t="str">
        <x:v>мёд или ваниль</x:v>
      </x:c>
      <x:c r="W141" s="28" t="str">
        <x:v>сироп, кордиал, чатни, маринад или пряный десерт</x:v>
      </x:c>
      <x:c r="X141" s="28" t="str">
        <x:v>напитки, еда, соусы/маринады</x:v>
      </x:c>
      <x:c r="Y141" s="28" t="str">
        <x:v>Средняя</x:v>
      </x:c>
      <x:c r="Z141" s="28" t="str">
        <x:v>Таблица сочетания(1).pdf</x:v>
      </x:c>
      <x:c r="AA141" s="28" t="str">
        <x:v>Таблица сочетания(1).pdf: 4, 9</x:v>
      </x:c>
      <x:c r="AB141" s="28" t="str">
        <x:v>Пара указана в таблице: «Грейпфрут» → колонка «Травы и специи».</x:v>
      </x:c>
      <x:c r="AC141" s="28" t="n">
        <x:v>1</x:v>
      </x:c>
      <x:c r="AD141" s="28" t="n">
        <x:v>2</x:v>
      </x:c>
    </x:row>
    <x:row r="142" ht="58" customHeight="1">
      <x:c r="A142" s="28" t="str">
        <x:v>CIT-0141</x:v>
      </x:c>
      <x:c r="B142" s="28" t="str">
        <x:v>Десерты и выпечка</x:v>
      </x:c>
      <x:c r="C142" s="28" t="str">
        <x:v>грейпфрут</x:v>
      </x:c>
      <x:c r="D142" s="28" t="str">
        <x:v>грейпфрут</x:v>
      </x:c>
      <x:c r="E142" s="28" t="str">
        <x:v>Цитрусовые</x:v>
      </x:c>
      <x:c r="F142" s="28" t="str">
        <x:v>клубника</x:v>
      </x:c>
      <x:c r="G142" s="28" t="str">
        <x:v>Клубника</x:v>
      </x:c>
      <x:c r="H142" s="28" t="str">
        <x:v>Ягоды</x:v>
      </x:c>
      <x:c r="I142" s="28" t="str">
        <x:v>цитрусовый, горький, свежий, сернистый</x:v>
      </x:c>
      <x:c r="J142" s="28" t="str">
        <x:v>фруктовый, цветочный, карамельный</x:v>
      </x:c>
      <x:c r="K142" s="28" t="str">
        <x:v>лимонен, нооткатон, грейпфрутовые тиолы, нарингин</x:v>
      </x:c>
      <x:c r="L142" s="28" t="str">
        <x:v>фуранеол, этилбутират, метилбутират, линалоол</x:v>
      </x:c>
      <x:c r="M142" s="28" t="str">
        <x:v>прямое семейное перекрытие не является главным механизмом</x:v>
      </x:c>
      <x:c r="N142" s="28" t="str">
        <x:v>надёжный общий маркер не заявлен; сочетание объясняется семействами и сенсорным балансом</x:v>
      </x:c>
      <x:c r="O142" s="28" t="str">
        <x:v>вкусовой баланс</x:v>
      </x:c>
      <x:c r="P142" s="28" t="str">
        <x:v>Общая фруктовая сладость и летучие эфиры создают непрерывный ароматический профиль, а цитрусовая кислота повышает контраст и свежесть.</x:v>
      </x:c>
      <x:c r="Q142" s="28" t="str">
        <x:v>нет выраженного; кислота усиливает слюноотделение; нет выраженного</x:v>
      </x:c>
      <x:c r="R142" s="28" t="str">
        <x:v>водная фаза сока + гидрофобные масла кожуры; сочная матрица; аромат быстро теряется при нагреве</x:v>
      </x:c>
      <x:c r="S14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42" s="28" t="str">
        <x:v>Грейпфрут формирует профиль «цитрусовый, горький, свежий, сернистый»; характерные маркеры: лимонен, нооткатон, грейпфрутовые тиолы, нарингин. Клубника относится к группе «ягоды» и даёт ноты «фруктовый,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Фуранеол даёт карамельно-ананасовый оттенок, цитрус подчёркивает свежие эфиры.</x:v>
      </x:c>
      <x:c r="U142"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42" s="28" t="str">
        <x:v>мята или ваниль</x:v>
      </x:c>
      <x:c r="W142" s="28" t="str">
        <x:v>морс, кордиал, джем, сорбет или коктейль</x:v>
      </x:c>
      <x:c r="X142" s="28" t="str">
        <x:v>напитки, десерты</x:v>
      </x:c>
      <x:c r="Y142" s="28" t="str">
        <x:v>Гипотеза / практическая</x:v>
      </x:c>
      <x:c r="Z142" s="28" t="str">
        <x:v>Таблица сочетания(1).pdf</x:v>
      </x:c>
      <x:c r="AA142" s="28" t="str">
        <x:v>Таблица сочетания(1).pdf: 20</x:v>
      </x:c>
      <x:c r="AB142" s="28" t="str">
        <x:v>Пара указана в таблице: «Клубника» → колонка «Фрукты».</x:v>
      </x:c>
      <x:c r="AC142" s="28" t="n">
        <x:v>1</x:v>
      </x:c>
      <x:c r="AD142" s="28" t="n">
        <x:v>1</x:v>
      </x:c>
    </x:row>
    <x:row r="143" ht="58" customHeight="1">
      <x:c r="A143" s="28" t="str">
        <x:v>CIT-0142</x:v>
      </x:c>
      <x:c r="B143" s="28" t="str">
        <x:v>Универсальные</x:v>
      </x:c>
      <x:c r="C143" s="28" t="str">
        <x:v>грейпфрут</x:v>
      </x:c>
      <x:c r="D143" s="28" t="str">
        <x:v>Грейпфрут | грейпфрут</x:v>
      </x:c>
      <x:c r="E143" s="28" t="str">
        <x:v>Цитрусовые</x:v>
      </x:c>
      <x:c r="F143" s="28" t="str">
        <x:v>корица</x:v>
      </x:c>
      <x:c r="G143" s="28" t="str">
        <x:v>Корица | корица</x:v>
      </x:c>
      <x:c r="H143" s="28" t="str">
        <x:v>Пряности</x:v>
      </x:c>
      <x:c r="I143" s="28" t="str">
        <x:v>цитрусовый, горький, свежий, сернистый</x:v>
      </x:c>
      <x:c r="J143" s="28" t="str">
        <x:v>сладко-пряный, древесный, тёплый</x:v>
      </x:c>
      <x:c r="K143" s="28" t="str">
        <x:v>лимонен, нооткатон, грейпфрутовые тиолы, нарингин</x:v>
      </x:c>
      <x:c r="L143" s="28" t="str">
        <x:v>коричный альдегид, эвгенол, кумарин</x:v>
      </x:c>
      <x:c r="M143" s="28" t="str">
        <x:v>прямое семейное перекрытие не является главным механизмом</x:v>
      </x:c>
      <x:c r="N143" s="28" t="str">
        <x:v>надёжный общий маркер не заявлен; сочетание объясняется семействами и сенсорным балансом</x:v>
      </x:c>
      <x:c r="O143" s="28" t="str">
        <x:v>вкусовой баланс, тройничное восприятие</x:v>
      </x:c>
      <x:c r="P143" s="28" t="str">
        <x:v>Кислота усиливает слюноотделение и делает пряный аромат ярче; терпены цитруса образуют мост с эфирными маслами травы или специи.</x:v>
      </x:c>
      <x:c r="Q143" s="28" t="str">
        <x:v>нет выраженного; кислота усиливает слюноотделение; коричный альдегид активирует TRPA1 и создаёт тепло</x:v>
      </x:c>
      <x:c r="R143" s="28" t="str">
        <x:v>водная фаза сока + гидрофобные масла кожуры; лучше раскрывается в жире, сахаре и спирте</x:v>
      </x:c>
      <x:c r="S14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43" s="28" t="str">
        <x:v>Грейпфрут формирует профиль «цитрусовый, горький, свежий, сернистый»; характерные маркеры: лимонен, нооткатон, грейпфрутовые тиолы, нарингин.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Корица добавляет тёплый низкий регистр и усиливает впечатление сладости.</x:v>
      </x:c>
      <x:c r="U143"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43" s="28" t="str">
        <x:v>мёд или ваниль</x:v>
      </x:c>
      <x:c r="W143" s="28" t="str">
        <x:v>сироп, кордиал, чатни, маринад или пряный десерт</x:v>
      </x:c>
      <x:c r="X143" s="28" t="str">
        <x:v>напитки, еда, соусы/маринады</x:v>
      </x:c>
      <x:c r="Y143" s="28" t="str">
        <x:v>Высокая</x:v>
      </x:c>
      <x:c r="Z143" s="28" t="str">
        <x:v>Таблица сочетания(1).pdf | Тезариус вкусов (Ники Сегнит)(1).pdf</x:v>
      </x:c>
      <x:c r="AA143" s="28" t="str">
        <x:v>Таблица сочетания(1).pdf: 5 | Тезариус вкусов (Ники Сегнит)(1).pdf: 576, 787</x:v>
      </x:c>
      <x:c r="AB143" s="28" t="str">
        <x:v>Пример прекрасного сочета- ния – половина грейпфрута, посыпанного корицей. А что вы скажете о грейпфрутовом чизкейке с бисквитной основой, обогащенном корицей и медом? Растопите 75 г сливочного масла, размешайте в нем 10 кусочков несладкого бисквитного печенья, 2 ч. л. молотой корицы и 2 ст. л. меда. Застелите получившимся коржом форму диаметром 20 см со съемным дном. Перемешайте 3 ст. л. сахарной пудры и 500 г сыра маскарпоне (Mascarpone), затем осторожно влейте сок и положите натертую цедру от</x:v>
      </x:c>
      <x:c r="AC143" s="28" t="n">
        <x:v>2</x:v>
      </x:c>
      <x:c r="AD143" s="28" t="n">
        <x:v>3</x:v>
      </x:c>
    </x:row>
    <x:row r="144" ht="58" customHeight="1">
      <x:c r="A144" s="28" t="str">
        <x:v>CIT-0143</x:v>
      </x:c>
      <x:c r="B144" s="28" t="str">
        <x:v>Универсальные</x:v>
      </x:c>
      <x:c r="C144" s="28" t="str">
        <x:v>грейпфрут</x:v>
      </x:c>
      <x:c r="D144" s="28" t="str">
        <x:v>grapefruit</x:v>
      </x:c>
      <x:c r="E144" s="28" t="str">
        <x:v>Цитрусовые</x:v>
      </x:c>
      <x:c r="F144" s="28" t="str">
        <x:v>кумкват</x:v>
      </x:c>
      <x:c r="G144" s="28" t="str">
        <x:v>kumquat</x:v>
      </x:c>
      <x:c r="H144" s="28" t="str">
        <x:v>Цитрусовые</x:v>
      </x:c>
      <x:c r="I144" s="28" t="str">
        <x:v>цитрусовый, горький, свежий, сернистый</x:v>
      </x:c>
      <x:c r="J144" s="28" t="str">
        <x:v>цитрусовый, фруктовый, цветочный, пряный</x:v>
      </x:c>
      <x:c r="K144" s="28" t="str">
        <x:v>лимонен, нооткатон, грейпфрутовые тиолы, нарингин</x:v>
      </x:c>
      <x:c r="L144" s="28" t="str">
        <x:v>лимонен, гамма-терпинен, метил-N-метилантранилат, линалол</x:v>
      </x:c>
      <x:c r="M144" s="28" t="str">
        <x:v>цитрусовый</x:v>
      </x:c>
      <x:c r="N144" s="28" t="str">
        <x:v>лимонен</x:v>
      </x:c>
      <x:c r="O144" s="28" t="str">
        <x:v>общие ароматические молекулы, перекрытие ароматических семейств, вкусовой баланс</x:v>
      </x:c>
      <x:c r="P144" s="28" t="str">
        <x:v>Сочетание строится на близком терпеновом профиле; различия в кислотности, горечи и цветочно-зелёных оттенках создают объём.</x:v>
      </x:c>
      <x:c r="Q144" s="28" t="str">
        <x:v>нет выраженного; кислота усиливает слюноотделение; нет выраженного</x:v>
      </x:c>
      <x:c r="R144" s="28" t="str">
        <x:v>водная фаза сока + гидрофобные масла кожуры; сок водный; кожура богата эфирным маслом</x:v>
      </x:c>
      <x:c r="S14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44" s="28" t="str">
        <x:v>Грейпфрут формирует профиль «цитрусовый, горький, свежий, сернистый»; характерные маркеры: лимонен, нооткатон, грейпфрутовые тиолы, нарингин. Кумкват относится к группе «цитрусовые» и даёт ноты «цитрусовый, фруктовый, цветочный, пряный».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Мандариновая группа мягче по кислотности и выраженнее по сладко-цветочным нотам.</x:v>
      </x:c>
      <x:c r="U14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44" s="28" t="str">
        <x:v>мёд или цветочная вода</x:v>
      </x:c>
      <x:c r="W144" s="28" t="str">
        <x:v>цитрусовый кордиал, мармелад, сорбет, салат или купаж соков</x:v>
      </x:c>
      <x:c r="X144" s="28" t="str">
        <x:v>напитки, десерты</x:v>
      </x:c>
      <x:c r="Y144" s="28" t="str">
        <x:v>Средняя</x:v>
      </x:c>
      <x:c r="Z144" s="28" t="str">
        <x:v>The Art &amp; Science of Foodpairing.pdf</x:v>
      </x:c>
      <x:c r="AA144" s="28" t="str">
        <x:v>The Art &amp; Science of Foodpairing.pdf: 215</x:v>
      </x:c>
      <x:c r="AB144" s="28" t="str">
        <x:v>Пара представлена в ароматической диаграмме Foodpairing на странице 215.</x:v>
      </x:c>
      <x:c r="AC144" s="28" t="n">
        <x:v>1</x:v>
      </x:c>
      <x:c r="AD144" s="28" t="n">
        <x:v>1</x:v>
      </x:c>
    </x:row>
    <x:row r="145" ht="58" customHeight="1">
      <x:c r="A145" s="28" t="str">
        <x:v>CIT-0144</x:v>
      </x:c>
      <x:c r="B145" s="28" t="str">
        <x:v>Универсальные</x:v>
      </x:c>
      <x:c r="C145" s="28" t="str">
        <x:v>грейпфрут</x:v>
      </x:c>
      <x:c r="D145" s="28" t="str">
        <x:v>grapefruit</x:v>
      </x:c>
      <x:c r="E145" s="28" t="str">
        <x:v>Цитрусовые</x:v>
      </x:c>
      <x:c r="F145" s="28" t="str">
        <x:v>куркума</x:v>
      </x:c>
      <x:c r="G145" s="28" t="str">
        <x:v>turmeric</x:v>
      </x:c>
      <x:c r="H145" s="28" t="str">
        <x:v>Прочее</x:v>
      </x:c>
      <x:c r="I145" s="28" t="str">
        <x:v>цитрусовый, горький, свежий, сернистый</x:v>
      </x:c>
      <x:c r="J145" s="28" t="str">
        <x:v>нейтральный/специфический</x:v>
      </x:c>
      <x:c r="K145" s="28" t="str">
        <x:v>лимонен, нооткатон, грейпфрутовые тиолы, нарингин</x:v>
      </x:c>
      <x:c r="L145" s="28" t="str">
        <x:v>нужен профиль конкретного продукта</x:v>
      </x:c>
      <x:c r="M145" s="28" t="str">
        <x:v>прямое семейное перекрытие не является главным механизмом</x:v>
      </x:c>
      <x:c r="N145" s="28" t="str">
        <x:v>надёжный общий маркер не заявлен; сочетание объясняется семействами и сенсорным балансом</x:v>
      </x:c>
      <x:c r="O145" s="28" t="str">
        <x:v>вкусовой баланс, тройничное восприятие</x:v>
      </x:c>
      <x:c r="P145" s="28" t="str">
        <x:v>Основной эффект определяется ароматическим контрастом и добавлением кислотной свежести; точный баланс зависит от дозировки и матрицы.</x:v>
      </x:c>
      <x:c r="Q145" s="28" t="str">
        <x:v>нет выраженного; кислота усиливает слюноотделение; нет данных</x:v>
      </x:c>
      <x:c r="R145" s="28" t="str">
        <x:v>водная фаза сока + гидрофобные масла кожуры; зависит от формы продукта</x:v>
      </x:c>
      <x:c r="S14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45" s="28" t="str">
        <x:v>Грейпфрут формирует профиль «цитрусовый, горький, свежий, сернистый»; характерные маркеры: лимонен, нооткатон, грейпфрутовые тиолы, нарингин. Куркума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45"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45" s="28" t="str">
        <x:v>мёд или нейтральная жировая основа</x:v>
      </x:c>
      <x:c r="W145" s="28" t="str">
        <x:v>соус, напиток или десерт после пробной дегустации</x:v>
      </x:c>
      <x:c r="X145" s="28" t="str">
        <x:v>универсальное</x:v>
      </x:c>
      <x:c r="Y145" s="28" t="str">
        <x:v>Средняя</x:v>
      </x:c>
      <x:c r="Z145" s="28" t="str">
        <x:v>The Art &amp; Science of Foodpairing.pdf</x:v>
      </x:c>
      <x:c r="AA145" s="28" t="str">
        <x:v>The Art &amp; Science of Foodpairing.pdf: 358</x:v>
      </x:c>
      <x:c r="AB145" s="28" t="str">
        <x:v>Пара представлена в ароматической диаграмме Foodpairing на странице 358.</x:v>
      </x:c>
      <x:c r="AC145" s="28" t="n">
        <x:v>1</x:v>
      </x:c>
      <x:c r="AD145" s="28" t="n">
        <x:v>1</x:v>
      </x:c>
    </x:row>
    <x:row r="146" ht="58" customHeight="1">
      <x:c r="A146" s="28" t="str">
        <x:v>CIT-0145</x:v>
      </x:c>
      <x:c r="B146" s="28" t="str">
        <x:v>Универсальные</x:v>
      </x:c>
      <x:c r="C146" s="28" t="str">
        <x:v>грейпфрут</x:v>
      </x:c>
      <x:c r="D146" s="28" t="str">
        <x:v>Грейпфрут | грейпфрут</x:v>
      </x:c>
      <x:c r="E146" s="28" t="str">
        <x:v>Цитрусовые</x:v>
      </x:c>
      <x:c r="F146" s="28" t="str">
        <x:v>лайм</x:v>
      </x:c>
      <x:c r="G146" s="28" t="str">
        <x:v>Лайм | лайм</x:v>
      </x:c>
      <x:c r="H146" s="28" t="str">
        <x:v>Цитрусовые</x:v>
      </x:c>
      <x:c r="I146" s="28" t="str">
        <x:v>цитрусовый, горький, свежий, сернистый</x:v>
      </x:c>
      <x:c r="J146" s="28" t="str">
        <x:v>цитрусовый, зелёный, травяной, камфорный</x:v>
      </x:c>
      <x:c r="K146" s="28" t="str">
        <x:v>лимонен, нооткатон, грейпфрутовые тиолы, нарингин</x:v>
      </x:c>
      <x:c r="L146" s="28" t="str">
        <x:v>лимонен, гамма-терпинен, цитраль, бета-пинен, линалол</x:v>
      </x:c>
      <x:c r="M146" s="28" t="str">
        <x:v>цитрусовый</x:v>
      </x:c>
      <x:c r="N146" s="28" t="str">
        <x:v>лимонен</x:v>
      </x:c>
      <x:c r="O146" s="28" t="str">
        <x:v>общие ароматические молекулы, перекрытие ароматических семейств, вкусовой баланс, тройничное восприятие</x:v>
      </x:c>
      <x:c r="P146" s="28" t="str">
        <x:v>Сочетание строится на близком терпеновом профиле; различия в кислотности, горечи и цветочно-зелёных оттенках создают объём.</x:v>
      </x:c>
      <x:c r="Q146" s="28" t="str">
        <x:v>нет выраженного; кислота усиливает слюноотделение; кислота усиливает слюноотделение; зелёные терпены создают ощущение прохлады</x:v>
      </x:c>
      <x:c r="R146" s="28" t="str">
        <x:v>водная фаза сока + гидрофобные масла кожуры; сок — водная кислая фаза; цедра — масляная терпеновая</x:v>
      </x:c>
      <x:c r="S14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46" s="28" t="str">
        <x:v>Грейпфрут формирует профиль «цитрусовый, горький, свежий, сернистый»; характерные маркеры: лимонен, нооткатон, грейпфрутовые тиолы, нарингин. Лайм относится к группе «цитрусовые» и даёт ноты «цитрусовый, зелёный, травяной, камфорный».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Лаймовые цитрусы дают более зелёный и камфорный профиль, чем сладкий апельсин.</x:v>
      </x:c>
      <x:c r="U146"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46" s="28" t="str">
        <x:v>мёд или цветочная вода</x:v>
      </x:c>
      <x:c r="W146" s="28" t="str">
        <x:v>цитрусовый кордиал, мармелад, сорбет, салат или купаж соков</x:v>
      </x:c>
      <x:c r="X146" s="28" t="str">
        <x:v>напитки, десерты</x:v>
      </x:c>
      <x:c r="Y146" s="28" t="str">
        <x:v>Средняя</x:v>
      </x:c>
      <x:c r="Z146" s="28" t="str">
        <x:v>Таблица сочетания(1).pdf</x:v>
      </x:c>
      <x:c r="AA146" s="28" t="str">
        <x:v>Таблица сочетания(1).pdf: 9, 12</x:v>
      </x:c>
      <x:c r="AB146" s="28" t="str">
        <x:v>Пара указана в таблице: «Грейпфрут» → колонка «Фрукты».</x:v>
      </x:c>
      <x:c r="AC146" s="28" t="n">
        <x:v>1</x:v>
      </x:c>
      <x:c r="AD146" s="28" t="n">
        <x:v>2</x:v>
      </x:c>
    </x:row>
    <x:row r="147" ht="58" customHeight="1">
      <x:c r="A147" s="28" t="str">
        <x:v>CIT-0146</x:v>
      </x:c>
      <x:c r="B147" s="28" t="str">
        <x:v>Универсальные</x:v>
      </x:c>
      <x:c r="C147" s="28" t="str">
        <x:v>грейпфрут</x:v>
      </x:c>
      <x:c r="D147" s="28" t="str">
        <x:v>Грейпфрут | грейпфрут</x:v>
      </x:c>
      <x:c r="E147" s="28" t="str">
        <x:v>Цитрусовые</x:v>
      </x:c>
      <x:c r="F147" s="28" t="str">
        <x:v>лимон</x:v>
      </x:c>
      <x:c r="G147" s="28" t="str">
        <x:v>Лимон | лимон</x:v>
      </x:c>
      <x:c r="H147" s="28" t="str">
        <x:v>Цитрусовые</x:v>
      </x:c>
      <x:c r="I147" s="28" t="str">
        <x:v>цитрусовый, горький, свежий, сернистый</x:v>
      </x:c>
      <x:c r="J147" s="28" t="str">
        <x:v>цитрусовый, свежий, цветочный, древесный</x:v>
      </x:c>
      <x:c r="K147" s="28" t="str">
        <x:v>лимонен, нооткатон, грейпфрутовые тиолы, нарингин</x:v>
      </x:c>
      <x:c r="L147" s="28" t="str">
        <x:v>цитраль (гераниаль + нераль), лимонен, гамма-терпинен, бета-пинен</x:v>
      </x:c>
      <x:c r="M147" s="28" t="str">
        <x:v>свежий, цитрусовый</x:v>
      </x:c>
      <x:c r="N147" s="28" t="str">
        <x:v>лимонен</x:v>
      </x:c>
      <x:c r="O147" s="28" t="str">
        <x:v>общие ароматические молекулы, перекрытие ароматических семейств, вкусовой баланс, тройничное восприятие</x:v>
      </x:c>
      <x:c r="P147" s="28" t="str">
        <x:v>Сочетание строится на близком терпеновом профиле; различия в кислотности, горечи и цветочно-зелёных оттенках создают объём.</x:v>
      </x:c>
      <x:c r="Q147" s="28" t="str">
        <x:v>нет выраженного; кислота усиливает слюноотделение; кислота усиливает слюноотделение</x:v>
      </x:c>
      <x:c r="R147" s="28" t="str">
        <x:v>водная фаза сока + гидрофобные масла кожуры; сок — водная кислая фаза; цедра — гидрофобное эфирное масло</x:v>
      </x:c>
      <x:c r="S14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47" s="28" t="str">
        <x:v>Грейпфрут формирует профиль «цитрусовый, горький, свежий, сернистый»; характерные маркеры: лимонен, нооткатон, грейпфрутовые тиолы, нарингин. Лимон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свежий,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Сок определяется цитралем и кислотностью, цедра — лимоненом и терпенами.</x:v>
      </x:c>
      <x:c r="U147"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47" s="28" t="str">
        <x:v>мёд или цветочная вода</x:v>
      </x:c>
      <x:c r="W147" s="28" t="str">
        <x:v>цитрусовый кордиал, мармелад, сорбет, салат или купаж соков</x:v>
      </x:c>
      <x:c r="X147" s="28" t="str">
        <x:v>напитки, десерты</x:v>
      </x:c>
      <x:c r="Y147" s="28" t="str">
        <x:v>Средняя</x:v>
      </x:c>
      <x:c r="Z147" s="28" t="str">
        <x:v>Таблица сочетания(1).pdf</x:v>
      </x:c>
      <x:c r="AA147" s="28" t="str">
        <x:v>Таблица сочетания(1).pdf: 9, 11</x:v>
      </x:c>
      <x:c r="AB147" s="28" t="str">
        <x:v>Пара указана в таблице: «Грейпфрут» → колонка «Фрукты».</x:v>
      </x:c>
      <x:c r="AC147" s="28" t="n">
        <x:v>1</x:v>
      </x:c>
      <x:c r="AD147" s="28" t="n">
        <x:v>2</x:v>
      </x:c>
    </x:row>
    <x:row r="148" ht="58" customHeight="1">
      <x:c r="A148" s="28" t="str">
        <x:v>CIT-0147</x:v>
      </x:c>
      <x:c r="B148" s="28" t="str">
        <x:v>Универсальные</x:v>
      </x:c>
      <x:c r="C148" s="28" t="str">
        <x:v>грейпфрут</x:v>
      </x:c>
      <x:c r="D148" s="28" t="str">
        <x:v>Грейпфрут</x:v>
      </x:c>
      <x:c r="E148" s="28" t="str">
        <x:v>Цитрусовые</x:v>
      </x:c>
      <x:c r="F148" s="28" t="str">
        <x:v>лимонный тимьян</x:v>
      </x:c>
      <x:c r="G148" s="28" t="str">
        <x:v>лимонный тимьян</x:v>
      </x:c>
      <x:c r="H148" s="28" t="str">
        <x:v>Травы</x:v>
      </x:c>
      <x:c r="I148" s="28" t="str">
        <x:v>цитрусовый, горький, свежий, сернистый</x:v>
      </x:c>
      <x:c r="J148" s="28" t="str">
        <x:v>травяной, хвойный, камфорный, древесный</x:v>
      </x:c>
      <x:c r="K148" s="28" t="str">
        <x:v>лимонен, нооткатон, грейпфрутовые тиолы, нарингин</x:v>
      </x:c>
      <x:c r="L148" s="28" t="str">
        <x:v>1,8-цинеол, камфора, тимол/карвакрол, альфа-пинен</x:v>
      </x:c>
      <x:c r="M148" s="28" t="str">
        <x:v>прямое семейное перекрытие не является главным механизмом</x:v>
      </x:c>
      <x:c r="N148" s="28" t="str">
        <x:v>надёжный общий маркер не заявлен; сочетание объясняется семействами и сенсорным балансом</x:v>
      </x:c>
      <x:c r="O148" s="28" t="str">
        <x:v>вкусовой баланс, тройничное восприятие</x:v>
      </x:c>
      <x:c r="P148" s="28" t="str">
        <x:v>Кислота усиливает слюноотделение и делает пряный аромат ярче; терпены цитруса образуют мост с эфирными маслами травы или специи.</x:v>
      </x:c>
      <x:c r="Q148" s="28" t="str">
        <x:v>нет выраженного; кислота усиливает слюноотделение; камфора и цинеол дают прохладно-камфорное ощущение</x:v>
      </x:c>
      <x:c r="R148" s="28" t="str">
        <x:v>водная фаза сока + гидрофобные масла кожуры; эфирные масла лучше раскрываются в жире и спирте</x:v>
      </x:c>
      <x:c r="S14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48" s="28" t="str">
        <x:v>Грейпфрут формирует профиль «цитрусовый, горький, свежий, сернистый»; характерные маркеры: лимонен, нооткатон, грейпфрутовые тиолы, нарингин.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U148"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V148" s="28" t="str">
        <x:v>оливковое масло или огурец</x:v>
      </x:c>
      <x:c r="W148" s="28" t="str">
        <x:v>лимонад, кордиал, салатная заправка или зелёный соус</x:v>
      </x:c>
      <x:c r="X148" s="28" t="str">
        <x:v>напитки, еда, соусы/маринады</x:v>
      </x:c>
      <x:c r="Y148" s="28" t="str">
        <x:v>Гипотеза / практическая</x:v>
      </x:c>
      <x:c r="Z148" s="28" t="str">
        <x:v>Таблица сочетания(1).pdf</x:v>
      </x:c>
      <x:c r="AA148" s="28" t="str">
        <x:v>Таблица сочетания(1).pdf: 9</x:v>
      </x:c>
      <x:c r="AB148" s="28" t="str">
        <x:v>Пара указана в таблице: «Грейпфрут» → колонка «Травы и специи».</x:v>
      </x:c>
      <x:c r="AC148" s="28" t="n">
        <x:v>1</x:v>
      </x:c>
      <x:c r="AD148" s="28" t="n">
        <x:v>1</x:v>
      </x:c>
    </x:row>
    <x:row r="149" ht="58" customHeight="1">
      <x:c r="A149" s="28" t="str">
        <x:v>CIT-0148</x:v>
      </x:c>
      <x:c r="B149" s="28" t="str">
        <x:v>Десерты и выпечка</x:v>
      </x:c>
      <x:c r="C149" s="28" t="str">
        <x:v>грейпфрут</x:v>
      </x:c>
      <x:c r="D149" s="28" t="str">
        <x:v>Грейпфрут</x:v>
      </x:c>
      <x:c r="E149" s="28" t="str">
        <x:v>Цитрусовые</x:v>
      </x:c>
      <x:c r="F149" s="28" t="str">
        <x:v>малина</x:v>
      </x:c>
      <x:c r="G149" s="28" t="str">
        <x:v>малина</x:v>
      </x:c>
      <x:c r="H149" s="28" t="str">
        <x:v>Ягоды/косточковые</x:v>
      </x:c>
      <x:c r="I149" s="28" t="str">
        <x:v>цитрусовый, горький, свежий, сернистый</x:v>
      </x:c>
      <x:c r="J149" s="28" t="str">
        <x:v>фруктовый, цветочный, зелёный, винный</x:v>
      </x:c>
      <x:c r="K149" s="28" t="str">
        <x:v>лимонен, нооткатон, грейпфрутовые тиолы, нарингин</x:v>
      </x:c>
      <x:c r="L149" s="28" t="str">
        <x:v>иононы, дамасценон, эфиры, бензальдегид (для косточковых)</x:v>
      </x:c>
      <x:c r="M149" s="28" t="str">
        <x:v>прямое семейное перекрытие не является главным механизмом</x:v>
      </x:c>
      <x:c r="N149" s="28" t="str">
        <x:v>надёжный общий маркер не заявлен; сочетание объясняется семействами и сенсорным балансом</x:v>
      </x:c>
      <x:c r="O149" s="28" t="str">
        <x:v>вкусовой баланс</x:v>
      </x:c>
      <x:c r="P149" s="28" t="str">
        <x:v>Общая фруктовая сладость и летучие эфиры создают непрерывный ароматический профиль, а цитрусовая кислота повышает контраст и свежесть.</x:v>
      </x:c>
      <x:c r="Q149" s="28" t="str">
        <x:v>нет выраженного; кислота усиливает слюноотделение; нет выраженного</x:v>
      </x:c>
      <x:c r="R149" s="28" t="str">
        <x:v>водная фаза сока + гидрофобные масла кожуры; водная матрица с антоцианами и полифенолами</x:v>
      </x:c>
      <x:c r="S14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49" s="28" t="str">
        <x:v>Грейпфрут формирует профиль «цитрусовый, горький, свежий, сернистый»; характерные маркеры: лимонен, нооткатон, грейпфрутовые тиолы, нарингин. Малина относится к группе «ягоды/косточковые» и даёт ноты «фруктовый, цветочный, зелёный, винный».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усиливает кислотный контур, а цветочные терпены поддерживают ягодный аромат.</x:v>
      </x:c>
      <x:c r="U149"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49" s="28" t="str">
        <x:v>ваниль или миндаль</x:v>
      </x:c>
      <x:c r="W149" s="28" t="str">
        <x:v>джем, сорбет, коктейль или соус</x:v>
      </x:c>
      <x:c r="X149" s="28" t="str">
        <x:v>напитки, десерты</x:v>
      </x:c>
      <x:c r="Y149" s="28" t="str">
        <x:v>Гипотеза / практическая</x:v>
      </x:c>
      <x:c r="Z149" s="28" t="str">
        <x:v>Таблица сочетания(1).pdf</x:v>
      </x:c>
      <x:c r="AA149" s="28" t="str">
        <x:v>Таблица сочетания(1).pdf: 9</x:v>
      </x:c>
      <x:c r="AB149" s="28" t="str">
        <x:v>Пара указана в таблице: «Грейпфрут» → колонка «Фрукты».</x:v>
      </x:c>
      <x:c r="AC149" s="28" t="n">
        <x:v>1</x:v>
      </x:c>
      <x:c r="AD149" s="28" t="n">
        <x:v>1</x:v>
      </x:c>
    </x:row>
    <x:row r="150" ht="58" customHeight="1">
      <x:c r="A150" s="28" t="str">
        <x:v>CIT-0149</x:v>
      </x:c>
      <x:c r="B150" s="28" t="str">
        <x:v>Десерты и выпечка</x:v>
      </x:c>
      <x:c r="C150" s="28" t="str">
        <x:v>грейпфрут</x:v>
      </x:c>
      <x:c r="D150" s="28" t="str">
        <x:v>Грейпфрут | грейпфрут</x:v>
      </x:c>
      <x:c r="E150" s="28" t="str">
        <x:v>Цитрусовые</x:v>
      </x:c>
      <x:c r="F150" s="28" t="str">
        <x:v>мёд</x:v>
      </x:c>
      <x:c r="G150" s="28" t="str">
        <x:v>Мёд | мёд</x:v>
      </x:c>
      <x:c r="H150" s="28" t="str">
        <x:v>Подсластители</x:v>
      </x:c>
      <x:c r="I150" s="28" t="str">
        <x:v>цитрусовый, горький, свежий, сернистый</x:v>
      </x:c>
      <x:c r="J150" s="28" t="str">
        <x:v>медовый, цветочный, карамельный</x:v>
      </x:c>
      <x:c r="K150" s="28" t="str">
        <x:v>лимонен, нооткатон, грейпфрутовые тиолы, нарингин</x:v>
      </x:c>
      <x:c r="L150" s="28" t="str">
        <x:v>фенилуксусные соединения, фураны, норизопреноиды</x:v>
      </x:c>
      <x:c r="M150" s="28" t="str">
        <x:v>прямое семейное перекрытие не является главным механизмом</x:v>
      </x:c>
      <x:c r="N150" s="28" t="str">
        <x:v>надёжный общий маркер не заявлен; сочетание объясняется семействами и сенсорным балансом</x:v>
      </x:c>
      <x:c r="O150" s="28" t="str">
        <x:v>вкусовой баланс</x:v>
      </x:c>
      <x:c r="P150" s="28" t="str">
        <x:v>Сладость подавляет воспринимаемую кислотность и горечь кожуры, а кислота не даёт сочетанию стать приторным.</x:v>
      </x:c>
      <x:c r="Q150" s="28" t="str">
        <x:v>нет выраженного; кислота усиливает слюноотделение; нет выраженного</x:v>
      </x:c>
      <x:c r="R150" s="28" t="str">
        <x:v>водная фаза сока + гидрофобные масла кожуры; сахар повышает вязкость и снижает воспринимаемую кислотность</x:v>
      </x:c>
      <x:c r="S15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50" s="28" t="str">
        <x:v>Грейпфрут формирует профиль «цитрусовый, горький, свежий, сернистый»; характерные маркеры: лимонен, нооткатон, грейпфрутовые тиолы, нарингин. Мёд относится к группе «подсластители» и даёт ноты «медовый,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Сладость подавляет воспринимаемую кислотность и горечь кожуры, а кислота не даёт сочетанию стать приторным. Горечь задают флавоноиды, аромат кожуры — терпены и следовые тиолы. Сладость балансирует кислоту и горечь кожуры; цветочные компоненты могут поддерживать цитрус.</x:v>
      </x:c>
      <x:c r="U150"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50" s="28" t="str">
        <x:v>имбирь или ваниль</x:v>
      </x:c>
      <x:c r="W150" s="28" t="str">
        <x:v>сироп, мармелад, крем, глазурь или лимонад</x:v>
      </x:c>
      <x:c r="X150" s="28" t="str">
        <x:v>напитки, десерты</x:v>
      </x:c>
      <x:c r="Y150" s="28" t="str">
        <x:v>Гипотеза / практическая</x:v>
      </x:c>
      <x:c r="Z150" s="28" t="str">
        <x:v>Таблица сочетания(1).pdf</x:v>
      </x:c>
      <x:c r="AA150" s="28" t="str">
        <x:v>Таблица сочетания(1).pdf: 9, 10</x:v>
      </x:c>
      <x:c r="AB150" s="28" t="str">
        <x:v>Пара указана в таблице: «Грейпфрут» → колонка «Другое».</x:v>
      </x:c>
      <x:c r="AC150" s="28" t="n">
        <x:v>1</x:v>
      </x:c>
      <x:c r="AD150" s="28" t="n">
        <x:v>2</x:v>
      </x:c>
    </x:row>
    <x:row r="151" ht="58" customHeight="1">
      <x:c r="A151" s="28" t="str">
        <x:v>CIT-0150</x:v>
      </x:c>
      <x:c r="B151" s="28" t="str">
        <x:v>Универсальные</x:v>
      </x:c>
      <x:c r="C151" s="28" t="str">
        <x:v>грейпфрут</x:v>
      </x:c>
      <x:c r="D151" s="28" t="str">
        <x:v>Грейпфрут | грейпфрут</x:v>
      </x:c>
      <x:c r="E151" s="28" t="str">
        <x:v>Цитрусовые</x:v>
      </x:c>
      <x:c r="F151" s="28" t="str">
        <x:v>можжевельник</x:v>
      </x:c>
      <x:c r="G151" s="28" t="str">
        <x:v>Можжевельник | можжевельник</x:v>
      </x:c>
      <x:c r="H151" s="28" t="str">
        <x:v>Прочее</x:v>
      </x:c>
      <x:c r="I151" s="28" t="str">
        <x:v>цитрусовый, горький, свежий, сернистый</x:v>
      </x:c>
      <x:c r="J151" s="28" t="str">
        <x:v>нейтральный/специфический</x:v>
      </x:c>
      <x:c r="K151" s="28" t="str">
        <x:v>лимонен, нооткатон, грейпфрутовые тиолы, нарингин</x:v>
      </x:c>
      <x:c r="L151" s="28" t="str">
        <x:v>нужен профиль конкретного продукта</x:v>
      </x:c>
      <x:c r="M151" s="28" t="str">
        <x:v>прямое семейное перекрытие не является главным механизмом</x:v>
      </x:c>
      <x:c r="N151" s="28" t="str">
        <x:v>надёжный общий маркер не заявлен; сочетание объясняется семействами и сенсорным балансом</x:v>
      </x:c>
      <x:c r="O151" s="28" t="str">
        <x:v>вкусовой баланс, тройничное восприятие</x:v>
      </x:c>
      <x:c r="P151" s="28" t="str">
        <x:v>Основной эффект определяется ароматическим контрастом и добавлением кислотной свежести; точный баланс зависит от дозировки и матрицы.</x:v>
      </x:c>
      <x:c r="Q151" s="28" t="str">
        <x:v>нет выраженного; кислота усиливает слюноотделение; нет данных</x:v>
      </x:c>
      <x:c r="R151" s="28" t="str">
        <x:v>водная фаза сока + гидрофобные масла кожуры; зависит от формы продукта</x:v>
      </x:c>
      <x:c r="S15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51" s="28" t="str">
        <x:v>Грейпфрут формирует профиль «цитрусовый, горький, свежий, сернистый»; характерные маркеры: лимонен, нооткатон, грейпфрутовые тиолы, нарингин. Можжевельник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51"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51" s="28" t="str">
        <x:v>мёд или нейтральная жировая основа</x:v>
      </x:c>
      <x:c r="W151" s="28" t="str">
        <x:v>соус, напиток или десерт после пробной дегустации</x:v>
      </x:c>
      <x:c r="X151" s="28" t="str">
        <x:v>универсальное</x:v>
      </x:c>
      <x:c r="Y151" s="28" t="str">
        <x:v>Высокая</x:v>
      </x:c>
      <x:c r="Z151" s="28" t="str">
        <x:v>Тезариус вкусов (Ники Сегнит)(1).pdf</x:v>
      </x:c>
      <x:c r="AA151" s="28" t="str">
        <x:v>Тезариус вкусов (Ники Сегнит)(1).pdf: 787, 850</x:v>
      </x:c>
      <x:c r="AB151" s="28" t="str">
        <x:v>Кингсли Эмис (Kingsley Amis) вспоминал, что во время путешествия в Нэшвилл, штат Теннесси, наслаждался коктейлем «Соленый пес» (Salty Dog). Вот как делается такой коктейль. Опустите ободок бокала в воду, а затем погрузите его в соль. Осторожно влейте одну часть джина на две части свежего сока грейпфрута, добавьте лед и перемешайте. Кстати, Эмис называл джин с тоником «подозрительным» и «весьма недостойным приторным напитком, который лучше оставить женщинам, юнцам и перегонщикам виски». Он считал</x:v>
      </x:c>
      <x:c r="AC151" s="28" t="n">
        <x:v>1</x:v>
      </x:c>
      <x:c r="AD151" s="28" t="n">
        <x:v>2</x:v>
      </x:c>
    </x:row>
    <x:row r="152" ht="58" customHeight="1">
      <x:c r="A152" s="28" t="str">
        <x:v>CIT-0151</x:v>
      </x:c>
      <x:c r="B152" s="28" t="str">
        <x:v>Универсальные</x:v>
      </x:c>
      <x:c r="C152" s="28" t="str">
        <x:v>грейпфрут</x:v>
      </x:c>
      <x:c r="D152" s="28" t="str">
        <x:v>Грейпфрут | грейпфрут</x:v>
      </x:c>
      <x:c r="E152" s="28" t="str">
        <x:v>Цитрусовые</x:v>
      </x:c>
      <x:c r="F152" s="28" t="str">
        <x:v>моллюски</x:v>
      </x:c>
      <x:c r="G152" s="28" t="str">
        <x:v>Моллюски | моллюски</x:v>
      </x:c>
      <x:c r="H152" s="28" t="str">
        <x:v>Прочее</x:v>
      </x:c>
      <x:c r="I152" s="28" t="str">
        <x:v>цитрусовый, горький, свежий, сернистый</x:v>
      </x:c>
      <x:c r="J152" s="28" t="str">
        <x:v>нейтральный/специфический</x:v>
      </x:c>
      <x:c r="K152" s="28" t="str">
        <x:v>лимонен, нооткатон, грейпфрутовые тиолы, нарингин</x:v>
      </x:c>
      <x:c r="L152" s="28" t="str">
        <x:v>нужен профиль конкретного продукта</x:v>
      </x:c>
      <x:c r="M152" s="28" t="str">
        <x:v>прямое семейное перекрытие не является главным механизмом</x:v>
      </x:c>
      <x:c r="N152" s="28" t="str">
        <x:v>надёжный общий маркер не заявлен; сочетание объясняется семействами и сенсорным балансом</x:v>
      </x:c>
      <x:c r="O152" s="28" t="str">
        <x:v>вкусовой баланс, тройничное восприятие</x:v>
      </x:c>
      <x:c r="P152" s="28" t="str">
        <x:v>Основной эффект определяется ароматическим контрастом и добавлением кислотной свежести; точный баланс зависит от дозировки и матрицы.</x:v>
      </x:c>
      <x:c r="Q152" s="28" t="str">
        <x:v>нет выраженного; кислота усиливает слюноотделение; нет данных</x:v>
      </x:c>
      <x:c r="R152" s="28" t="str">
        <x:v>водная фаза сока + гидрофобные масла кожуры; зависит от формы продукта</x:v>
      </x:c>
      <x:c r="S15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52" s="28" t="str">
        <x:v>Грейпфрут формирует профиль «цитрусовый, горький, свежий, сернистый»; характерные маркеры: лимонен, нооткатон, грейпфрутовые тиолы, нарингин. Моллюски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52"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52" s="28" t="str">
        <x:v>мёд или нейтральная жировая основа</x:v>
      </x:c>
      <x:c r="W152" s="28" t="str">
        <x:v>соус, напиток или десерт после пробной дегустации</x:v>
      </x:c>
      <x:c r="X152" s="28" t="str">
        <x:v>универсальное</x:v>
      </x:c>
      <x:c r="Y152" s="28" t="str">
        <x:v>Высокая</x:v>
      </x:c>
      <x:c r="Z152" s="28" t="str">
        <x:v>Тезариус вкусов (Ники Сегнит)(1).pdf</x:v>
      </x:c>
      <x:c r="AA152" s="28" t="str">
        <x:v>Тезариус вкусов (Ники Сегнит)(1).pdf: 369, 787</x:v>
      </x:c>
      <x:c r="AB152" s="28" t="str">
        <x:v>Основные вещества, определяющие вкус грейпфрута, называются нооткатон, меркаптан и нарингин. Мне кажется, эти названия звучат как ники пользователей с web-форума, где обсуждают относительные достоинства сериалов «Звездный путь. Глубокий космос 9» (Deep Space Nine) и «Звездный путь. Вояджер» (Star Trek: Voyager). Пожалуй, можно сказать, что из всего семейства цитрусовых грейпфрут имеет наиболее «инопланетный» вкус. Главное «грейпфрутообразующее» соединение, нооткатон, имеет теплый, древесный хара</x:v>
      </x:c>
      <x:c r="AC152" s="28" t="n">
        <x:v>1</x:v>
      </x:c>
      <x:c r="AD152" s="28" t="n">
        <x:v>2</x:v>
      </x:c>
    </x:row>
    <x:row r="153" ht="58" customHeight="1">
      <x:c r="A153" s="28" t="str">
        <x:v>CIT-0152</x:v>
      </x:c>
      <x:c r="B153" s="28" t="str">
        <x:v>Десерты и выпечка</x:v>
      </x:c>
      <x:c r="C153" s="28" t="str">
        <x:v>грейпфрут</x:v>
      </x:c>
      <x:c r="D153" s="28" t="str">
        <x:v>grapefruit</x:v>
      </x:c>
      <x:c r="E153" s="28" t="str">
        <x:v>Цитрусовые</x:v>
      </x:c>
      <x:c r="F153" s="28" t="str">
        <x:v>моцарелла из буйволиного молока</x:v>
      </x:c>
      <x:c r="G153" s="28" t="str">
        <x:v>buffalo mozzarella</x:v>
      </x:c>
      <x:c r="H153" s="28" t="str">
        <x:v>Молочные продукты</x:v>
      </x:c>
      <x:c r="I153" s="28" t="str">
        <x:v>цитрусовый, горький, свежий, сернистый</x:v>
      </x:c>
      <x:c r="J153" s="28" t="str">
        <x:v>сливочный, молочный, масляный, иногда животный</x:v>
      </x:c>
      <x:c r="K153" s="28" t="str">
        <x:v>лимонен, нооткатон, грейпфрутовые тиолы, нарингин</x:v>
      </x:c>
      <x:c r="L153" s="28" t="str">
        <x:v>диацетил, молочные лактоны, свободные жирные кислоты</x:v>
      </x:c>
      <x:c r="M153" s="28" t="str">
        <x:v>прямое семейное перекрытие не является главным механизмом</x:v>
      </x:c>
      <x:c r="N153" s="28" t="str">
        <x:v>надёжный общий маркер не заявлен; сочетание объясняется семействами и сенсорным балансом</x:v>
      </x:c>
      <x:c r="O153" s="28" t="str">
        <x:v>вкусовой баланс, влияние матрицы/растворимости</x:v>
      </x:c>
      <x:c r="P153" s="28" t="str">
        <x:v>Кислотность и лёгкая горечь цитруса снижают ощущение жирности; соль и умами, в свою очередь, делают фруктовую часть менее резкой.</x:v>
      </x:c>
      <x:c r="Q153" s="28" t="str">
        <x:v>нет выраженного; кислота усиливает слюноотделение; нет выраженного</x:v>
      </x:c>
      <x:c r="R153" s="28" t="str">
        <x:v>водная фаза сока + гидрофобные масла кожуры; жир растворяет терпены; кислота цитруса может коагулировать молочный белок</x:v>
      </x:c>
      <x:c r="S153"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153" s="28" t="str">
        <x:v>Грейпфрут формирует профиль «цитрусовый, горький, свежий, сернистый»; характерные маркеры: лимонен, нооткатон, грейпфрутовые тиолы, нарингин. Моцарелла из буйволиного молока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режет жирность и освежает, а молочная матрица смягчает кислотность.</x:v>
      </x:c>
      <x:c r="U153" s="28" t="str">
        <x:v>Избыток кислоты делает вкус плоско-резким; белая часть кожуры даёт лишнюю горечь; возможна коагуляция белка; горечь нооткатона и нарингина требует контроля сахара и соли.</x:v>
      </x:c>
      <x:c r="V153" s="28" t="str">
        <x:v>мёд или ваниль</x:v>
      </x:c>
      <x:c r="W153" s="28" t="str">
        <x:v>чизкейк, крем, мороженое, соус или салат</x:v>
      </x:c>
      <x:c r="X153" s="28" t="str">
        <x:v>десерты, еда</x:v>
      </x:c>
      <x:c r="Y153" s="28" t="str">
        <x:v>Средняя</x:v>
      </x:c>
      <x:c r="Z153" s="28" t="str">
        <x:v>The Art &amp; Science of Foodpairing.pdf</x:v>
      </x:c>
      <x:c r="AA153" s="28" t="str">
        <x:v>The Art &amp; Science of Foodpairing.pdf: 161</x:v>
      </x:c>
      <x:c r="AB153" s="28" t="str">
        <x:v>Пара представлена в ароматической диаграмме Foodpairing на странице 161.</x:v>
      </x:c>
      <x:c r="AC153" s="28" t="n">
        <x:v>1</x:v>
      </x:c>
      <x:c r="AD153" s="28" t="n">
        <x:v>1</x:v>
      </x:c>
    </x:row>
    <x:row r="154" ht="58" customHeight="1">
      <x:c r="A154" s="28" t="str">
        <x:v>CIT-0153</x:v>
      </x:c>
      <x:c r="B154" s="28" t="str">
        <x:v>Универсальные</x:v>
      </x:c>
      <x:c r="C154" s="28" t="str">
        <x:v>грейпфрут</x:v>
      </x:c>
      <x:c r="D154" s="28" t="str">
        <x:v>Грейпфрут</x:v>
      </x:c>
      <x:c r="E154" s="28" t="str">
        <x:v>Цитрусовые</x:v>
      </x:c>
      <x:c r="F154" s="28" t="str">
        <x:v>мята</x:v>
      </x:c>
      <x:c r="G154" s="28" t="str">
        <x:v>мята</x:v>
      </x:c>
      <x:c r="H154" s="28" t="str">
        <x:v>Травы</x:v>
      </x:c>
      <x:c r="I154" s="28" t="str">
        <x:v>цитрусовый, горький, свежий, сернистый</x:v>
      </x:c>
      <x:c r="J154" s="28" t="str">
        <x:v>мятный, зелёный, свежий</x:v>
      </x:c>
      <x:c r="K154" s="28" t="str">
        <x:v>лимонен, нооткатон, грейпфрутовые тиолы, нарингин</x:v>
      </x:c>
      <x:c r="L154" s="28" t="str">
        <x:v>ментол, ментон, 1,8-цинеол</x:v>
      </x:c>
      <x:c r="M154" s="28" t="str">
        <x:v>свежий</x:v>
      </x:c>
      <x:c r="N154" s="28" t="str">
        <x:v>надёжный общий маркер не заявлен; сочетание объясняется семействами и сенсорным балансом</x:v>
      </x:c>
      <x:c r="O154" s="28" t="str">
        <x:v>перекрытие ароматических семейств, вкусовой баланс, тройничное восприятие</x:v>
      </x:c>
      <x:c r="P154" s="28" t="str">
        <x:v>Кислота усиливает слюноотделение и делает пряный аромат ярче; терпены цитруса образуют мост с эфирными маслами травы или специи.</x:v>
      </x:c>
      <x:c r="Q154" s="28" t="str">
        <x:v>нет выраженного; кислота усиливает слюноотделение; ментол активирует TRPM8 и создаёт охлаждение</x:v>
      </x:c>
      <x:c r="R154" s="28" t="str">
        <x:v>водная фаза сока + гидрофобные масла кожуры; эфирные масла извлекаются спиртом; длительный нагрев снижает свежесть</x:v>
      </x:c>
      <x:c r="S15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54" s="28" t="str">
        <x:v>Грейпфрут формирует профиль «цитрусовый, горький, свежий, сернистый»; характерные маркеры: лимонен, нооткатон, грейпфрутовые тиолы, нарингин.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Мята усиливает воспринимаемую прохладу и кислотную свежесть.</x:v>
      </x:c>
      <x:c r="U154"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V154" s="28" t="str">
        <x:v>оливковое масло или огурец</x:v>
      </x:c>
      <x:c r="W154" s="28" t="str">
        <x:v>лимонад, кордиал, салатная заправка или зелёный соус</x:v>
      </x:c>
      <x:c r="X154" s="28" t="str">
        <x:v>напитки, еда, соусы/маринады</x:v>
      </x:c>
      <x:c r="Y154" s="28" t="str">
        <x:v>Гипотеза / практическая</x:v>
      </x:c>
      <x:c r="Z154" s="28" t="str">
        <x:v>Таблица сочетания(1).pdf</x:v>
      </x:c>
      <x:c r="AA154" s="28" t="str">
        <x:v>Таблица сочетания(1).pdf: 9</x:v>
      </x:c>
      <x:c r="AB154" s="28" t="str">
        <x:v>Пара указана в таблице: «Грейпфрут» → колонка «Травы и специи».</x:v>
      </x:c>
      <x:c r="AC154" s="28" t="n">
        <x:v>1</x:v>
      </x:c>
      <x:c r="AD154" s="28" t="n">
        <x:v>1</x:v>
      </x:c>
    </x:row>
    <x:row r="155" ht="58" customHeight="1">
      <x:c r="A155" s="28" t="str">
        <x:v>CIT-0154</x:v>
      </x:c>
      <x:c r="B155" s="28" t="str">
        <x:v>Универсальные</x:v>
      </x:c>
      <x:c r="C155" s="28" t="str">
        <x:v>грейпфрут</x:v>
      </x:c>
      <x:c r="D155" s="28" t="str">
        <x:v>grapefruit</x:v>
      </x:c>
      <x:c r="E155" s="28" t="str">
        <x:v>Цитрусовые</x:v>
      </x:c>
      <x:c r="F155" s="28" t="str">
        <x:v>нони</x:v>
      </x:c>
      <x:c r="G155" s="28" t="str">
        <x:v>noni</x:v>
      </x:c>
      <x:c r="H155" s="28" t="str">
        <x:v>Прочее</x:v>
      </x:c>
      <x:c r="I155" s="28" t="str">
        <x:v>цитрусовый, горький, свежий, сернистый</x:v>
      </x:c>
      <x:c r="J155" s="28" t="str">
        <x:v>нейтральный/специфический</x:v>
      </x:c>
      <x:c r="K155" s="28" t="str">
        <x:v>лимонен, нооткатон, грейпфрутовые тиолы, нарингин</x:v>
      </x:c>
      <x:c r="L155" s="28" t="str">
        <x:v>нужен профиль конкретного продукта</x:v>
      </x:c>
      <x:c r="M155" s="28" t="str">
        <x:v>прямое семейное перекрытие не является главным механизмом</x:v>
      </x:c>
      <x:c r="N155" s="28" t="str">
        <x:v>надёжный общий маркер не заявлен; сочетание объясняется семействами и сенсорным балансом</x:v>
      </x:c>
      <x:c r="O155" s="28" t="str">
        <x:v>вкусовой баланс, тройничное восприятие</x:v>
      </x:c>
      <x:c r="P155" s="28" t="str">
        <x:v>Основной эффект определяется ароматическим контрастом и добавлением кислотной свежести; точный баланс зависит от дозировки и матрицы.</x:v>
      </x:c>
      <x:c r="Q155" s="28" t="str">
        <x:v>нет выраженного; кислота усиливает слюноотделение; нет данных</x:v>
      </x:c>
      <x:c r="R155" s="28" t="str">
        <x:v>водная фаза сока + гидрофобные масла кожуры; зависит от формы продукта</x:v>
      </x:c>
      <x:c r="S15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55" s="28" t="str">
        <x:v>Грейпфрут формирует профиль «цитрусовый, горький, свежий, сернистый»; характерные маркеры: лимонен, нооткатон, грейпфрутовые тиолы, нарингин. Нони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55"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55" s="28" t="str">
        <x:v>мёд или нейтральная жировая основа</x:v>
      </x:c>
      <x:c r="W155" s="28" t="str">
        <x:v>соус, напиток или десерт после пробной дегустации</x:v>
      </x:c>
      <x:c r="X155" s="28" t="str">
        <x:v>универсальное</x:v>
      </x:c>
      <x:c r="Y155" s="28" t="str">
        <x:v>Средняя</x:v>
      </x:c>
      <x:c r="Z155" s="28" t="str">
        <x:v>The Art &amp; Science of Foodpairing.pdf</x:v>
      </x:c>
      <x:c r="AA155" s="28" t="str">
        <x:v>The Art &amp; Science of Foodpairing.pdf: 358</x:v>
      </x:c>
      <x:c r="AB155" s="28" t="str">
        <x:v>Пара представлена в ароматической диаграмме Foodpairing на странице 358.</x:v>
      </x:c>
      <x:c r="AC155" s="28" t="n">
        <x:v>1</x:v>
      </x:c>
      <x:c r="AD155" s="28" t="n">
        <x:v>1</x:v>
      </x:c>
    </x:row>
    <x:row r="156" ht="58" customHeight="1">
      <x:c r="A156" s="28" t="str">
        <x:v>CIT-0155</x:v>
      </x:c>
      <x:c r="B156" s="28" t="str">
        <x:v>Универсальные</x:v>
      </x:c>
      <x:c r="C156" s="28" t="str">
        <x:v>грейпфрут</x:v>
      </x:c>
      <x:c r="D156" s="28" t="str">
        <x:v>grapefruit</x:v>
      </x:c>
      <x:c r="E156" s="28" t="str">
        <x:v>Цитрусовые</x:v>
      </x:c>
      <x:c r="F156" s="28" t="str">
        <x:v>обжаренная утиная фуа-гра</x:v>
      </x:c>
      <x:c r="G156" s="28" t="str">
        <x:v>pan-fried duck foie gras</x:v>
      </x:c>
      <x:c r="H156" s="28" t="str">
        <x:v>Прочее</x:v>
      </x:c>
      <x:c r="I156" s="28" t="str">
        <x:v>цитрусовый, горький, свежий, сернистый</x:v>
      </x:c>
      <x:c r="J156" s="28" t="str">
        <x:v>нейтральный/специфический</x:v>
      </x:c>
      <x:c r="K156" s="28" t="str">
        <x:v>лимонен, нооткатон, грейпфрутовые тиолы, нарингин</x:v>
      </x:c>
      <x:c r="L156" s="28" t="str">
        <x:v>нужен профиль конкретного продукта</x:v>
      </x:c>
      <x:c r="M156" s="28" t="str">
        <x:v>прямое семейное перекрытие не является главным механизмом</x:v>
      </x:c>
      <x:c r="N156" s="28" t="str">
        <x:v>надёжный общий маркер не заявлен; сочетание объясняется семействами и сенсорным балансом</x:v>
      </x:c>
      <x:c r="O156" s="28" t="str">
        <x:v>вкусовой баланс, тройничное восприятие</x:v>
      </x:c>
      <x:c r="P156" s="28" t="str">
        <x:v>Основной эффект определяется ароматическим контрастом и добавлением кислотной свежести; точный баланс зависит от дозировки и матрицы.</x:v>
      </x:c>
      <x:c r="Q156" s="28" t="str">
        <x:v>нет выраженного; кислота усиливает слюноотделение; нет данных</x:v>
      </x:c>
      <x:c r="R156" s="28" t="str">
        <x:v>водная фаза сока + гидрофобные масла кожуры; зависит от формы продукта</x:v>
      </x:c>
      <x:c r="S15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56" s="28" t="str">
        <x:v>Грейпфрут формирует профиль «цитрусовый, горький, свежий, сернистый»; характерные маркеры: лимонен, нооткатон, грейпфрутовые тиолы, нарингин. Обжаренная утиная фуа-гра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56"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56" s="28" t="str">
        <x:v>мёд или нейтральная жировая основа</x:v>
      </x:c>
      <x:c r="W156" s="28" t="str">
        <x:v>соус, напиток или десерт после пробной дегустации</x:v>
      </x:c>
      <x:c r="X156" s="28" t="str">
        <x:v>универсальное</x:v>
      </x:c>
      <x:c r="Y156" s="28" t="str">
        <x:v>Средняя</x:v>
      </x:c>
      <x:c r="Z156" s="28" t="str">
        <x:v>The Art &amp; Science of Foodpairing.pdf</x:v>
      </x:c>
      <x:c r="AA156" s="28" t="str">
        <x:v>The Art &amp; Science of Foodpairing.pdf: 305</x:v>
      </x:c>
      <x:c r="AB156" s="28" t="str">
        <x:v>Пара представлена в ароматической диаграмме Foodpairing на странице 305.</x:v>
      </x:c>
      <x:c r="AC156" s="28" t="n">
        <x:v>1</x:v>
      </x:c>
      <x:c r="AD156" s="28" t="n">
        <x:v>1</x:v>
      </x:c>
    </x:row>
    <x:row r="157" ht="58" customHeight="1">
      <x:c r="A157" s="28" t="str">
        <x:v>CIT-0156</x:v>
      </x:c>
      <x:c r="B157" s="28" t="str">
        <x:v>Универсальные</x:v>
      </x:c>
      <x:c r="C157" s="28" t="str">
        <x:v>грейпфрут</x:v>
      </x:c>
      <x:c r="D157" s="28" t="str">
        <x:v>грейпфрут</x:v>
      </x:c>
      <x:c r="E157" s="28" t="str">
        <x:v>Цитрусовые</x:v>
      </x:c>
      <x:c r="F157" s="28" t="str">
        <x:v>одуванчик</x:v>
      </x:c>
      <x:c r="G157" s="28" t="str">
        <x:v>Одуванчик</x:v>
      </x:c>
      <x:c r="H157" s="28" t="str">
        <x:v>Прочее</x:v>
      </x:c>
      <x:c r="I157" s="28" t="str">
        <x:v>цитрусовый, горький, свежий, сернистый</x:v>
      </x:c>
      <x:c r="J157" s="28" t="str">
        <x:v>нейтральный/специфический</x:v>
      </x:c>
      <x:c r="K157" s="28" t="str">
        <x:v>лимонен, нооткатон, грейпфрутовые тиолы, нарингин</x:v>
      </x:c>
      <x:c r="L157" s="28" t="str">
        <x:v>нужен профиль конкретного продукта</x:v>
      </x:c>
      <x:c r="M157" s="28" t="str">
        <x:v>прямое семейное перекрытие не является главным механизмом</x:v>
      </x:c>
      <x:c r="N157" s="28" t="str">
        <x:v>надёжный общий маркер не заявлен; сочетание объясняется семействами и сенсорным балансом</x:v>
      </x:c>
      <x:c r="O157" s="28" t="str">
        <x:v>вкусовой баланс, тройничное восприятие</x:v>
      </x:c>
      <x:c r="P157" s="28" t="str">
        <x:v>Основной эффект определяется ароматическим контрастом и добавлением кислотной свежести; точный баланс зависит от дозировки и матрицы.</x:v>
      </x:c>
      <x:c r="Q157" s="28" t="str">
        <x:v>нет выраженного; кислота усиливает слюноотделение; нет данных</x:v>
      </x:c>
      <x:c r="R157" s="28" t="str">
        <x:v>водная фаза сока + гидрофобные масла кожуры; зависит от формы продукта</x:v>
      </x:c>
      <x:c r="S15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57" s="28" t="str">
        <x:v>Грейпфрут формирует профиль «цитрусовый, горький, свежий, сернистый»; характерные маркеры: лимонен, нооткатон, грейпфрутовые тиолы, нарингин. Одуванчик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57"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57" s="28" t="str">
        <x:v>мёд или нейтральная жировая основа</x:v>
      </x:c>
      <x:c r="W157" s="28" t="str">
        <x:v>соус, напиток или десерт после пробной дегустации</x:v>
      </x:c>
      <x:c r="X157" s="28" t="str">
        <x:v>универсальное</x:v>
      </x:c>
      <x:c r="Y157" s="28" t="str">
        <x:v>Гипотеза / практическая</x:v>
      </x:c>
      <x:c r="Z157" s="28" t="str">
        <x:v>Таблица сочетания(1).pdf</x:v>
      </x:c>
      <x:c r="AA157" s="28" t="str">
        <x:v>Таблица сочетания(1).pdf: 6</x:v>
      </x:c>
      <x:c r="AB157" s="28" t="str">
        <x:v>Пара указана в таблице: «Одуванчик» → колонка «Фрукты».</x:v>
      </x:c>
      <x:c r="AC157" s="28" t="n">
        <x:v>1</x:v>
      </x:c>
      <x:c r="AD157" s="28" t="n">
        <x:v>1</x:v>
      </x:c>
    </x:row>
    <x:row r="158" ht="58" customHeight="1">
      <x:c r="A158" s="28" t="str">
        <x:v>CIT-0157</x:v>
      </x:c>
      <x:c r="B158" s="28" t="str">
        <x:v>Универсальные</x:v>
      </x:c>
      <x:c r="C158" s="28" t="str">
        <x:v>грейпфрут</x:v>
      </x:c>
      <x:c r="D158" s="28" t="str">
        <x:v>грейпфрут</x:v>
      </x:c>
      <x:c r="E158" s="28" t="str">
        <x:v>Цитрусовые</x:v>
      </x:c>
      <x:c r="F158" s="28" t="str">
        <x:v>олива</x:v>
      </x:c>
      <x:c r="G158" s="28" t="str">
        <x:v>Олива</x:v>
      </x:c>
      <x:c r="H158" s="28" t="str">
        <x:v>Прочее</x:v>
      </x:c>
      <x:c r="I158" s="28" t="str">
        <x:v>цитрусовый, горький, свежий, сернистый</x:v>
      </x:c>
      <x:c r="J158" s="28" t="str">
        <x:v>нейтральный/специфический</x:v>
      </x:c>
      <x:c r="K158" s="28" t="str">
        <x:v>лимонен, нооткатон, грейпфрутовые тиолы, нарингин</x:v>
      </x:c>
      <x:c r="L158" s="28" t="str">
        <x:v>нужен профиль конкретного продукта</x:v>
      </x:c>
      <x:c r="M158" s="28" t="str">
        <x:v>прямое семейное перекрытие не является главным механизмом</x:v>
      </x:c>
      <x:c r="N158" s="28" t="str">
        <x:v>надёжный общий маркер не заявлен; сочетание объясняется семействами и сенсорным балансом</x:v>
      </x:c>
      <x:c r="O158" s="28" t="str">
        <x:v>вкусовой баланс, тройничное восприятие</x:v>
      </x:c>
      <x:c r="P158" s="28" t="str">
        <x:v>Основной эффект определяется ароматическим контрастом и добавлением кислотной свежести; точный баланс зависит от дозировки и матрицы.</x:v>
      </x:c>
      <x:c r="Q158" s="28" t="str">
        <x:v>нет выраженного; кислота усиливает слюноотделение; нет данных</x:v>
      </x:c>
      <x:c r="R158" s="28" t="str">
        <x:v>водная фаза сока + гидрофобные масла кожуры; зависит от формы продукта</x:v>
      </x:c>
      <x:c r="S15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58" s="28" t="str">
        <x:v>Грейпфрут формирует профиль «цитрусовый, горький, свежий, сернистый»; характерные маркеры: лимонен, нооткатон, грейпфрутовые тиолы, нарингин. Олива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58"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58" s="28" t="str">
        <x:v>мёд или нейтральная жировая основа</x:v>
      </x:c>
      <x:c r="W158" s="28" t="str">
        <x:v>соус, напиток или десерт после пробной дегустации</x:v>
      </x:c>
      <x:c r="X158" s="28" t="str">
        <x:v>универсальное</x:v>
      </x:c>
      <x:c r="Y158" s="28" t="str">
        <x:v>Гипотеза / практическая</x:v>
      </x:c>
      <x:c r="Z158" s="28" t="str">
        <x:v>Таблица сочетания(1).pdf</x:v>
      </x:c>
      <x:c r="AA158" s="28" t="str">
        <x:v>Таблица сочетания(1).pdf: 14</x:v>
      </x:c>
      <x:c r="AB158" s="28" t="str">
        <x:v>Пара указана в таблице: «Олива» → колонка «Фрукты».</x:v>
      </x:c>
      <x:c r="AC158" s="28" t="n">
        <x:v>1</x:v>
      </x:c>
      <x:c r="AD158" s="28" t="n">
        <x:v>1</x:v>
      </x:c>
    </x:row>
    <x:row r="159" ht="58" customHeight="1">
      <x:c r="A159" s="28" t="str">
        <x:v>CIT-0158</x:v>
      </x:c>
      <x:c r="B159" s="28" t="str">
        <x:v>Десерты и выпечка</x:v>
      </x:c>
      <x:c r="C159" s="28" t="str">
        <x:v>грейпфрут</x:v>
      </x:c>
      <x:c r="D159" s="28" t="str">
        <x:v>Грейпфрут | грейпфрут</x:v>
      </x:c>
      <x:c r="E159" s="28" t="str">
        <x:v>Цитрусовые</x:v>
      </x:c>
      <x:c r="F159" s="28" t="str">
        <x:v>папайя</x:v>
      </x:c>
      <x:c r="G159" s="28" t="str">
        <x:v>Папайя | папайя</x:v>
      </x:c>
      <x:c r="H159" s="28" t="str">
        <x:v>Тропические фрукты</x:v>
      </x:c>
      <x:c r="I159" s="28" t="str">
        <x:v>цитрусовый, горький, свежий, сернистый</x:v>
      </x:c>
      <x:c r="J159" s="28" t="str">
        <x:v>фруктовый, тропический, цветочный, сливочный</x:v>
      </x:c>
      <x:c r="K159" s="28" t="str">
        <x:v>лимонен, нооткатон, грейпфрутовые тиолы, нарингин</x:v>
      </x:c>
      <x:c r="L159" s="28" t="str">
        <x:v>этилбутират, гексилацетат, лактоны, сернистые тиолы (у части фруктов)</x:v>
      </x:c>
      <x:c r="M159" s="28" t="str">
        <x:v>прямое семейное перекрытие не является главным механизмом</x:v>
      </x:c>
      <x:c r="N159" s="28" t="str">
        <x:v>надёжный общий маркер не заявлен; сочетание объясняется семействами и сенсорным балансом</x:v>
      </x:c>
      <x:c r="O159" s="28" t="str">
        <x:v>вкусовой баланс</x:v>
      </x:c>
      <x:c r="P159" s="28" t="str">
        <x:v>Общая фруктовая сладость и летучие эфиры создают непрерывный ароматический профиль, а цитрусовая кислота повышает контраст и свежесть.</x:v>
      </x:c>
      <x:c r="Q159" s="28" t="str">
        <x:v>нет выраженного; кислота усиливает слюноотделение; нет выраженного</x:v>
      </x:c>
      <x:c r="R159" s="28" t="str">
        <x:v>водная фаза сока + гидрофобные масла кожуры; сочная или кремовая фруктовая матрица</x:v>
      </x:c>
      <x:c r="S15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59" s="28" t="str">
        <x:v>Грейпфрут формирует профиль «цитрусовый, горький, свежий, сернистый»; характерные маркеры: лимонен, нооткатон, грейпфрутовые тиолы, нарингин. Папайя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снижает ощущение приторности и усиливает летучие фруктовые эфиры.</x:v>
      </x:c>
      <x:c r="U159"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59" s="28" t="str">
        <x:v>кокос или имбирь</x:v>
      </x:c>
      <x:c r="W159" s="28" t="str">
        <x:v>смузи, кордиал, сорбет, чатни или коктейль</x:v>
      </x:c>
      <x:c r="X159" s="28" t="str">
        <x:v>напитки, десерты</x:v>
      </x:c>
      <x:c r="Y159" s="28" t="str">
        <x:v>Гипотеза / практическая</x:v>
      </x:c>
      <x:c r="Z159" s="28" t="str">
        <x:v>Таблица сочетания(1).pdf</x:v>
      </x:c>
      <x:c r="AA159" s="28" t="str">
        <x:v>Таблица сочетания(1).pdf: 9, 15</x:v>
      </x:c>
      <x:c r="AB159" s="28" t="str">
        <x:v>Пара указана в таблице: «Грейпфрут» → колонка «Фрукты».</x:v>
      </x:c>
      <x:c r="AC159" s="28" t="n">
        <x:v>1</x:v>
      </x:c>
      <x:c r="AD159" s="28" t="n">
        <x:v>2</x:v>
      </x:c>
    </x:row>
    <x:row r="160" ht="58" customHeight="1">
      <x:c r="A160" s="28" t="str">
        <x:v>CIT-0159</x:v>
      </x:c>
      <x:c r="B160" s="28" t="str">
        <x:v>Десерты и выпечка</x:v>
      </x:c>
      <x:c r="C160" s="28" t="str">
        <x:v>грейпфрут</x:v>
      </x:c>
      <x:c r="D160" s="28" t="str">
        <x:v>Грейпфрут</x:v>
      </x:c>
      <x:c r="E160" s="28" t="str">
        <x:v>Цитрусовые</x:v>
      </x:c>
      <x:c r="F160" s="28" t="str">
        <x:v>пекан</x:v>
      </x:c>
      <x:c r="G160" s="28" t="str">
        <x:v>пекан</x:v>
      </x:c>
      <x:c r="H160" s="28" t="str">
        <x:v>Орехи и семена</x:v>
      </x:c>
      <x:c r="I160" s="28" t="str">
        <x:v>цитрусовый, горький, свежий, сернистый</x:v>
      </x:c>
      <x:c r="J160" s="28" t="str">
        <x:v>ореховый, обжаренный, жирный, зелёный</x:v>
      </x:c>
      <x:c r="K160" s="28" t="str">
        <x:v>лимонен, нооткатон, грейпфрутовые тиолы, нарингин</x:v>
      </x:c>
      <x:c r="L160" s="28" t="str">
        <x:v>пиразины, альдегиды окисления жиров, бензальдегид (миндаль)</x:v>
      </x:c>
      <x:c r="M160" s="28" t="str">
        <x:v>прямое семейное перекрытие не является главным механизмом</x:v>
      </x:c>
      <x:c r="N160" s="28" t="str">
        <x:v>надёжный общий маркер не заявлен; сочетание объясняется семействами и сенсорным балансом</x:v>
      </x:c>
      <x:c r="O160" s="28" t="str">
        <x:v>вкусовой баланс, влияние матрицы/растворимости</x:v>
      </x:c>
      <x:c r="P160" s="28" t="str">
        <x:v>Кислотность и лёгкая горечь цитруса снижают ощущение жирности; соль и умами, в свою очередь, делают фруктовую часть менее резкой.</x:v>
      </x:c>
      <x:c r="Q160" s="28" t="str">
        <x:v>нет выраженного; кислота усиливает слюноотделение; нет выраженного</x:v>
      </x:c>
      <x:c r="R160" s="28" t="str">
        <x:v>водная фаза сока + гидрофобные масла кожуры; высокая жирность растворяет терпеновые масла цитруса</x:v>
      </x:c>
      <x:c r="S160"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160" s="28" t="str">
        <x:v>Грейпфрут формирует профиль «цитрусовый, горький, свежий, сернистый»; характерные маркеры: лимонен, нооткатон, грейпфрутовые тиолы, нарингин. Пекан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Кислота режет жирность, а цедра связывается с обжаренными и цветочными нотами.</x:v>
      </x:c>
      <x:c r="U160"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60" s="28" t="str">
        <x:v>мёд или шоколад</x:v>
      </x:c>
      <x:c r="W160" s="28" t="str">
        <x:v>пралине, крем, выпечка, салат или ореховый соус</x:v>
      </x:c>
      <x:c r="X160" s="28" t="str">
        <x:v>десерты</x:v>
      </x:c>
      <x:c r="Y160" s="28" t="str">
        <x:v>Гипотеза / практическая</x:v>
      </x:c>
      <x:c r="Z160" s="28" t="str">
        <x:v>Таблица сочетания(1).pdf</x:v>
      </x:c>
      <x:c r="AA160" s="28" t="str">
        <x:v>Таблица сочетания(1).pdf: 9</x:v>
      </x:c>
      <x:c r="AB160" s="28" t="str">
        <x:v>Пара указана в таблице: «Грейпфрут» → колонка «Другое».</x:v>
      </x:c>
      <x:c r="AC160" s="28" t="n">
        <x:v>1</x:v>
      </x:c>
      <x:c r="AD160" s="28" t="n">
        <x:v>1</x:v>
      </x:c>
    </x:row>
    <x:row r="161" ht="58" customHeight="1">
      <x:c r="A161" s="28" t="str">
        <x:v>CIT-0160</x:v>
      </x:c>
      <x:c r="B161" s="28" t="str">
        <x:v>Десерты и выпечка</x:v>
      </x:c>
      <x:c r="C161" s="28" t="str">
        <x:v>грейпфрут</x:v>
      </x:c>
      <x:c r="D161" s="28" t="str">
        <x:v>grapefruit</x:v>
      </x:c>
      <x:c r="E161" s="28" t="str">
        <x:v>Цитрусовые</x:v>
      </x:c>
      <x:c r="F161" s="28" t="str">
        <x:v>рапсовый мёд</x:v>
      </x:c>
      <x:c r="G161" s="28" t="str">
        <x:v>rapeseed honey</x:v>
      </x:c>
      <x:c r="H161" s="28" t="str">
        <x:v>Подсластители</x:v>
      </x:c>
      <x:c r="I161" s="28" t="str">
        <x:v>цитрусовый, горький, свежий, сернистый</x:v>
      </x:c>
      <x:c r="J161" s="28" t="str">
        <x:v>медовый, цветочный, карамельный</x:v>
      </x:c>
      <x:c r="K161" s="28" t="str">
        <x:v>лимонен, нооткатон, грейпфрутовые тиолы, нарингин</x:v>
      </x:c>
      <x:c r="L161" s="28" t="str">
        <x:v>фенилуксусные соединения, фураны, норизопреноиды</x:v>
      </x:c>
      <x:c r="M161" s="28" t="str">
        <x:v>прямое семейное перекрытие не является главным механизмом</x:v>
      </x:c>
      <x:c r="N161" s="28" t="str">
        <x:v>надёжный общий маркер не заявлен; сочетание объясняется семействами и сенсорным балансом</x:v>
      </x:c>
      <x:c r="O161" s="28" t="str">
        <x:v>вкусовой баланс</x:v>
      </x:c>
      <x:c r="P161" s="28" t="str">
        <x:v>Сладость подавляет воспринимаемую кислотность и горечь кожуры, а кислота не даёт сочетанию стать приторным.</x:v>
      </x:c>
      <x:c r="Q161" s="28" t="str">
        <x:v>нет выраженного; кислота усиливает слюноотделение; нет выраженного</x:v>
      </x:c>
      <x:c r="R161" s="28" t="str">
        <x:v>водная фаза сока + гидрофобные масла кожуры; сахар повышает вязкость и снижает воспринимаемую кислотность</x:v>
      </x:c>
      <x:c r="S16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61" s="28" t="str">
        <x:v>Грейпфрут формирует профиль «цитрусовый, горький, свежий, сернистый»; характерные маркеры: лимонен, нооткатон, грейпфрутовые тиолы, нарингин. Рапсовый мёд относится к группе «подсластители» и даёт ноты «медовый,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Сладость подавляет воспринимаемую кислотность и горечь кожуры, а кислота не даёт сочетанию стать приторным. Горечь задают флавоноиды, аромат кожуры — терпены и следовые тиолы. Сладость балансирует кислоту и горечь кожуры; цветочные компоненты могут поддерживать цитрус.</x:v>
      </x:c>
      <x:c r="U161"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61" s="28" t="str">
        <x:v>имбирь или ваниль</x:v>
      </x:c>
      <x:c r="W161" s="28" t="str">
        <x:v>сироп, мармелад, крем, глазурь или лимонад</x:v>
      </x:c>
      <x:c r="X161" s="28" t="str">
        <x:v>напитки, десерты</x:v>
      </x:c>
      <x:c r="Y161" s="28" t="str">
        <x:v>Средняя</x:v>
      </x:c>
      <x:c r="Z161" s="28" t="str">
        <x:v>The Art &amp; Science of Foodpairing.pdf</x:v>
      </x:c>
      <x:c r="AA161" s="28" t="str">
        <x:v>The Art &amp; Science of Foodpairing.pdf: 350</x:v>
      </x:c>
      <x:c r="AB161" s="28" t="str">
        <x:v>Пара представлена в ароматической диаграмме Foodpairing на странице 350.</x:v>
      </x:c>
      <x:c r="AC161" s="28" t="n">
        <x:v>1</x:v>
      </x:c>
      <x:c r="AD161" s="28" t="n">
        <x:v>1</x:v>
      </x:c>
    </x:row>
    <x:row r="162" ht="58" customHeight="1">
      <x:c r="A162" s="28" t="str">
        <x:v>CIT-0161</x:v>
      </x:c>
      <x:c r="B162" s="28" t="str">
        <x:v>Универсальные</x:v>
      </x:c>
      <x:c r="C162" s="28" t="str">
        <x:v>грейпфрут</x:v>
      </x:c>
      <x:c r="D162" s="28" t="str">
        <x:v>Грейпфрут</x:v>
      </x:c>
      <x:c r="E162" s="28" t="str">
        <x:v>Цитрусовые</x:v>
      </x:c>
      <x:c r="F162" s="28" t="str">
        <x:v>розмарин</x:v>
      </x:c>
      <x:c r="G162" s="28" t="str">
        <x:v>розмарин</x:v>
      </x:c>
      <x:c r="H162" s="28" t="str">
        <x:v>Травы</x:v>
      </x:c>
      <x:c r="I162" s="28" t="str">
        <x:v>цитрусовый, горький, свежий, сернистый</x:v>
      </x:c>
      <x:c r="J162" s="28" t="str">
        <x:v>травяной, хвойный, камфорный, древесный</x:v>
      </x:c>
      <x:c r="K162" s="28" t="str">
        <x:v>лимонен, нооткатон, грейпфрутовые тиолы, нарингин</x:v>
      </x:c>
      <x:c r="L162" s="28" t="str">
        <x:v>1,8-цинеол, камфора, тимол/карвакрол, альфа-пинен</x:v>
      </x:c>
      <x:c r="M162" s="28" t="str">
        <x:v>прямое семейное перекрытие не является главным механизмом</x:v>
      </x:c>
      <x:c r="N162" s="28" t="str">
        <x:v>надёжный общий маркер не заявлен; сочетание объясняется семействами и сенсорным балансом</x:v>
      </x:c>
      <x:c r="O162" s="28" t="str">
        <x:v>вкусовой баланс, тройничное восприятие</x:v>
      </x:c>
      <x:c r="P162" s="28" t="str">
        <x:v>Кислота усиливает слюноотделение и делает пряный аромат ярче; терпены цитруса образуют мост с эфирными маслами травы или специи.</x:v>
      </x:c>
      <x:c r="Q162" s="28" t="str">
        <x:v>нет выраженного; кислота усиливает слюноотделение; камфора и цинеол дают прохладно-камфорное ощущение</x:v>
      </x:c>
      <x:c r="R162" s="28" t="str">
        <x:v>водная фаза сока + гидрофобные масла кожуры; эфирные масла лучше раскрываются в жире и спирте</x:v>
      </x:c>
      <x:c r="S16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62" s="28" t="str">
        <x:v>Грейпфрут формирует профиль «цитрусовый, горький, свежий, сернистый»; характерные маркеры: лимонен, нооткатон, грейпфрутовые тиолы, нарингин.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U162"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V162" s="28" t="str">
        <x:v>оливковое масло или огурец</x:v>
      </x:c>
      <x:c r="W162" s="28" t="str">
        <x:v>лимонад, кордиал, салатная заправка или зелёный соус</x:v>
      </x:c>
      <x:c r="X162" s="28" t="str">
        <x:v>напитки, еда, соусы/маринады</x:v>
      </x:c>
      <x:c r="Y162" s="28" t="str">
        <x:v>Гипотеза / практическая</x:v>
      </x:c>
      <x:c r="Z162" s="28" t="str">
        <x:v>Таблица сочетания(1).pdf</x:v>
      </x:c>
      <x:c r="AA162" s="28" t="str">
        <x:v>Таблица сочетания(1).pdf: 9</x:v>
      </x:c>
      <x:c r="AB162" s="28" t="str">
        <x:v>Пара указана в таблице: «Грейпфрут» → колонка «Травы и специи».</x:v>
      </x:c>
      <x:c r="AC162" s="28" t="n">
        <x:v>1</x:v>
      </x:c>
      <x:c r="AD162" s="28" t="n">
        <x:v>1</x:v>
      </x:c>
    </x:row>
    <x:row r="163" ht="58" customHeight="1">
      <x:c r="A163" s="28" t="str">
        <x:v>CIT-0162</x:v>
      </x:c>
      <x:c r="B163" s="28" t="str">
        <x:v>Универсальные</x:v>
      </x:c>
      <x:c r="C163" s="28" t="str">
        <x:v>грейпфрут</x:v>
      </x:c>
      <x:c r="D163" s="28" t="str">
        <x:v>Грейпфрут</x:v>
      </x:c>
      <x:c r="E163" s="28" t="str">
        <x:v>Цитрусовые</x:v>
      </x:c>
      <x:c r="F163" s="28" t="str">
        <x:v>розовая вода</x:v>
      </x:c>
      <x:c r="G163" s="28" t="str">
        <x:v>розовая вода</x:v>
      </x:c>
      <x:c r="H163" s="28" t="str">
        <x:v>Прочее</x:v>
      </x:c>
      <x:c r="I163" s="28" t="str">
        <x:v>цитрусовый, горький, свежий, сернистый</x:v>
      </x:c>
      <x:c r="J163" s="28" t="str">
        <x:v>нейтральный/специфический</x:v>
      </x:c>
      <x:c r="K163" s="28" t="str">
        <x:v>лимонен, нооткатон, грейпфрутовые тиолы, нарингин</x:v>
      </x:c>
      <x:c r="L163" s="28" t="str">
        <x:v>нужен профиль конкретного продукта</x:v>
      </x:c>
      <x:c r="M163" s="28" t="str">
        <x:v>прямое семейное перекрытие не является главным механизмом</x:v>
      </x:c>
      <x:c r="N163" s="28" t="str">
        <x:v>надёжный общий маркер не заявлен; сочетание объясняется семействами и сенсорным балансом</x:v>
      </x:c>
      <x:c r="O163" s="28" t="str">
        <x:v>вкусовой баланс, тройничное восприятие</x:v>
      </x:c>
      <x:c r="P163" s="28" t="str">
        <x:v>Основной эффект определяется ароматическим контрастом и добавлением кислотной свежести; точный баланс зависит от дозировки и матрицы.</x:v>
      </x:c>
      <x:c r="Q163" s="28" t="str">
        <x:v>нет выраженного; кислота усиливает слюноотделение; нет данных</x:v>
      </x:c>
      <x:c r="R163" s="28" t="str">
        <x:v>водная фаза сока + гидрофобные масла кожуры; зависит от формы продукта</x:v>
      </x:c>
      <x:c r="S16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63" s="28" t="str">
        <x:v>Грейпфрут формирует профиль «цитрусовый, горький, свежий, сернистый»; характерные маркеры: лимонен, нооткатон, грейпфрутовые тиолы, нарингин. Розовая вода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63"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63" s="28" t="str">
        <x:v>мёд или нейтральная жировая основа</x:v>
      </x:c>
      <x:c r="W163" s="28" t="str">
        <x:v>соус, напиток или десерт после пробной дегустации</x:v>
      </x:c>
      <x:c r="X163" s="28" t="str">
        <x:v>универсальное</x:v>
      </x:c>
      <x:c r="Y163" s="28" t="str">
        <x:v>Гипотеза / практическая</x:v>
      </x:c>
      <x:c r="Z163" s="28" t="str">
        <x:v>Таблица сочетания(1).pdf</x:v>
      </x:c>
      <x:c r="AA163" s="28" t="str">
        <x:v>Таблица сочетания(1).pdf: 9</x:v>
      </x:c>
      <x:c r="AB163" s="28" t="str">
        <x:v>Пара указана в таблице: «Грейпфрут» → колонка «Другое».</x:v>
      </x:c>
      <x:c r="AC163" s="28" t="n">
        <x:v>1</x:v>
      </x:c>
      <x:c r="AD163" s="28" t="n">
        <x:v>1</x:v>
      </x:c>
    </x:row>
    <x:row r="164" ht="58" customHeight="1">
      <x:c r="A164" s="28" t="str">
        <x:v>CIT-0163</x:v>
      </x:c>
      <x:c r="B164" s="28" t="str">
        <x:v>Напитки</x:v>
      </x:c>
      <x:c r="C164" s="28" t="str">
        <x:v>грейпфрут</x:v>
      </x:c>
      <x:c r="D164" s="28" t="str">
        <x:v>Грейпфрут</x:v>
      </x:c>
      <x:c r="E164" s="28" t="str">
        <x:v>Цитрусовые</x:v>
      </x:c>
      <x:c r="F164" s="28" t="str">
        <x:v>ромашка</x:v>
      </x:c>
      <x:c r="G164" s="28" t="str">
        <x:v>ромашка</x:v>
      </x:c>
      <x:c r="H164" s="28" t="str">
        <x:v>Алкогольные напитки</x:v>
      </x:c>
      <x:c r="I164" s="28" t="str">
        <x:v>цитрусовый, горький, свежий, сернистый</x:v>
      </x:c>
      <x:c r="J164" s="28" t="str">
        <x:v>зависит от основы, эфирный, древесный/пряный</x:v>
      </x:c>
      <x:c r="K164" s="28" t="str">
        <x:v>лимонен, нооткатон, грейпфрутовые тиолы, нарингин</x:v>
      </x:c>
      <x:c r="L164" s="28" t="str">
        <x:v>этанол, эфиры, терпены/дубовые соединения</x:v>
      </x:c>
      <x:c r="M164" s="28" t="str">
        <x:v>прямое семейное перекрытие не является главным механизмом</x:v>
      </x:c>
      <x:c r="N164" s="28" t="str">
        <x:v>надёжный общий маркер не заявлен; сочетание объясняется семействами и сенсорным балансом</x:v>
      </x:c>
      <x:c r="O164" s="28" t="str">
        <x:v>вкусовой баланс, тройничное восприятие, влияние матрицы/растворимости</x:v>
      </x:c>
      <x:c r="P164" s="28" t="str">
        <x:v>Этанол усиливает летучесть терпенов и ощущение тепла; сахар и вода регулируют кислотность, горечь кожуры и спиртуозность.</x:v>
      </x:c>
      <x:c r="Q164" s="28" t="str">
        <x:v>нет выраженного; кислота усиливает слюноотделение; этанол усиливает тепло и летучесть аромата</x:v>
      </x:c>
      <x:c r="R164" s="28" t="str">
        <x:v>водная фаза сока + гидрофобные масла кожуры; этанол — хороший растворитель гидрофобных эфирных масел</x:v>
      </x:c>
      <x:c r="S164"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164" s="28" t="str">
        <x:v>Грейпфрут формирует профиль «цитрусовый, горький, свежий, сернистый»; характерные маркеры: лимонен, нооткатон, грейпфрутовые тиолы, нарингин. Ромашка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Горечь задают флавоноиды, аромат кожуры — терпены и следовые тиолы. Спирт извлекает цедру и усиливает ретроназальный выход терпенов; сахар и разбавление меняют баланс.</x:v>
      </x:c>
      <x:c r="U16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64" s="28" t="str">
        <x:v>сахарный сироп или биттер</x:v>
      </x:c>
      <x:c r="W164" s="28" t="str">
        <x:v>коктейль, спритц, настойка, ликёр или кордиал</x:v>
      </x:c>
      <x:c r="X164" s="28" t="str">
        <x:v>напитки</x:v>
      </x:c>
      <x:c r="Y164" s="28" t="str">
        <x:v>Гипотеза / практическая</x:v>
      </x:c>
      <x:c r="Z164" s="28" t="str">
        <x:v>Таблица сочетания(1).pdf</x:v>
      </x:c>
      <x:c r="AA164" s="28" t="str">
        <x:v>Таблица сочетания(1).pdf: 9</x:v>
      </x:c>
      <x:c r="AB164" s="28" t="str">
        <x:v>Пара указана в таблице: «Грейпфрут» → колонка «Другое».</x:v>
      </x:c>
      <x:c r="AC164" s="28" t="n">
        <x:v>1</x:v>
      </x:c>
      <x:c r="AD164" s="28" t="n">
        <x:v>1</x:v>
      </x:c>
    </x:row>
    <x:row r="165" ht="58" customHeight="1">
      <x:c r="A165" s="28" t="str">
        <x:v>CIT-0164</x:v>
      </x:c>
      <x:c r="B165" s="28" t="str">
        <x:v>Еда и соусы</x:v>
      </x:c>
      <x:c r="C165" s="28" t="str">
        <x:v>грейпфрут</x:v>
      </x:c>
      <x:c r="D165" s="28" t="str">
        <x:v>Грейпфрут | грейпфрут</x:v>
      </x:c>
      <x:c r="E165" s="28" t="str">
        <x:v>Цитрусовые</x:v>
      </x:c>
      <x:c r="F165" s="28" t="str">
        <x:v>свинина</x:v>
      </x:c>
      <x:c r="G165" s="28" t="str">
        <x:v>Свинина | свинина</x:v>
      </x:c>
      <x:c r="H165" s="28" t="str">
        <x:v>Мясо и птица</x:v>
      </x:c>
      <x:c r="I165" s="28" t="str">
        <x:v>цитрусовый, горький, свежий, сернистый</x:v>
      </x:c>
      <x:c r="J165" s="28" t="str">
        <x:v>жареный, мясной, сернистый, жирный</x:v>
      </x:c>
      <x:c r="K165" s="28" t="str">
        <x:v>лимонен, нооткатон, грейпфрутовые тиолы, нарингин</x:v>
      </x:c>
      <x:c r="L165" s="28" t="str">
        <x:v>пиразины, тиазолы, альдегиды жиров, сернистые соединения</x:v>
      </x:c>
      <x:c r="M165" s="28" t="str">
        <x:v>сернистый</x:v>
      </x:c>
      <x:c r="N165" s="28" t="str">
        <x:v>надёжный общий маркер не заявлен; сочетание объясняется семействами и сенсорным балансом</x:v>
      </x:c>
      <x:c r="O165" s="28" t="str">
        <x:v>перекрытие ароматических семейств, вкусовой баланс, влияние матрицы/растворимости</x:v>
      </x:c>
      <x:c r="P165" s="28" t="str">
        <x:v>Кислотность и лёгкая горечь цитруса снижают ощущение жирности; соль и умами, в свою очередь, делают фруктовую часть менее резкой.</x:v>
      </x:c>
      <x:c r="Q165" s="28" t="str">
        <x:v>нет выраженного; кислота усиливает слюноотделение; нет выраженного</x:v>
      </x:c>
      <x:c r="R165" s="28" t="str">
        <x:v>водная фаза сока + гидрофобные масла кожуры; жир удерживает терпеновые масла; кислота снижает ощущение жирности</x:v>
      </x:c>
      <x:c r="S16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165" s="28" t="str">
        <x:v>Грейпфрут формирует профиль «цитрусовый, горький, свежий, сернистый»; характерные маркеры: лимонен, нооткатон, грейпфрутовые тиолы, нарингин. Свинина относится к группе «мясо и птица» и даёт ноты «жареный, мясной, сернистый, жирный». Прямой общий ключевой одорант из доступных профилей не фиксируется, однако продукты пересекаются на уровне семейств: сернистый.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создаёт контраст с реакциями Майяра и освежает мясную матрицу.</x:v>
      </x:c>
      <x:c r="U165" s="28" t="str">
        <x:v>Избыток кислоты делает вкус плоско-резким; белая часть кожуры даёт лишнюю горечь; слишком долгая маринация ухудшает текстуру; горечь нооткатона и нарингина требует контроля сахара и соли.</x:v>
      </x:c>
      <x:c r="V165" s="28" t="str">
        <x:v>розмарин или чёрный перец</x:v>
      </x:c>
      <x:c r="W165" s="28" t="str">
        <x:v>маринад, глазурь, соус, жаркое или салат</x:v>
      </x:c>
      <x:c r="X165" s="28" t="str">
        <x:v>еда, соусы/маринады</x:v>
      </x:c>
      <x:c r="Y165" s="28" t="str">
        <x:v>Высокая</x:v>
      </x:c>
      <x:c r="Z165" s="28" t="str">
        <x:v>Тезариус вкусов (Ники Сегнит)(1).pdf</x:v>
      </x:c>
      <x:c r="AA165" s="28" t="str">
        <x:v>Тезариус вкусов (Ники Сегнит)(1).pdf: 82, 789</x:v>
      </x:c>
      <x:c r="AB165" s="28" t="str">
        <x:v>Несколько лет назад я ле- жала на залитом солнцем пляже в Антигуа. Прохладный бриз шевелил кроны пальм, песок был белым и мелким, как сахарная пудра, а вулкан на отдаленном острове Монтсеррат еще переводил дух после извержения, которое произошло полгода назад. В общем, все говорило о том, что скоро я окажусь в раю. А потом до меня донесся аромат жареной свинины – и я действительно оказалась в раю. Я перевернулась на живот – в основном для того, чтобы остановить его урчание. В тени деревьев, бахр</x:v>
      </x:c>
      <x:c r="AC165" s="28" t="n">
        <x:v>1</x:v>
      </x:c>
      <x:c r="AD165" s="28" t="n">
        <x:v>2</x:v>
      </x:c>
    </x:row>
    <x:row r="166" ht="58" customHeight="1">
      <x:c r="A166" s="28" t="str">
        <x:v>CIT-0165</x:v>
      </x:c>
      <x:c r="B166" s="28" t="str">
        <x:v>Универсальные</x:v>
      </x:c>
      <x:c r="C166" s="28" t="str">
        <x:v>грейпфрут</x:v>
      </x:c>
      <x:c r="D166" s="28" t="str">
        <x:v>grapefruit</x:v>
      </x:c>
      <x:c r="E166" s="28" t="str">
        <x:v>Цитрусовые</x:v>
      </x:c>
      <x:c r="F166" s="28" t="str">
        <x:v>сушёная припприока</x:v>
      </x:c>
      <x:c r="G166" s="28" t="str">
        <x:v>dried priprioca</x:v>
      </x:c>
      <x:c r="H166" s="28" t="str">
        <x:v>Прочее</x:v>
      </x:c>
      <x:c r="I166" s="28" t="str">
        <x:v>цитрусовый, горький, свежий, сернистый</x:v>
      </x:c>
      <x:c r="J166" s="28" t="str">
        <x:v>нейтральный/специфический</x:v>
      </x:c>
      <x:c r="K166" s="28" t="str">
        <x:v>лимонен, нооткатон, грейпфрутовые тиолы, нарингин</x:v>
      </x:c>
      <x:c r="L166" s="28" t="str">
        <x:v>нужен профиль конкретного продукта</x:v>
      </x:c>
      <x:c r="M166" s="28" t="str">
        <x:v>прямое семейное перекрытие не является главным механизмом</x:v>
      </x:c>
      <x:c r="N166" s="28" t="str">
        <x:v>надёжный общий маркер не заявлен; сочетание объясняется семействами и сенсорным балансом</x:v>
      </x:c>
      <x:c r="O166" s="28" t="str">
        <x:v>вкусовой баланс, тройничное восприятие</x:v>
      </x:c>
      <x:c r="P166" s="28" t="str">
        <x:v>Основной эффект определяется ароматическим контрастом и добавлением кислотной свежести; точный баланс зависит от дозировки и матрицы.</x:v>
      </x:c>
      <x:c r="Q166" s="28" t="str">
        <x:v>нет выраженного; кислота усиливает слюноотделение; нет данных</x:v>
      </x:c>
      <x:c r="R166" s="28" t="str">
        <x:v>водная фаза сока + гидрофобные масла кожуры; зависит от формы продукта</x:v>
      </x:c>
      <x:c r="S16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66" s="28" t="str">
        <x:v>Грейпфрут формирует профиль «цитрусовый, горький, свежий, сернистый»; характерные маркеры: лимонен, нооткатон, грейпфрутовые тиолы, нарингин. Сушёная припприока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66"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66" s="28" t="str">
        <x:v>мёд или нейтральная жировая основа</x:v>
      </x:c>
      <x:c r="W166" s="28" t="str">
        <x:v>соус, напиток или десерт после пробной дегустации</x:v>
      </x:c>
      <x:c r="X166" s="28" t="str">
        <x:v>универсальное</x:v>
      </x:c>
      <x:c r="Y166" s="28" t="str">
        <x:v>Средняя</x:v>
      </x:c>
      <x:c r="Z166" s="28" t="str">
        <x:v>The Art &amp; Science of Foodpairing.pdf</x:v>
      </x:c>
      <x:c r="AA166" s="28" t="str">
        <x:v>The Art &amp; Science of Foodpairing.pdf: 274</x:v>
      </x:c>
      <x:c r="AB166" s="28" t="str">
        <x:v>Пара представлена в ароматической диаграмме Foodpairing на странице 274.</x:v>
      </x:c>
      <x:c r="AC166" s="28" t="n">
        <x:v>1</x:v>
      </x:c>
      <x:c r="AD166" s="28" t="n">
        <x:v>1</x:v>
      </x:c>
    </x:row>
    <x:row r="167" ht="58" customHeight="1">
      <x:c r="A167" s="28" t="str">
        <x:v>CIT-0166</x:v>
      </x:c>
      <x:c r="B167" s="28" t="str">
        <x:v>Десерты и выпечка</x:v>
      </x:c>
      <x:c r="C167" s="28" t="str">
        <x:v>грейпфрут</x:v>
      </x:c>
      <x:c r="D167" s="28" t="str">
        <x:v>grapefruit</x:v>
      </x:c>
      <x:c r="E167" s="28" t="str">
        <x:v>Цитрусовые</x:v>
      </x:c>
      <x:c r="F167" s="28" t="str">
        <x:v>сыр Bouton de Culotte</x:v>
      </x:c>
      <x:c r="G167" s="28" t="str">
        <x:v>Bouton de Culotte</x:v>
      </x:c>
      <x:c r="H167" s="28" t="str">
        <x:v>Молочные продукты</x:v>
      </x:c>
      <x:c r="I167" s="28" t="str">
        <x:v>цитрусовый, горький, свежий, сернистый</x:v>
      </x:c>
      <x:c r="J167" s="28" t="str">
        <x:v>сливочный, молочный, масляный, иногда животный</x:v>
      </x:c>
      <x:c r="K167" s="28" t="str">
        <x:v>лимонен, нооткатон, грейпфрутовые тиолы, нарингин</x:v>
      </x:c>
      <x:c r="L167" s="28" t="str">
        <x:v>диацетил, молочные лактоны, свободные жирные кислоты</x:v>
      </x:c>
      <x:c r="M167" s="28" t="str">
        <x:v>прямое семейное перекрытие не является главным механизмом</x:v>
      </x:c>
      <x:c r="N167" s="28" t="str">
        <x:v>надёжный общий маркер не заявлен; сочетание объясняется семействами и сенсорным балансом</x:v>
      </x:c>
      <x:c r="O167" s="28" t="str">
        <x:v>вкусовой баланс, влияние матрицы/растворимости</x:v>
      </x:c>
      <x:c r="P167" s="28" t="str">
        <x:v>Кислотность и лёгкая горечь цитруса снижают ощущение жирности; соль и умами, в свою очередь, делают фруктовую часть менее резкой.</x:v>
      </x:c>
      <x:c r="Q167" s="28" t="str">
        <x:v>нет выраженного; кислота усиливает слюноотделение; нет выраженного</x:v>
      </x:c>
      <x:c r="R167" s="28" t="str">
        <x:v>водная фаза сока + гидрофобные масла кожуры; жир растворяет терпены; кислота цитруса может коагулировать молочный белок</x:v>
      </x:c>
      <x:c r="S167"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167" s="28" t="str">
        <x:v>Грейпфрут формирует профиль «цитрусовый, горький, свежий, сернистый»; характерные маркеры: лимонен, нооткатон, грейпфрутовые тиолы, нарингин. Сыр bouton de culotte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режет жирность и освежает, а молочная матрица смягчает кислотность.</x:v>
      </x:c>
      <x:c r="U167" s="28" t="str">
        <x:v>Избыток кислоты делает вкус плоско-резким; белая часть кожуры даёт лишнюю горечь; возможна коагуляция белка; горечь нооткатона и нарингина требует контроля сахара и соли.</x:v>
      </x:c>
      <x:c r="V167" s="28" t="str">
        <x:v>мёд или ваниль</x:v>
      </x:c>
      <x:c r="W167" s="28" t="str">
        <x:v>чизкейк, крем, мороженое, соус или салат</x:v>
      </x:c>
      <x:c r="X167" s="28" t="str">
        <x:v>десерты, еда</x:v>
      </x:c>
      <x:c r="Y167" s="28" t="str">
        <x:v>Средняя</x:v>
      </x:c>
      <x:c r="Z167" s="28" t="str">
        <x:v>The Art &amp; Science of Foodpairing.pdf</x:v>
      </x:c>
      <x:c r="AA167" s="28" t="str">
        <x:v>The Art &amp; Science of Foodpairing.pdf: 358</x:v>
      </x:c>
      <x:c r="AB167" s="28" t="str">
        <x:v>Пара представлена в ароматической диаграмме Foodpairing на странице 358.</x:v>
      </x:c>
      <x:c r="AC167" s="28" t="n">
        <x:v>1</x:v>
      </x:c>
      <x:c r="AD167" s="28" t="n">
        <x:v>2</x:v>
      </x:c>
    </x:row>
    <x:row r="168" ht="58" customHeight="1">
      <x:c r="A168" s="28" t="str">
        <x:v>CIT-0167</x:v>
      </x:c>
      <x:c r="B168" s="28" t="str">
        <x:v>Универсальные</x:v>
      </x:c>
      <x:c r="C168" s="28" t="str">
        <x:v>грейпфрут</x:v>
      </x:c>
      <x:c r="D168" s="28" t="str">
        <x:v>грейпфрут</x:v>
      </x:c>
      <x:c r="E168" s="28" t="str">
        <x:v>Цитрусовые</x:v>
      </x:c>
      <x:c r="F168" s="28" t="str">
        <x:v>танжерин (tangerine)</x:v>
      </x:c>
      <x:c r="G168" s="28" t="str">
        <x:v>Танжерин (tangerine)</x:v>
      </x:c>
      <x:c r="H168" s="28" t="str">
        <x:v>Цитрусовые</x:v>
      </x:c>
      <x:c r="I168" s="28" t="str">
        <x:v>цитрусовый, горький, свежий, сернистый</x:v>
      </x:c>
      <x:c r="J168" s="28" t="str">
        <x:v>цитрусовый, фруктовый, цветочный, пряный</x:v>
      </x:c>
      <x:c r="K168" s="28" t="str">
        <x:v>лимонен, нооткатон, грейпфрутовые тиолы, нарингин</x:v>
      </x:c>
      <x:c r="L168" s="28" t="str">
        <x:v>лимонен, гамма-терпинен, метил-N-метилантранилат, линалол</x:v>
      </x:c>
      <x:c r="M168" s="28" t="str">
        <x:v>цитрусовый</x:v>
      </x:c>
      <x:c r="N168" s="28" t="str">
        <x:v>лимонен</x:v>
      </x:c>
      <x:c r="O168" s="28" t="str">
        <x:v>общие ароматические молекулы, перекрытие ароматических семейств, вкусовой баланс</x:v>
      </x:c>
      <x:c r="P168" s="28" t="str">
        <x:v>Сочетание строится на близком терпеновом профиле; различия в кислотности, горечи и цветочно-зелёных оттенках создают объём.</x:v>
      </x:c>
      <x:c r="Q168" s="28" t="str">
        <x:v>нет выраженного; кислота усиливает слюноотделение; нет выраженного</x:v>
      </x:c>
      <x:c r="R168" s="28" t="str">
        <x:v>водная фаза сока + гидрофобные масла кожуры; сок водный; кожура богата эфирным маслом</x:v>
      </x:c>
      <x:c r="S16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68" s="28" t="str">
        <x:v>Грейпфрут формирует профиль «цитрусовый, горький, свежий, сернистый»; характерные маркеры: лимонен, нооткатон, грейпфрутовые тиолы, нарингин. Танжерин (tangerine) относится к группе «цитрусовые» и даёт ноты «цитрусовый, фруктовый, цветочный, пряный».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Мандариновая группа мягче по кислотности и выраженнее по сладко-цветочным нотам.</x:v>
      </x:c>
      <x:c r="U168"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68" s="28" t="str">
        <x:v>мёд или цветочная вода</x:v>
      </x:c>
      <x:c r="W168" s="28" t="str">
        <x:v>цитрусовый кордиал, мармелад, сорбет, салат или купаж соков</x:v>
      </x:c>
      <x:c r="X168" s="28" t="str">
        <x:v>напитки, десерты</x:v>
      </x:c>
      <x:c r="Y168" s="28" t="str">
        <x:v>Средняя</x:v>
      </x:c>
      <x:c r="Z168" s="28" t="str">
        <x:v>Таблица сочетания(1).pdf</x:v>
      </x:c>
      <x:c r="AA168" s="28" t="str">
        <x:v>Таблица сочетания(1).pdf: 21</x:v>
      </x:c>
      <x:c r="AB168" s="28" t="str">
        <x:v>Пара указана в таблице: «Танжерин (tangerine)» → колонка «Фрукты».</x:v>
      </x:c>
      <x:c r="AC168" s="28" t="n">
        <x:v>1</x:v>
      </x:c>
      <x:c r="AD168" s="28" t="n">
        <x:v>1</x:v>
      </x:c>
    </x:row>
    <x:row r="169" ht="58" customHeight="1">
      <x:c r="A169" s="28" t="str">
        <x:v>CIT-0168</x:v>
      </x:c>
      <x:c r="B169" s="28" t="str">
        <x:v>Универсальные</x:v>
      </x:c>
      <x:c r="C169" s="28" t="str">
        <x:v>грейпфрут</x:v>
      </x:c>
      <x:c r="D169" s="28" t="str">
        <x:v>грейпфрут</x:v>
      </x:c>
      <x:c r="E169" s="28" t="str">
        <x:v>Цитрусовые</x:v>
      </x:c>
      <x:c r="F169" s="28" t="str">
        <x:v>тархун</x:v>
      </x:c>
      <x:c r="G169" s="28" t="str">
        <x:v>Тархун</x:v>
      </x:c>
      <x:c r="H169" s="28" t="str">
        <x:v>Прочее</x:v>
      </x:c>
      <x:c r="I169" s="28" t="str">
        <x:v>цитрусовый, горький, свежий, сернистый</x:v>
      </x:c>
      <x:c r="J169" s="28" t="str">
        <x:v>нейтральный/специфический</x:v>
      </x:c>
      <x:c r="K169" s="28" t="str">
        <x:v>лимонен, нооткатон, грейпфрутовые тиолы, нарингин</x:v>
      </x:c>
      <x:c r="L169" s="28" t="str">
        <x:v>нужен профиль конкретного продукта</x:v>
      </x:c>
      <x:c r="M169" s="28" t="str">
        <x:v>прямое семейное перекрытие не является главным механизмом</x:v>
      </x:c>
      <x:c r="N169" s="28" t="str">
        <x:v>надёжный общий маркер не заявлен; сочетание объясняется семействами и сенсорным балансом</x:v>
      </x:c>
      <x:c r="O169" s="28" t="str">
        <x:v>вкусовой баланс, тройничное восприятие</x:v>
      </x:c>
      <x:c r="P169" s="28" t="str">
        <x:v>Основной эффект определяется ароматическим контрастом и добавлением кислотной свежести; точный баланс зависит от дозировки и матрицы.</x:v>
      </x:c>
      <x:c r="Q169" s="28" t="str">
        <x:v>нет выраженного; кислота усиливает слюноотделение; нет данных</x:v>
      </x:c>
      <x:c r="R169" s="28" t="str">
        <x:v>водная фаза сока + гидрофобные масла кожуры; зависит от формы продукта</x:v>
      </x:c>
      <x:c r="S16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69" s="28" t="str">
        <x:v>Грейпфрут формирует профиль «цитрусовый, горький, свежий, сернистый»; характерные маркеры: лимонен, нооткатон, грейпфрутовые тиолы, нарингин. Тархун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69"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69" s="28" t="str">
        <x:v>мёд или нейтральная жировая основа</x:v>
      </x:c>
      <x:c r="W169" s="28" t="str">
        <x:v>соус, напиток или десерт после пробной дегустации</x:v>
      </x:c>
      <x:c r="X169" s="28" t="str">
        <x:v>универсальное</x:v>
      </x:c>
      <x:c r="Y169" s="28" t="str">
        <x:v>Гипотеза / практическая</x:v>
      </x:c>
      <x:c r="Z169" s="28" t="str">
        <x:v>Таблица сочетания(1).pdf</x:v>
      </x:c>
      <x:c r="AA169" s="28" t="str">
        <x:v>Таблица сочетания(1).pdf: 21</x:v>
      </x:c>
      <x:c r="AB169" s="28" t="str">
        <x:v>Пара указана в таблице: «Тархун» → колонка «Фрукты».</x:v>
      </x:c>
      <x:c r="AC169" s="28" t="n">
        <x:v>1</x:v>
      </x:c>
      <x:c r="AD169" s="28" t="n">
        <x:v>1</x:v>
      </x:c>
    </x:row>
    <x:row r="170" ht="58" customHeight="1">
      <x:c r="A170" s="28" t="str">
        <x:v>CIT-0169</x:v>
      </x:c>
      <x:c r="B170" s="28" t="str">
        <x:v>Универсальные</x:v>
      </x:c>
      <x:c r="C170" s="28" t="str">
        <x:v>грейпфрут</x:v>
      </x:c>
      <x:c r="D170" s="28" t="str">
        <x:v>грейпфрут</x:v>
      </x:c>
      <x:c r="E170" s="28" t="str">
        <x:v>Цитрусовые</x:v>
      </x:c>
      <x:c r="F170" s="28" t="str">
        <x:v>тимьян</x:v>
      </x:c>
      <x:c r="G170" s="28" t="str">
        <x:v>Тимьян</x:v>
      </x:c>
      <x:c r="H170" s="28" t="str">
        <x:v>Травы</x:v>
      </x:c>
      <x:c r="I170" s="28" t="str">
        <x:v>цитрусовый, горький, свежий, сернистый</x:v>
      </x:c>
      <x:c r="J170" s="28" t="str">
        <x:v>травяной, хвойный, камфорный, древесный</x:v>
      </x:c>
      <x:c r="K170" s="28" t="str">
        <x:v>лимонен, нооткатон, грейпфрутовые тиолы, нарингин</x:v>
      </x:c>
      <x:c r="L170" s="28" t="str">
        <x:v>1,8-цинеол, камфора, тимол/карвакрол, альфа-пинен</x:v>
      </x:c>
      <x:c r="M170" s="28" t="str">
        <x:v>прямое семейное перекрытие не является главным механизмом</x:v>
      </x:c>
      <x:c r="N170" s="28" t="str">
        <x:v>надёжный общий маркер не заявлен; сочетание объясняется семействами и сенсорным балансом</x:v>
      </x:c>
      <x:c r="O170" s="28" t="str">
        <x:v>вкусовой баланс, тройничное восприятие</x:v>
      </x:c>
      <x:c r="P170" s="28" t="str">
        <x:v>Кислота усиливает слюноотделение и делает пряный аромат ярче; терпены цитруса образуют мост с эфирными маслами травы или специи.</x:v>
      </x:c>
      <x:c r="Q170" s="28" t="str">
        <x:v>нет выраженного; кислота усиливает слюноотделение; камфора и цинеол дают прохладно-камфорное ощущение</x:v>
      </x:c>
      <x:c r="R170" s="28" t="str">
        <x:v>водная фаза сока + гидрофобные масла кожуры; эфирные масла лучше раскрываются в жире и спирте</x:v>
      </x:c>
      <x:c r="S17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70" s="28" t="str">
        <x:v>Грейпфрут формирует профиль «цитрусовый, горький, свежий, сернистый»; характерные маркеры: лимонен, нооткатон, грейпфрутовые тиолы, нарингин.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U170"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V170" s="28" t="str">
        <x:v>оливковое масло или огурец</x:v>
      </x:c>
      <x:c r="W170" s="28" t="str">
        <x:v>лимонад, кордиал, салатная заправка или зелёный соус</x:v>
      </x:c>
      <x:c r="X170" s="28" t="str">
        <x:v>напитки, еда, соусы/маринады</x:v>
      </x:c>
      <x:c r="Y170" s="28" t="str">
        <x:v>Гипотеза / практическая</x:v>
      </x:c>
      <x:c r="Z170" s="28" t="str">
        <x:v>Таблица сочетания(1).pdf</x:v>
      </x:c>
      <x:c r="AA170" s="28" t="str">
        <x:v>Таблица сочетания(1).pdf: 21</x:v>
      </x:c>
      <x:c r="AB170" s="28" t="str">
        <x:v>Пара указана в таблице: «Тимьян» → колонка «Фрукты».</x:v>
      </x:c>
      <x:c r="AC170" s="28" t="n">
        <x:v>1</x:v>
      </x:c>
      <x:c r="AD170" s="28" t="n">
        <x:v>1</x:v>
      </x:c>
    </x:row>
    <x:row r="171" ht="58" customHeight="1">
      <x:c r="A171" s="28" t="str">
        <x:v>CIT-0170</x:v>
      </x:c>
      <x:c r="B171" s="28" t="str">
        <x:v>Универсальные</x:v>
      </x:c>
      <x:c r="C171" s="28" t="str">
        <x:v>грейпфрут</x:v>
      </x:c>
      <x:c r="D171" s="28" t="str">
        <x:v>grapefruit</x:v>
      </x:c>
      <x:c r="E171" s="28" t="str">
        <x:v>Цитрусовые</x:v>
      </x:c>
      <x:c r="F171" s="28" t="str">
        <x:v>тмин</x:v>
      </x:c>
      <x:c r="G171" s="28" t="str">
        <x:v>caraway seeds</x:v>
      </x:c>
      <x:c r="H171" s="28" t="str">
        <x:v>Прочее</x:v>
      </x:c>
      <x:c r="I171" s="28" t="str">
        <x:v>цитрусовый, горький, свежий, сернистый</x:v>
      </x:c>
      <x:c r="J171" s="28" t="str">
        <x:v>нейтральный/специфический</x:v>
      </x:c>
      <x:c r="K171" s="28" t="str">
        <x:v>лимонен, нооткатон, грейпфрутовые тиолы, нарингин</x:v>
      </x:c>
      <x:c r="L171" s="28" t="str">
        <x:v>нужен профиль конкретного продукта</x:v>
      </x:c>
      <x:c r="M171" s="28" t="str">
        <x:v>прямое семейное перекрытие не является главным механизмом</x:v>
      </x:c>
      <x:c r="N171" s="28" t="str">
        <x:v>надёжный общий маркер не заявлен; сочетание объясняется семействами и сенсорным балансом</x:v>
      </x:c>
      <x:c r="O171" s="28" t="str">
        <x:v>вкусовой баланс, тройничное восприятие</x:v>
      </x:c>
      <x:c r="P171" s="28" t="str">
        <x:v>Основной эффект определяется ароматическим контрастом и добавлением кислотной свежести; точный баланс зависит от дозировки и матрицы.</x:v>
      </x:c>
      <x:c r="Q171" s="28" t="str">
        <x:v>нет выраженного; кислота усиливает слюноотделение; нет данных</x:v>
      </x:c>
      <x:c r="R171" s="28" t="str">
        <x:v>водная фаза сока + гидрофобные масла кожуры; зависит от формы продукта</x:v>
      </x:c>
      <x:c r="S17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71" s="28" t="str">
        <x:v>Грейпфрут формирует профиль «цитрусовый, горький, свежий, сернистый»; характерные маркеры: лимонен, нооткатон, грейпфрутовые тиолы, нарингин. Тмин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71"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71" s="28" t="str">
        <x:v>мёд или нейтральная жировая основа</x:v>
      </x:c>
      <x:c r="W171" s="28" t="str">
        <x:v>соус, напиток или десерт после пробной дегустации</x:v>
      </x:c>
      <x:c r="X171" s="28" t="str">
        <x:v>универсальное</x:v>
      </x:c>
      <x:c r="Y171" s="28" t="str">
        <x:v>Средняя</x:v>
      </x:c>
      <x:c r="Z171" s="28" t="str">
        <x:v>The Art &amp; Science of Foodpairing.pdf</x:v>
      </x:c>
      <x:c r="AA171" s="28" t="str">
        <x:v>The Art &amp; Science of Foodpairing.pdf: 98</x:v>
      </x:c>
      <x:c r="AB171" s="28" t="str">
        <x:v>Пара представлена в ароматической диаграмме Foodpairing на странице 98.</x:v>
      </x:c>
      <x:c r="AC171" s="28" t="n">
        <x:v>1</x:v>
      </x:c>
      <x:c r="AD171" s="28" t="n">
        <x:v>1</x:v>
      </x:c>
    </x:row>
    <x:row r="172" ht="58" customHeight="1">
      <x:c r="A172" s="28" t="str">
        <x:v>CIT-0171</x:v>
      </x:c>
      <x:c r="B172" s="28" t="str">
        <x:v>Универсальные</x:v>
      </x:c>
      <x:c r="C172" s="28" t="str">
        <x:v>грейпфрут</x:v>
      </x:c>
      <x:c r="D172" s="28" t="str">
        <x:v>грейпфрут</x:v>
      </x:c>
      <x:c r="E172" s="28" t="str">
        <x:v>Цитрусовые</x:v>
      </x:c>
      <x:c r="F172" s="28" t="str">
        <x:v>хурма</x:v>
      </x:c>
      <x:c r="G172" s="28" t="str">
        <x:v>Хурма</x:v>
      </x:c>
      <x:c r="H172" s="28" t="str">
        <x:v>Прочее</x:v>
      </x:c>
      <x:c r="I172" s="28" t="str">
        <x:v>цитрусовый, горький, свежий, сернистый</x:v>
      </x:c>
      <x:c r="J172" s="28" t="str">
        <x:v>нейтральный/специфический</x:v>
      </x:c>
      <x:c r="K172" s="28" t="str">
        <x:v>лимонен, нооткатон, грейпфрутовые тиолы, нарингин</x:v>
      </x:c>
      <x:c r="L172" s="28" t="str">
        <x:v>нужен профиль конкретного продукта</x:v>
      </x:c>
      <x:c r="M172" s="28" t="str">
        <x:v>прямое семейное перекрытие не является главным механизмом</x:v>
      </x:c>
      <x:c r="N172" s="28" t="str">
        <x:v>надёжный общий маркер не заявлен; сочетание объясняется семействами и сенсорным балансом</x:v>
      </x:c>
      <x:c r="O172" s="28" t="str">
        <x:v>вкусовой баланс, тройничное восприятие</x:v>
      </x:c>
      <x:c r="P172" s="28" t="str">
        <x:v>Основной эффект определяется ароматическим контрастом и добавлением кислотной свежести; точный баланс зависит от дозировки и матрицы.</x:v>
      </x:c>
      <x:c r="Q172" s="28" t="str">
        <x:v>нет выраженного; кислота усиливает слюноотделение; нет данных</x:v>
      </x:c>
      <x:c r="R172" s="28" t="str">
        <x:v>водная фаза сока + гидрофобные масла кожуры; зависит от формы продукта</x:v>
      </x:c>
      <x:c r="S17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72" s="28" t="str">
        <x:v>Грейпфрут формирует профиль «цитрусовый, горький, свежий, сернистый»; характерные маркеры: лимонен, нооткатон, грейпфрутовые тиолы, нарингин. Хурма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72"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72" s="28" t="str">
        <x:v>мёд или нейтральная жировая основа</x:v>
      </x:c>
      <x:c r="W172" s="28" t="str">
        <x:v>соус, напиток или десерт после пробной дегустации</x:v>
      </x:c>
      <x:c r="X172" s="28" t="str">
        <x:v>универсальное</x:v>
      </x:c>
      <x:c r="Y172" s="28" t="str">
        <x:v>Гипотеза / практическая</x:v>
      </x:c>
      <x:c r="Z172" s="28" t="str">
        <x:v>Таблица сочетания(1).pdf</x:v>
      </x:c>
      <x:c r="AA172" s="28" t="str">
        <x:v>Таблица сочетания(1).pdf: 16</x:v>
      </x:c>
      <x:c r="AB172" s="28" t="str">
        <x:v>Пара указана в таблице: «Хурма» → колонка «Фрукты».</x:v>
      </x:c>
      <x:c r="AC172" s="28" t="n">
        <x:v>1</x:v>
      </x:c>
      <x:c r="AD172" s="28" t="n">
        <x:v>1</x:v>
      </x:c>
    </x:row>
    <x:row r="173" ht="58" customHeight="1">
      <x:c r="A173" s="28" t="str">
        <x:v>CIT-0172</x:v>
      </x:c>
      <x:c r="B173" s="28" t="str">
        <x:v>Универсальные</x:v>
      </x:c>
      <x:c r="C173" s="28" t="str">
        <x:v>грейпфрут</x:v>
      </x:c>
      <x:c r="D173" s="28" t="str">
        <x:v>grapefruit</x:v>
      </x:c>
      <x:c r="E173" s="28" t="str">
        <x:v>Цитрусовые</x:v>
      </x:c>
      <x:c r="F173" s="28" t="str">
        <x:v>черешня Ренье</x:v>
      </x:c>
      <x:c r="G173" s="28" t="str">
        <x:v>Rainier cherry</x:v>
      </x:c>
      <x:c r="H173" s="28" t="str">
        <x:v>Прочее</x:v>
      </x:c>
      <x:c r="I173" s="28" t="str">
        <x:v>цитрусовый, горький, свежий, сернистый</x:v>
      </x:c>
      <x:c r="J173" s="28" t="str">
        <x:v>нейтральный/специфический</x:v>
      </x:c>
      <x:c r="K173" s="28" t="str">
        <x:v>лимонен, нооткатон, грейпфрутовые тиолы, нарингин</x:v>
      </x:c>
      <x:c r="L173" s="28" t="str">
        <x:v>нужен профиль конкретного продукта</x:v>
      </x:c>
      <x:c r="M173" s="28" t="str">
        <x:v>прямое семейное перекрытие не является главным механизмом</x:v>
      </x:c>
      <x:c r="N173" s="28" t="str">
        <x:v>надёжный общий маркер не заявлен; сочетание объясняется семействами и сенсорным балансом</x:v>
      </x:c>
      <x:c r="O173" s="28" t="str">
        <x:v>вкусовой баланс, тройничное восприятие</x:v>
      </x:c>
      <x:c r="P173" s="28" t="str">
        <x:v>Основной эффект определяется ароматическим контрастом и добавлением кислотной свежести; точный баланс зависит от дозировки и матрицы.</x:v>
      </x:c>
      <x:c r="Q173" s="28" t="str">
        <x:v>нет выраженного; кислота усиливает слюноотделение; нет данных</x:v>
      </x:c>
      <x:c r="R173" s="28" t="str">
        <x:v>водная фаза сока + гидрофобные масла кожуры; зависит от формы продукта</x:v>
      </x:c>
      <x:c r="S17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73" s="28" t="str">
        <x:v>Грейпфрут формирует профиль «цитрусовый, горький, свежий, сернистый»; характерные маркеры: лимонен, нооткатон, грейпфрутовые тиолы, нарингин. Черешня ренье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73"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73" s="28" t="str">
        <x:v>мёд или нейтральная жировая основа</x:v>
      </x:c>
      <x:c r="W173" s="28" t="str">
        <x:v>соус, напиток или десерт после пробной дегустации</x:v>
      </x:c>
      <x:c r="X173" s="28" t="str">
        <x:v>универсальное</x:v>
      </x:c>
      <x:c r="Y173" s="28" t="str">
        <x:v>Средняя</x:v>
      </x:c>
      <x:c r="Z173" s="28" t="str">
        <x:v>The Art &amp; Science of Foodpairing.pdf</x:v>
      </x:c>
      <x:c r="AA173" s="28" t="str">
        <x:v>The Art &amp; Science of Foodpairing.pdf: 358</x:v>
      </x:c>
      <x:c r="AB173" s="28" t="str">
        <x:v>Пара представлена в ароматической диаграмме Foodpairing на странице 358.</x:v>
      </x:c>
      <x:c r="AC173" s="28" t="n">
        <x:v>1</x:v>
      </x:c>
      <x:c r="AD173" s="28" t="n">
        <x:v>2</x:v>
      </x:c>
    </x:row>
    <x:row r="174" ht="58" customHeight="1">
      <x:c r="A174" s="28" t="str">
        <x:v>CIT-0173</x:v>
      </x:c>
      <x:c r="B174" s="28" t="str">
        <x:v>Универсальные</x:v>
      </x:c>
      <x:c r="C174" s="28" t="str">
        <x:v>грейпфрут</x:v>
      </x:c>
      <x:c r="D174" s="28" t="str">
        <x:v>grapefruit</x:v>
      </x:c>
      <x:c r="E174" s="28" t="str">
        <x:v>Цитрусовые</x:v>
      </x:c>
      <x:c r="F174" s="28" t="str">
        <x:v>черимойя</x:v>
      </x:c>
      <x:c r="G174" s="28" t="str">
        <x:v>cherimoya</x:v>
      </x:c>
      <x:c r="H174" s="28" t="str">
        <x:v>Прочее</x:v>
      </x:c>
      <x:c r="I174" s="28" t="str">
        <x:v>цитрусовый, горький, свежий, сернистый</x:v>
      </x:c>
      <x:c r="J174" s="28" t="str">
        <x:v>нейтральный/специфический</x:v>
      </x:c>
      <x:c r="K174" s="28" t="str">
        <x:v>лимонен, нооткатон, грейпфрутовые тиолы, нарингин</x:v>
      </x:c>
      <x:c r="L174" s="28" t="str">
        <x:v>нужен профиль конкретного продукта</x:v>
      </x:c>
      <x:c r="M174" s="28" t="str">
        <x:v>прямое семейное перекрытие не является главным механизмом</x:v>
      </x:c>
      <x:c r="N174" s="28" t="str">
        <x:v>надёжный общий маркер не заявлен; сочетание объясняется семействами и сенсорным балансом</x:v>
      </x:c>
      <x:c r="O174" s="28" t="str">
        <x:v>вкусовой баланс, тройничное восприятие</x:v>
      </x:c>
      <x:c r="P174" s="28" t="str">
        <x:v>Основной эффект определяется ароматическим контрастом и добавлением кислотной свежести; точный баланс зависит от дозировки и матрицы.</x:v>
      </x:c>
      <x:c r="Q174" s="28" t="str">
        <x:v>нет выраженного; кислота усиливает слюноотделение; нет данных</x:v>
      </x:c>
      <x:c r="R174" s="28" t="str">
        <x:v>водная фаза сока + гидрофобные масла кожуры; зависит от формы продукта</x:v>
      </x:c>
      <x:c r="S17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74" s="28" t="str">
        <x:v>Грейпфрут формирует профиль «цитрусовый, горький, свежий, сернистый»; характерные маркеры: лимонен, нооткатон, грейпфрутовые тиолы, нарингин. Черимойя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7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74" s="28" t="str">
        <x:v>мёд или нейтральная жировая основа</x:v>
      </x:c>
      <x:c r="W174" s="28" t="str">
        <x:v>соус, напиток или десерт после пробной дегустации</x:v>
      </x:c>
      <x:c r="X174" s="28" t="str">
        <x:v>универсальное</x:v>
      </x:c>
      <x:c r="Y174" s="28" t="str">
        <x:v>Средняя</x:v>
      </x:c>
      <x:c r="Z174" s="28" t="str">
        <x:v>The Art &amp; Science of Foodpairing.pdf</x:v>
      </x:c>
      <x:c r="AA174" s="28" t="str">
        <x:v>The Art &amp; Science of Foodpairing.pdf: 164</x:v>
      </x:c>
      <x:c r="AB174" s="28" t="str">
        <x:v>Пара представлена в ароматической диаграмме Foodpairing на странице 164.</x:v>
      </x:c>
      <x:c r="AC174" s="28" t="n">
        <x:v>1</x:v>
      </x:c>
      <x:c r="AD174" s="28" t="n">
        <x:v>1</x:v>
      </x:c>
    </x:row>
    <x:row r="175" ht="58" customHeight="1">
      <x:c r="A175" s="28" t="str">
        <x:v>CIT-0174</x:v>
      </x:c>
      <x:c r="B175" s="28" t="str">
        <x:v>Десерты и выпечка</x:v>
      </x:c>
      <x:c r="C175" s="28" t="str">
        <x:v>грейпфрут</x:v>
      </x:c>
      <x:c r="D175" s="28" t="str">
        <x:v>grapefruit</x:v>
      </x:c>
      <x:c r="E175" s="28" t="str">
        <x:v>Цитрусовые</x:v>
      </x:c>
      <x:c r="F175" s="28" t="str">
        <x:v>чернослив Ажен</x:v>
      </x:c>
      <x:c r="G175" s="28" t="str">
        <x:v>Agen prunes</x:v>
      </x:c>
      <x:c r="H175" s="28" t="str">
        <x:v>Косточковые фрукты</x:v>
      </x:c>
      <x:c r="I175" s="28" t="str">
        <x:v>цитрусовый, горький, свежий, сернистый</x:v>
      </x:c>
      <x:c r="J175" s="28" t="str">
        <x:v>фруктовый, цветочный, сливочный, миндальный</x:v>
      </x:c>
      <x:c r="K175" s="28" t="str">
        <x:v>лимонен, нооткатон, грейпфрутовые тиолы, нарингин</x:v>
      </x:c>
      <x:c r="L175" s="28" t="str">
        <x:v>гамма- и дельта-лактоны, бензальдегид, дамасценон</x:v>
      </x:c>
      <x:c r="M175" s="28" t="str">
        <x:v>прямое семейное перекрытие не является главным механизмом</x:v>
      </x:c>
      <x:c r="N175" s="28" t="str">
        <x:v>надёжный общий маркер не заявлен; сочетание объясняется семействами и сенсорным балансом</x:v>
      </x:c>
      <x:c r="O175" s="28" t="str">
        <x:v>вкусовой баланс</x:v>
      </x:c>
      <x:c r="P175" s="28" t="str">
        <x:v>Общая фруктовая сладость и летучие эфиры создают непрерывный ароматический профиль, а цитрусовая кислота повышает контраст и свежесть.</x:v>
      </x:c>
      <x:c r="Q175" s="28" t="str">
        <x:v>нет выраженного; кислота усиливает слюноотделение; нет выраженного</x:v>
      </x:c>
      <x:c r="R175" s="28" t="str">
        <x:v>водная фаза сока + гидрофобные масла кожуры; сочная матрица; лактоны лучше ощущаются в жирной/сливочной среде</x:v>
      </x:c>
      <x:c r="S17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75" s="28" t="str">
        <x:v>Грейпфрут формирует профиль «цитрусовый, горький, свежий, сернистый»; характерные маркеры: лимонен, нооткатон, грейпфрутовые тиолы, нарингин. Чернослив ажен относится к группе «косточковые фрукты» и даёт ноты «фруктовый, цветочный, сливочный, миндальный».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добавляет кислотность, а лактоны смягчают его резкость.</x:v>
      </x:c>
      <x:c r="U175"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75" s="28" t="str">
        <x:v>миндаль или ваниль</x:v>
      </x:c>
      <x:c r="W175" s="28" t="str">
        <x:v>тарт, сорбет, джем или фруктовый соус</x:v>
      </x:c>
      <x:c r="X175" s="28" t="str">
        <x:v>десерты</x:v>
      </x:c>
      <x:c r="Y175" s="28" t="str">
        <x:v>Средняя</x:v>
      </x:c>
      <x:c r="Z175" s="28" t="str">
        <x:v>The Art &amp; Science of Foodpairing.pdf</x:v>
      </x:c>
      <x:c r="AA175" s="28" t="str">
        <x:v>The Art &amp; Science of Foodpairing.pdf: 336</x:v>
      </x:c>
      <x:c r="AB175" s="28" t="str">
        <x:v>Пара представлена в ароматической диаграмме Foodpairing на странице 336.</x:v>
      </x:c>
      <x:c r="AC175" s="28" t="n">
        <x:v>1</x:v>
      </x:c>
      <x:c r="AD175" s="28" t="n">
        <x:v>1</x:v>
      </x:c>
    </x:row>
    <x:row r="176" ht="58" customHeight="1">
      <x:c r="A176" s="28" t="str">
        <x:v>CIT-0175</x:v>
      </x:c>
      <x:c r="B176" s="28" t="str">
        <x:v>Универсальные</x:v>
      </x:c>
      <x:c r="C176" s="28" t="str">
        <x:v>грейпфрут</x:v>
      </x:c>
      <x:c r="D176" s="28" t="str">
        <x:v>грейпфрут</x:v>
      </x:c>
      <x:c r="E176" s="28" t="str">
        <x:v>Цитрусовые</x:v>
      </x:c>
      <x:c r="F176" s="28" t="str">
        <x:v>чили (перцы)</x:v>
      </x:c>
      <x:c r="G176" s="28" t="str">
        <x:v>Чили (перцы)</x:v>
      </x:c>
      <x:c r="H176" s="28" t="str">
        <x:v>Пряности</x:v>
      </x:c>
      <x:c r="I176" s="28" t="str">
        <x:v>цитрусовый, горький, свежий, сернистый</x:v>
      </x:c>
      <x:c r="J176" s="28" t="str">
        <x:v>зелёный, фруктовый, пряный</x:v>
      </x:c>
      <x:c r="K176" s="28" t="str">
        <x:v>лимонен, нооткатон, грейпфрутовые тиолы, нарингин</x:v>
      </x:c>
      <x:c r="L176" s="28" t="str">
        <x:v>капсаицин, пиразины, эфиры</x:v>
      </x:c>
      <x:c r="M176" s="28" t="str">
        <x:v>прямое семейное перекрытие не является главным механизмом</x:v>
      </x:c>
      <x:c r="N176" s="28" t="str">
        <x:v>надёжный общий маркер не заявлен; сочетание объясняется семействами и сенсорным балансом</x:v>
      </x:c>
      <x:c r="O176" s="28" t="str">
        <x:v>вкусовой баланс, тройничное восприятие</x:v>
      </x:c>
      <x:c r="P176" s="28" t="str">
        <x:v>Кислота усиливает слюноотделение и делает пряный аромат ярче; терпены цитруса образуют мост с эфирными маслами травы или специи.</x:v>
      </x:c>
      <x:c r="Q176" s="28" t="str">
        <x:v>нет выраженного; кислота усиливает слюноотделение; капсаицин активирует TRPV1 и создаёт жжение</x:v>
      </x:c>
      <x:c r="R176" s="28" t="str">
        <x:v>водная фаза сока + гидрофобные масла кожуры; капсаицин жирорастворим; кислота не нейтрализует жжение, но усиливает слюноотделение</x:v>
      </x:c>
      <x:c r="S17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76" s="28" t="str">
        <x:v>Грейпфрут формирует профиль «цитрусовый, горький, свежий, сернистый»; характерные маркеры: лимонен, нооткатон, грейпфрутовые тиолы, нарингин. Чили (перцы)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Фруктовые чили могут поддерживать цитрусовые эфиры, но острота требует баланса.</x:v>
      </x:c>
      <x:c r="U176"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 горечь нооткатона и нарингина требует контроля сахара и соли.</x:v>
      </x:c>
      <x:c r="V176" s="28" t="str">
        <x:v>мёд или ваниль</x:v>
      </x:c>
      <x:c r="W176" s="28" t="str">
        <x:v>сироп, кордиал, чатни, маринад или пряный десерт</x:v>
      </x:c>
      <x:c r="X176" s="28" t="str">
        <x:v>напитки, еда, соусы/маринады</x:v>
      </x:c>
      <x:c r="Y176" s="28" t="str">
        <x:v>Гипотеза / практическая</x:v>
      </x:c>
      <x:c r="Z176" s="28" t="str">
        <x:v>Таблица сочетания(1).pdf</x:v>
      </x:c>
      <x:c r="AA176" s="28" t="str">
        <x:v>Таблица сочетания(1).pdf: 5</x:v>
      </x:c>
      <x:c r="AB176" s="28" t="str">
        <x:v>Пара указана в таблице: «Чили (перцы)» → колонка «Фрукты».</x:v>
      </x:c>
      <x:c r="AC176" s="28" t="n">
        <x:v>1</x:v>
      </x:c>
      <x:c r="AD176" s="28" t="n">
        <x:v>1</x:v>
      </x:c>
    </x:row>
    <x:row r="177" ht="58" customHeight="1">
      <x:c r="A177" s="28" t="str">
        <x:v>CIT-0176</x:v>
      </x:c>
      <x:c r="B177" s="28" t="str">
        <x:v>Универсальные</x:v>
      </x:c>
      <x:c r="C177" s="28" t="str">
        <x:v>грейпфрут</x:v>
      </x:c>
      <x:c r="D177" s="28" t="str">
        <x:v>grapefruit</x:v>
      </x:c>
      <x:c r="E177" s="28" t="str">
        <x:v>Цитрусовые</x:v>
      </x:c>
      <x:c r="F177" s="28" t="str">
        <x:v>чили ахи мирасоль</x:v>
      </x:c>
      <x:c r="G177" s="28" t="str">
        <x:v>aji mirasol chilli</x:v>
      </x:c>
      <x:c r="H177" s="28" t="str">
        <x:v>Пряности</x:v>
      </x:c>
      <x:c r="I177" s="28" t="str">
        <x:v>цитрусовый, горький, свежий, сернистый</x:v>
      </x:c>
      <x:c r="J177" s="28" t="str">
        <x:v>зелёный, фруктовый, пряный</x:v>
      </x:c>
      <x:c r="K177" s="28" t="str">
        <x:v>лимонен, нооткатон, грейпфрутовые тиолы, нарингин</x:v>
      </x:c>
      <x:c r="L177" s="28" t="str">
        <x:v>капсаицин, пиразины, эфиры</x:v>
      </x:c>
      <x:c r="M177" s="28" t="str">
        <x:v>прямое семейное перекрытие не является главным механизмом</x:v>
      </x:c>
      <x:c r="N177" s="28" t="str">
        <x:v>надёжный общий маркер не заявлен; сочетание объясняется семействами и сенсорным балансом</x:v>
      </x:c>
      <x:c r="O177" s="28" t="str">
        <x:v>вкусовой баланс, тройничное восприятие</x:v>
      </x:c>
      <x:c r="P177" s="28" t="str">
        <x:v>Кислота усиливает слюноотделение и делает пряный аромат ярче; терпены цитруса образуют мост с эфирными маслами травы или специи.</x:v>
      </x:c>
      <x:c r="Q177" s="28" t="str">
        <x:v>нет выраженного; кислота усиливает слюноотделение; капсаицин активирует TRPV1 и создаёт жжение</x:v>
      </x:c>
      <x:c r="R177" s="28" t="str">
        <x:v>водная фаза сока + гидрофобные масла кожуры; капсаицин жирорастворим; кислота не нейтрализует жжение, но усиливает слюноотделение</x:v>
      </x:c>
      <x:c r="S17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77" s="28" t="str">
        <x:v>Грейпфрут формирует профиль «цитрусовый, горький, свежий, сернистый»; характерные маркеры: лимонен, нооткатон, грейпфрутовые тиолы, нарингин. Чили ахи мирасоль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Фруктовые чили могут поддерживать цитрусовые эфиры, но острота требует баланса.</x:v>
      </x:c>
      <x:c r="U177"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 горечь нооткатона и нарингина требует контроля сахара и соли.</x:v>
      </x:c>
      <x:c r="V177" s="28" t="str">
        <x:v>мёд или ваниль</x:v>
      </x:c>
      <x:c r="W177" s="28" t="str">
        <x:v>сироп, кордиал, чатни, маринад или пряный десерт</x:v>
      </x:c>
      <x:c r="X177" s="28" t="str">
        <x:v>напитки, еда, соусы/маринады</x:v>
      </x:c>
      <x:c r="Y177" s="28" t="str">
        <x:v>Средняя</x:v>
      </x:c>
      <x:c r="Z177" s="28" t="str">
        <x:v>The Art &amp; Science of Foodpairing.pdf</x:v>
      </x:c>
      <x:c r="AA177" s="28" t="str">
        <x:v>The Art &amp; Science of Foodpairing.pdf: 358</x:v>
      </x:c>
      <x:c r="AB177" s="28" t="str">
        <x:v>Пара представлена в ароматической диаграмме Foodpairing на странице 358.</x:v>
      </x:c>
      <x:c r="AC177" s="28" t="n">
        <x:v>1</x:v>
      </x:c>
      <x:c r="AD177" s="28" t="n">
        <x:v>2</x:v>
      </x:c>
    </x:row>
    <x:row r="178" ht="58" customHeight="1">
      <x:c r="A178" s="28" t="str">
        <x:v>CIT-0177</x:v>
      </x:c>
      <x:c r="B178" s="28" t="str">
        <x:v>Универсальные</x:v>
      </x:c>
      <x:c r="C178" s="28" t="str">
        <x:v>грейпфрут</x:v>
      </x:c>
      <x:c r="D178" s="28" t="str">
        <x:v>grapefruit</x:v>
      </x:c>
      <x:c r="E178" s="28" t="str">
        <x:v>Цитрусовые</x:v>
      </x:c>
      <x:c r="F178" s="28" t="str">
        <x:v>шалфей</x:v>
      </x:c>
      <x:c r="G178" s="28" t="str">
        <x:v>sage</x:v>
      </x:c>
      <x:c r="H178" s="28" t="str">
        <x:v>Травы</x:v>
      </x:c>
      <x:c r="I178" s="28" t="str">
        <x:v>цитрусовый, горький, свежий, сернистый</x:v>
      </x:c>
      <x:c r="J178" s="28" t="str">
        <x:v>травяной, хвойный, камфорный, древесный</x:v>
      </x:c>
      <x:c r="K178" s="28" t="str">
        <x:v>лимонен, нооткатон, грейпфрутовые тиолы, нарингин</x:v>
      </x:c>
      <x:c r="L178" s="28" t="str">
        <x:v>1,8-цинеол, камфора, тимол/карвакрол, альфа-пинен</x:v>
      </x:c>
      <x:c r="M178" s="28" t="str">
        <x:v>прямое семейное перекрытие не является главным механизмом</x:v>
      </x:c>
      <x:c r="N178" s="28" t="str">
        <x:v>надёжный общий маркер не заявлен; сочетание объясняется семействами и сенсорным балансом</x:v>
      </x:c>
      <x:c r="O178" s="28" t="str">
        <x:v>вкусовой баланс, тройничное восприятие</x:v>
      </x:c>
      <x:c r="P178" s="28" t="str">
        <x:v>Кислота усиливает слюноотделение и делает пряный аромат ярче; терпены цитруса образуют мост с эфирными маслами травы или специи.</x:v>
      </x:c>
      <x:c r="Q178" s="28" t="str">
        <x:v>нет выраженного; кислота усиливает слюноотделение; камфора и цинеол дают прохладно-камфорное ощущение</x:v>
      </x:c>
      <x:c r="R178" s="28" t="str">
        <x:v>водная фаза сока + гидрофобные масла кожуры; эфирные масла лучше раскрываются в жире и спирте</x:v>
      </x:c>
      <x:c r="S17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78" s="28" t="str">
        <x:v>Грейпфрут формирует профиль «цитрусовый, горький, свежий, сернистый»; характерные маркеры: лимонен, нооткатон, грейпфрутовые тиолы, нарингин. Шалфей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U178"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V178" s="28" t="str">
        <x:v>оливковое масло или огурец</x:v>
      </x:c>
      <x:c r="W178" s="28" t="str">
        <x:v>лимонад, кордиал, салатная заправка или зелёный соус</x:v>
      </x:c>
      <x:c r="X178" s="28" t="str">
        <x:v>напитки, еда, соусы/маринады</x:v>
      </x:c>
      <x:c r="Y178" s="28" t="str">
        <x:v>Средняя</x:v>
      </x:c>
      <x:c r="Z178" s="28" t="str">
        <x:v>The Art &amp; Science of Foodpairing.pdf</x:v>
      </x:c>
      <x:c r="AA178" s="28" t="str">
        <x:v>The Art &amp; Science of Foodpairing.pdf: 278</x:v>
      </x:c>
      <x:c r="AB178" s="28" t="str">
        <x:v>Пара представлена в ароматической диаграмме Foodpairing на странице 278.</x:v>
      </x:c>
      <x:c r="AC178" s="28" t="n">
        <x:v>1</x:v>
      </x:c>
      <x:c r="AD178" s="28" t="n">
        <x:v>1</x:v>
      </x:c>
    </x:row>
    <x:row r="179" ht="58" customHeight="1">
      <x:c r="A179" s="28" t="str">
        <x:v>CIT-0178</x:v>
      </x:c>
      <x:c r="B179" s="28" t="str">
        <x:v>Универсальные</x:v>
      </x:c>
      <x:c r="C179" s="28" t="str">
        <x:v>грейпфрут</x:v>
      </x:c>
      <x:c r="D179" s="28" t="str">
        <x:v>грейпфрут</x:v>
      </x:c>
      <x:c r="E179" s="28" t="str">
        <x:v>Цитрусовые</x:v>
      </x:c>
      <x:c r="F179" s="28" t="str">
        <x:v>юдзу</x:v>
      </x:c>
      <x:c r="G179" s="28" t="str">
        <x:v>Юдзу</x:v>
      </x:c>
      <x:c r="H179" s="28" t="str">
        <x:v>Цитрусовые</x:v>
      </x:c>
      <x:c r="I179" s="28" t="str">
        <x:v>цитрусовый, горький, свежий, сернистый</x:v>
      </x:c>
      <x:c r="J179" s="28" t="str">
        <x:v>цитрусовый, зелёный, травяной, камфорный</x:v>
      </x:c>
      <x:c r="K179" s="28" t="str">
        <x:v>лимонен, нооткатон, грейпфрутовые тиолы, нарингин</x:v>
      </x:c>
      <x:c r="L179" s="28" t="str">
        <x:v>лимонен, гамма-терпинен, цитраль, бета-пинен, линалол</x:v>
      </x:c>
      <x:c r="M179" s="28" t="str">
        <x:v>цитрусовый</x:v>
      </x:c>
      <x:c r="N179" s="28" t="str">
        <x:v>лимонен</x:v>
      </x:c>
      <x:c r="O179" s="28" t="str">
        <x:v>общие ароматические молекулы, перекрытие ароматических семейств, вкусовой баланс, тройничное восприятие</x:v>
      </x:c>
      <x:c r="P179" s="28" t="str">
        <x:v>Сочетание строится на близком терпеновом профиле; различия в кислотности, горечи и цветочно-зелёных оттенках создают объём.</x:v>
      </x:c>
      <x:c r="Q179" s="28" t="str">
        <x:v>нет выраженного; кислота усиливает слюноотделение; кислота усиливает слюноотделение; зелёные терпены создают ощущение прохлады</x:v>
      </x:c>
      <x:c r="R179" s="28" t="str">
        <x:v>водная фаза сока + гидрофобные масла кожуры; сок — водная кислая фаза; цедра — масляная терпеновая</x:v>
      </x:c>
      <x:c r="S17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79" s="28" t="str">
        <x:v>Грейпфрут формирует профиль «цитрусовый, горький, свежий, сернистый»; характерные маркеры: лимонен, нооткатон, грейпфрутовые тиолы, нарингин. Юдзу относится к группе «цитрусовые» и даёт ноты «цитрусовый, зелёный, травяной, камфорный».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Лаймовые цитрусы дают более зелёный и камфорный профиль, чем сладкий апельсин.</x:v>
      </x:c>
      <x:c r="U179"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79" s="28" t="str">
        <x:v>мёд или цветочная вода</x:v>
      </x:c>
      <x:c r="W179" s="28" t="str">
        <x:v>цитрусовый кордиал, мармелад, сорбет, салат или купаж соков</x:v>
      </x:c>
      <x:c r="X179" s="28" t="str">
        <x:v>напитки, десерты</x:v>
      </x:c>
      <x:c r="Y179" s="28" t="str">
        <x:v>Средняя</x:v>
      </x:c>
      <x:c r="Z179" s="28" t="str">
        <x:v>Таблица сочетания(1).pdf</x:v>
      </x:c>
      <x:c r="AA179" s="28" t="str">
        <x:v>Таблица сочетания(1).pdf: 22</x:v>
      </x:c>
      <x:c r="AB179" s="28" t="str">
        <x:v>Пара указана в таблице: «Юдзу» → колонка «Фрукты».</x:v>
      </x:c>
      <x:c r="AC179" s="28" t="n">
        <x:v>1</x:v>
      </x:c>
      <x:c r="AD179" s="28" t="n">
        <x:v>1</x:v>
      </x:c>
    </x:row>
    <x:row r="180" ht="58" customHeight="1">
      <x:c r="A180" s="28" t="str">
        <x:v>CIT-0179</x:v>
      </x:c>
      <x:c r="B180" s="28" t="str">
        <x:v>Десерты и выпечка</x:v>
      </x:c>
      <x:c r="C180" s="28" t="str">
        <x:v>грейпфрут</x:v>
      </x:c>
      <x:c r="D180" s="28" t="str">
        <x:v>грейпфрут</x:v>
      </x:c>
      <x:c r="E180" s="28" t="str">
        <x:v>Цитрусовые</x:v>
      </x:c>
      <x:c r="F180" s="28" t="str">
        <x:v>ягоды можжевельника</x:v>
      </x:c>
      <x:c r="G180" s="28" t="str">
        <x:v>Ягоды можжевельника</x:v>
      </x:c>
      <x:c r="H180" s="28" t="str">
        <x:v>Ягоды/косточковые</x:v>
      </x:c>
      <x:c r="I180" s="28" t="str">
        <x:v>цитрусовый, горький, свежий, сернистый</x:v>
      </x:c>
      <x:c r="J180" s="28" t="str">
        <x:v>фруктовый, цветочный, зелёный, винный</x:v>
      </x:c>
      <x:c r="K180" s="28" t="str">
        <x:v>лимонен, нооткатон, грейпфрутовые тиолы, нарингин</x:v>
      </x:c>
      <x:c r="L180" s="28" t="str">
        <x:v>иононы, дамасценон, эфиры, бензальдегид (для косточковых)</x:v>
      </x:c>
      <x:c r="M180" s="28" t="str">
        <x:v>прямое семейное перекрытие не является главным механизмом</x:v>
      </x:c>
      <x:c r="N180" s="28" t="str">
        <x:v>надёжный общий маркер не заявлен; сочетание объясняется семействами и сенсорным балансом</x:v>
      </x:c>
      <x:c r="O180" s="28" t="str">
        <x:v>вкусовой баланс</x:v>
      </x:c>
      <x:c r="P180" s="28" t="str">
        <x:v>Общая фруктовая сладость и летучие эфиры создают непрерывный ароматический профиль, а цитрусовая кислота повышает контраст и свежесть.</x:v>
      </x:c>
      <x:c r="Q180" s="28" t="str">
        <x:v>нет выраженного; кислота усиливает слюноотделение; нет выраженного</x:v>
      </x:c>
      <x:c r="R180" s="28" t="str">
        <x:v>водная фаза сока + гидрофобные масла кожуры; водная матрица с антоцианами и полифенолами</x:v>
      </x:c>
      <x:c r="S18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180" s="28" t="str">
        <x:v>Грейпфрут формирует профиль «цитрусовый, горький, свежий, сернистый»; характерные маркеры: лимонен, нооткатон, грейпфрутовые тиолы, нарингин. Ягоды можжевельника относится к группе «ягоды/косточковые» и даёт ноты «фруктовый, цветочный, зелёный, винный».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усиливает кислотный контур, а цветочные терпены поддерживают ягодный аромат.</x:v>
      </x:c>
      <x:c r="U180"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80" s="28" t="str">
        <x:v>ваниль или миндаль</x:v>
      </x:c>
      <x:c r="W180" s="28" t="str">
        <x:v>джем, сорбет, коктейль или соус</x:v>
      </x:c>
      <x:c r="X180" s="28" t="str">
        <x:v>напитки, десерты</x:v>
      </x:c>
      <x:c r="Y180" s="28" t="str">
        <x:v>Гипотеза / практическая</x:v>
      </x:c>
      <x:c r="Z180" s="28" t="str">
        <x:v>Таблица сочетания(1).pdf</x:v>
      </x:c>
      <x:c r="AA180" s="28" t="str">
        <x:v>Таблица сочетания(1).pdf: 10</x:v>
      </x:c>
      <x:c r="AB180" s="28" t="str">
        <x:v>Пара указана в таблице: «Ягоды можжевельника» → колонка «Фрукты».</x:v>
      </x:c>
      <x:c r="AC180" s="28" t="n">
        <x:v>1</x:v>
      </x:c>
      <x:c r="AD180" s="28" t="n">
        <x:v>1</x:v>
      </x:c>
    </x:row>
    <x:row r="181" ht="58" customHeight="1">
      <x:c r="A181" s="28" t="str">
        <x:v>CIT-0180</x:v>
      </x:c>
      <x:c r="B181" s="28" t="str">
        <x:v>Напитки</x:v>
      </x:c>
      <x:c r="C181" s="28" t="str">
        <x:v>грейпфрутовый сок</x:v>
      </x:c>
      <x:c r="D181" s="28" t="str">
        <x:v>grapefruit juice</x:v>
      </x:c>
      <x:c r="E181" s="28" t="str">
        <x:v>Цитрусовые</x:v>
      </x:c>
      <x:c r="F181" s="28" t="str">
        <x:v>водка Belvedere</x:v>
      </x:c>
      <x:c r="G181" s="28" t="str">
        <x:v>Belvedere vodka</x:v>
      </x:c>
      <x:c r="H181" s="28" t="str">
        <x:v>Алкогольные напитки</x:v>
      </x:c>
      <x:c r="I181" s="28" t="str">
        <x:v>цитрусовый, горький, свежий, сернистый</x:v>
      </x:c>
      <x:c r="J181" s="28" t="str">
        <x:v>зависит от основы, эфирный, древесный/пряный</x:v>
      </x:c>
      <x:c r="K181" s="28" t="str">
        <x:v>лимонен, нооткатон, грейпфрутовые тиолы, нарингин</x:v>
      </x:c>
      <x:c r="L181" s="28" t="str">
        <x:v>этанол, эфиры, терпены/дубовые соединения</x:v>
      </x:c>
      <x:c r="M181" s="28" t="str">
        <x:v>прямое семейное перекрытие не является главным механизмом</x:v>
      </x:c>
      <x:c r="N181" s="28" t="str">
        <x:v>надёжный общий маркер не заявлен; сочетание объясняется семействами и сенсорным балансом</x:v>
      </x:c>
      <x:c r="O181" s="28" t="str">
        <x:v>вкусовой баланс, тройничное восприятие, влияние матрицы/растворимости</x:v>
      </x:c>
      <x:c r="P181" s="28" t="str">
        <x:v>Этанол усиливает летучесть терпенов и ощущение тепла; сахар и вода регулируют кислотность, горечь кожуры и спиртуозность.</x:v>
      </x:c>
      <x:c r="Q181" s="28" t="str">
        <x:v>нет выраженного; кислота усиливает слюноотделение; этанол усиливает тепло и летучесть аромата</x:v>
      </x:c>
      <x:c r="R181" s="28" t="str">
        <x:v>водная фаза сока + гидрофобные масла кожуры; этанол — хороший растворитель гидрофобных эфирных масел</x:v>
      </x:c>
      <x:c r="S181"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181" s="28" t="str">
        <x:v>Грейпфрутовый сок формирует профиль «цитрусовый, горький, свежий, сернистый»; характерные маркеры: лимонен, нооткатон, грейпфрутовые тиолы, нарингин. Водка belvedere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Горечь задают флавоноиды, аромат кожуры — терпены и следовые тиолы. Спирт извлекает цедру и усиливает ретроназальный выход терпенов; сахар и разбавление меняют баланс.</x:v>
      </x:c>
      <x:c r="U181"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81" s="28" t="str">
        <x:v>сахарный сироп или биттер</x:v>
      </x:c>
      <x:c r="W181" s="28" t="str">
        <x:v>коктейль, спритц, настойка, ликёр или кордиал</x:v>
      </x:c>
      <x:c r="X181" s="28" t="str">
        <x:v>напитки</x:v>
      </x:c>
      <x:c r="Y181" s="28" t="str">
        <x:v>Средняя</x:v>
      </x:c>
      <x:c r="Z181" s="28" t="str">
        <x:v>The Art &amp; Science of Foodpairing.pdf</x:v>
      </x:c>
      <x:c r="AA181" s="28" t="str">
        <x:v>The Art &amp; Science of Foodpairing.pdf: 232</x:v>
      </x:c>
      <x:c r="AB181" s="28" t="str">
        <x:v>Пара представлена в ароматической диаграмме Foodpairing на странице 232.</x:v>
      </x:c>
      <x:c r="AC181" s="28" t="n">
        <x:v>1</x:v>
      </x:c>
      <x:c r="AD181" s="28" t="n">
        <x:v>1</x:v>
      </x:c>
    </x:row>
    <x:row r="182" ht="58" customHeight="1">
      <x:c r="A182" s="28" t="str">
        <x:v>CIT-0181</x:v>
      </x:c>
      <x:c r="B182" s="28" t="str">
        <x:v>Универсальные</x:v>
      </x:c>
      <x:c r="C182" s="28" t="str">
        <x:v>грейпфрутовый сок</x:v>
      </x:c>
      <x:c r="D182" s="28" t="str">
        <x:v>grapefruit juice</x:v>
      </x:c>
      <x:c r="E182" s="28" t="str">
        <x:v>Цитрусовые</x:v>
      </x:c>
      <x:c r="F182" s="28" t="str">
        <x:v>дульсе де лече</x:v>
      </x:c>
      <x:c r="G182" s="28" t="str">
        <x:v>dulce de leche</x:v>
      </x:c>
      <x:c r="H182" s="28" t="str">
        <x:v>Прочее</x:v>
      </x:c>
      <x:c r="I182" s="28" t="str">
        <x:v>цитрусовый, горький, свежий, сернистый</x:v>
      </x:c>
      <x:c r="J182" s="28" t="str">
        <x:v>нейтральный/специфический</x:v>
      </x:c>
      <x:c r="K182" s="28" t="str">
        <x:v>лимонен, нооткатон, грейпфрутовые тиолы, нарингин</x:v>
      </x:c>
      <x:c r="L182" s="28" t="str">
        <x:v>нужен профиль конкретного продукта</x:v>
      </x:c>
      <x:c r="M182" s="28" t="str">
        <x:v>прямое семейное перекрытие не является главным механизмом</x:v>
      </x:c>
      <x:c r="N182" s="28" t="str">
        <x:v>надёжный общий маркер не заявлен; сочетание объясняется семействами и сенсорным балансом</x:v>
      </x:c>
      <x:c r="O182" s="28" t="str">
        <x:v>вкусовой баланс, тройничное восприятие</x:v>
      </x:c>
      <x:c r="P182" s="28" t="str">
        <x:v>Основной эффект определяется ароматическим контрастом и добавлением кислотной свежести; точный баланс зависит от дозировки и матрицы.</x:v>
      </x:c>
      <x:c r="Q182" s="28" t="str">
        <x:v>нет выраженного; кислота усиливает слюноотделение; нет данных</x:v>
      </x:c>
      <x:c r="R182" s="28" t="str">
        <x:v>водная фаза сока + гидрофобные масла кожуры; зависит от формы продукта</x:v>
      </x:c>
      <x:c r="S18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82" s="28" t="str">
        <x:v>Грейпфрутовый сок формирует профиль «цитрусовый, горький, свежий, сернистый»; характерные маркеры: лимонен, нооткатон, грейпфрутовые тиолы, нарингин. Дульсе де лече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82"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82" s="28" t="str">
        <x:v>мёд или нейтральная жировая основа</x:v>
      </x:c>
      <x:c r="W182" s="28" t="str">
        <x:v>соус, напиток или десерт после пробной дегустации</x:v>
      </x:c>
      <x:c r="X182" s="28" t="str">
        <x:v>универсальное</x:v>
      </x:c>
      <x:c r="Y182" s="28" t="str">
        <x:v>Средняя</x:v>
      </x:c>
      <x:c r="Z182" s="28" t="str">
        <x:v>The Art &amp; Science of Foodpairing.pdf</x:v>
      </x:c>
      <x:c r="AA182" s="28" t="str">
        <x:v>The Art &amp; Science of Foodpairing.pdf: 157</x:v>
      </x:c>
      <x:c r="AB182" s="28" t="str">
        <x:v>Пара представлена в ароматической диаграмме Foodpairing на странице 157.</x:v>
      </x:c>
      <x:c r="AC182" s="28" t="n">
        <x:v>1</x:v>
      </x:c>
      <x:c r="AD182" s="28" t="n">
        <x:v>1</x:v>
      </x:c>
    </x:row>
    <x:row r="183" ht="58" customHeight="1">
      <x:c r="A183" s="28" t="str">
        <x:v>CIT-0182</x:v>
      </x:c>
      <x:c r="B183" s="28" t="str">
        <x:v>Еда и соусы</x:v>
      </x:c>
      <x:c r="C183" s="28" t="str">
        <x:v>грейпфрутовый сок</x:v>
      </x:c>
      <x:c r="D183" s="28" t="str">
        <x:v>grapefruit juice</x:v>
      </x:c>
      <x:c r="E183" s="28" t="str">
        <x:v>Цитрусовые</x:v>
      </x:c>
      <x:c r="F183" s="28" t="str">
        <x:v>красный щавель</x:v>
      </x:c>
      <x:c r="G183" s="28" t="str">
        <x:v>red sorrel</x:v>
      </x:c>
      <x:c r="H183" s="28" t="str">
        <x:v>Овощи</x:v>
      </x:c>
      <x:c r="I183" s="28" t="str">
        <x:v>цитрусовый, горький, свежий, сернистый</x:v>
      </x:c>
      <x:c r="J183" s="28" t="str">
        <x:v>зелёный, землистый, растительный, иногда сернистый</x:v>
      </x:c>
      <x:c r="K183" s="28" t="str">
        <x:v>лимонен, нооткатон, грейпфрутовые тиолы, нарингин</x:v>
      </x:c>
      <x:c r="L183" s="28" t="str">
        <x:v>C6-альдегиды, метоксипиразины, геосмин (землистые), сернистые соединения</x:v>
      </x:c>
      <x:c r="M183" s="28" t="str">
        <x:v>прямое семейное перекрытие не является главным механизмом</x:v>
      </x:c>
      <x:c r="N183" s="28" t="str">
        <x:v>надёжный общий маркер не заявлен; сочетание объясняется семействами и сенсорным балансом</x:v>
      </x:c>
      <x:c r="O183" s="28" t="str">
        <x:v>вкусовой баланс</x:v>
      </x:c>
      <x:c r="P183" s="28" t="str">
        <x:v>Кислота подчёркивает природную сладость овоща, сокращает землистое/сернистое послевкусие и повышает слюноотделение.</x:v>
      </x:c>
      <x:c r="Q183" s="28" t="str">
        <x:v>нет выраженного; кислота усиливает слюноотделение; нет выраженного</x:v>
      </x:c>
      <x:c r="R183" s="28" t="str">
        <x:v>водная фаза сока + гидрофобные масла кожуры; водная/крахмальная матрица; масло помогает распределить цедру</x:v>
      </x:c>
      <x:c r="S18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83" s="28" t="str">
        <x:v>Грейпфрутовый сок формирует профиль «цитрусовый, горький, свежий, сернистый»; характерные маркеры: лимонен, нооткатон, грейпфрутовые тиолы, нарингин. Красный щавель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Горечь задают флавоноиды, аромат кожуры — терпены и следовые тиолы. Кислота подчёркивает сладость овощей и сокращает землистое или сернистое послевкусие.</x:v>
      </x:c>
      <x:c r="U183"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83" s="28" t="str">
        <x:v>оливковое масло или базилик</x:v>
      </x:c>
      <x:c r="W183" s="28" t="str">
        <x:v>винегрет, салат, пюре, запечённое блюдо или овощной соус</x:v>
      </x:c>
      <x:c r="X183" s="28" t="str">
        <x:v>еда, соусы/маринады</x:v>
      </x:c>
      <x:c r="Y183" s="28" t="str">
        <x:v>Средняя</x:v>
      </x:c>
      <x:c r="Z183" s="28" t="str">
        <x:v>The Art &amp; Science of Foodpairing.pdf</x:v>
      </x:c>
      <x:c r="AA183" s="28" t="str">
        <x:v>The Art &amp; Science of Foodpairing.pdf: 305</x:v>
      </x:c>
      <x:c r="AB183" s="28" t="str">
        <x:v>Пара представлена в ароматической диаграмме Foodpairing на странице 305.</x:v>
      </x:c>
      <x:c r="AC183" s="28" t="n">
        <x:v>1</x:v>
      </x:c>
      <x:c r="AD183" s="28" t="n">
        <x:v>1</x:v>
      </x:c>
    </x:row>
    <x:row r="184" ht="58" customHeight="1">
      <x:c r="A184" s="28" t="str">
        <x:v>CIT-0183</x:v>
      </x:c>
      <x:c r="B184" s="28" t="str">
        <x:v>Универсальные</x:v>
      </x:c>
      <x:c r="C184" s="28" t="str">
        <x:v>грейпфрутовый сок</x:v>
      </x:c>
      <x:c r="D184" s="28" t="str">
        <x:v>grapefruit juice</x:v>
      </x:c>
      <x:c r="E184" s="28" t="str">
        <x:v>Цитрусовые</x:v>
      </x:c>
      <x:c r="F184" s="28" t="str">
        <x:v>нони</x:v>
      </x:c>
      <x:c r="G184" s="28" t="str">
        <x:v>noni</x:v>
      </x:c>
      <x:c r="H184" s="28" t="str">
        <x:v>Прочее</x:v>
      </x:c>
      <x:c r="I184" s="28" t="str">
        <x:v>цитрусовый, горький, свежий, сернистый</x:v>
      </x:c>
      <x:c r="J184" s="28" t="str">
        <x:v>нейтральный/специфический</x:v>
      </x:c>
      <x:c r="K184" s="28" t="str">
        <x:v>лимонен, нооткатон, грейпфрутовые тиолы, нарингин</x:v>
      </x:c>
      <x:c r="L184" s="28" t="str">
        <x:v>нужен профиль конкретного продукта</x:v>
      </x:c>
      <x:c r="M184" s="28" t="str">
        <x:v>прямое семейное перекрытие не является главным механизмом</x:v>
      </x:c>
      <x:c r="N184" s="28" t="str">
        <x:v>надёжный общий маркер не заявлен; сочетание объясняется семействами и сенсорным балансом</x:v>
      </x:c>
      <x:c r="O184" s="28" t="str">
        <x:v>вкусовой баланс, тройничное восприятие</x:v>
      </x:c>
      <x:c r="P184" s="28" t="str">
        <x:v>Основной эффект определяется ароматическим контрастом и добавлением кислотной свежести; точный баланс зависит от дозировки и матрицы.</x:v>
      </x:c>
      <x:c r="Q184" s="28" t="str">
        <x:v>нет выраженного; кислота усиливает слюноотделение; нет данных</x:v>
      </x:c>
      <x:c r="R184" s="28" t="str">
        <x:v>водная фаза сока + гидрофобные масла кожуры; зависит от формы продукта</x:v>
      </x:c>
      <x:c r="S18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84" s="28" t="str">
        <x:v>Грейпфрутовый сок формирует профиль «цитрусовый, горький, свежий, сернистый»; характерные маркеры: лимонен, нооткатон, грейпфрутовые тиолы, нарингин. Нони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18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184" s="28" t="str">
        <x:v>мёд или нейтральная жировая основа</x:v>
      </x:c>
      <x:c r="W184" s="28" t="str">
        <x:v>соус, напиток или десерт после пробной дегустации</x:v>
      </x:c>
      <x:c r="X184" s="28" t="str">
        <x:v>универсальное</x:v>
      </x:c>
      <x:c r="Y184" s="28" t="str">
        <x:v>Средняя</x:v>
      </x:c>
      <x:c r="Z184" s="28" t="str">
        <x:v>The Art &amp; Science of Foodpairing.pdf</x:v>
      </x:c>
      <x:c r="AA184" s="28" t="str">
        <x:v>The Art &amp; Science of Foodpairing.pdf: 358</x:v>
      </x:c>
      <x:c r="AB184" s="28" t="str">
        <x:v>Пара представлена в ароматической диаграмме Foodpairing на странице 358.</x:v>
      </x:c>
      <x:c r="AC184" s="28" t="n">
        <x:v>1</x:v>
      </x:c>
      <x:c r="AD184" s="28" t="n">
        <x:v>1</x:v>
      </x:c>
    </x:row>
    <x:row r="185" ht="58" customHeight="1">
      <x:c r="A185" s="28" t="str">
        <x:v>CIT-0184</x:v>
      </x:c>
      <x:c r="B185" s="28" t="str">
        <x:v>Универсальные</x:v>
      </x:c>
      <x:c r="C185" s="28" t="str">
        <x:v>кабосу</x:v>
      </x:c>
      <x:c r="D185" s="28" t="str">
        <x:v>kabosu citrus fruit</x:v>
      </x:c>
      <x:c r="E185" s="28" t="str">
        <x:v>Прочее</x:v>
      </x:c>
      <x:c r="F185" s="28" t="str">
        <x:v>базилик</x:v>
      </x:c>
      <x:c r="G185" s="28" t="str">
        <x:v>basil</x:v>
      </x:c>
      <x:c r="H185" s="28" t="str">
        <x:v>Травы</x:v>
      </x:c>
      <x:c r="I185" s="28" t="str">
        <x:v>нейтральный/специфический</x:v>
      </x:c>
      <x:c r="J185" s="28" t="str">
        <x:v>зелёный, анисовый, цветочный, пряный</x:v>
      </x:c>
      <x:c r="K185" s="28" t="str">
        <x:v>нужен профиль конкретного продукта</x:v>
      </x:c>
      <x:c r="L185" s="28" t="str">
        <x:v>линалол, эстрагол, эвгенол</x:v>
      </x:c>
      <x:c r="M185" s="28" t="str">
        <x:v>прямое семейное перекрытие не является главным механизмом</x:v>
      </x:c>
      <x:c r="N185" s="28" t="str">
        <x:v>надёжный общий маркер не заявлен; сочетание объясняется семействами и сенсорным балансом</x:v>
      </x:c>
      <x:c r="O185" s="28" t="str">
        <x:v>вкусовой баланс</x:v>
      </x:c>
      <x:c r="P185" s="28" t="str">
        <x:v>Кислота усиливает слюноотделение и делает пряный аромат ярче; терпены цитруса образуют мост с эфирными маслами травы или специи.</x:v>
      </x:c>
      <x:c r="Q185" s="28" t="str">
        <x:v>нет данных; нет выраженного</x:v>
      </x:c>
      <x:c r="R185" s="28" t="str">
        <x:v>зависит от формы продукта; летучие масла чувствительны к длительному нагреву</x:v>
      </x:c>
      <x:c r="S18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85" s="28" t="str">
        <x:v>Кабосу формирует профиль «нейтральный/специфический»; характерные маркеры: . Базилик относится к группе «травы» и даёт ноты «зелёный, анисовый, цветочный,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Для точного молекулярного вывода нужен профиль конкретного ингредиента и способа обработки. Базилик и эстрагон могут связать цитрус с фруктами, томатом и сливочными матрицами.</x:v>
      </x:c>
      <x:c r="U185" s="28" t="str">
        <x:v>Избыток кислоты делает вкус плоско-резким; белая часть кожуры даёт лишнюю горечь; цитрус легко подавляет деликатный аромат партнёра.</x:v>
      </x:c>
      <x:c r="V185" s="28" t="str">
        <x:v>оливковое масло или огурец</x:v>
      </x:c>
      <x:c r="W185" s="28" t="str">
        <x:v>лимонад, кордиал, салатная заправка или зелёный соус</x:v>
      </x:c>
      <x:c r="X185" s="28" t="str">
        <x:v>напитки, еда, соусы/маринады</x:v>
      </x:c>
      <x:c r="Y185" s="28" t="str">
        <x:v>Средняя</x:v>
      </x:c>
      <x:c r="Z185" s="28" t="str">
        <x:v>The Art &amp; Science of Foodpairing.pdf</x:v>
      </x:c>
      <x:c r="AA185" s="28" t="str">
        <x:v>The Art &amp; Science of Foodpairing.pdf: 177</x:v>
      </x:c>
      <x:c r="AB185" s="28" t="str">
        <x:v>Пара представлена в ароматической диаграмме Foodpairing на странице 177.</x:v>
      </x:c>
      <x:c r="AC185" s="28" t="n">
        <x:v>1</x:v>
      </x:c>
      <x:c r="AD185" s="28" t="n">
        <x:v>1</x:v>
      </x:c>
    </x:row>
    <x:row r="186" ht="58" customHeight="1">
      <x:c r="A186" s="28" t="str">
        <x:v>CIT-0185</x:v>
      </x:c>
      <x:c r="B186" s="28" t="str">
        <x:v>Напитки</x:v>
      </x:c>
      <x:c r="C186" s="28" t="str">
        <x:v>кабосу</x:v>
      </x:c>
      <x:c r="D186" s="28" t="str">
        <x:v>kabosu citrus fruit</x:v>
      </x:c>
      <x:c r="E186" s="28" t="str">
        <x:v>Прочее</x:v>
      </x:c>
      <x:c r="F186" s="28" t="str">
        <x:v>зелёный чай</x:v>
      </x:c>
      <x:c r="G186" s="28" t="str">
        <x:v>green tea</x:v>
      </x:c>
      <x:c r="H186" s="28" t="str">
        <x:v>Чай и настои</x:v>
      </x:c>
      <x:c r="I186" s="28" t="str">
        <x:v>нейтральный/специфический</x:v>
      </x:c>
      <x:c r="J186" s="28" t="str">
        <x:v>травяной, цветочный, танинный, иногда обжаренный</x:v>
      </x:c>
      <x:c r="K186" s="28" t="str">
        <x:v>нужен профиль конкретного продукта</x:v>
      </x:c>
      <x:c r="L186" s="28" t="str">
        <x:v>линалол, гераниол, иононы, катехины</x:v>
      </x:c>
      <x:c r="M186" s="28" t="str">
        <x:v>прямое семейное перекрытие не является главным механизмом</x:v>
      </x:c>
      <x:c r="N186" s="28" t="str">
        <x:v>надёжный общий маркер не заявлен; сочетание объясняется семействами и сенсорным балансом</x:v>
      </x:c>
      <x:c r="O186" s="28" t="str">
        <x:v>вкусовой баланс</x:v>
      </x:c>
      <x:c r="P186" s="28" t="str">
        <x:v>Цитрус добавляет верхние ароматические ноты; сахар может смягчить совместную кислотность и танинную вяжущесть.</x:v>
      </x:c>
      <x:c r="Q186" s="28" t="str">
        <x:v>нет данных; нет выраженного</x:v>
      </x:c>
      <x:c r="R186" s="28" t="str">
        <x:v>зависит от формы продукта; вода извлекает полифенолы; эфирные масла лучше добавлять после заваривания</x:v>
      </x:c>
      <x:c r="S18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86" s="28" t="str">
        <x:v>Кабосу формирует профиль «нейтральный/специфический»; характерные маркеры: . Зелёный чай относится к группе «чай и настои» и даёт ноты «травяной, цветочный, танинный, иногда обжаренный».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 добавляет верхние ароматические ноты; сахар может смягчить совместную кислотность и танинную вяжущесть. Для точного молекулярного вывода нужен профиль конкретного ингредиента и способа обработки. Цитрус связывается с цветочными терпенами чая и снижает ощущение вяжущей сухости при наличии сахара.</x:v>
      </x:c>
      <x:c r="U186" s="28" t="str">
        <x:v>Избыток кислоты делает вкус плоско-резким; белая часть кожуры даёт лишнюю горечь.</x:v>
      </x:c>
      <x:c r="V186" s="28" t="str">
        <x:v>мёд или цветы</x:v>
      </x:c>
      <x:c r="W186" s="28" t="str">
        <x:v>чайный кордиал, холодный чай, пунш или безалкогольный напиток</x:v>
      </x:c>
      <x:c r="X186" s="28" t="str">
        <x:v>напитки</x:v>
      </x:c>
      <x:c r="Y186" s="28" t="str">
        <x:v>Средняя</x:v>
      </x:c>
      <x:c r="Z186" s="28" t="str">
        <x:v>The Art &amp; Science of Foodpairing.pdf</x:v>
      </x:c>
      <x:c r="AA186" s="28" t="str">
        <x:v>The Art &amp; Science of Foodpairing.pdf: 177</x:v>
      </x:c>
      <x:c r="AB186" s="28" t="str">
        <x:v>Пара представлена в ароматической диаграмме Foodpairing на странице 177.</x:v>
      </x:c>
      <x:c r="AC186" s="28" t="n">
        <x:v>1</x:v>
      </x:c>
      <x:c r="AD186" s="28" t="n">
        <x:v>1</x:v>
      </x:c>
    </x:row>
    <x:row r="187" ht="58" customHeight="1">
      <x:c r="A187" s="28" t="str">
        <x:v>CIT-0186</x:v>
      </x:c>
      <x:c r="B187" s="28" t="str">
        <x:v>Десерты и выпечка</x:v>
      </x:c>
      <x:c r="C187" s="28" t="str">
        <x:v>кабосу</x:v>
      </x:c>
      <x:c r="D187" s="28" t="str">
        <x:v>kabosu citrus fruit</x:v>
      </x:c>
      <x:c r="E187" s="28" t="str">
        <x:v>Прочее</x:v>
      </x:c>
      <x:c r="F187" s="28" t="str">
        <x:v>колумбийский кофе</x:v>
      </x:c>
      <x:c r="G187" s="28" t="str">
        <x:v>Colombian coffee</x:v>
      </x:c>
      <x:c r="H187" s="28" t="str">
        <x:v>Кофе/обжаренное</x:v>
      </x:c>
      <x:c r="I187" s="28" t="str">
        <x:v>нейтральный/специфический</x:v>
      </x:c>
      <x:c r="J187" s="28" t="str">
        <x:v>обжаренный, карамельный, ореховый, сернистый</x:v>
      </x:c>
      <x:c r="K187" s="28" t="str">
        <x:v>нужен профиль конкретного продукта</x:v>
      </x:c>
      <x:c r="L187" s="28" t="str">
        <x:v>фурантиолы, пиразины, фураны, гуаякол</x:v>
      </x:c>
      <x:c r="M187" s="28" t="str">
        <x:v>прямое семейное перекрытие не является главным механизмом</x:v>
      </x:c>
      <x:c r="N187" s="28" t="str">
        <x:v>надёжный общий маркер не заявлен; сочетание объясняется семействами и сенсорным балансом</x:v>
      </x:c>
      <x:c r="O187" s="28" t="str">
        <x:v>вкусовой баланс</x:v>
      </x:c>
      <x:c r="P187" s="28" t="str">
        <x:v>Высокая кисло-ароматическая нота контрастирует с жареными, горькими и карамельными оттенками; сахар или жир связывает два регистра.</x:v>
      </x:c>
      <x:c r="Q187" s="28" t="str">
        <x:v>нет данных; нет выраженного</x:v>
      </x:c>
      <x:c r="R187" s="28" t="str">
        <x:v>зависит от формы продукта; водная или молочная матрица; масла кофе удерживают аромат</x:v>
      </x:c>
      <x:c r="S18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187" s="28" t="str">
        <x:v>Кабосу формирует профиль «нейтральный/специфический»; характерные маркеры: . Колумбийский кофе относится к группе «кофе/обжаренное» и даёт ноты «обжаренный, карамельный, ореховый,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может подчеркнуть естественную кислотность и связаться с фруктовыми нотами кофе.</x:v>
      </x:c>
      <x:c r="U187" s="28" t="str">
        <x:v>Избыток кислоты делает вкус плоско-резким; белая часть кожуры даёт лишнюю горечь.</x:v>
      </x:c>
      <x:c r="V187" s="28" t="str">
        <x:v>шоколад или кардамон</x:v>
      </x:c>
      <x:c r="W187" s="28" t="str">
        <x:v>кофейный напиток, тирамису, ликёр или десертный соус</x:v>
      </x:c>
      <x:c r="X187" s="28" t="str">
        <x:v>десерты</x:v>
      </x:c>
      <x:c r="Y187" s="28" t="str">
        <x:v>Средняя</x:v>
      </x:c>
      <x:c r="Z187" s="28" t="str">
        <x:v>The Art &amp; Science of Foodpairing.pdf</x:v>
      </x:c>
      <x:c r="AA187" s="28" t="str">
        <x:v>The Art &amp; Science of Foodpairing.pdf: 177</x:v>
      </x:c>
      <x:c r="AB187" s="28" t="str">
        <x:v>Пара представлена в ароматической диаграмме Foodpairing на странице 177.</x:v>
      </x:c>
      <x:c r="AC187" s="28" t="n">
        <x:v>1</x:v>
      </x:c>
      <x:c r="AD187" s="28" t="n">
        <x:v>1</x:v>
      </x:c>
    </x:row>
    <x:row r="188" ht="58" customHeight="1">
      <x:c r="A188" s="28" t="str">
        <x:v>CIT-0187</x:v>
      </x:c>
      <x:c r="B188" s="28" t="str">
        <x:v>Универсальные</x:v>
      </x:c>
      <x:c r="C188" s="28" t="str">
        <x:v>кабосу</x:v>
      </x:c>
      <x:c r="D188" s="28" t="str">
        <x:v>kabosu citrus fruit</x:v>
      </x:c>
      <x:c r="E188" s="28" t="str">
        <x:v>Прочее</x:v>
      </x:c>
      <x:c r="F188" s="28" t="str">
        <x:v>лист муфла</x:v>
      </x:c>
      <x:c r="G188" s="28" t="str">
        <x:v>muflaleaf</x:v>
      </x:c>
      <x:c r="H188" s="28" t="str">
        <x:v>Прочее</x:v>
      </x:c>
      <x:c r="I188" s="28" t="str">
        <x:v>нейтральный/специфический</x:v>
      </x:c>
      <x:c r="J188" s="28" t="str">
        <x:v>нейтральный/специфический</x:v>
      </x:c>
      <x:c r="K188" s="28" t="str">
        <x:v>нужен профиль конкретного продукта</x:v>
      </x:c>
      <x:c r="L188" s="28" t="str">
        <x:v>нужен профиль конкретного продукта</x:v>
      </x:c>
      <x:c r="M188" s="28" t="str">
        <x:v>нейтральный/специфический</x:v>
      </x:c>
      <x:c r="N188" s="28" t="str">
        <x:v>надёжный общий маркер не заявлен; сочетание объясняется семействами и сенсорным балансом</x:v>
      </x:c>
      <x:c r="O188" s="28" t="str">
        <x:v>перекрытие ароматических семейств, вкусовой баланс, тройничное восприятие</x:v>
      </x:c>
      <x:c r="P188" s="28" t="str">
        <x:v>Основной эффект определяется ароматическим контрастом и добавлением кислотной свежести; точный баланс зависит от дозировки и матрицы.</x:v>
      </x:c>
      <x:c r="Q188" s="28" t="str">
        <x:v>нет данных; нет данных</x:v>
      </x:c>
      <x:c r="R188" s="28" t="str">
        <x:v>зависит от формы продукта; зависит от формы продукта</x:v>
      </x:c>
      <x:c r="S18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88" s="28" t="str">
        <x:v>Кабосу формирует профиль «нейтральный/специфический»; характерные маркеры: . Лист муфла относится к группе «прочее» и даёт ноты «нейтральный/специфический». Прямой общий ключевой одорант из доступных профилей не фиксируется, однако продукты пересекаются на уровне семейств: нейтральный/специфический. Поэтому связь лучше описывать как сочетание близких ароматических направлений, а не как действие единственной доказанной молекулы. Основной эффект определяется ароматическим контрастом и добавлением кислотной свежести; точный баланс зависит от дозировки и матрицы. Для точного молекулярного вывода нужен профиль конкретного ингредиента и способа обработки. Для точного молекулярного вывода нужен профиль конкретного ингредиента и способа обработки.</x:v>
      </x:c>
      <x:c r="U188" s="28" t="str">
        <x:v>Избыток кислоты делает вкус плоско-резким; белая часть кожуры даёт лишнюю горечь.</x:v>
      </x:c>
      <x:c r="V188" s="28" t="str">
        <x:v>мёд или нейтральная жировая основа</x:v>
      </x:c>
      <x:c r="W188" s="28" t="str">
        <x:v>соус, напиток или десерт после пробной дегустации</x:v>
      </x:c>
      <x:c r="X188" s="28" t="str">
        <x:v>универсальное</x:v>
      </x:c>
      <x:c r="Y188" s="28" t="str">
        <x:v>Средняя</x:v>
      </x:c>
      <x:c r="Z188" s="28" t="str">
        <x:v>The Art &amp; Science of Foodpairing.pdf</x:v>
      </x:c>
      <x:c r="AA188" s="28" t="str">
        <x:v>The Art &amp; Science of Foodpairing.pdf: 177</x:v>
      </x:c>
      <x:c r="AB188" s="28" t="str">
        <x:v>Пара представлена в ароматической диаграмме Foodpairing на странице 177.</x:v>
      </x:c>
      <x:c r="AC188" s="28" t="n">
        <x:v>1</x:v>
      </x:c>
      <x:c r="AD188" s="28" t="n">
        <x:v>1</x:v>
      </x:c>
    </x:row>
    <x:row r="189" ht="58" customHeight="1">
      <x:c r="A189" s="28" t="str">
        <x:v>CIT-0188</x:v>
      </x:c>
      <x:c r="B189" s="28" t="str">
        <x:v>Десерты и выпечка</x:v>
      </x:c>
      <x:c r="C189" s="28" t="str">
        <x:v>кабосу</x:v>
      </x:c>
      <x:c r="D189" s="28" t="str">
        <x:v>kabosu citrus fruit</x:v>
      </x:c>
      <x:c r="E189" s="28" t="str">
        <x:v>Прочее</x:v>
      </x:c>
      <x:c r="F189" s="28" t="str">
        <x:v>марокканское оливковое масло</x:v>
      </x:c>
      <x:c r="G189" s="28" t="str">
        <x:v>Moroccan virgin olive oil</x:v>
      </x:c>
      <x:c r="H189" s="28" t="str">
        <x:v>Молочные продукты</x:v>
      </x:c>
      <x:c r="I189" s="28" t="str">
        <x:v>нейтральный/специфический</x:v>
      </x:c>
      <x:c r="J189" s="28" t="str">
        <x:v>сливочный, молочный, масляный, иногда животный</x:v>
      </x:c>
      <x:c r="K189" s="28" t="str">
        <x:v>нужен профиль конкретного продукта</x:v>
      </x:c>
      <x:c r="L189" s="28" t="str">
        <x:v>диацетил, молочные лактоны, свободные жирные кислоты</x:v>
      </x:c>
      <x:c r="M189" s="28" t="str">
        <x:v>прямое семейное перекрытие не является главным механизмом</x:v>
      </x:c>
      <x:c r="N189" s="28" t="str">
        <x:v>надёжный общий маркер не заявлен; сочетание объясняется семействами и сенсорным балансом</x:v>
      </x:c>
      <x:c r="O189" s="28" t="str">
        <x:v>вкусовой баланс, влияние матрицы/растворимости</x:v>
      </x:c>
      <x:c r="P189" s="28" t="str">
        <x:v>Кислотность и лёгкая горечь цитруса снижают ощущение жирности; соль и умами, в свою очередь, делают фруктовую часть менее резкой.</x:v>
      </x:c>
      <x:c r="Q189" s="28" t="str">
        <x:v>нет данных; нет выраженного</x:v>
      </x:c>
      <x:c r="R189" s="28" t="str">
        <x:v>зависит от формы продукта; жир растворяет терпены; кислота цитруса может коагулировать молочный белок</x:v>
      </x:c>
      <x:c r="S189"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189" s="28" t="str">
        <x:v>Кабосу формирует профиль «нейтральный/специфический»; характерные маркеры: . Марокканское оливковое масло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Для точного молекулярного вывода нужен профиль конкретного ингредиента и способа обработки. Цитрус режет жирность и освежает, а молочная матрица смягчает кислотность.</x:v>
      </x:c>
      <x:c r="U189" s="28" t="str">
        <x:v>Избыток кислоты делает вкус плоско-резким; белая часть кожуры даёт лишнюю горечь; возможна коагуляция белка.</x:v>
      </x:c>
      <x:c r="V189" s="28" t="str">
        <x:v>мёд или ваниль</x:v>
      </x:c>
      <x:c r="W189" s="28" t="str">
        <x:v>чизкейк, крем, мороженое, соус или салат</x:v>
      </x:c>
      <x:c r="X189" s="28" t="str">
        <x:v>десерты, еда</x:v>
      </x:c>
      <x:c r="Y189" s="28" t="str">
        <x:v>Средняя</x:v>
      </x:c>
      <x:c r="Z189" s="28" t="str">
        <x:v>The Art &amp; Science of Foodpairing.pdf</x:v>
      </x:c>
      <x:c r="AA189" s="28" t="str">
        <x:v>The Art &amp; Science of Foodpairing.pdf: 177</x:v>
      </x:c>
      <x:c r="AB189" s="28" t="str">
        <x:v>Пара представлена в ароматической диаграмме Foodpairing на странице 177.</x:v>
      </x:c>
      <x:c r="AC189" s="28" t="n">
        <x:v>1</x:v>
      </x:c>
      <x:c r="AD189" s="28" t="n">
        <x:v>1</x:v>
      </x:c>
    </x:row>
    <x:row r="190" ht="58" customHeight="1">
      <x:c r="A190" s="28" t="str">
        <x:v>CIT-0189</x:v>
      </x:c>
      <x:c r="B190" s="28" t="str">
        <x:v>Десерты и выпечка</x:v>
      </x:c>
      <x:c r="C190" s="28" t="str">
        <x:v>кабосу</x:v>
      </x:c>
      <x:c r="D190" s="28" t="str">
        <x:v>kabosu citrus fruit</x:v>
      </x:c>
      <x:c r="E190" s="28" t="str">
        <x:v>Прочее</x:v>
      </x:c>
      <x:c r="F190" s="28" t="str">
        <x:v>ржаной хлеб на закваске</x:v>
      </x:c>
      <x:c r="G190" s="28" t="str">
        <x:v>sourdough rye bread</x:v>
      </x:c>
      <x:c r="H190" s="28" t="str">
        <x:v>Злаки и хлеб</x:v>
      </x:c>
      <x:c r="I190" s="28" t="str">
        <x:v>нейтральный/специфический</x:v>
      </x:c>
      <x:c r="J190" s="28" t="str">
        <x:v>зерновой, обжаренный, ореховый, дрожжевой</x:v>
      </x:c>
      <x:c r="K190" s="28" t="str">
        <x:v>нужен профиль конкретного продукта</x:v>
      </x:c>
      <x:c r="L190" s="28" t="str">
        <x:v>пиразины, мальтол, фураны, эфиры брожения</x:v>
      </x:c>
      <x:c r="M190" s="28" t="str">
        <x:v>прямое семейное перекрытие не является главным механизмом</x:v>
      </x:c>
      <x:c r="N190" s="28" t="str">
        <x:v>надёжный общий маркер не заявлен; сочетание объясняется семействами и сенсорным балансом</x:v>
      </x:c>
      <x:c r="O190" s="28" t="str">
        <x:v>вкусовой баланс</x:v>
      </x:c>
      <x:c r="P190" s="28" t="str">
        <x:v>Высокая кисло-ароматическая нота контрастирует с жареными, горькими и карамельными оттенками; сахар или жир связывает два регистра.</x:v>
      </x:c>
      <x:c r="Q190" s="28" t="str">
        <x:v>нет данных; нет выраженного</x:v>
      </x:c>
      <x:c r="R190" s="28" t="str">
        <x:v>зависит от формы продукта; крахмал смягчает кислотность; жир/масло помогает аромату цедры</x:v>
      </x:c>
      <x:c r="S19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90" s="28" t="str">
        <x:v>Кабосу формирует профиль «нейтральный/специфический»; характерные маркеры: . Ржаной хлеб на закваске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освежает зерновой профиль и создаёт контраст с обжаренными нотами.</x:v>
      </x:c>
      <x:c r="U190" s="28" t="str">
        <x:v>Избыток кислоты делает вкус плоско-резким; белая часть кожуры даёт лишнюю горечь.</x:v>
      </x:c>
      <x:c r="V190" s="28" t="str">
        <x:v>сливочное масло или мёд</x:v>
      </x:c>
      <x:c r="W190" s="28" t="str">
        <x:v>кекс, каша, хлеб, крамбл или салат</x:v>
      </x:c>
      <x:c r="X190" s="28" t="str">
        <x:v>десерты, еда</x:v>
      </x:c>
      <x:c r="Y190" s="28" t="str">
        <x:v>Средняя</x:v>
      </x:c>
      <x:c r="Z190" s="28" t="str">
        <x:v>The Art &amp; Science of Foodpairing.pdf</x:v>
      </x:c>
      <x:c r="AA190" s="28" t="str">
        <x:v>The Art &amp; Science of Foodpairing.pdf: 177</x:v>
      </x:c>
      <x:c r="AB190" s="28" t="str">
        <x:v>Пара представлена в ароматической диаграмме Foodpairing на странице 177.</x:v>
      </x:c>
      <x:c r="AC190" s="28" t="n">
        <x:v>1</x:v>
      </x:c>
      <x:c r="AD190" s="28" t="n">
        <x:v>1</x:v>
      </x:c>
    </x:row>
    <x:row r="191" ht="58" customHeight="1">
      <x:c r="A191" s="28" t="str">
        <x:v>CIT-0190</x:v>
      </x:c>
      <x:c r="B191" s="28" t="str">
        <x:v>Десерты и выпечка</x:v>
      </x:c>
      <x:c r="C191" s="28" t="str">
        <x:v>кабосу</x:v>
      </x:c>
      <x:c r="D191" s="28" t="str">
        <x:v>kabosu citrus fruit</x:v>
      </x:c>
      <x:c r="E191" s="28" t="str">
        <x:v>Прочее</x:v>
      </x:c>
      <x:c r="F191" s="28" t="str">
        <x:v>соевый йогурт</x:v>
      </x:c>
      <x:c r="G191" s="28" t="str">
        <x:v>soya yogurt</x:v>
      </x:c>
      <x:c r="H191" s="28" t="str">
        <x:v>Молочные продукты</x:v>
      </x:c>
      <x:c r="I191" s="28" t="str">
        <x:v>нейтральный/специфический</x:v>
      </x:c>
      <x:c r="J191" s="28" t="str">
        <x:v>сливочный, молочный, масляный, иногда животный</x:v>
      </x:c>
      <x:c r="K191" s="28" t="str">
        <x:v>нужен профиль конкретного продукта</x:v>
      </x:c>
      <x:c r="L191" s="28" t="str">
        <x:v>диацетил, молочные лактоны, свободные жирные кислоты</x:v>
      </x:c>
      <x:c r="M191" s="28" t="str">
        <x:v>прямое семейное перекрытие не является главным механизмом</x:v>
      </x:c>
      <x:c r="N191" s="28" t="str">
        <x:v>надёжный общий маркер не заявлен; сочетание объясняется семействами и сенсорным балансом</x:v>
      </x:c>
      <x:c r="O191" s="28" t="str">
        <x:v>вкусовой баланс, влияние матрицы/растворимости</x:v>
      </x:c>
      <x:c r="P191" s="28" t="str">
        <x:v>Кислотность и лёгкая горечь цитруса снижают ощущение жирности; соль и умами, в свою очередь, делают фруктовую часть менее резкой.</x:v>
      </x:c>
      <x:c r="Q191" s="28" t="str">
        <x:v>нет данных; нет выраженного</x:v>
      </x:c>
      <x:c r="R191" s="28" t="str">
        <x:v>зависит от формы продукта; жир растворяет терпены; кислота цитруса может коагулировать молочный белок</x:v>
      </x:c>
      <x:c r="S191"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191" s="28" t="str">
        <x:v>Кабосу формирует профиль «нейтральный/специфический»; характерные маркеры: . Соевый йогурт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Для точного молекулярного вывода нужен профиль конкретного ингредиента и способа обработки. Цитрус режет жирность и освежает, а молочная матрица смягчает кислотность.</x:v>
      </x:c>
      <x:c r="U191" s="28" t="str">
        <x:v>Избыток кислоты делает вкус плоско-резким; белая часть кожуры даёт лишнюю горечь; возможна коагуляция белка.</x:v>
      </x:c>
      <x:c r="V191" s="28" t="str">
        <x:v>мёд или ваниль</x:v>
      </x:c>
      <x:c r="W191" s="28" t="str">
        <x:v>чизкейк, крем, мороженое, соус или салат</x:v>
      </x:c>
      <x:c r="X191" s="28" t="str">
        <x:v>десерты, еда</x:v>
      </x:c>
      <x:c r="Y191" s="28" t="str">
        <x:v>Средняя</x:v>
      </x:c>
      <x:c r="Z191" s="28" t="str">
        <x:v>The Art &amp; Science of Foodpairing.pdf</x:v>
      </x:c>
      <x:c r="AA191" s="28" t="str">
        <x:v>The Art &amp; Science of Foodpairing.pdf: 177</x:v>
      </x:c>
      <x:c r="AB191" s="28" t="str">
        <x:v>Пара представлена в ароматической диаграмме Foodpairing на странице 177.</x:v>
      </x:c>
      <x:c r="AC191" s="28" t="n">
        <x:v>1</x:v>
      </x:c>
      <x:c r="AD191" s="28" t="n">
        <x:v>1</x:v>
      </x:c>
    </x:row>
    <x:row r="192" ht="58" customHeight="1">
      <x:c r="A192" s="28" t="str">
        <x:v>CIT-0191</x:v>
      </x:c>
      <x:c r="B192" s="28" t="str">
        <x:v>Еда и соусы</x:v>
      </x:c>
      <x:c r="C192" s="28" t="str">
        <x:v>кабосу</x:v>
      </x:c>
      <x:c r="D192" s="28" t="str">
        <x:v>kabosu citrus fruit</x:v>
      </x:c>
      <x:c r="E192" s="28" t="str">
        <x:v>Прочее</x:v>
      </x:c>
      <x:c r="F192" s="28" t="str">
        <x:v>тыква</x:v>
      </x:c>
      <x:c r="G192" s="28" t="str">
        <x:v>pumpkin</x:v>
      </x:c>
      <x:c r="H192" s="28" t="str">
        <x:v>Овощи</x:v>
      </x:c>
      <x:c r="I192" s="28" t="str">
        <x:v>нейтральный/специфический</x:v>
      </x:c>
      <x:c r="J192" s="28" t="str">
        <x:v>зелёный, землистый, растительный, иногда сернистый</x:v>
      </x:c>
      <x:c r="K192" s="28" t="str">
        <x:v>нужен профиль конкретного продукта</x:v>
      </x:c>
      <x:c r="L192" s="28" t="str">
        <x:v>C6-альдегиды, метоксипиразины, геосмин (землистые), сернистые соединения</x:v>
      </x:c>
      <x:c r="M192" s="28" t="str">
        <x:v>прямое семейное перекрытие не является главным механизмом</x:v>
      </x:c>
      <x:c r="N192" s="28" t="str">
        <x:v>надёжный общий маркер не заявлен; сочетание объясняется семействами и сенсорным балансом</x:v>
      </x:c>
      <x:c r="O192" s="28" t="str">
        <x:v>вкусовой баланс</x:v>
      </x:c>
      <x:c r="P192" s="28" t="str">
        <x:v>Кислота подчёркивает природную сладость овоща, сокращает землистое/сернистое послевкусие и повышает слюноотделение.</x:v>
      </x:c>
      <x:c r="Q192" s="28" t="str">
        <x:v>нет данных; нет выраженного</x:v>
      </x:c>
      <x:c r="R192" s="28" t="str">
        <x:v>зависит от формы продукта; водная/крахмальная матрица; масло помогает распределить цедру</x:v>
      </x:c>
      <x:c r="S19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92" s="28" t="str">
        <x:v>Кабосу формирует профиль «нейтральный/специфический»; характерные маркеры: .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Для точного молекулярного вывода нужен профиль конкретного ингредиента и способа обработки. Кислота подчёркивает сладость овощей и сокращает землистое или сернистое послевкусие.</x:v>
      </x:c>
      <x:c r="U192" s="28" t="str">
        <x:v>Избыток кислоты делает вкус плоско-резким; белая часть кожуры даёт лишнюю горечь.</x:v>
      </x:c>
      <x:c r="V192" s="28" t="str">
        <x:v>оливковое масло или базилик</x:v>
      </x:c>
      <x:c r="W192" s="28" t="str">
        <x:v>винегрет, салат, пюре, запечённое блюдо или овощной соус</x:v>
      </x:c>
      <x:c r="X192" s="28" t="str">
        <x:v>еда, соусы/маринады</x:v>
      </x:c>
      <x:c r="Y192" s="28" t="str">
        <x:v>Средняя</x:v>
      </x:c>
      <x:c r="Z192" s="28" t="str">
        <x:v>The Art &amp; Science of Foodpairing.pdf</x:v>
      </x:c>
      <x:c r="AA192" s="28" t="str">
        <x:v>The Art &amp; Science of Foodpairing.pdf: 177</x:v>
      </x:c>
      <x:c r="AB192" s="28" t="str">
        <x:v>Пара представлена в ароматической диаграмме Foodpairing на странице 177.</x:v>
      </x:c>
      <x:c r="AC192" s="28" t="n">
        <x:v>1</x:v>
      </x:c>
      <x:c r="AD192" s="28" t="n">
        <x:v>1</x:v>
      </x:c>
    </x:row>
    <x:row r="193" ht="58" customHeight="1">
      <x:c r="A193" s="28" t="str">
        <x:v>CIT-0192</x:v>
      </x:c>
      <x:c r="B193" s="28" t="str">
        <x:v>Десерты и выпечка</x:v>
      </x:c>
      <x:c r="C193" s="28" t="str">
        <x:v>кабосу</x:v>
      </x:c>
      <x:c r="D193" s="28" t="str">
        <x:v>kabosu citrus fruit</x:v>
      </x:c>
      <x:c r="E193" s="28" t="str">
        <x:v>Прочее</x:v>
      </x:c>
      <x:c r="F193" s="28" t="str">
        <x:v>фундук</x:v>
      </x:c>
      <x:c r="G193" s="28" t="str">
        <x:v>hazelnut</x:v>
      </x:c>
      <x:c r="H193" s="28" t="str">
        <x:v>Орехи и семена</x:v>
      </x:c>
      <x:c r="I193" s="28" t="str">
        <x:v>нейтральный/специфический</x:v>
      </x:c>
      <x:c r="J193" s="28" t="str">
        <x:v>ореховый, обжаренный, жирный, зелёный</x:v>
      </x:c>
      <x:c r="K193" s="28" t="str">
        <x:v>нужен профиль конкретного продукта</x:v>
      </x:c>
      <x:c r="L193" s="28" t="str">
        <x:v>пиразины, альдегиды окисления жиров, бензальдегид (миндаль)</x:v>
      </x:c>
      <x:c r="M193" s="28" t="str">
        <x:v>прямое семейное перекрытие не является главным механизмом</x:v>
      </x:c>
      <x:c r="N193" s="28" t="str">
        <x:v>надёжный общий маркер не заявлен; сочетание объясняется семействами и сенсорным балансом</x:v>
      </x:c>
      <x:c r="O193" s="28" t="str">
        <x:v>вкусовой баланс, влияние матрицы/растворимости</x:v>
      </x:c>
      <x:c r="P193" s="28" t="str">
        <x:v>Кислотность и лёгкая горечь цитруса снижают ощущение жирности; соль и умами, в свою очередь, делают фруктовую часть менее резкой.</x:v>
      </x:c>
      <x:c r="Q193" s="28" t="str">
        <x:v>нет данных; нет выраженного</x:v>
      </x:c>
      <x:c r="R193" s="28" t="str">
        <x:v>зависит от формы продукта; высокая жирность растворяет терпеновые масла цитруса</x:v>
      </x:c>
      <x:c r="S19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193" s="28" t="str">
        <x:v>Кабосу формирует профиль «нейтральный/специфический»; характерные маркеры: . Фундук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Для точного молекулярного вывода нужен профиль конкретного ингредиента и способа обработки. Кислота режет жирность, а цедра связывается с обжаренными и цветочными нотами.</x:v>
      </x:c>
      <x:c r="U193" s="28" t="str">
        <x:v>Избыток кислоты делает вкус плоско-резким; белая часть кожуры даёт лишнюю горечь.</x:v>
      </x:c>
      <x:c r="V193" s="28" t="str">
        <x:v>мёд или шоколад</x:v>
      </x:c>
      <x:c r="W193" s="28" t="str">
        <x:v>пралине, крем, выпечка, салат или ореховый соус</x:v>
      </x:c>
      <x:c r="X193" s="28" t="str">
        <x:v>десерты</x:v>
      </x:c>
      <x:c r="Y193" s="28" t="str">
        <x:v>Средняя</x:v>
      </x:c>
      <x:c r="Z193" s="28" t="str">
        <x:v>The Art &amp; Science of Foodpairing.pdf</x:v>
      </x:c>
      <x:c r="AA193" s="28" t="str">
        <x:v>The Art &amp; Science of Foodpairing.pdf: 177</x:v>
      </x:c>
      <x:c r="AB193" s="28" t="str">
        <x:v>Пара представлена в ароматической диаграмме Foodpairing на странице 177.</x:v>
      </x:c>
      <x:c r="AC193" s="28" t="n">
        <x:v>1</x:v>
      </x:c>
      <x:c r="AD193" s="28" t="n">
        <x:v>1</x:v>
      </x:c>
    </x:row>
    <x:row r="194" ht="58" customHeight="1">
      <x:c r="A194" s="28" t="str">
        <x:v>CIT-0193</x:v>
      </x:c>
      <x:c r="B194" s="28" t="str">
        <x:v>Десерты и выпечка</x:v>
      </x:c>
      <x:c r="C194" s="28" t="str">
        <x:v>кабосу</x:v>
      </x:c>
      <x:c r="D194" s="28" t="str">
        <x:v>kabosu citrus fruit</x:v>
      </x:c>
      <x:c r="E194" s="28" t="str">
        <x:v>Прочее</x:v>
      </x:c>
      <x:c r="F194" s="28" t="str">
        <x:v>хлеб на закваске</x:v>
      </x:c>
      <x:c r="G194" s="28" t="str">
        <x:v>sourdough bread</x:v>
      </x:c>
      <x:c r="H194" s="28" t="str">
        <x:v>Злаки и хлеб</x:v>
      </x:c>
      <x:c r="I194" s="28" t="str">
        <x:v>нейтральный/специфический</x:v>
      </x:c>
      <x:c r="J194" s="28" t="str">
        <x:v>зерновой, обжаренный, ореховый, дрожжевой</x:v>
      </x:c>
      <x:c r="K194" s="28" t="str">
        <x:v>нужен профиль конкретного продукта</x:v>
      </x:c>
      <x:c r="L194" s="28" t="str">
        <x:v>пиразины, мальтол, фураны, эфиры брожения</x:v>
      </x:c>
      <x:c r="M194" s="28" t="str">
        <x:v>прямое семейное перекрытие не является главным механизмом</x:v>
      </x:c>
      <x:c r="N194" s="28" t="str">
        <x:v>надёжный общий маркер не заявлен; сочетание объясняется семействами и сенсорным балансом</x:v>
      </x:c>
      <x:c r="O194" s="28" t="str">
        <x:v>вкусовой баланс</x:v>
      </x:c>
      <x:c r="P194" s="28" t="str">
        <x:v>Высокая кисло-ароматическая нота контрастирует с жареными, горькими и карамельными оттенками; сахар или жир связывает два регистра.</x:v>
      </x:c>
      <x:c r="Q194" s="28" t="str">
        <x:v>нет данных; нет выраженного</x:v>
      </x:c>
      <x:c r="R194" s="28" t="str">
        <x:v>зависит от формы продукта; крахмал смягчает кислотность; жир/масло помогает аромату цедры</x:v>
      </x:c>
      <x:c r="S19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94" s="28" t="str">
        <x:v>Кабосу формирует профиль «нейтральный/специфический»; характерные маркеры: . Хлеб на закваске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освежает зерновой профиль и создаёт контраст с обжаренными нотами.</x:v>
      </x:c>
      <x:c r="U194" s="28" t="str">
        <x:v>Избыток кислоты делает вкус плоско-резким; белая часть кожуры даёт лишнюю горечь.</x:v>
      </x:c>
      <x:c r="V194" s="28" t="str">
        <x:v>сливочное масло или мёд</x:v>
      </x:c>
      <x:c r="W194" s="28" t="str">
        <x:v>кекс, каша, хлеб, крамбл или салат</x:v>
      </x:c>
      <x:c r="X194" s="28" t="str">
        <x:v>десерты, еда</x:v>
      </x:c>
      <x:c r="Y194" s="28" t="str">
        <x:v>Средняя</x:v>
      </x:c>
      <x:c r="Z194" s="28" t="str">
        <x:v>The Art &amp; Science of Foodpairing.pdf</x:v>
      </x:c>
      <x:c r="AA194" s="28" t="str">
        <x:v>The Art &amp; Science of Foodpairing.pdf: 177</x:v>
      </x:c>
      <x:c r="AB194" s="28" t="str">
        <x:v>Пара представлена в ароматической диаграмме Foodpairing на странице 177.</x:v>
      </x:c>
      <x:c r="AC194" s="28" t="n">
        <x:v>1</x:v>
      </x:c>
      <x:c r="AD194" s="28" t="n">
        <x:v>1</x:v>
      </x:c>
    </x:row>
    <x:row r="195" ht="58" customHeight="1">
      <x:c r="A195" s="28" t="str">
        <x:v>CIT-0194</x:v>
      </x:c>
      <x:c r="B195" s="28" t="str">
        <x:v>Универсальные</x:v>
      </x:c>
      <x:c r="C195" s="28" t="str">
        <x:v>кабосу</x:v>
      </x:c>
      <x:c r="D195" s="28" t="str">
        <x:v>kabosu citrus fruit</x:v>
      </x:c>
      <x:c r="E195" s="28" t="str">
        <x:v>Прочее</x:v>
      </x:c>
      <x:c r="F195" s="28" t="str">
        <x:v>чабер</x:v>
      </x:c>
      <x:c r="G195" s="28" t="str">
        <x:v>summer savory</x:v>
      </x:c>
      <x:c r="H195" s="28" t="str">
        <x:v>Прочее</x:v>
      </x:c>
      <x:c r="I195" s="28" t="str">
        <x:v>нейтральный/специфический</x:v>
      </x:c>
      <x:c r="J195" s="28" t="str">
        <x:v>нейтральный/специфический</x:v>
      </x:c>
      <x:c r="K195" s="28" t="str">
        <x:v>нужен профиль конкретного продукта</x:v>
      </x:c>
      <x:c r="L195" s="28" t="str">
        <x:v>нужен профиль конкретного продукта</x:v>
      </x:c>
      <x:c r="M195" s="28" t="str">
        <x:v>нейтральный/специфический</x:v>
      </x:c>
      <x:c r="N195" s="28" t="str">
        <x:v>надёжный общий маркер не заявлен; сочетание объясняется семействами и сенсорным балансом</x:v>
      </x:c>
      <x:c r="O195" s="28" t="str">
        <x:v>перекрытие ароматических семейств, вкусовой баланс, тройничное восприятие</x:v>
      </x:c>
      <x:c r="P195" s="28" t="str">
        <x:v>Основной эффект определяется ароматическим контрастом и добавлением кислотной свежести; точный баланс зависит от дозировки и матрицы.</x:v>
      </x:c>
      <x:c r="Q195" s="28" t="str">
        <x:v>нет данных; нет данных</x:v>
      </x:c>
      <x:c r="R195" s="28" t="str">
        <x:v>зависит от формы продукта; зависит от формы продукта</x:v>
      </x:c>
      <x:c r="S19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95" s="28" t="str">
        <x:v>Кабосу формирует профиль «нейтральный/специфический»; характерные маркеры: . Чабер относится к группе «прочее» и даёт ноты «нейтральный/специфический». Прямой общий ключевой одорант из доступных профилей не фиксируется, однако продукты пересекаются на уровне семейств: нейтральный/специфический. Поэтому связь лучше описывать как сочетание близких ароматических направлений, а не как действие единственной доказанной молекулы. Основной эффект определяется ароматическим контрастом и добавлением кислотной свежести; точный баланс зависит от дозировки и матрицы. Для точного молекулярного вывода нужен профиль конкретного ингредиента и способа обработки. Для точного молекулярного вывода нужен профиль конкретного ингредиента и способа обработки.</x:v>
      </x:c>
      <x:c r="U195" s="28" t="str">
        <x:v>Избыток кислоты делает вкус плоско-резким; белая часть кожуры даёт лишнюю горечь.</x:v>
      </x:c>
      <x:c r="V195" s="28" t="str">
        <x:v>мёд или нейтральная жировая основа</x:v>
      </x:c>
      <x:c r="W195" s="28" t="str">
        <x:v>соус, напиток или десерт после пробной дегустации</x:v>
      </x:c>
      <x:c r="X195" s="28" t="str">
        <x:v>универсальное</x:v>
      </x:c>
      <x:c r="Y195" s="28" t="str">
        <x:v>Средняя</x:v>
      </x:c>
      <x:c r="Z195" s="28" t="str">
        <x:v>The Art &amp; Science of Foodpairing.pdf</x:v>
      </x:c>
      <x:c r="AA195" s="28" t="str">
        <x:v>The Art &amp; Science of Foodpairing.pdf: 177</x:v>
      </x:c>
      <x:c r="AB195" s="28" t="str">
        <x:v>Пара представлена в ароматической диаграмме Foodpairing на странице 177.</x:v>
      </x:c>
      <x:c r="AC195" s="28" t="n">
        <x:v>1</x:v>
      </x:c>
      <x:c r="AD195" s="28" t="n">
        <x:v>1</x:v>
      </x:c>
    </x:row>
    <x:row r="196" ht="58" customHeight="1">
      <x:c r="A196" s="28" t="str">
        <x:v>CIT-0195</x:v>
      </x:c>
      <x:c r="B196" s="28" t="str">
        <x:v>Универсальные</x:v>
      </x:c>
      <x:c r="C196" s="28" t="str">
        <x:v>каламондин</x:v>
      </x:c>
      <x:c r="D196" s="28" t="str">
        <x:v>(calamondin orange)</x:v>
      </x:c>
      <x:c r="E196" s="28" t="str">
        <x:v>Цитрусовые</x:v>
      </x:c>
      <x:c r="F196" s="28" t="str">
        <x:v>каламонси</x:v>
      </x:c>
      <x:c r="G196" s="28" t="str">
        <x:v>calamansi</x:v>
      </x:c>
      <x:c r="H196" s="28" t="str">
        <x:v>Цитрусовые</x:v>
      </x:c>
      <x:c r="I196" s="28" t="str">
        <x:v>цитрусовый, зелёный, травяной, камфорный</x:v>
      </x:c>
      <x:c r="J196" s="28" t="str">
        <x:v>цитрусовый, зелёный, травяной, камфорный</x:v>
      </x:c>
      <x:c r="K196" s="28" t="str">
        <x:v>лимонен, гамма-терпинен, цитраль, бета-пинен, линалол</x:v>
      </x:c>
      <x:c r="L196" s="28" t="str">
        <x:v>лимонен, гамма-терпинен, цитраль, бета-пинен, линалол</x:v>
      </x:c>
      <x:c r="M196" s="28" t="str">
        <x:v>зелёный, камфорный, травяной, цитрусовый</x:v>
      </x:c>
      <x:c r="N196" s="28" t="str">
        <x:v>бета-пинен, гамма-терпинен, лимонен, линалол, цитраль</x:v>
      </x:c>
      <x:c r="O196" s="28" t="str">
        <x:v>общие ароматические молекулы, перекрытие ароматических семейств, вкусовой баланс, тройничное восприятие</x:v>
      </x:c>
      <x:c r="P196" s="28" t="str">
        <x:v>Сочетание строится на близком терпеновом профиле; различия в кислотности, горечи и цветочно-зелёных оттенках создают объём.</x:v>
      </x:c>
      <x:c r="Q196" s="28" t="str">
        <x:v>кислота усиливает слюноотделение; зелёные терпены создают ощущение прохлады; кислота усиливает слюноотделение; зелёные терпены создают ощущение прохлады</x:v>
      </x:c>
      <x:c r="R196" s="28" t="str">
        <x:v>сок — водная кислая фаза; цедра — масляная терпеновая; сок — водная кислая фаза; цедра — масляная терпеновая</x:v>
      </x:c>
      <x:c r="S19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96" s="28" t="str">
        <x:v>Каламондин формирует профиль «цитрусовый, зелёный, травяной, камфорный»; характерные маркеры: лимонен, гамма-терпинен, цитраль, бета-пинен, линалол. Каламонси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линалол, цитраль; дополнительно совпадают ароматические семейства: зелёный, камфорный, травяной,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Лаймовые цитрусы дают более зелёный и камфорный профиль, чем сладкий апельсин.</x:v>
      </x:c>
      <x:c r="U196" s="28" t="str">
        <x:v>Избыток кислоты делает вкус плоско-резким; белая часть кожуры даёт лишнюю горечь.</x:v>
      </x:c>
      <x:c r="V196" s="28" t="str">
        <x:v>мёд или цветочная вода</x:v>
      </x:c>
      <x:c r="W196" s="28" t="str">
        <x:v>цитрусовый кордиал, мармелад, сорбет, салат или купаж соков</x:v>
      </x:c>
      <x:c r="X196" s="28" t="str">
        <x:v>напитки, десерты</x:v>
      </x:c>
      <x:c r="Y196" s="28" t="str">
        <x:v>Средняя</x:v>
      </x:c>
      <x:c r="Z196" s="28" t="str">
        <x:v>The Art &amp; Science of Foodpairing.pdf</x:v>
      </x:c>
      <x:c r="AA196" s="28" t="str">
        <x:v>The Art &amp; Science of Foodpairing.pdf: 142</x:v>
      </x:c>
      <x:c r="AB196" s="28" t="str">
        <x:v>Пара представлена в ароматической диаграмме Foodpairing на странице 142.</x:v>
      </x:c>
      <x:c r="AC196" s="28" t="n">
        <x:v>1</x:v>
      </x:c>
      <x:c r="AD196" s="28" t="n">
        <x:v>1</x:v>
      </x:c>
    </x:row>
    <x:row r="197" ht="58" customHeight="1">
      <x:c r="A197" s="28" t="str">
        <x:v>CIT-0196</x:v>
      </x:c>
      <x:c r="B197" s="28" t="str">
        <x:v>Универсальные</x:v>
      </x:c>
      <x:c r="C197" s="28" t="str">
        <x:v>каламонси</x:v>
      </x:c>
      <x:c r="D197" s="28" t="str">
        <x:v>calamansi (calamondin orange)</x:v>
      </x:c>
      <x:c r="E197" s="28" t="str">
        <x:v>Цитрусовые</x:v>
      </x:c>
      <x:c r="F197" s="28" t="str">
        <x:v>гуакамоле</x:v>
      </x:c>
      <x:c r="G197" s="28" t="str">
        <x:v>guacamole</x:v>
      </x:c>
      <x:c r="H197" s="28" t="str">
        <x:v>Прочее</x:v>
      </x:c>
      <x:c r="I197" s="28" t="str">
        <x:v>цитрусовый, зелёный, травяной, камфорный</x:v>
      </x:c>
      <x:c r="J197" s="28" t="str">
        <x:v>нейтральный/специфический</x:v>
      </x:c>
      <x:c r="K197" s="28" t="str">
        <x:v>лимонен, гамма-терпинен, цитраль, бета-пинен, линалол</x:v>
      </x:c>
      <x:c r="L197" s="28" t="str">
        <x:v>нужен профиль конкретного продукта</x:v>
      </x:c>
      <x:c r="M197" s="28" t="str">
        <x:v>прямое семейное перекрытие не является главным механизмом</x:v>
      </x:c>
      <x:c r="N197" s="28" t="str">
        <x:v>надёжный общий маркер не заявлен; сочетание объясняется семействами и сенсорным балансом</x:v>
      </x:c>
      <x:c r="O197" s="28" t="str">
        <x:v>вкусовой баланс, тройничное восприятие</x:v>
      </x:c>
      <x:c r="P197" s="28" t="str">
        <x:v>Основной эффект определяется ароматическим контрастом и добавлением кислотной свежести; точный баланс зависит от дозировки и матрицы.</x:v>
      </x:c>
      <x:c r="Q197" s="28" t="str">
        <x:v>кислота усиливает слюноотделение; зелёные терпены создают ощущение прохлады; нет данных</x:v>
      </x:c>
      <x:c r="R197" s="28" t="str">
        <x:v>сок — водная кислая фаза; цедра — масляная терпеновая; зависит от формы продукта</x:v>
      </x:c>
      <x:c r="S19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197" s="28" t="str">
        <x:v>Каламонси формирует профиль «цитрусовый, зелёный, травяной, камфорный»; характерные маркеры: лимонен, гамма-терпинен, цитраль, бета-пинен, линалол. Гуакамоле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197" s="28" t="str">
        <x:v>Избыток кислоты делает вкус плоско-резким; белая часть кожуры даёт лишнюю горечь.</x:v>
      </x:c>
      <x:c r="V197" s="28" t="str">
        <x:v>мёд или нейтральная жировая основа</x:v>
      </x:c>
      <x:c r="W197" s="28" t="str">
        <x:v>соус, напиток или десерт после пробной дегустации</x:v>
      </x:c>
      <x:c r="X197" s="28" t="str">
        <x:v>универсальное</x:v>
      </x:c>
      <x:c r="Y197" s="28" t="str">
        <x:v>Средняя</x:v>
      </x:c>
      <x:c r="Z197" s="28" t="str">
        <x:v>The Art &amp; Science of Foodpairing.pdf</x:v>
      </x:c>
      <x:c r="AA197" s="28" t="str">
        <x:v>The Art &amp; Science of Foodpairing.pdf: 354</x:v>
      </x:c>
      <x:c r="AB197" s="28" t="str">
        <x:v>Пара представлена в ароматической диаграмме Foodpairing на странице 354.</x:v>
      </x:c>
      <x:c r="AC197" s="28" t="n">
        <x:v>1</x:v>
      </x:c>
      <x:c r="AD197" s="28" t="n">
        <x:v>1</x:v>
      </x:c>
    </x:row>
    <x:row r="198" ht="58" customHeight="1">
      <x:c r="A198" s="28" t="str">
        <x:v>CIT-0197</x:v>
      </x:c>
      <x:c r="B198" s="28" t="str">
        <x:v>Еда и соусы</x:v>
      </x:c>
      <x:c r="C198" s="28" t="str">
        <x:v>каламонси</x:v>
      </x:c>
      <x:c r="D198" s="28" t="str">
        <x:v>calamansi</x:v>
      </x:c>
      <x:c r="E198" s="28" t="str">
        <x:v>Цитрусовые</x:v>
      </x:c>
      <x:c r="F198" s="28" t="str">
        <x:v>запечённый морской гребешок</x:v>
      </x:c>
      <x:c r="G198" s="28" t="str">
        <x:v>baked king scallop</x:v>
      </x:c>
      <x:c r="H198" s="28" t="str">
        <x:v>Рыба и морепродукты</x:v>
      </x:c>
      <x:c r="I198" s="28" t="str">
        <x:v>цитрусовый, зелёный, травяной, камфорный</x:v>
      </x:c>
      <x:c r="J198" s="28" t="str">
        <x:v>морской, йодистый, зелёный, жирный</x:v>
      </x:c>
      <x:c r="K198" s="28" t="str">
        <x:v>лимонен, гамма-терпинен, цитраль, бета-пинен, линалол</x:v>
      </x:c>
      <x:c r="L198" s="28" t="str">
        <x:v>альдегиды окисления липидов, бромфенолы, диметилсульфид, умами-соединения</x:v>
      </x:c>
      <x:c r="M198" s="28" t="str">
        <x:v>зелёный</x:v>
      </x:c>
      <x:c r="N198" s="28" t="str">
        <x:v>надёжный общий маркер не заявлен; сочетание объясняется семействами и сенсорным балансом</x:v>
      </x:c>
      <x:c r="O198" s="28" t="str">
        <x:v>перекрытие ароматических семейств, вкусовой баланс, влияние матрицы/растворимости</x:v>
      </x:c>
      <x:c r="P198" s="28" t="str">
        <x:v>Кислотность и лёгкая горечь цитруса снижают ощущение жирности; соль и умами, в свою очередь, делают фруктовую часть менее резкой.</x:v>
      </x:c>
      <x:c r="Q198" s="28" t="str">
        <x:v>кислота усиливает слюноотделение; зелёные терпены создают ощущение прохлады; нет выраженного</x:v>
      </x:c>
      <x:c r="R198" s="28" t="str">
        <x:v>сок — водная кислая фаза; цедра — масляная терпеновая; кислота может денатурировать поверхностные белки; жир рыбы удерживает терпены</x:v>
      </x:c>
      <x:c r="S19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198" s="28" t="str">
        <x:v>Каламонси формирует профиль «цитрусовый, зелёный, травяной, камфорный»; характерные маркеры: лимонен, гамма-терпинен, цитраль, бета-пинен, линалол. Запечённый морской гребешок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U198" s="28" t="str">
        <x:v>Избыток кислоты делает вкус плоско-резким; белая часть кожуры даёт лишнюю горечь; слишком долгая маринация ухудшает текстуру.</x:v>
      </x:c>
      <x:c r="V198" s="28" t="str">
        <x:v>кинза или фенхель</x:v>
      </x:c>
      <x:c r="W198" s="28" t="str">
        <x:v>севиче, маринад, beurre blanc, тартар или салат</x:v>
      </x:c>
      <x:c r="X198" s="28" t="str">
        <x:v>еда, соусы/маринады</x:v>
      </x:c>
      <x:c r="Y198" s="28" t="str">
        <x:v>Средняя</x:v>
      </x:c>
      <x:c r="Z198" s="28" t="str">
        <x:v>The Art &amp; Science of Foodpairing.pdf</x:v>
      </x:c>
      <x:c r="AA198" s="28" t="str">
        <x:v>The Art &amp; Science of Foodpairing.pdf: 142</x:v>
      </x:c>
      <x:c r="AB198" s="28" t="str">
        <x:v>Пара представлена в ароматической диаграмме Foodpairing на странице 142.</x:v>
      </x:c>
      <x:c r="AC198" s="28" t="n">
        <x:v>1</x:v>
      </x:c>
      <x:c r="AD198" s="28" t="n">
        <x:v>1</x:v>
      </x:c>
    </x:row>
    <x:row r="199" ht="58" customHeight="1">
      <x:c r="A199" s="28" t="str">
        <x:v>CIT-0198</x:v>
      </x:c>
      <x:c r="B199" s="28" t="str">
        <x:v>Универсальные</x:v>
      </x:c>
      <x:c r="C199" s="28" t="str">
        <x:v>каламонси</x:v>
      </x:c>
      <x:c r="D199" s="28" t="str">
        <x:v>calamansi</x:v>
      </x:c>
      <x:c r="E199" s="28" t="str">
        <x:v>Цитрусовые</x:v>
      </x:c>
      <x:c r="F199" s="28" t="str">
        <x:v>имбирь</x:v>
      </x:c>
      <x:c r="G199" s="28" t="str">
        <x:v>ginger</x:v>
      </x:c>
      <x:c r="H199" s="28" t="str">
        <x:v>Пряности</x:v>
      </x:c>
      <x:c r="I199" s="28" t="str">
        <x:v>цитрусовый, зелёный, травяной, камфорный</x:v>
      </x:c>
      <x:c r="J199" s="28" t="str">
        <x:v>цитрусовый, пряный, древесный, тёплый</x:v>
      </x:c>
      <x:c r="K199" s="28" t="str">
        <x:v>лимонен, гамма-терпинен, цитраль, бета-пинен, линалол</x:v>
      </x:c>
      <x:c r="L199" s="28" t="str">
        <x:v>зингиберен, цитраль, гераниол, гингеролы/шогаолы</x:v>
      </x:c>
      <x:c r="M199" s="28" t="str">
        <x:v>цитрусовый</x:v>
      </x:c>
      <x:c r="N199" s="28" t="str">
        <x:v>цитраль</x:v>
      </x:c>
      <x:c r="O199" s="28" t="str">
        <x:v>общие ароматические молекулы, перекрытие ароматических семейств, вкусовой баланс, тройничное восприятие</x:v>
      </x:c>
      <x:c r="P199" s="28" t="str">
        <x:v>Кислота усиливает слюноотделение и делает пряный аромат ярче; терпены цитруса образуют мост с эфирными маслами травы или специи.</x:v>
      </x:c>
      <x:c r="Q199" s="28" t="str">
        <x:v>кислота усиливает слюноотделение; зелёные терпены создают ощущение прохлады; гингеролы и шогаолы активируют TRPV1 и дают тепло</x:v>
      </x:c>
      <x:c r="R199" s="28" t="str">
        <x:v>сок — водная кислая фаза; цедра — масляная терпеновая; ароматические терпены лучше извлекаются этанолом и жиром</x:v>
      </x:c>
      <x:c r="S19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199" s="28" t="str">
        <x:v>Каламонси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U199" s="28" t="str">
        <x:v>Избыток кислоты делает вкус плоско-резким; белая часть кожуры даёт лишнюю горечь.</x:v>
      </x:c>
      <x:c r="V199" s="28" t="str">
        <x:v>мёд или ваниль</x:v>
      </x:c>
      <x:c r="W199" s="28" t="str">
        <x:v>сироп, кордиал, чатни, маринад или пряный десерт</x:v>
      </x:c>
      <x:c r="X199" s="28" t="str">
        <x:v>напитки, еда, соусы/маринады</x:v>
      </x:c>
      <x:c r="Y199" s="28" t="str">
        <x:v>Средняя</x:v>
      </x:c>
      <x:c r="Z199" s="28" t="str">
        <x:v>The Art &amp; Science of Foodpairing.pdf</x:v>
      </x:c>
      <x:c r="AA199" s="28" t="str">
        <x:v>The Art &amp; Science of Foodpairing.pdf: 142</x:v>
      </x:c>
      <x:c r="AB199" s="28" t="str">
        <x:v>Пара представлена в ароматической диаграмме Foodpairing на странице 142.</x:v>
      </x:c>
      <x:c r="AC199" s="28" t="n">
        <x:v>1</x:v>
      </x:c>
      <x:c r="AD199" s="28" t="n">
        <x:v>1</x:v>
      </x:c>
    </x:row>
    <x:row r="200" ht="58" customHeight="1">
      <x:c r="A200" s="28" t="str">
        <x:v>CIT-0199</x:v>
      </x:c>
      <x:c r="B200" s="28" t="str">
        <x:v>Универсальные</x:v>
      </x:c>
      <x:c r="C200" s="28" t="str">
        <x:v>каламонси</x:v>
      </x:c>
      <x:c r="D200" s="28" t="str">
        <x:v>calamansi</x:v>
      </x:c>
      <x:c r="E200" s="28" t="str">
        <x:v>Цитрусовые</x:v>
      </x:c>
      <x:c r="F200" s="28" t="str">
        <x:v>кейл</x:v>
      </x:c>
      <x:c r="G200" s="28" t="str">
        <x:v>kale</x:v>
      </x:c>
      <x:c r="H200" s="28" t="str">
        <x:v>Прочее</x:v>
      </x:c>
      <x:c r="I200" s="28" t="str">
        <x:v>цитрусовый, зелёный, травяной, камфорный</x:v>
      </x:c>
      <x:c r="J200" s="28" t="str">
        <x:v>нейтральный/специфический</x:v>
      </x:c>
      <x:c r="K200" s="28" t="str">
        <x:v>лимонен, гамма-терпинен, цитраль, бета-пинен, линалол</x:v>
      </x:c>
      <x:c r="L200" s="28" t="str">
        <x:v>нужен профиль конкретного продукта</x:v>
      </x:c>
      <x:c r="M200" s="28" t="str">
        <x:v>прямое семейное перекрытие не является главным механизмом</x:v>
      </x:c>
      <x:c r="N200" s="28" t="str">
        <x:v>надёжный общий маркер не заявлен; сочетание объясняется семействами и сенсорным балансом</x:v>
      </x:c>
      <x:c r="O200" s="28" t="str">
        <x:v>вкусовой баланс, тройничное восприятие</x:v>
      </x:c>
      <x:c r="P200" s="28" t="str">
        <x:v>Основной эффект определяется ароматическим контрастом и добавлением кислотной свежести; точный баланс зависит от дозировки и матрицы.</x:v>
      </x:c>
      <x:c r="Q200" s="28" t="str">
        <x:v>кислота усиливает слюноотделение; зелёные терпены создают ощущение прохлады; нет данных</x:v>
      </x:c>
      <x:c r="R200" s="28" t="str">
        <x:v>сок — водная кислая фаза; цедра — масляная терпеновая; зависит от формы продукта</x:v>
      </x:c>
      <x:c r="S20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00" s="28" t="str">
        <x:v>Каламонси формирует профиль «цитрусовый, зелёный, травяной, камфорный»; характерные маркеры: лимонен, гамма-терпинен, цитраль, бета-пинен, линалол. Кейл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200" s="28" t="str">
        <x:v>Избыток кислоты делает вкус плоско-резким; белая часть кожуры даёт лишнюю горечь.</x:v>
      </x:c>
      <x:c r="V200" s="28" t="str">
        <x:v>мёд или нейтральная жировая основа</x:v>
      </x:c>
      <x:c r="W200" s="28" t="str">
        <x:v>соус, напиток или десерт после пробной дегустации</x:v>
      </x:c>
      <x:c r="X200" s="28" t="str">
        <x:v>универсальное</x:v>
      </x:c>
      <x:c r="Y200" s="28" t="str">
        <x:v>Средняя</x:v>
      </x:c>
      <x:c r="Z200" s="28" t="str">
        <x:v>The Art &amp; Science of Foodpairing.pdf</x:v>
      </x:c>
      <x:c r="AA200" s="28" t="str">
        <x:v>The Art &amp; Science of Foodpairing.pdf: 142</x:v>
      </x:c>
      <x:c r="AB200" s="28" t="str">
        <x:v>Пара представлена в ароматической диаграмме Foodpairing на странице 142.</x:v>
      </x:c>
      <x:c r="AC200" s="28" t="n">
        <x:v>1</x:v>
      </x:c>
      <x:c r="AD200" s="28" t="n">
        <x:v>1</x:v>
      </x:c>
    </x:row>
    <x:row r="201" ht="58" customHeight="1">
      <x:c r="A201" s="28" t="str">
        <x:v>CIT-0200</x:v>
      </x:c>
      <x:c r="B201" s="28" t="str">
        <x:v>Еда и соусы</x:v>
      </x:c>
      <x:c r="C201" s="28" t="str">
        <x:v>каламонси</x:v>
      </x:c>
      <x:c r="D201" s="28" t="str">
        <x:v>calamansi (calamondin orange)</x:v>
      </x:c>
      <x:c r="E201" s="28" t="str">
        <x:v>Цитрусовые</x:v>
      </x:c>
      <x:c r="F201" s="28" t="str">
        <x:v>колбаса</x:v>
      </x:c>
      <x:c r="G201" s="28" t="str">
        <x:v>sausage</x:v>
      </x:c>
      <x:c r="H201" s="28" t="str">
        <x:v>Мясо и птица</x:v>
      </x:c>
      <x:c r="I201" s="28" t="str">
        <x:v>цитрусовый, зелёный, травяной, камфорный</x:v>
      </x:c>
      <x:c r="J201" s="28" t="str">
        <x:v>жареный, мясной, сернистый, жирный</x:v>
      </x:c>
      <x:c r="K201" s="28" t="str">
        <x:v>лимонен, гамма-терпинен, цитраль, бета-пинен, линалол</x:v>
      </x:c>
      <x:c r="L201" s="28" t="str">
        <x:v>пиразины, тиазолы, альдегиды жиров, сернистые соединения</x:v>
      </x:c>
      <x:c r="M201" s="28" t="str">
        <x:v>прямое семейное перекрытие не является главным механизмом</x:v>
      </x:c>
      <x:c r="N201" s="28" t="str">
        <x:v>надёжный общий маркер не заявлен; сочетание объясняется семействами и сенсорным балансом</x:v>
      </x:c>
      <x:c r="O201" s="28" t="str">
        <x:v>вкусовой баланс, влияние матрицы/растворимости</x:v>
      </x:c>
      <x:c r="P201" s="28" t="str">
        <x:v>Кислотность и лёгкая горечь цитруса снижают ощущение жирности; соль и умами, в свою очередь, делают фруктовую часть менее резкой.</x:v>
      </x:c>
      <x:c r="Q201" s="28" t="str">
        <x:v>кислота усиливает слюноотделение; зелёные терпены создают ощущение прохлады; нет выраженного</x:v>
      </x:c>
      <x:c r="R201" s="28" t="str">
        <x:v>сок — водная кислая фаза; цедра — масляная терпеновая; жир удерживает терпеновые масла; кислота снижает ощущение жирности</x:v>
      </x:c>
      <x:c r="S20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201" s="28" t="str">
        <x:v>Каламонси формирует профиль «цитрусовый, зелёный, травяной, камфорный»; характерные маркеры: лимонен, гамма-терпинен, цитраль, бета-пинен, линалол. Колбаса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U201" s="28" t="str">
        <x:v>Избыток кислоты делает вкус плоско-резким; белая часть кожуры даёт лишнюю горечь; слишком долгая маринация ухудшает текстуру.</x:v>
      </x:c>
      <x:c r="V201" s="28" t="str">
        <x:v>розмарин или чёрный перец</x:v>
      </x:c>
      <x:c r="W201" s="28" t="str">
        <x:v>маринад, глазурь, соус, жаркое или салат</x:v>
      </x:c>
      <x:c r="X201" s="28" t="str">
        <x:v>еда, соусы/маринады</x:v>
      </x:c>
      <x:c r="Y201" s="28" t="str">
        <x:v>Средняя</x:v>
      </x:c>
      <x:c r="Z201" s="28" t="str">
        <x:v>The Art &amp; Science of Foodpairing.pdf</x:v>
      </x:c>
      <x:c r="AA201" s="28" t="str">
        <x:v>The Art &amp; Science of Foodpairing.pdf: 108</x:v>
      </x:c>
      <x:c r="AB201" s="28" t="str">
        <x:v>Пара представлена в ароматической диаграмме Foodpairing на странице 108.</x:v>
      </x:c>
      <x:c r="AC201" s="28" t="n">
        <x:v>1</x:v>
      </x:c>
      <x:c r="AD201" s="28" t="n">
        <x:v>1</x:v>
      </x:c>
    </x:row>
    <x:row r="202" ht="58" customHeight="1">
      <x:c r="A202" s="28" t="str">
        <x:v>CIT-0201</x:v>
      </x:c>
      <x:c r="B202" s="28" t="str">
        <x:v>Универсальные</x:v>
      </x:c>
      <x:c r="C202" s="28" t="str">
        <x:v>каламонси</x:v>
      </x:c>
      <x:c r="D202" s="28" t="str">
        <x:v>calamansi</x:v>
      </x:c>
      <x:c r="E202" s="28" t="str">
        <x:v>Цитрусовые</x:v>
      </x:c>
      <x:c r="F202" s="28" t="str">
        <x:v>куантро</x:v>
      </x:c>
      <x:c r="G202" s="28" t="str">
        <x:v>Cointreau</x:v>
      </x:c>
      <x:c r="H202" s="28" t="str">
        <x:v>Цитрусовые</x:v>
      </x:c>
      <x:c r="I202" s="28" t="str">
        <x:v>цитрусовый, зелёный, травяной, камфорный</x:v>
      </x:c>
      <x:c r="J202" s="28" t="str">
        <x:v>цитрусовый, сладко-фруктовый, цветочный, восковой</x:v>
      </x:c>
      <x:c r="K202" s="28" t="str">
        <x:v>лимонен, гамма-терпинен, цитраль, бета-пинен, линалол</x:v>
      </x:c>
      <x:c r="L202" s="28" t="str">
        <x:v>лимонен, линалол, деканаль, октаналь, мирцен</x:v>
      </x:c>
      <x:c r="M202" s="28" t="str">
        <x:v>цитрусовый</x:v>
      </x:c>
      <x:c r="N202" s="28" t="str">
        <x:v>лимонен, линалол</x:v>
      </x:c>
      <x:c r="O202" s="28" t="str">
        <x:v>общие ароматические молекулы, перекрытие ароматических семейств, вкусовой баланс</x:v>
      </x:c>
      <x:c r="P202" s="28" t="str">
        <x:v>Сочетание строится на близком терпеновом профиле; различия в кислотности, горечи и цветочно-зелёных оттенках создают объём.</x:v>
      </x:c>
      <x:c r="Q202" s="28" t="str">
        <x:v>кислота усиливает слюноотделение; зелёные терпены создают ощущение прохлады; нет выраженного</x:v>
      </x:c>
      <x:c r="R202" s="28" t="str">
        <x:v>сок — водная кислая фаза; цедра — масляная терпеновая; сок водный; цедра и ликёры несут гидрофобные эфирные масла</x:v>
      </x:c>
      <x:c r="S20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02" s="28" t="str">
        <x:v>Каламонси формирует профиль «цитрусовый, зелёный, травяной, камфорный»; характерные маркеры: лимонен, гамма-терпинен, цитраль, бета-пинен, линалол. Куантро относится к группе «цитрусовые» и даёт ноты «цитрусовый, сладко-фруктовый, цветочный, восковой». Наиболее правдоподобный молекулярный мост —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Апельсиновый профиль строится на лимонене и альдегидах с восково-сладкой нотой.</x:v>
      </x:c>
      <x:c r="U202" s="28" t="str">
        <x:v>Избыток кислоты делает вкус плоско-резким; белая часть кожуры даёт лишнюю горечь.</x:v>
      </x:c>
      <x:c r="V202" s="28" t="str">
        <x:v>мёд или цветочная вода</x:v>
      </x:c>
      <x:c r="W202" s="28" t="str">
        <x:v>цитрусовый кордиал, мармелад, сорбет, салат или купаж соков</x:v>
      </x:c>
      <x:c r="X202" s="28" t="str">
        <x:v>напитки, десерты</x:v>
      </x:c>
      <x:c r="Y202" s="28" t="str">
        <x:v>Средняя</x:v>
      </x:c>
      <x:c r="Z202" s="28" t="str">
        <x:v>The Art &amp; Science of Foodpairing.pdf</x:v>
      </x:c>
      <x:c r="AA202" s="28" t="str">
        <x:v>The Art &amp; Science of Foodpairing.pdf: 142</x:v>
      </x:c>
      <x:c r="AB202" s="28" t="str">
        <x:v>Пара представлена в ароматической диаграмме Foodpairing на странице 142.</x:v>
      </x:c>
      <x:c r="AC202" s="28" t="n">
        <x:v>1</x:v>
      </x:c>
      <x:c r="AD202" s="28" t="n">
        <x:v>1</x:v>
      </x:c>
    </x:row>
    <x:row r="203" ht="58" customHeight="1">
      <x:c r="A203" s="28" t="str">
        <x:v>CIT-0202</x:v>
      </x:c>
      <x:c r="B203" s="28" t="str">
        <x:v>Универсальные</x:v>
      </x:c>
      <x:c r="C203" s="28" t="str">
        <x:v>каламонси</x:v>
      </x:c>
      <x:c r="D203" s="28" t="str">
        <x:v>calamansi</x:v>
      </x:c>
      <x:c r="E203" s="28" t="str">
        <x:v>Цитрусовые</x:v>
      </x:c>
      <x:c r="F203" s="28" t="str">
        <x:v>листья кинзы</x:v>
      </x:c>
      <x:c r="G203" s="28" t="str">
        <x:v>coriander leaves</x:v>
      </x:c>
      <x:c r="H203" s="28" t="str">
        <x:v>Травы/пряности</x:v>
      </x:c>
      <x:c r="I203" s="28" t="str">
        <x:v>цитрусовый, зелёный, травяной, камфорный</x:v>
      </x:c>
      <x:c r="J203" s="28" t="str">
        <x:v>цитрусовый, зелёный, цветочный</x:v>
      </x:c>
      <x:c r="K203" s="28" t="str">
        <x:v>лимонен, гамма-терпинен, цитраль, бета-пинен, линалол</x:v>
      </x:c>
      <x:c r="L203" s="28" t="str">
        <x:v>линалол, деканаль, додеканаль</x:v>
      </x:c>
      <x:c r="M203" s="28" t="str">
        <x:v>зелёный, цитрусовый</x:v>
      </x:c>
      <x:c r="N203" s="28" t="str">
        <x:v>линалол</x:v>
      </x:c>
      <x:c r="O203" s="28" t="str">
        <x:v>общие ароматические молекулы, перекрытие ароматических семейств, вкусовой баланс</x:v>
      </x:c>
      <x:c r="P203" s="28" t="str">
        <x:v>Кислота усиливает слюноотделение и делает пряный аромат ярче; терпены цитруса образуют мост с эфирными маслами травы или специи.</x:v>
      </x:c>
      <x:c r="Q203" s="28" t="str">
        <x:v>кислота усиливает слюноотделение; зелёные терпены создают ощущение прохлады; нет выраженного</x:v>
      </x:c>
      <x:c r="R203" s="28" t="str">
        <x:v>сок — водная кислая фаза; цедра — масляная терпеновая; листья чувствительны к нагреву; семена устойчивее и слаще</x:v>
      </x:c>
      <x:c r="S20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03" s="28" t="str">
        <x:v>Каламонси формирует профиль «цитрусовый, зелёный, травяной, камфорный»; характерные маркеры: лимонен, гамма-терпинен, цитраль, бета-пинен, линалол. Листья кинзы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U203" s="28" t="str">
        <x:v>Избыток кислоты делает вкус плоско-резким; белая часть кожуры даёт лишнюю горечь; цитрус легко подавляет деликатный аромат партнёра.</x:v>
      </x:c>
      <x:c r="V203" s="28" t="str">
        <x:v>мёд или зелёная трава</x:v>
      </x:c>
      <x:c r="W203" s="28" t="str">
        <x:v>лимонад, кордиал, маринад или пряный соус</x:v>
      </x:c>
      <x:c r="X203" s="28" t="str">
        <x:v>напитки, еда, соусы/маринады</x:v>
      </x:c>
      <x:c r="Y203" s="28" t="str">
        <x:v>Средняя</x:v>
      </x:c>
      <x:c r="Z203" s="28" t="str">
        <x:v>The Art &amp; Science of Foodpairing.pdf</x:v>
      </x:c>
      <x:c r="AA203" s="28" t="str">
        <x:v>The Art &amp; Science of Foodpairing.pdf: 142</x:v>
      </x:c>
      <x:c r="AB203" s="28" t="str">
        <x:v>Пара представлена в ароматической диаграмме Foodpairing на странице 142.</x:v>
      </x:c>
      <x:c r="AC203" s="28" t="n">
        <x:v>1</x:v>
      </x:c>
      <x:c r="AD203" s="28" t="n">
        <x:v>1</x:v>
      </x:c>
    </x:row>
    <x:row r="204" ht="58" customHeight="1">
      <x:c r="A204" s="28" t="str">
        <x:v>CIT-0203</x:v>
      </x:c>
      <x:c r="B204" s="28" t="str">
        <x:v>Еда и соусы</x:v>
      </x:c>
      <x:c r="C204" s="28" t="str">
        <x:v>каламонси</x:v>
      </x:c>
      <x:c r="D204" s="28" t="str">
        <x:v>calamansi</x:v>
      </x:c>
      <x:c r="E204" s="28" t="str">
        <x:v>Цитрусовые</x:v>
      </x:c>
      <x:c r="F204" s="28" t="str">
        <x:v>обжаренные телячьи железы</x:v>
      </x:c>
      <x:c r="G204" s="28" t="str">
        <x:v>roasted veal sweetbreads</x:v>
      </x:c>
      <x:c r="H204" s="28" t="str">
        <x:v>Мясо и птица</x:v>
      </x:c>
      <x:c r="I204" s="28" t="str">
        <x:v>цитрусовый, зелёный, травяной, камфорный</x:v>
      </x:c>
      <x:c r="J204" s="28" t="str">
        <x:v>жареный, мясной, сернистый, жирный</x:v>
      </x:c>
      <x:c r="K204" s="28" t="str">
        <x:v>лимонен, гамма-терпинен, цитраль, бета-пинен, линалол</x:v>
      </x:c>
      <x:c r="L204" s="28" t="str">
        <x:v>пиразины, тиазолы, альдегиды жиров, сернистые соединения</x:v>
      </x:c>
      <x:c r="M204" s="28" t="str">
        <x:v>прямое семейное перекрытие не является главным механизмом</x:v>
      </x:c>
      <x:c r="N204" s="28" t="str">
        <x:v>надёжный общий маркер не заявлен; сочетание объясняется семействами и сенсорным балансом</x:v>
      </x:c>
      <x:c r="O204" s="28" t="str">
        <x:v>вкусовой баланс, влияние матрицы/растворимости</x:v>
      </x:c>
      <x:c r="P204" s="28" t="str">
        <x:v>Кислотность и лёгкая горечь цитруса снижают ощущение жирности; соль и умами, в свою очередь, делают фруктовую часть менее резкой.</x:v>
      </x:c>
      <x:c r="Q204" s="28" t="str">
        <x:v>кислота усиливает слюноотделение; зелёные терпены создают ощущение прохлады; нет выраженного</x:v>
      </x:c>
      <x:c r="R204" s="28" t="str">
        <x:v>сок — водная кислая фаза; цедра — масляная терпеновая; жир удерживает терпеновые масла; кислота снижает ощущение жирности</x:v>
      </x:c>
      <x:c r="S20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204" s="28" t="str">
        <x:v>Каламонси формирует профиль «цитрусовый, зелёный, травяной, камфорный»; характерные маркеры: лимонен, гамма-терпинен, цитраль, бета-пинен, линалол. Обжаренные телячьи железы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U204" s="28" t="str">
        <x:v>Избыток кислоты делает вкус плоско-резким; белая часть кожуры даёт лишнюю горечь; слишком долгая маринация ухудшает текстуру.</x:v>
      </x:c>
      <x:c r="V204" s="28" t="str">
        <x:v>розмарин или чёрный перец</x:v>
      </x:c>
      <x:c r="W204" s="28" t="str">
        <x:v>маринад, глазурь, соус, жаркое или салат</x:v>
      </x:c>
      <x:c r="X204" s="28" t="str">
        <x:v>еда, соусы/маринады</x:v>
      </x:c>
      <x:c r="Y204" s="28" t="str">
        <x:v>Средняя</x:v>
      </x:c>
      <x:c r="Z204" s="28" t="str">
        <x:v>The Art &amp; Science of Foodpairing.pdf</x:v>
      </x:c>
      <x:c r="AA204" s="28" t="str">
        <x:v>The Art &amp; Science of Foodpairing.pdf: 142</x:v>
      </x:c>
      <x:c r="AB204" s="28" t="str">
        <x:v>Пара представлена в ароматической диаграмме Foodpairing на странице 142.</x:v>
      </x:c>
      <x:c r="AC204" s="28" t="n">
        <x:v>1</x:v>
      </x:c>
      <x:c r="AD204" s="28" t="n">
        <x:v>1</x:v>
      </x:c>
    </x:row>
    <x:row r="205" ht="58" customHeight="1">
      <x:c r="A205" s="28" t="str">
        <x:v>CIT-0204</x:v>
      </x:c>
      <x:c r="B205" s="28" t="str">
        <x:v>Еда и соусы</x:v>
      </x:c>
      <x:c r="C205" s="28" t="str">
        <x:v>каламонси</x:v>
      </x:c>
      <x:c r="D205" s="28" t="str">
        <x:v>calamansi</x:v>
      </x:c>
      <x:c r="E205" s="28" t="str">
        <x:v>Цитрусовые</x:v>
      </x:c>
      <x:c r="F205" s="28" t="str">
        <x:v>обжаренный страус</x:v>
      </x:c>
      <x:c r="G205" s="28" t="str">
        <x:v>pan-fried ostrich</x:v>
      </x:c>
      <x:c r="H205" s="28" t="str">
        <x:v>Мясо и птица</x:v>
      </x:c>
      <x:c r="I205" s="28" t="str">
        <x:v>цитрусовый, зелёный, травяной, камфорный</x:v>
      </x:c>
      <x:c r="J205" s="28" t="str">
        <x:v>жареный, мясной, сернистый, жирный</x:v>
      </x:c>
      <x:c r="K205" s="28" t="str">
        <x:v>лимонен, гамма-терпинен, цитраль, бета-пинен, линалол</x:v>
      </x:c>
      <x:c r="L205" s="28" t="str">
        <x:v>пиразины, тиазолы, альдегиды жиров, сернистые соединения</x:v>
      </x:c>
      <x:c r="M205" s="28" t="str">
        <x:v>прямое семейное перекрытие не является главным механизмом</x:v>
      </x:c>
      <x:c r="N205" s="28" t="str">
        <x:v>надёжный общий маркер не заявлен; сочетание объясняется семействами и сенсорным балансом</x:v>
      </x:c>
      <x:c r="O205" s="28" t="str">
        <x:v>вкусовой баланс, влияние матрицы/растворимости</x:v>
      </x:c>
      <x:c r="P205" s="28" t="str">
        <x:v>Кислотность и лёгкая горечь цитруса снижают ощущение жирности; соль и умами, в свою очередь, делают фруктовую часть менее резкой.</x:v>
      </x:c>
      <x:c r="Q205" s="28" t="str">
        <x:v>кислота усиливает слюноотделение; зелёные терпены создают ощущение прохлады; нет выраженного</x:v>
      </x:c>
      <x:c r="R205" s="28" t="str">
        <x:v>сок — водная кислая фаза; цедра — масляная терпеновая; жир удерживает терпеновые масла; кислота снижает ощущение жирности</x:v>
      </x:c>
      <x:c r="S20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205" s="28" t="str">
        <x:v>Каламонси формирует профиль «цитрусовый, зелёный, травяной, камфорный»; характерные маркеры: лимонен, гамма-терпинен, цитраль, бета-пинен, линалол. Обжаренный страус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U205" s="28" t="str">
        <x:v>Избыток кислоты делает вкус плоско-резким; белая часть кожуры даёт лишнюю горечь; слишком долгая маринация ухудшает текстуру.</x:v>
      </x:c>
      <x:c r="V205" s="28" t="str">
        <x:v>розмарин или чёрный перец</x:v>
      </x:c>
      <x:c r="W205" s="28" t="str">
        <x:v>маринад, глазурь, соус, жаркое или салат</x:v>
      </x:c>
      <x:c r="X205" s="28" t="str">
        <x:v>еда, соусы/маринады</x:v>
      </x:c>
      <x:c r="Y205" s="28" t="str">
        <x:v>Средняя</x:v>
      </x:c>
      <x:c r="Z205" s="28" t="str">
        <x:v>The Art &amp; Science of Foodpairing.pdf</x:v>
      </x:c>
      <x:c r="AA205" s="28" t="str">
        <x:v>The Art &amp; Science of Foodpairing.pdf: 142</x:v>
      </x:c>
      <x:c r="AB205" s="28" t="str">
        <x:v>Пара представлена в ароматической диаграмме Foodpairing на странице 142.</x:v>
      </x:c>
      <x:c r="AC205" s="28" t="n">
        <x:v>1</x:v>
      </x:c>
      <x:c r="AD205" s="28" t="n">
        <x:v>1</x:v>
      </x:c>
    </x:row>
    <x:row r="206" ht="58" customHeight="1">
      <x:c r="A206" s="28" t="str">
        <x:v>CIT-0205</x:v>
      </x:c>
      <x:c r="B206" s="28" t="str">
        <x:v>Десерты и выпечка</x:v>
      </x:c>
      <x:c r="C206" s="28" t="str">
        <x:v>каламонси</x:v>
      </x:c>
      <x:c r="D206" s="28" t="str">
        <x:v>calamansi</x:v>
      </x:c>
      <x:c r="E206" s="28" t="str">
        <x:v>Цитрусовые</x:v>
      </x:c>
      <x:c r="F206" s="28" t="str">
        <x:v>персик</x:v>
      </x:c>
      <x:c r="G206" s="28" t="str">
        <x:v>peach</x:v>
      </x:c>
      <x:c r="H206" s="28" t="str">
        <x:v>Косточковые фрукты</x:v>
      </x:c>
      <x:c r="I206" s="28" t="str">
        <x:v>цитрусовый, зелёный, травяной, камфорный</x:v>
      </x:c>
      <x:c r="J206" s="28" t="str">
        <x:v>фруктовый, цветочный, сливочный, миндальный</x:v>
      </x:c>
      <x:c r="K206" s="28" t="str">
        <x:v>лимонен, гамма-терпинен, цитраль, бета-пинен, линалол</x:v>
      </x:c>
      <x:c r="L206" s="28" t="str">
        <x:v>гамма- и дельта-лактоны, бензальдегид, дамасценон</x:v>
      </x:c>
      <x:c r="M206" s="28" t="str">
        <x:v>прямое семейное перекрытие не является главным механизмом</x:v>
      </x:c>
      <x:c r="N206" s="28" t="str">
        <x:v>надёжный общий маркер не заявлен; сочетание объясняется семействами и сенсорным балансом</x:v>
      </x:c>
      <x:c r="O206" s="28" t="str">
        <x:v>вкусовой баланс</x:v>
      </x:c>
      <x:c r="P206" s="28" t="str">
        <x:v>Общая фруктовая сладость и летучие эфиры создают непрерывный ароматический профиль, а цитрусовая кислота повышает контраст и свежесть.</x:v>
      </x:c>
      <x:c r="Q206" s="28" t="str">
        <x:v>кислота усиливает слюноотделение; зелёные терпены создают ощущение прохлады; нет выраженного</x:v>
      </x:c>
      <x:c r="R206" s="28" t="str">
        <x:v>сок — водная кислая фаза; цедра — масляная терпеновая; сочная матрица; лактоны лучше ощущаются в жирной/сливочной среде</x:v>
      </x:c>
      <x:c r="S20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06" s="28" t="str">
        <x:v>Каламонси формирует профиль «цитрусовый, зелёный, травяной, камфорный»; характерные маркеры: лимонен, гамма-терпинен, цитраль, бета-пинен, линалол. Персик относится к группе «косточковые фрукты» и даёт ноты «фруктовый, цветочный, сливочный, миндальный».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добавляет кислотность, а лактоны смягчают его резкость.</x:v>
      </x:c>
      <x:c r="U206" s="28" t="str">
        <x:v>Избыток кислоты делает вкус плоско-резким; белая часть кожуры даёт лишнюю горечь.</x:v>
      </x:c>
      <x:c r="V206" s="28" t="str">
        <x:v>миндаль или ваниль</x:v>
      </x:c>
      <x:c r="W206" s="28" t="str">
        <x:v>тарт, сорбет, джем или фруктовый соус</x:v>
      </x:c>
      <x:c r="X206" s="28" t="str">
        <x:v>десерты</x:v>
      </x:c>
      <x:c r="Y206" s="28" t="str">
        <x:v>Средняя</x:v>
      </x:c>
      <x:c r="Z206" s="28" t="str">
        <x:v>The Art &amp; Science of Foodpairing.pdf</x:v>
      </x:c>
      <x:c r="AA206" s="28" t="str">
        <x:v>The Art &amp; Science of Foodpairing.pdf: 142</x:v>
      </x:c>
      <x:c r="AB206" s="28" t="str">
        <x:v>Пара представлена в ароматической диаграмме Foodpairing на странице 142.</x:v>
      </x:c>
      <x:c r="AC206" s="28" t="n">
        <x:v>1</x:v>
      </x:c>
      <x:c r="AD206" s="28" t="n">
        <x:v>1</x:v>
      </x:c>
    </x:row>
    <x:row r="207" ht="58" customHeight="1">
      <x:c r="A207" s="28" t="str">
        <x:v>CIT-0206</x:v>
      </x:c>
      <x:c r="B207" s="28" t="str">
        <x:v>Десерты и выпечка</x:v>
      </x:c>
      <x:c r="C207" s="28" t="str">
        <x:v>каламонси</x:v>
      </x:c>
      <x:c r="D207" s="28" t="str">
        <x:v>calamansi (calamondin orange)</x:v>
      </x:c>
      <x:c r="E207" s="28" t="str">
        <x:v>Цитрусовые</x:v>
      </x:c>
      <x:c r="F207" s="28" t="str">
        <x:v>попкорн</x:v>
      </x:c>
      <x:c r="G207" s="28" t="str">
        <x:v>popcorn</x:v>
      </x:c>
      <x:c r="H207" s="28" t="str">
        <x:v>Злаки и хлеб</x:v>
      </x:c>
      <x:c r="I207" s="28" t="str">
        <x:v>цитрусовый, зелёный, травяной, камфорный</x:v>
      </x:c>
      <x:c r="J207" s="28" t="str">
        <x:v>зерновой, обжаренный, ореховый, дрожжевой</x:v>
      </x:c>
      <x:c r="K207" s="28" t="str">
        <x:v>лимонен, гамма-терпинен, цитраль, бета-пинен, линалол</x:v>
      </x:c>
      <x:c r="L207" s="28" t="str">
        <x:v>пиразины, мальтол, фураны, эфиры брожения</x:v>
      </x:c>
      <x:c r="M207" s="28" t="str">
        <x:v>прямое семейное перекрытие не является главным механизмом</x:v>
      </x:c>
      <x:c r="N207" s="28" t="str">
        <x:v>надёжный общий маркер не заявлен; сочетание объясняется семействами и сенсорным балансом</x:v>
      </x:c>
      <x:c r="O207" s="28" t="str">
        <x:v>вкусовой баланс</x:v>
      </x:c>
      <x:c r="P207" s="28" t="str">
        <x:v>Высокая кисло-ароматическая нота контрастирует с жареными, горькими и карамельными оттенками; сахар или жир связывает два регистра.</x:v>
      </x:c>
      <x:c r="Q207" s="28" t="str">
        <x:v>кислота усиливает слюноотделение; зелёные терпены создают ощущение прохлады; нет выраженного</x:v>
      </x:c>
      <x:c r="R207" s="28" t="str">
        <x:v>сок — водная кислая фаза; цедра — масляная терпеновая; крахмал смягчает кислотность; жир/масло помогает аромату цедры</x:v>
      </x:c>
      <x:c r="S20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07" s="28" t="str">
        <x:v>Каламонси формирует профиль «цитрусовый, зелёный, травяной, камфорный»; характерные маркеры: лимонен, гамма-терпинен, цитраль, бета-пинен, линалол. Попкорн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освежает зерновой профиль и создаёт контраст с обжаренными нотами.</x:v>
      </x:c>
      <x:c r="U207" s="28" t="str">
        <x:v>Избыток кислоты делает вкус плоско-резким; белая часть кожуры даёт лишнюю горечь.</x:v>
      </x:c>
      <x:c r="V207" s="28" t="str">
        <x:v>сливочное масло или мёд</x:v>
      </x:c>
      <x:c r="W207" s="28" t="str">
        <x:v>кекс, каша, хлеб, крамбл или салат</x:v>
      </x:c>
      <x:c r="X207" s="28" t="str">
        <x:v>десерты, еда</x:v>
      </x:c>
      <x:c r="Y207" s="28" t="str">
        <x:v>Средняя</x:v>
      </x:c>
      <x:c r="Z207" s="28" t="str">
        <x:v>The Art &amp; Science of Foodpairing.pdf</x:v>
      </x:c>
      <x:c r="AA207" s="28" t="str">
        <x:v>The Art &amp; Science of Foodpairing.pdf: 232</x:v>
      </x:c>
      <x:c r="AB207" s="28" t="str">
        <x:v>Пара представлена в ароматической диаграмме Foodpairing на странице 232.</x:v>
      </x:c>
      <x:c r="AC207" s="28" t="n">
        <x:v>1</x:v>
      </x:c>
      <x:c r="AD207" s="28" t="n">
        <x:v>1</x:v>
      </x:c>
    </x:row>
    <x:row r="208" ht="58" customHeight="1">
      <x:c r="A208" s="28" t="str">
        <x:v>CIT-0207</x:v>
      </x:c>
      <x:c r="B208" s="28" t="str">
        <x:v>Универсальные</x:v>
      </x:c>
      <x:c r="C208" s="28" t="str">
        <x:v>каламонси</x:v>
      </x:c>
      <x:c r="D208" s="28" t="str">
        <x:v>calamansi</x:v>
      </x:c>
      <x:c r="E208" s="28" t="str">
        <x:v>Цитрусовые</x:v>
      </x:c>
      <x:c r="F208" s="28" t="str">
        <x:v>розмарин</x:v>
      </x:c>
      <x:c r="G208" s="28" t="str">
        <x:v>rosemary</x:v>
      </x:c>
      <x:c r="H208" s="28" t="str">
        <x:v>Травы</x:v>
      </x:c>
      <x:c r="I208" s="28" t="str">
        <x:v>цитрусовый, зелёный, травяной, камфорный</x:v>
      </x:c>
      <x:c r="J208" s="28" t="str">
        <x:v>травяной, хвойный, камфорный, древесный</x:v>
      </x:c>
      <x:c r="K208" s="28" t="str">
        <x:v>лимонен, гамма-терпинен, цитраль, бета-пинен, линалол</x:v>
      </x:c>
      <x:c r="L208" s="28" t="str">
        <x:v>1,8-цинеол, камфора, тимол/карвакрол, альфа-пинен</x:v>
      </x:c>
      <x:c r="M208" s="28" t="str">
        <x:v>камфорный, травяной</x:v>
      </x:c>
      <x:c r="N208" s="28" t="str">
        <x:v>надёжный общий маркер не заявлен; сочетание объясняется семействами и сенсорным балансом</x:v>
      </x:c>
      <x:c r="O208" s="28" t="str">
        <x:v>перекрытие ароматических семейств, вкусовой баланс, тройничное восприятие</x:v>
      </x:c>
      <x:c r="P208" s="28" t="str">
        <x:v>Кислота усиливает слюноотделение и делает пряный аромат ярче; терпены цитруса образуют мост с эфирными маслами травы или специи.</x:v>
      </x:c>
      <x:c r="Q208" s="28" t="str">
        <x:v>кислота усиливает слюноотделение; зелёные терпены создают ощущение прохлады; камфора и цинеол дают прохладно-камфорное ощущение</x:v>
      </x:c>
      <x:c r="R208" s="28" t="str">
        <x:v>сок — водная кислая фаза; цедра — масляная терпеновая; эфирные масла лучше раскрываются в жире и спирте</x:v>
      </x:c>
      <x:c r="S20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08" s="28" t="str">
        <x:v>Каламонси формирует профиль «цитрусовый, зелёный, травяной, камфорный»; характерные маркеры: лимонен, гамма-терпинен, цитраль, бета-пинен, линалол.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U208" s="28" t="str">
        <x:v>Избыток кислоты делает вкус плоско-резким; белая часть кожуры даёт лишнюю горечь; цитрус легко подавляет деликатный аромат партнёра.</x:v>
      </x:c>
      <x:c r="V208" s="28" t="str">
        <x:v>оливковое масло или огурец</x:v>
      </x:c>
      <x:c r="W208" s="28" t="str">
        <x:v>лимонад, кордиал, салатная заправка или зелёный соус</x:v>
      </x:c>
      <x:c r="X208" s="28" t="str">
        <x:v>напитки, еда, соусы/маринады</x:v>
      </x:c>
      <x:c r="Y208" s="28" t="str">
        <x:v>Средняя</x:v>
      </x:c>
      <x:c r="Z208" s="28" t="str">
        <x:v>The Art &amp; Science of Foodpairing.pdf</x:v>
      </x:c>
      <x:c r="AA208" s="28" t="str">
        <x:v>The Art &amp; Science of Foodpairing.pdf: 142</x:v>
      </x:c>
      <x:c r="AB208" s="28" t="str">
        <x:v>Пара представлена в ароматической диаграмме Foodpairing на странице 142.</x:v>
      </x:c>
      <x:c r="AC208" s="28" t="n">
        <x:v>1</x:v>
      </x:c>
      <x:c r="AD208" s="28" t="n">
        <x:v>1</x:v>
      </x:c>
    </x:row>
    <x:row r="209" ht="58" customHeight="1">
      <x:c r="A209" s="28" t="str">
        <x:v>CIT-0208</x:v>
      </x:c>
      <x:c r="B209" s="28" t="str">
        <x:v>Универсальные</x:v>
      </x:c>
      <x:c r="C209" s="28" t="str">
        <x:v>каламонси</x:v>
      </x:c>
      <x:c r="D209" s="28" t="str">
        <x:v>calamansi</x:v>
      </x:c>
      <x:c r="E209" s="28" t="str">
        <x:v>Цитрусовые</x:v>
      </x:c>
      <x:c r="F209" s="28" t="str">
        <x:v>свежий корень имбиря</x:v>
      </x:c>
      <x:c r="G209" s="28" t="str">
        <x:v>fresh root ginger</x:v>
      </x:c>
      <x:c r="H209" s="28" t="str">
        <x:v>Пряности</x:v>
      </x:c>
      <x:c r="I209" s="28" t="str">
        <x:v>цитрусовый, зелёный, травяной, камфорный</x:v>
      </x:c>
      <x:c r="J209" s="28" t="str">
        <x:v>цитрусовый, пряный, древесный, тёплый</x:v>
      </x:c>
      <x:c r="K209" s="28" t="str">
        <x:v>лимонен, гамма-терпинен, цитраль, бета-пинен, линалол</x:v>
      </x:c>
      <x:c r="L209" s="28" t="str">
        <x:v>зингиберен, цитраль, гераниол, гингеролы/шогаолы</x:v>
      </x:c>
      <x:c r="M209" s="28" t="str">
        <x:v>цитрусовый</x:v>
      </x:c>
      <x:c r="N209" s="28" t="str">
        <x:v>цитраль</x:v>
      </x:c>
      <x:c r="O209" s="28" t="str">
        <x:v>общие ароматические молекулы, перекрытие ароматических семейств, вкусовой баланс, тройничное восприятие</x:v>
      </x:c>
      <x:c r="P209" s="28" t="str">
        <x:v>Кислота усиливает слюноотделение и делает пряный аромат ярче; терпены цитруса образуют мост с эфирными маслами травы или специи.</x:v>
      </x:c>
      <x:c r="Q209" s="28" t="str">
        <x:v>кислота усиливает слюноотделение; зелёные терпены создают ощущение прохлады; гингеролы и шогаолы активируют TRPV1 и дают тепло</x:v>
      </x:c>
      <x:c r="R209" s="28" t="str">
        <x:v>сок — водная кислая фаза; цедра — масляная терпеновая; ароматические терпены лучше извлекаются этанолом и жиром</x:v>
      </x:c>
      <x:c r="S20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09" s="28" t="str">
        <x:v>Каламонси формирует профиль «цитрусовый, зелёный, травяной, камфорный»; характерные маркеры: лимонен, гамма-терпинен, цитраль, бета-пинен, линалол. Свежий корень имбиря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U209" s="28" t="str">
        <x:v>Избыток кислоты делает вкус плоско-резким; белая часть кожуры даёт лишнюю горечь.</x:v>
      </x:c>
      <x:c r="V209" s="28" t="str">
        <x:v>мёд или ваниль</x:v>
      </x:c>
      <x:c r="W209" s="28" t="str">
        <x:v>сироп, кордиал, чатни, маринад или пряный десерт</x:v>
      </x:c>
      <x:c r="X209" s="28" t="str">
        <x:v>напитки, еда, соусы/маринады</x:v>
      </x:c>
      <x:c r="Y209" s="28" t="str">
        <x:v>Средняя</x:v>
      </x:c>
      <x:c r="Z209" s="28" t="str">
        <x:v>The Art &amp; Science of Foodpairing.pdf</x:v>
      </x:c>
      <x:c r="AA209" s="28" t="str">
        <x:v>The Art &amp; Science of Foodpairing.pdf: 142</x:v>
      </x:c>
      <x:c r="AB209" s="28" t="str">
        <x:v>Пара представлена в ароматической диаграмме Foodpairing на странице 142.</x:v>
      </x:c>
      <x:c r="AC209" s="28" t="n">
        <x:v>1</x:v>
      </x:c>
      <x:c r="AD209" s="28" t="n">
        <x:v>1</x:v>
      </x:c>
    </x:row>
    <x:row r="210" ht="58" customHeight="1">
      <x:c r="A210" s="28" t="str">
        <x:v>CIT-0209</x:v>
      </x:c>
      <x:c r="B210" s="28" t="str">
        <x:v>Еда и соусы</x:v>
      </x:c>
      <x:c r="C210" s="28" t="str">
        <x:v>каламонси</x:v>
      </x:c>
      <x:c r="D210" s="28" t="str">
        <x:v>calamansi</x:v>
      </x:c>
      <x:c r="E210" s="28" t="str">
        <x:v>Цитрусовые</x:v>
      </x:c>
      <x:c r="F210" s="28" t="str">
        <x:v>тайская красная паста карри</x:v>
      </x:c>
      <x:c r="G210" s="28" t="str">
        <x:v>Thai red curry paste</x:v>
      </x:c>
      <x:c r="H210" s="28" t="str">
        <x:v>Соусы и ферментированные продукты</x:v>
      </x:c>
      <x:c r="I210" s="28" t="str">
        <x:v>цитрусовый, зелёный, травяной, камфорный</x:v>
      </x:c>
      <x:c r="J210" s="28" t="str">
        <x:v>кислый, умами, ферментированный, пряный</x:v>
      </x:c>
      <x:c r="K210" s="28" t="str">
        <x:v>лимонен, гамма-терпинен, цитраль, бета-пинен, линалол</x:v>
      </x:c>
      <x:c r="L210" s="28" t="str">
        <x:v>уксусная/молочная кислота, эфиры ферментации, пептиды умами</x:v>
      </x:c>
      <x:c r="M210" s="28" t="str">
        <x:v>прямое семейное перекрытие не является главным механизмом</x:v>
      </x:c>
      <x:c r="N210" s="28" t="str">
        <x:v>надёжный общий маркер не заявлен; сочетание объясняется семействами и сенсорным балансом</x:v>
      </x:c>
      <x:c r="O210" s="28" t="str">
        <x:v>вкусовой баланс, тройничное восприятие</x:v>
      </x:c>
      <x:c r="P210" s="28" t="str">
        <x:v>Цитрусовая кислота и аромат усиливают солёность и умами, но общий уровень кислоты необходимо контролировать.</x:v>
      </x:c>
      <x:c r="Q210" s="28" t="str">
        <x:v>кислота усиливает слюноотделение; зелёные терпены создают ощущение прохлады; в пряных соусах возможен капсаициновый жар</x:v>
      </x:c>
      <x:c r="R210" s="28" t="str">
        <x:v>сок — водная кислая фаза; цедра — масляная терпеновая; водная солёно-кислая матрица</x:v>
      </x:c>
      <x:c r="S21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10" s="28" t="str">
        <x:v>Каламонси формирует профиль «цитрусовый, зелёный, травяной, камфорный»; характерные маркеры: лимонен, гамма-терпинен, цитраль, бета-пинен, линалол. Тайская красная паста карри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Лаймовые цитрусы дают более зелёный и камфорный профиль, чем сладкий апельсин. Цитрус добавляет верхние ноты и может заменить часть уксуса, но избыток кислоты нарушит баланс.</x:v>
      </x:c>
      <x:c r="U210" s="28" t="str">
        <x:v>Избыток кислоты делает вкус плоско-резким; белая часть кожуры даёт лишнюю горечь.</x:v>
      </x:c>
      <x:c r="V210" s="28" t="str">
        <x:v>имбирь или кунжут</x:v>
      </x:c>
      <x:c r="W210" s="28" t="str">
        <x:v>дрессинг, глазурь, чатни, маринад или ферментированный соус</x:v>
      </x:c>
      <x:c r="X210" s="28" t="str">
        <x:v>еда, соусы/маринады</x:v>
      </x:c>
      <x:c r="Y210" s="28" t="str">
        <x:v>Средняя</x:v>
      </x:c>
      <x:c r="Z210" s="28" t="str">
        <x:v>The Art &amp; Science of Foodpairing.pdf</x:v>
      </x:c>
      <x:c r="AA210" s="28" t="str">
        <x:v>The Art &amp; Science of Foodpairing.pdf: 142</x:v>
      </x:c>
      <x:c r="AB210" s="28" t="str">
        <x:v>Пара представлена в ароматической диаграмме Foodpairing на странице 142.</x:v>
      </x:c>
      <x:c r="AC210" s="28" t="n">
        <x:v>1</x:v>
      </x:c>
      <x:c r="AD210" s="28" t="n">
        <x:v>1</x:v>
      </x:c>
    </x:row>
    <x:row r="211" ht="58" customHeight="1">
      <x:c r="A211" s="28" t="str">
        <x:v>CIT-0210</x:v>
      </x:c>
      <x:c r="B211" s="28" t="str">
        <x:v>Десерты и выпечка</x:v>
      </x:c>
      <x:c r="C211" s="28" t="str">
        <x:v>кожура горького апельсина</x:v>
      </x:c>
      <x:c r="D211" s="28" t="str">
        <x:v>bitter orange peel</x:v>
      </x:c>
      <x:c r="E211" s="28" t="str">
        <x:v>Цитрусовые</x:v>
      </x:c>
      <x:c r="F211" s="28" t="str">
        <x:v>сыр романо</x:v>
      </x:c>
      <x:c r="G211" s="28" t="str">
        <x:v>Romano cheese</x:v>
      </x:c>
      <x:c r="H211" s="28" t="str">
        <x:v>Молочные продукты</x:v>
      </x:c>
      <x:c r="I211" s="28" t="str">
        <x:v>цитрусовый, сладко-фруктовый, цветочный, восковой</x:v>
      </x:c>
      <x:c r="J211" s="28" t="str">
        <x:v>сливочный, молочный, масляный, иногда животный</x:v>
      </x:c>
      <x:c r="K211" s="28" t="str">
        <x:v>лимонен, линалол, деканаль, октаналь, мирцен</x:v>
      </x:c>
      <x:c r="L211" s="28" t="str">
        <x:v>диацетил, молочные лактоны, свободные жирные кислоты</x:v>
      </x:c>
      <x:c r="M211" s="28" t="str">
        <x:v>прямое семейное перекрытие не является главным механизмом</x:v>
      </x:c>
      <x:c r="N211" s="28" t="str">
        <x:v>надёжный общий маркер не заявлен; сочетание объясняется семействами и сенсорным балансом</x:v>
      </x:c>
      <x:c r="O211" s="28" t="str">
        <x:v>вкусовой баланс, влияние матрицы/растворимости</x:v>
      </x:c>
      <x:c r="P211" s="28" t="str">
        <x:v>Кислотность и лёгкая горечь цитруса снижают ощущение жирности; соль и умами, в свою очередь, делают фруктовую часть менее резкой.</x:v>
      </x:c>
      <x:c r="Q211" s="28" t="str">
        <x:v>нет выраженного; нет выраженного</x:v>
      </x:c>
      <x:c r="R211" s="28" t="str">
        <x:v>сок водный; цедра и ликёры несут гидрофобные эфирные масла; жир растворяет терпены; кислота цитруса может коагулировать молочный белок</x:v>
      </x:c>
      <x:c r="S211"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211" s="28" t="str">
        <x:v>Кожура горького апельсина формирует профиль «цитрусовый, сладко-фруктовый, цветочный, восковой»; характерные маркеры: лимонен, линалол, деканаль, октаналь, мирцен. Сыр романо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U211" s="28" t="str">
        <x:v>Избыток кислоты делает вкус плоско-резким; белая часть кожуры даёт лишнюю горечь; возможна коагуляция белка.</x:v>
      </x:c>
      <x:c r="V211" s="28" t="str">
        <x:v>мёд или ваниль</x:v>
      </x:c>
      <x:c r="W211" s="28" t="str">
        <x:v>чизкейк, крем, мороженое, соус или салат</x:v>
      </x:c>
      <x:c r="X211" s="28" t="str">
        <x:v>десерты, еда</x:v>
      </x:c>
      <x:c r="Y211" s="28" t="str">
        <x:v>Средняя</x:v>
      </x:c>
      <x:c r="Z211" s="28" t="str">
        <x:v>The Art &amp; Science of Foodpairing.pdf</x:v>
      </x:c>
      <x:c r="AA211" s="28" t="str">
        <x:v>The Art &amp; Science of Foodpairing.pdf: 312</x:v>
      </x:c>
      <x:c r="AB211" s="28" t="str">
        <x:v>Пара представлена в ароматической диаграмме Foodpairing на странице 312.</x:v>
      </x:c>
      <x:c r="AC211" s="28" t="n">
        <x:v>1</x:v>
      </x:c>
      <x:c r="AD211" s="28" t="n">
        <x:v>1</x:v>
      </x:c>
    </x:row>
    <x:row r="212" ht="58" customHeight="1">
      <x:c r="A212" s="28" t="str">
        <x:v>CIT-0211</x:v>
      </x:c>
      <x:c r="B212" s="28" t="str">
        <x:v>Еда и соусы</x:v>
      </x:c>
      <x:c r="C212" s="28" t="str">
        <x:v>кожура горького апельсина</x:v>
      </x:c>
      <x:c r="D212" s="28" t="str">
        <x:v>bitter orange peel</x:v>
      </x:c>
      <x:c r="E212" s="28" t="str">
        <x:v>Цитрусовые</x:v>
      </x:c>
      <x:c r="F212" s="28" t="str">
        <x:v>томат</x:v>
      </x:c>
      <x:c r="G212" s="28" t="str">
        <x:v>tomato</x:v>
      </x:c>
      <x:c r="H212" s="28" t="str">
        <x:v>Овощи</x:v>
      </x:c>
      <x:c r="I212" s="28" t="str">
        <x:v>цитрусовый, сладко-фруктовый, цветочный, восковой</x:v>
      </x:c>
      <x:c r="J212" s="28" t="str">
        <x:v>зелёный, землистый, растительный, иногда сернистый</x:v>
      </x:c>
      <x:c r="K212" s="28" t="str">
        <x:v>лимонен, линалол, деканаль, октаналь, мирцен</x:v>
      </x:c>
      <x:c r="L212" s="28" t="str">
        <x:v>C6-альдегиды, метоксипиразины, геосмин (землистые), сернистые соединения</x:v>
      </x:c>
      <x:c r="M212" s="28" t="str">
        <x:v>прямое семейное перекрытие не является главным механизмом</x:v>
      </x:c>
      <x:c r="N212" s="28" t="str">
        <x:v>надёжный общий маркер не заявлен; сочетание объясняется семействами и сенсорным балансом</x:v>
      </x:c>
      <x:c r="O212" s="28" t="str">
        <x:v>вкусовой баланс</x:v>
      </x:c>
      <x:c r="P212" s="28" t="str">
        <x:v>Кислота подчёркивает природную сладость овоща, сокращает землистое/сернистое послевкусие и повышает слюноотделение.</x:v>
      </x:c>
      <x:c r="Q212" s="28" t="str">
        <x:v>нет выраженного; нет выраженного</x:v>
      </x:c>
      <x:c r="R212" s="28" t="str">
        <x:v>сок водный; цедра и ликёры несут гидрофобные эфирные масла; водная/крахмальная матрица; масло помогает распределить цедру</x:v>
      </x:c>
      <x:c r="S21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12" s="28" t="str">
        <x:v>Кожура горького апельсина формирует профиль «цитрусовый, сладко-фруктовый, цветочный, восковой»; характерные маркеры: лимонен, линалол, деканаль, октаналь, мирцен. Томат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212" s="28" t="str">
        <x:v>Избыток кислоты делает вкус плоско-резким; белая часть кожуры даёт лишнюю горечь.</x:v>
      </x:c>
      <x:c r="V212" s="28" t="str">
        <x:v>оливковое масло или базилик</x:v>
      </x:c>
      <x:c r="W212" s="28" t="str">
        <x:v>винегрет, салат, пюре, запечённое блюдо или овощной соус</x:v>
      </x:c>
      <x:c r="X212" s="28" t="str">
        <x:v>еда, соусы/маринады</x:v>
      </x:c>
      <x:c r="Y212" s="28" t="str">
        <x:v>Средняя</x:v>
      </x:c>
      <x:c r="Z212" s="28" t="str">
        <x:v>The Art &amp; Science of Foodpairing.pdf</x:v>
      </x:c>
      <x:c r="AA212" s="28" t="str">
        <x:v>The Art &amp; Science of Foodpairing.pdf: 70</x:v>
      </x:c>
      <x:c r="AB212" s="28" t="str">
        <x:v>Пара представлена в ароматической диаграмме Foodpairing на странице 70.</x:v>
      </x:c>
      <x:c r="AC212" s="28" t="n">
        <x:v>1</x:v>
      </x:c>
      <x:c r="AD212" s="28" t="n">
        <x:v>1</x:v>
      </x:c>
    </x:row>
    <x:row r="213" ht="58" customHeight="1">
      <x:c r="A213" s="28" t="str">
        <x:v>CIT-0212</x:v>
      </x:c>
      <x:c r="B213" s="28" t="str">
        <x:v>Десерты и выпечка</x:v>
      </x:c>
      <x:c r="C213" s="28" t="str">
        <x:v>кожура горького апельсина</x:v>
      </x:c>
      <x:c r="D213" s="28" t="str">
        <x:v>bitter orange peel</x:v>
      </x:c>
      <x:c r="E213" s="28" t="str">
        <x:v>Цитрусовые</x:v>
      </x:c>
      <x:c r="F213" s="28" t="str">
        <x:v>черника</x:v>
      </x:c>
      <x:c r="G213" s="28" t="str">
        <x:v>bilberry</x:v>
      </x:c>
      <x:c r="H213" s="28" t="str">
        <x:v>Ягоды/косточковые</x:v>
      </x:c>
      <x:c r="I213" s="28" t="str">
        <x:v>цитрусовый, сладко-фруктовый, цветочный, восковой</x:v>
      </x:c>
      <x:c r="J213" s="28" t="str">
        <x:v>фруктовый, цветочный, зелёный, винный</x:v>
      </x:c>
      <x:c r="K213" s="28" t="str">
        <x:v>лимонен, линалол, деканаль, октаналь, мирцен</x:v>
      </x:c>
      <x:c r="L213" s="28" t="str">
        <x:v>иононы, дамасценон, эфиры, бензальдегид (для косточковых)</x:v>
      </x:c>
      <x:c r="M213" s="28" t="str">
        <x:v>цветочный</x:v>
      </x:c>
      <x:c r="N213" s="28" t="str">
        <x:v>надёжный общий маркер не заявлен; сочетание объясняется семействами и сенсорным балансом</x:v>
      </x:c>
      <x:c r="O213" s="28" t="str">
        <x:v>перекрытие ароматических семейств, вкусовой баланс</x:v>
      </x:c>
      <x:c r="P213" s="28" t="str">
        <x:v>Общая фруктовая сладость и летучие эфиры создают непрерывный ароматический профиль, а цитрусовая кислота повышает контраст и свежесть.</x:v>
      </x:c>
      <x:c r="Q213" s="28" t="str">
        <x:v>нет выраженного; нет выраженного</x:v>
      </x:c>
      <x:c r="R213" s="28" t="str">
        <x:v>сок водный; цедра и ликёры несут гидрофобные эфирные масла; водная матрица с антоцианами и полифенолами</x:v>
      </x:c>
      <x:c r="S21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13" s="28" t="str">
        <x:v>Кожура горького апельсина формирует профиль «цитрусовый, сладко-фруктовый, цветочный, восковой»; характерные маркеры: лимонен, линалол, деканаль, октаналь, мирцен. Черника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U213" s="28" t="str">
        <x:v>Избыток кислоты делает вкус плоско-резким; белая часть кожуры даёт лишнюю горечь.</x:v>
      </x:c>
      <x:c r="V213" s="28" t="str">
        <x:v>ваниль или миндаль</x:v>
      </x:c>
      <x:c r="W213" s="28" t="str">
        <x:v>джем, сорбет, коктейль или соус</x:v>
      </x:c>
      <x:c r="X213" s="28" t="str">
        <x:v>напитки, десерты</x:v>
      </x:c>
      <x:c r="Y213" s="28" t="str">
        <x:v>Средняя</x:v>
      </x:c>
      <x:c r="Z213" s="28" t="str">
        <x:v>The Art &amp; Science of Foodpairing.pdf</x:v>
      </x:c>
      <x:c r="AA213" s="28" t="str">
        <x:v>The Art &amp; Science of Foodpairing.pdf: 47</x:v>
      </x:c>
      <x:c r="AB213" s="28" t="str">
        <x:v>Пара представлена в ароматической диаграмме Foodpairing на странице 47.</x:v>
      </x:c>
      <x:c r="AC213" s="28" t="n">
        <x:v>1</x:v>
      </x:c>
      <x:c r="AD213" s="28" t="n">
        <x:v>1</x:v>
      </x:c>
    </x:row>
    <x:row r="214" ht="58" customHeight="1">
      <x:c r="A214" s="28" t="str">
        <x:v>CIT-0213</x:v>
      </x:c>
      <x:c r="B214" s="28" t="str">
        <x:v>Универсальные</x:v>
      </x:c>
      <x:c r="C214" s="28" t="str">
        <x:v>кожура грейпфрута</x:v>
      </x:c>
      <x:c r="D214" s="28" t="str">
        <x:v>grapefruit peel</x:v>
      </x:c>
      <x:c r="E214" s="28" t="str">
        <x:v>Цитрусовые</x:v>
      </x:c>
      <x:c r="F214" s="28" t="str">
        <x:v>куркума</x:v>
      </x:c>
      <x:c r="G214" s="28" t="str">
        <x:v>turmeric</x:v>
      </x:c>
      <x:c r="H214" s="28" t="str">
        <x:v>Прочее</x:v>
      </x:c>
      <x:c r="I214" s="28" t="str">
        <x:v>цитрусовый, горький, свежий, сернистый</x:v>
      </x:c>
      <x:c r="J214" s="28" t="str">
        <x:v>нейтральный/специфический</x:v>
      </x:c>
      <x:c r="K214" s="28" t="str">
        <x:v>лимонен, нооткатон, грейпфрутовые тиолы, нарингин</x:v>
      </x:c>
      <x:c r="L214" s="28" t="str">
        <x:v>нужен профиль конкретного продукта</x:v>
      </x:c>
      <x:c r="M214" s="28" t="str">
        <x:v>прямое семейное перекрытие не является главным механизмом</x:v>
      </x:c>
      <x:c r="N214" s="28" t="str">
        <x:v>надёжный общий маркер не заявлен; сочетание объясняется семействами и сенсорным балансом</x:v>
      </x:c>
      <x:c r="O214" s="28" t="str">
        <x:v>вкусовой баланс, тройничное восприятие</x:v>
      </x:c>
      <x:c r="P214" s="28" t="str">
        <x:v>Основной эффект определяется ароматическим контрастом и добавлением кислотной свежести; точный баланс зависит от дозировки и матрицы.</x:v>
      </x:c>
      <x:c r="Q214" s="28" t="str">
        <x:v>нет выраженного; кислота усиливает слюноотделение; нет данных</x:v>
      </x:c>
      <x:c r="R214" s="28" t="str">
        <x:v>водная фаза сока + гидрофобные масла кожуры; зависит от формы продукта</x:v>
      </x:c>
      <x:c r="S21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14" s="28" t="str">
        <x:v>Кожура грейпфрута формирует профиль «цитрусовый, горький, свежий, сернистый»; характерные маркеры: лимонен, нооткатон, грейпфрутовые тиолы, нарингин. Куркума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21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V214" s="28" t="str">
        <x:v>мёд или нейтральная жировая основа</x:v>
      </x:c>
      <x:c r="W214" s="28" t="str">
        <x:v>соус, напиток или десерт после пробной дегустации</x:v>
      </x:c>
      <x:c r="X214" s="28" t="str">
        <x:v>универсальное</x:v>
      </x:c>
      <x:c r="Y214" s="28" t="str">
        <x:v>Средняя</x:v>
      </x:c>
      <x:c r="Z214" s="28" t="str">
        <x:v>The Art &amp; Science of Foodpairing.pdf</x:v>
      </x:c>
      <x:c r="AA214" s="28" t="str">
        <x:v>The Art &amp; Science of Foodpairing.pdf: 358</x:v>
      </x:c>
      <x:c r="AB214" s="28" t="str">
        <x:v>Пара представлена в ароматической диаграмме Foodpairing на странице 358.</x:v>
      </x:c>
      <x:c r="AC214" s="28" t="n">
        <x:v>1</x:v>
      </x:c>
      <x:c r="AD214" s="28" t="n">
        <x:v>1</x:v>
      </x:c>
    </x:row>
    <x:row r="215" ht="58" customHeight="1">
      <x:c r="A215" s="28" t="str">
        <x:v>CIT-0214</x:v>
      </x:c>
      <x:c r="B215" s="28" t="str">
        <x:v>Универсальные</x:v>
      </x:c>
      <x:c r="C215" s="28" t="str">
        <x:v>кожура кумквата</x:v>
      </x:c>
      <x:c r="D215" s="28" t="str">
        <x:v>kumquat peel</x:v>
      </x:c>
      <x:c r="E215" s="28" t="str">
        <x:v>Цитрусовые</x:v>
      </x:c>
      <x:c r="F215" s="28" t="str">
        <x:v>обжаренные семечки подсолнечника</x:v>
      </x:c>
      <x:c r="G215" s="28" t="str">
        <x:v>roasted sunflower seeds</x:v>
      </x:c>
      <x:c r="H215" s="28" t="str">
        <x:v>Прочее</x:v>
      </x:c>
      <x:c r="I215" s="28" t="str">
        <x:v>цитрусовый, фруктовый, цветочный, пряный</x:v>
      </x:c>
      <x:c r="J215" s="28" t="str">
        <x:v>нейтральный/специфический</x:v>
      </x:c>
      <x:c r="K215" s="28" t="str">
        <x:v>лимонен, гамма-терпинен, метил-N-метилантранилат, линалол</x:v>
      </x:c>
      <x:c r="L215" s="28" t="str">
        <x:v>нужен профиль конкретного продукта</x:v>
      </x:c>
      <x:c r="M215" s="28" t="str">
        <x:v>прямое семейное перекрытие не является главным механизмом</x:v>
      </x:c>
      <x:c r="N215" s="28" t="str">
        <x:v>надёжный общий маркер не заявлен; сочетание объясняется семействами и сенсорным балансом</x:v>
      </x:c>
      <x:c r="O215" s="28" t="str">
        <x:v>вкусовой баланс, тройничное восприятие</x:v>
      </x:c>
      <x:c r="P215" s="28" t="str">
        <x:v>Основной эффект определяется ароматическим контрастом и добавлением кислотной свежести; точный баланс зависит от дозировки и матрицы.</x:v>
      </x:c>
      <x:c r="Q215" s="28" t="str">
        <x:v>нет выраженного; нет данных</x:v>
      </x:c>
      <x:c r="R215" s="28" t="str">
        <x:v>сок водный; кожура богата эфирным маслом; зависит от формы продукта</x:v>
      </x:c>
      <x:c r="S21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15" s="28" t="str">
        <x:v>Кожура кумквата формирует профиль «цитрусовый, фруктовый, цветочный, пряный»; характерные маркеры: лимонен, гамма-терпинен, метил-N-метилантранилат, линалол. Обжаренные семечки подсолнечника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215" s="28" t="str">
        <x:v>Избыток кислоты делает вкус плоско-резким; белая часть кожуры даёт лишнюю горечь.</x:v>
      </x:c>
      <x:c r="V215" s="28" t="str">
        <x:v>мёд или нейтральная жировая основа</x:v>
      </x:c>
      <x:c r="W215" s="28" t="str">
        <x:v>соус, напиток или десерт после пробной дегустации</x:v>
      </x:c>
      <x:c r="X215" s="28" t="str">
        <x:v>универсальное</x:v>
      </x:c>
      <x:c r="Y215" s="28" t="str">
        <x:v>Средняя</x:v>
      </x:c>
      <x:c r="Z215" s="28" t="str">
        <x:v>The Art &amp; Science of Foodpairing.pdf</x:v>
      </x:c>
      <x:c r="AA215" s="28" t="str">
        <x:v>The Art &amp; Science of Foodpairing.pdf: 288</x:v>
      </x:c>
      <x:c r="AB215" s="28" t="str">
        <x:v>Пара представлена в ароматической диаграмме Foodpairing на странице 288.</x:v>
      </x:c>
      <x:c r="AC215" s="28" t="n">
        <x:v>1</x:v>
      </x:c>
      <x:c r="AD215" s="28" t="n">
        <x:v>1</x:v>
      </x:c>
    </x:row>
    <x:row r="216" ht="58" customHeight="1">
      <x:c r="A216" s="28" t="str">
        <x:v>CIT-0215</x:v>
      </x:c>
      <x:c r="B216" s="28" t="str">
        <x:v>Универсальные</x:v>
      </x:c>
      <x:c r="C216" s="28" t="str">
        <x:v>кожура кумквата</x:v>
      </x:c>
      <x:c r="D216" s="28" t="str">
        <x:v>kumquat peel</x:v>
      </x:c>
      <x:c r="E216" s="28" t="str">
        <x:v>Цитрусовые</x:v>
      </x:c>
      <x:c r="F216" s="28" t="str">
        <x:v>свежие цветы лаванды</x:v>
      </x:c>
      <x:c r="G216" s="28" t="str">
        <x:v>fresh lavender flower</x:v>
      </x:c>
      <x:c r="H216" s="28" t="str">
        <x:v>Прочее</x:v>
      </x:c>
      <x:c r="I216" s="28" t="str">
        <x:v>цитрусовый, фруктовый, цветочный, пряный</x:v>
      </x:c>
      <x:c r="J216" s="28" t="str">
        <x:v>нейтральный/специфический</x:v>
      </x:c>
      <x:c r="K216" s="28" t="str">
        <x:v>лимонен, гамма-терпинен, метил-N-метилантранилат, линалол</x:v>
      </x:c>
      <x:c r="L216" s="28" t="str">
        <x:v>нужен профиль конкретного продукта</x:v>
      </x:c>
      <x:c r="M216" s="28" t="str">
        <x:v>прямое семейное перекрытие не является главным механизмом</x:v>
      </x:c>
      <x:c r="N216" s="28" t="str">
        <x:v>надёжный общий маркер не заявлен; сочетание объясняется семействами и сенсорным балансом</x:v>
      </x:c>
      <x:c r="O216" s="28" t="str">
        <x:v>вкусовой баланс, тройничное восприятие</x:v>
      </x:c>
      <x:c r="P216" s="28" t="str">
        <x:v>Основной эффект определяется ароматическим контрастом и добавлением кислотной свежести; точный баланс зависит от дозировки и матрицы.</x:v>
      </x:c>
      <x:c r="Q216" s="28" t="str">
        <x:v>нет выраженного; нет данных</x:v>
      </x:c>
      <x:c r="R216" s="28" t="str">
        <x:v>сок водный; кожура богата эфирным маслом; зависит от формы продукта</x:v>
      </x:c>
      <x:c r="S21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16" s="28" t="str">
        <x:v>Кожура кумквата формирует профиль «цитрусовый, фруктовый, цветочный, пряный»; характерные маркеры: лимонен, гамма-терпинен, метил-N-метилантранилат, линалол. Свежие цветы лаванды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216" s="28" t="str">
        <x:v>Избыток кислоты делает вкус плоско-резким; белая часть кожуры даёт лишнюю горечь.</x:v>
      </x:c>
      <x:c r="V216" s="28" t="str">
        <x:v>мёд или нейтральная жировая основа</x:v>
      </x:c>
      <x:c r="W216" s="28" t="str">
        <x:v>соус, напиток или десерт после пробной дегустации</x:v>
      </x:c>
      <x:c r="X216" s="28" t="str">
        <x:v>универсальное</x:v>
      </x:c>
      <x:c r="Y216" s="28" t="str">
        <x:v>Средняя</x:v>
      </x:c>
      <x:c r="Z216" s="28" t="str">
        <x:v>The Art &amp; Science of Foodpairing.pdf</x:v>
      </x:c>
      <x:c r="AA216" s="28" t="str">
        <x:v>The Art &amp; Science of Foodpairing.pdf: 104</x:v>
      </x:c>
      <x:c r="AB216" s="28" t="str">
        <x:v>Пара представлена в ароматической диаграмме Foodpairing на странице 104.</x:v>
      </x:c>
      <x:c r="AC216" s="28" t="n">
        <x:v>1</x:v>
      </x:c>
      <x:c r="AD216" s="28" t="n">
        <x:v>1</x:v>
      </x:c>
    </x:row>
    <x:row r="217" ht="58" customHeight="1">
      <x:c r="A217" s="28" t="str">
        <x:v>CIT-0216</x:v>
      </x:c>
      <x:c r="B217" s="28" t="str">
        <x:v>Универсальные</x:v>
      </x:c>
      <x:c r="C217" s="28" t="str">
        <x:v>кожура кумквата</x:v>
      </x:c>
      <x:c r="D217" s="28" t="str">
        <x:v>kumquat peel</x:v>
      </x:c>
      <x:c r="E217" s="28" t="str">
        <x:v>Цитрусовые</x:v>
      </x:c>
      <x:c r="F217" s="28" t="str">
        <x:v>эмменталь</x:v>
      </x:c>
      <x:c r="G217" s="28" t="str">
        <x:v>Emmental</x:v>
      </x:c>
      <x:c r="H217" s="28" t="str">
        <x:v>Прочее</x:v>
      </x:c>
      <x:c r="I217" s="28" t="str">
        <x:v>цитрусовый, фруктовый, цветочный, пряный</x:v>
      </x:c>
      <x:c r="J217" s="28" t="str">
        <x:v>нейтральный/специфический</x:v>
      </x:c>
      <x:c r="K217" s="28" t="str">
        <x:v>лимонен, гамма-терпинен, метил-N-метилантранилат, линалол</x:v>
      </x:c>
      <x:c r="L217" s="28" t="str">
        <x:v>нужен профиль конкретного продукта</x:v>
      </x:c>
      <x:c r="M217" s="28" t="str">
        <x:v>прямое семейное перекрытие не является главным механизмом</x:v>
      </x:c>
      <x:c r="N217" s="28" t="str">
        <x:v>надёжный общий маркер не заявлен; сочетание объясняется семействами и сенсорным балансом</x:v>
      </x:c>
      <x:c r="O217" s="28" t="str">
        <x:v>вкусовой баланс, тройничное восприятие</x:v>
      </x:c>
      <x:c r="P217" s="28" t="str">
        <x:v>Основной эффект определяется ароматическим контрастом и добавлением кислотной свежести; точный баланс зависит от дозировки и матрицы.</x:v>
      </x:c>
      <x:c r="Q217" s="28" t="str">
        <x:v>нет выраженного; нет данных</x:v>
      </x:c>
      <x:c r="R217" s="28" t="str">
        <x:v>сок водный; кожура богата эфирным маслом; зависит от формы продукта</x:v>
      </x:c>
      <x:c r="S21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17" s="28" t="str">
        <x:v>Кожура кумквата формирует профиль «цитрусовый, фруктовый, цветочный, пряный»; характерные маркеры: лимонен, гамма-терпинен, метил-N-метилантранилат, линалол. Эмменталь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217" s="28" t="str">
        <x:v>Избыток кислоты делает вкус плоско-резким; белая часть кожуры даёт лишнюю горечь.</x:v>
      </x:c>
      <x:c r="V217" s="28" t="str">
        <x:v>мёд или нейтральная жировая основа</x:v>
      </x:c>
      <x:c r="W217" s="28" t="str">
        <x:v>соус, напиток или десерт после пробной дегустации</x:v>
      </x:c>
      <x:c r="X217" s="28" t="str">
        <x:v>универсальное</x:v>
      </x:c>
      <x:c r="Y217" s="28" t="str">
        <x:v>Средняя</x:v>
      </x:c>
      <x:c r="Z217" s="28" t="str">
        <x:v>The Art &amp; Science of Foodpairing.pdf</x:v>
      </x:c>
      <x:c r="AA217" s="28" t="str">
        <x:v>The Art &amp; Science of Foodpairing.pdf: 186</x:v>
      </x:c>
      <x:c r="AB217" s="28" t="str">
        <x:v>Пара представлена в ароматической диаграмме Foodpairing на странице 186.</x:v>
      </x:c>
      <x:c r="AC217" s="28" t="n">
        <x:v>1</x:v>
      </x:c>
      <x:c r="AD217" s="28" t="n">
        <x:v>1</x:v>
      </x:c>
    </x:row>
    <x:row r="218" ht="58" customHeight="1">
      <x:c r="A218" s="28" t="str">
        <x:v>CIT-0217</x:v>
      </x:c>
      <x:c r="B218" s="28" t="str">
        <x:v>Еда и соусы</x:v>
      </x:c>
      <x:c r="C218" s="28" t="str">
        <x:v>кожура мандарина</x:v>
      </x:c>
      <x:c r="D218" s="28" t="str">
        <x:v>mandarin peel</x:v>
      </x:c>
      <x:c r="E218" s="28" t="str">
        <x:v>Цитрусовые</x:v>
      </x:c>
      <x:c r="F218" s="28" t="str">
        <x:v>доджанг</x:v>
      </x:c>
      <x:c r="G218" s="28" t="str">
        <x:v>doenjang (Korean fermented soybean paste)</x:v>
      </x:c>
      <x:c r="H218" s="28" t="str">
        <x:v>Соусы и ферментированные продукты</x:v>
      </x:c>
      <x:c r="I218" s="28" t="str">
        <x:v>цитрусовый, фруктовый, цветочный, пряный</x:v>
      </x:c>
      <x:c r="J218" s="28" t="str">
        <x:v>кислый, умами, ферментированный, пряный</x:v>
      </x:c>
      <x:c r="K218" s="28" t="str">
        <x:v>лимонен, гамма-терпинен, метил-N-метилантранилат, линалол</x:v>
      </x:c>
      <x:c r="L218" s="28" t="str">
        <x:v>уксусная/молочная кислота, эфиры ферментации, пептиды умами</x:v>
      </x:c>
      <x:c r="M218" s="28" t="str">
        <x:v>пряный</x:v>
      </x:c>
      <x:c r="N218" s="28" t="str">
        <x:v>надёжный общий маркер не заявлен; сочетание объясняется семействами и сенсорным балансом</x:v>
      </x:c>
      <x:c r="O218" s="28" t="str">
        <x:v>перекрытие ароматических семейств, вкусовой баланс, тройничное восприятие</x:v>
      </x:c>
      <x:c r="P218" s="28" t="str">
        <x:v>Цитрусовая кислота и аромат усиливают солёность и умами, но общий уровень кислоты необходимо контролировать.</x:v>
      </x:c>
      <x:c r="Q218" s="28" t="str">
        <x:v>нет выраженного; в пряных соусах возможен капсаициновый жар</x:v>
      </x:c>
      <x:c r="R218" s="28" t="str">
        <x:v>сок водный; кожура богата эфирным маслом; водная солёно-кислая матрица</x:v>
      </x:c>
      <x:c r="S2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18"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Доджанг относится к группе «соусы и ферментированные продукты» и даёт ноты «кислый, умами, ферментированный, пряный». Прямой общий ключевой одорант из доступных профилей не фиксируется, однако продукты пересекаются на уровне семейств: пряный. Поэтому связь лучше описывать как сочетание близких ароматических направлений, а не как действие единственной доказанной молекулы. Цитрусовая кислота и аромат усиливают солёность и умами, но общий уровень кислоты необходимо контролировать. Мандариновая группа мягче по кислотности и выраженнее по сладко-цветочным нотам. Цитрус добавляет верхние ноты и может заменить часть уксуса, но избыток кислоты нарушит баланс.</x:v>
      </x:c>
      <x:c r="U218" s="28" t="str">
        <x:v>Избыток кислоты делает вкус плоско-резким; белая часть кожуры даёт лишнюю горечь.</x:v>
      </x:c>
      <x:c r="V218" s="28" t="str">
        <x:v>имбирь или кунжут</x:v>
      </x:c>
      <x:c r="W218" s="28" t="str">
        <x:v>дрессинг, глазурь, чатни, маринад или ферментированный соус</x:v>
      </x:c>
      <x:c r="X218" s="28" t="str">
        <x:v>еда, соусы/маринады</x:v>
      </x:c>
      <x:c r="Y218" s="28" t="str">
        <x:v>Средняя</x:v>
      </x:c>
      <x:c r="Z218" s="28" t="str">
        <x:v>The Art &amp; Science of Foodpairing.pdf</x:v>
      </x:c>
      <x:c r="AA218" s="28" t="str">
        <x:v>The Art &amp; Science of Foodpairing.pdf: 366</x:v>
      </x:c>
      <x:c r="AB218" s="28" t="str">
        <x:v>Пара представлена в ароматической диаграмме Foodpairing на странице 366.</x:v>
      </x:c>
      <x:c r="AC218" s="28" t="n">
        <x:v>1</x:v>
      </x:c>
      <x:c r="AD218" s="28" t="n">
        <x:v>1</x:v>
      </x:c>
    </x:row>
    <x:row r="219" ht="58" customHeight="1">
      <x:c r="A219" s="28" t="str">
        <x:v>CIT-0218</x:v>
      </x:c>
      <x:c r="B219" s="28" t="str">
        <x:v>Еда и соусы</x:v>
      </x:c>
      <x:c r="C219" s="28" t="str">
        <x:v>кожура мандарина</x:v>
      </x:c>
      <x:c r="D219" s="28" t="str">
        <x:v>mandarin peel</x:v>
      </x:c>
      <x:c r="E219" s="28" t="str">
        <x:v>Цитрусовые</x:v>
      </x:c>
      <x:c r="F219" s="28" t="str">
        <x:v>дорадо</x:v>
      </x:c>
      <x:c r="G219" s="28" t="str">
        <x:v>sea bream</x:v>
      </x:c>
      <x:c r="H219" s="28" t="str">
        <x:v>Рыба и морепродукты</x:v>
      </x:c>
      <x:c r="I219" s="28" t="str">
        <x:v>цитрусовый, фруктовый, цветочный, пряный</x:v>
      </x:c>
      <x:c r="J219" s="28" t="str">
        <x:v>морской, йодистый, зелёный, жирный</x:v>
      </x:c>
      <x:c r="K219" s="28" t="str">
        <x:v>лимонен, гамма-терпинен, метил-N-метилантранилат, линалол</x:v>
      </x:c>
      <x:c r="L219" s="28" t="str">
        <x:v>альдегиды окисления липидов, бромфенолы, диметилсульфид, умами-соединения</x:v>
      </x:c>
      <x:c r="M219" s="28" t="str">
        <x:v>прямое семейное перекрытие не является главным механизмом</x:v>
      </x:c>
      <x:c r="N219" s="28" t="str">
        <x:v>надёжный общий маркер не заявлен; сочетание объясняется семействами и сенсорным балансом</x:v>
      </x:c>
      <x:c r="O219" s="28" t="str">
        <x:v>вкусовой баланс, влияние матрицы/растворимости</x:v>
      </x:c>
      <x:c r="P219" s="28" t="str">
        <x:v>Кислотность и лёгкая горечь цитруса снижают ощущение жирности; соль и умами, в свою очередь, делают фруктовую часть менее резкой.</x:v>
      </x:c>
      <x:c r="Q219" s="28" t="str">
        <x:v>нет выраженного; нет выраженного</x:v>
      </x:c>
      <x:c r="R219" s="28" t="str">
        <x:v>сок водный; кожура богата эфирным маслом; кислота может денатурировать поверхностные белки; жир рыбы удерживает терпены</x:v>
      </x:c>
      <x:c r="S21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219"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Дорадо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уменьшает восприятие жирности и рыбных нот, усиливая свежесть и слюноотделение.</x:v>
      </x:c>
      <x:c r="U219" s="28" t="str">
        <x:v>Избыток кислоты делает вкус плоско-резким; белая часть кожуры даёт лишнюю горечь; слишком долгая маринация ухудшает текстуру.</x:v>
      </x:c>
      <x:c r="V219" s="28" t="str">
        <x:v>кинза или фенхель</x:v>
      </x:c>
      <x:c r="W219" s="28" t="str">
        <x:v>севиче, маринад, beurre blanc, тартар или салат</x:v>
      </x:c>
      <x:c r="X219" s="28" t="str">
        <x:v>еда, соусы/маринады</x:v>
      </x:c>
      <x:c r="Y219" s="28" t="str">
        <x:v>Средняя</x:v>
      </x:c>
      <x:c r="Z219" s="28" t="str">
        <x:v>The Art &amp; Science of Foodpairing.pdf</x:v>
      </x:c>
      <x:c r="AA219" s="28" t="str">
        <x:v>The Art &amp; Science of Foodpairing.pdf: 366</x:v>
      </x:c>
      <x:c r="AB219" s="28" t="str">
        <x:v>Пара представлена в ароматической диаграмме Foodpairing на странице 366.</x:v>
      </x:c>
      <x:c r="AC219" s="28" t="n">
        <x:v>1</x:v>
      </x:c>
      <x:c r="AD219" s="28" t="n">
        <x:v>1</x:v>
      </x:c>
    </x:row>
    <x:row r="220" ht="58" customHeight="1">
      <x:c r="A220" s="28" t="str">
        <x:v>CIT-0219</x:v>
      </x:c>
      <x:c r="B220" s="28" t="str">
        <x:v>Универсальные</x:v>
      </x:c>
      <x:c r="C220" s="28" t="str">
        <x:v>кожура мандарина</x:v>
      </x:c>
      <x:c r="D220" s="28" t="str">
        <x:v>mandarin peel</x:v>
      </x:c>
      <x:c r="E220" s="28" t="str">
        <x:v>Цитрусовые</x:v>
      </x:c>
      <x:c r="F220" s="28" t="str">
        <x:v>изюм</x:v>
      </x:c>
      <x:c r="G220" s="28" t="str">
        <x:v>raisin</x:v>
      </x:c>
      <x:c r="H220" s="28" t="str">
        <x:v>Прочее</x:v>
      </x:c>
      <x:c r="I220" s="28" t="str">
        <x:v>цитрусовый, фруктовый, цветочный, пряный</x:v>
      </x:c>
      <x:c r="J220" s="28" t="str">
        <x:v>нейтральный/специфический</x:v>
      </x:c>
      <x:c r="K220" s="28" t="str">
        <x:v>лимонен, гамма-терпинен, метил-N-метилантранилат, линалол</x:v>
      </x:c>
      <x:c r="L220" s="28" t="str">
        <x:v>нужен профиль конкретного продукта</x:v>
      </x:c>
      <x:c r="M220" s="28" t="str">
        <x:v>прямое семейное перекрытие не является главным механизмом</x:v>
      </x:c>
      <x:c r="N220" s="28" t="str">
        <x:v>надёжный общий маркер не заявлен; сочетание объясняется семействами и сенсорным балансом</x:v>
      </x:c>
      <x:c r="O220" s="28" t="str">
        <x:v>вкусовой баланс, тройничное восприятие</x:v>
      </x:c>
      <x:c r="P220" s="28" t="str">
        <x:v>Основной эффект определяется ароматическим контрастом и добавлением кислотной свежести; точный баланс зависит от дозировки и матрицы.</x:v>
      </x:c>
      <x:c r="Q220" s="28" t="str">
        <x:v>нет выраженного; нет данных</x:v>
      </x:c>
      <x:c r="R220" s="28" t="str">
        <x:v>сок водный; кожура богата эфирным маслом; зависит от формы продукта</x:v>
      </x:c>
      <x:c r="S22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20"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Изюм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220" s="28" t="str">
        <x:v>Избыток кислоты делает вкус плоско-резким; белая часть кожуры даёт лишнюю горечь.</x:v>
      </x:c>
      <x:c r="V220" s="28" t="str">
        <x:v>мёд или нейтральная жировая основа</x:v>
      </x:c>
      <x:c r="W220" s="28" t="str">
        <x:v>соус, напиток или десерт после пробной дегустации</x:v>
      </x:c>
      <x:c r="X220" s="28" t="str">
        <x:v>универсальное</x:v>
      </x:c>
      <x:c r="Y220" s="28" t="str">
        <x:v>Средняя</x:v>
      </x:c>
      <x:c r="Z220" s="28" t="str">
        <x:v>The Art &amp; Science of Foodpairing.pdf</x:v>
      </x:c>
      <x:c r="AA220" s="28" t="str">
        <x:v>The Art &amp; Science of Foodpairing.pdf: 366</x:v>
      </x:c>
      <x:c r="AB220" s="28" t="str">
        <x:v>Пара представлена в ароматической диаграмме Foodpairing на странице 366.</x:v>
      </x:c>
      <x:c r="AC220" s="28" t="n">
        <x:v>1</x:v>
      </x:c>
      <x:c r="AD220" s="28" t="n">
        <x:v>1</x:v>
      </x:c>
    </x:row>
    <x:row r="221" ht="58" customHeight="1">
      <x:c r="A221" s="28" t="str">
        <x:v>CIT-0220</x:v>
      </x:c>
      <x:c r="B221" s="28" t="str">
        <x:v>Еда и соусы</x:v>
      </x:c>
      <x:c r="C221" s="28" t="str">
        <x:v>кожура мандарина</x:v>
      </x:c>
      <x:c r="D221" s="28" t="str">
        <x:v>mandarin peel</x:v>
      </x:c>
      <x:c r="E221" s="28" t="str">
        <x:v>Цитрусовые</x:v>
      </x:c>
      <x:c r="F221" s="28" t="str">
        <x:v>квашеная капуста</x:v>
      </x:c>
      <x:c r="G221" s="28" t="str">
        <x:v>sauerkraut</x:v>
      </x:c>
      <x:c r="H221" s="28" t="str">
        <x:v>Овощи</x:v>
      </x:c>
      <x:c r="I221" s="28" t="str">
        <x:v>цитрусовый, фруктовый, цветочный, пряный</x:v>
      </x:c>
      <x:c r="J221" s="28" t="str">
        <x:v>зелёный, землистый, растительный, иногда сернистый</x:v>
      </x:c>
      <x:c r="K221" s="28" t="str">
        <x:v>лимонен, гамма-терпинен, метил-N-метилантранилат, линалол</x:v>
      </x:c>
      <x:c r="L221" s="28" t="str">
        <x:v>C6-альдегиды, метоксипиразины, геосмин (землистые), сернистые соединения</x:v>
      </x:c>
      <x:c r="M221" s="28" t="str">
        <x:v>прямое семейное перекрытие не является главным механизмом</x:v>
      </x:c>
      <x:c r="N221" s="28" t="str">
        <x:v>надёжный общий маркер не заявлен; сочетание объясняется семействами и сенсорным балансом</x:v>
      </x:c>
      <x:c r="O221" s="28" t="str">
        <x:v>вкусовой баланс</x:v>
      </x:c>
      <x:c r="P221" s="28" t="str">
        <x:v>Кислота подчёркивает природную сладость овоща, сокращает землистое/сернистое послевкусие и повышает слюноотделение.</x:v>
      </x:c>
      <x:c r="Q221" s="28" t="str">
        <x:v>нет выраженного; нет выраженного</x:v>
      </x:c>
      <x:c r="R221" s="28" t="str">
        <x:v>сок водный; кожура богата эфирным маслом; водная/крахмальная матрица; масло помогает распределить цедру</x:v>
      </x:c>
      <x:c r="S22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21"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Квашеная капуста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U221" s="28" t="str">
        <x:v>Избыток кислоты делает вкус плоско-резким; белая часть кожуры даёт лишнюю горечь.</x:v>
      </x:c>
      <x:c r="V221" s="28" t="str">
        <x:v>оливковое масло или базилик</x:v>
      </x:c>
      <x:c r="W221" s="28" t="str">
        <x:v>винегрет, салат, пюре, запечённое блюдо или овощной соус</x:v>
      </x:c>
      <x:c r="X221" s="28" t="str">
        <x:v>еда, соусы/маринады</x:v>
      </x:c>
      <x:c r="Y221" s="28" t="str">
        <x:v>Средняя</x:v>
      </x:c>
      <x:c r="Z221" s="28" t="str">
        <x:v>The Art &amp; Science of Foodpairing.pdf</x:v>
      </x:c>
      <x:c r="AA221" s="28" t="str">
        <x:v>The Art &amp; Science of Foodpairing.pdf: 186</x:v>
      </x:c>
      <x:c r="AB221" s="28" t="str">
        <x:v>Пара представлена в ароматической диаграмме Foodpairing на странице 186.</x:v>
      </x:c>
      <x:c r="AC221" s="28" t="n">
        <x:v>1</x:v>
      </x:c>
      <x:c r="AD221" s="28" t="n">
        <x:v>1</x:v>
      </x:c>
    </x:row>
    <x:row r="222" ht="58" customHeight="1">
      <x:c r="A222" s="28" t="str">
        <x:v>CIT-0221</x:v>
      </x:c>
      <x:c r="B222" s="28" t="str">
        <x:v>Десерты и выпечка</x:v>
      </x:c>
      <x:c r="C222" s="28" t="str">
        <x:v>кожура мандарина</x:v>
      </x:c>
      <x:c r="D222" s="28" t="str">
        <x:v>mandarin peel</x:v>
      </x:c>
      <x:c r="E222" s="28" t="str">
        <x:v>Цитрусовые</x:v>
      </x:c>
      <x:c r="F222" s="28" t="str">
        <x:v>обжаренный фундук</x:v>
      </x:c>
      <x:c r="G222" s="28" t="str">
        <x:v>roasted hazelnut</x:v>
      </x:c>
      <x:c r="H222" s="28" t="str">
        <x:v>Орехи и семена</x:v>
      </x:c>
      <x:c r="I222" s="28" t="str">
        <x:v>цитрусовый, фруктовый, цветочный, пряный</x:v>
      </x:c>
      <x:c r="J222" s="28" t="str">
        <x:v>ореховый, обжаренный, жирный, зелёный</x:v>
      </x:c>
      <x:c r="K222" s="28" t="str">
        <x:v>лимонен, гамма-терпинен, метил-N-метилантранилат, линалол</x:v>
      </x:c>
      <x:c r="L222" s="28" t="str">
        <x:v>пиразины, альдегиды окисления жиров, бензальдегид (миндаль)</x:v>
      </x:c>
      <x:c r="M222" s="28" t="str">
        <x:v>прямое семейное перекрытие не является главным механизмом</x:v>
      </x:c>
      <x:c r="N222" s="28" t="str">
        <x:v>надёжный общий маркер не заявлен; сочетание объясняется семействами и сенсорным балансом</x:v>
      </x:c>
      <x:c r="O222" s="28" t="str">
        <x:v>вкусовой баланс, влияние матрицы/растворимости</x:v>
      </x:c>
      <x:c r="P222" s="28" t="str">
        <x:v>Кислотность и лёгкая горечь цитруса снижают ощущение жирности; соль и умами, в свою очередь, делают фруктовую часть менее резкой.</x:v>
      </x:c>
      <x:c r="Q222" s="28" t="str">
        <x:v>нет выраженного; нет выраженного</x:v>
      </x:c>
      <x:c r="R222" s="28" t="str">
        <x:v>сок водный; кожура богата эфирным маслом; высокая жирность растворяет терпеновые масла цитруса</x:v>
      </x:c>
      <x:c r="S222"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22"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Обжаренный фундук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U222" s="28" t="str">
        <x:v>Избыток кислоты делает вкус плоско-резким; белая часть кожуры даёт лишнюю горечь.</x:v>
      </x:c>
      <x:c r="V222" s="28" t="str">
        <x:v>мёд или шоколад</x:v>
      </x:c>
      <x:c r="W222" s="28" t="str">
        <x:v>пралине, крем, выпечка, салат или ореховый соус</x:v>
      </x:c>
      <x:c r="X222" s="28" t="str">
        <x:v>десерты</x:v>
      </x:c>
      <x:c r="Y222" s="28" t="str">
        <x:v>Средняя</x:v>
      </x:c>
      <x:c r="Z222" s="28" t="str">
        <x:v>The Art &amp; Science of Foodpairing.pdf</x:v>
      </x:c>
      <x:c r="AA222" s="28" t="str">
        <x:v>The Art &amp; Science of Foodpairing.pdf: 366</x:v>
      </x:c>
      <x:c r="AB222" s="28" t="str">
        <x:v>Пара представлена в ароматической диаграмме Foodpairing на странице 366.</x:v>
      </x:c>
      <x:c r="AC222" s="28" t="n">
        <x:v>1</x:v>
      </x:c>
      <x:c r="AD222" s="28" t="n">
        <x:v>1</x:v>
      </x:c>
    </x:row>
    <x:row r="223" ht="58" customHeight="1">
      <x:c r="A223" s="28" t="str">
        <x:v>CIT-0222</x:v>
      </x:c>
      <x:c r="B223" s="28" t="str">
        <x:v>Еда и соусы</x:v>
      </x:c>
      <x:c r="C223" s="28" t="str">
        <x:v>кожура мандарина</x:v>
      </x:c>
      <x:c r="D223" s="28" t="str">
        <x:v>mandarin peel</x:v>
      </x:c>
      <x:c r="E223" s="28" t="str">
        <x:v>Цитрусовые</x:v>
      </x:c>
      <x:c r="F223" s="28" t="str">
        <x:v>отварной пастернак</x:v>
      </x:c>
      <x:c r="G223" s="28" t="str">
        <x:v>boiled parsnip</x:v>
      </x:c>
      <x:c r="H223" s="28" t="str">
        <x:v>Овощи</x:v>
      </x:c>
      <x:c r="I223" s="28" t="str">
        <x:v>цитрусовый, фруктовый, цветочный, пряный</x:v>
      </x:c>
      <x:c r="J223" s="28" t="str">
        <x:v>зелёный, землистый, растительный, иногда сернистый</x:v>
      </x:c>
      <x:c r="K223" s="28" t="str">
        <x:v>лимонен, гамма-терпинен, метил-N-метилантранилат, линалол</x:v>
      </x:c>
      <x:c r="L223" s="28" t="str">
        <x:v>C6-альдегиды, метоксипиразины, геосмин (землистые), сернистые соединения</x:v>
      </x:c>
      <x:c r="M223" s="28" t="str">
        <x:v>прямое семейное перекрытие не является главным механизмом</x:v>
      </x:c>
      <x:c r="N223" s="28" t="str">
        <x:v>надёжный общий маркер не заявлен; сочетание объясняется семействами и сенсорным балансом</x:v>
      </x:c>
      <x:c r="O223" s="28" t="str">
        <x:v>вкусовой баланс</x:v>
      </x:c>
      <x:c r="P223" s="28" t="str">
        <x:v>Кислота подчёркивает природную сладость овоща, сокращает землистое/сернистое послевкусие и повышает слюноотделение.</x:v>
      </x:c>
      <x:c r="Q223" s="28" t="str">
        <x:v>нет выраженного; нет выраженного</x:v>
      </x:c>
      <x:c r="R223" s="28" t="str">
        <x:v>сок водный; кожура богата эфирным маслом; водная/крахмальная матрица; масло помогает распределить цедру</x:v>
      </x:c>
      <x:c r="S22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23"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Отварной пастернак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U223" s="28" t="str">
        <x:v>Избыток кислоты делает вкус плоско-резким; белая часть кожуры даёт лишнюю горечь.</x:v>
      </x:c>
      <x:c r="V223" s="28" t="str">
        <x:v>оливковое масло или базилик</x:v>
      </x:c>
      <x:c r="W223" s="28" t="str">
        <x:v>винегрет, салат, пюре, запечённое блюдо или овощной соус</x:v>
      </x:c>
      <x:c r="X223" s="28" t="str">
        <x:v>еда, соусы/маринады</x:v>
      </x:c>
      <x:c r="Y223" s="28" t="str">
        <x:v>Средняя</x:v>
      </x:c>
      <x:c r="Z223" s="28" t="str">
        <x:v>The Art &amp; Science of Foodpairing.pdf</x:v>
      </x:c>
      <x:c r="AA223" s="28" t="str">
        <x:v>The Art &amp; Science of Foodpairing.pdf: 366</x:v>
      </x:c>
      <x:c r="AB223" s="28" t="str">
        <x:v>Пара представлена в ароматической диаграмме Foodpairing на странице 366.</x:v>
      </x:c>
      <x:c r="AC223" s="28" t="n">
        <x:v>1</x:v>
      </x:c>
      <x:c r="AD223" s="28" t="n">
        <x:v>1</x:v>
      </x:c>
    </x:row>
    <x:row r="224" ht="58" customHeight="1">
      <x:c r="A224" s="28" t="str">
        <x:v>CIT-0223</x:v>
      </x:c>
      <x:c r="B224" s="28" t="str">
        <x:v>Десерты и выпечка</x:v>
      </x:c>
      <x:c r="C224" s="28" t="str">
        <x:v>кожура мандарина</x:v>
      </x:c>
      <x:c r="D224" s="28" t="str">
        <x:v>mandarin peel</x:v>
      </x:c>
      <x:c r="E224" s="28" t="str">
        <x:v>Цитрусовые</x:v>
      </x:c>
      <x:c r="F224" s="28" t="str">
        <x:v>пекан</x:v>
      </x:c>
      <x:c r="G224" s="28" t="str">
        <x:v>pecan</x:v>
      </x:c>
      <x:c r="H224" s="28" t="str">
        <x:v>Орехи и семена</x:v>
      </x:c>
      <x:c r="I224" s="28" t="str">
        <x:v>цитрусовый, фруктовый, цветочный, пряный</x:v>
      </x:c>
      <x:c r="J224" s="28" t="str">
        <x:v>ореховый, обжаренный, жирный, зелёный</x:v>
      </x:c>
      <x:c r="K224" s="28" t="str">
        <x:v>лимонен, гамма-терпинен, метил-N-метилантранилат, линалол</x:v>
      </x:c>
      <x:c r="L224" s="28" t="str">
        <x:v>пиразины, альдегиды окисления жиров, бензальдегид (миндаль)</x:v>
      </x:c>
      <x:c r="M224" s="28" t="str">
        <x:v>прямое семейное перекрытие не является главным механизмом</x:v>
      </x:c>
      <x:c r="N224" s="28" t="str">
        <x:v>надёжный общий маркер не заявлен; сочетание объясняется семействами и сенсорным балансом</x:v>
      </x:c>
      <x:c r="O224" s="28" t="str">
        <x:v>вкусовой баланс, влияние матрицы/растворимости</x:v>
      </x:c>
      <x:c r="P224" s="28" t="str">
        <x:v>Кислотность и лёгкая горечь цитруса снижают ощущение жирности; соль и умами, в свою очередь, делают фруктовую часть менее резкой.</x:v>
      </x:c>
      <x:c r="Q224" s="28" t="str">
        <x:v>нет выраженного; нет выраженного</x:v>
      </x:c>
      <x:c r="R224" s="28" t="str">
        <x:v>сок водный; кожура богата эфирным маслом; высокая жирность растворяет терпеновые масла цитруса</x:v>
      </x:c>
      <x:c r="S22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24"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Пекан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U224" s="28" t="str">
        <x:v>Избыток кислоты делает вкус плоско-резким; белая часть кожуры даёт лишнюю горечь.</x:v>
      </x:c>
      <x:c r="V224" s="28" t="str">
        <x:v>мёд или шоколад</x:v>
      </x:c>
      <x:c r="W224" s="28" t="str">
        <x:v>пралине, крем, выпечка, салат или ореховый соус</x:v>
      </x:c>
      <x:c r="X224" s="28" t="str">
        <x:v>десерты</x:v>
      </x:c>
      <x:c r="Y224" s="28" t="str">
        <x:v>Средняя</x:v>
      </x:c>
      <x:c r="Z224" s="28" t="str">
        <x:v>The Art &amp; Science of Foodpairing.pdf</x:v>
      </x:c>
      <x:c r="AA224" s="28" t="str">
        <x:v>The Art &amp; Science of Foodpairing.pdf: 74</x:v>
      </x:c>
      <x:c r="AB224" s="28" t="str">
        <x:v>Пара представлена в ароматической диаграмме Foodpairing на странице 74.</x:v>
      </x:c>
      <x:c r="AC224" s="28" t="n">
        <x:v>1</x:v>
      </x:c>
      <x:c r="AD224" s="28" t="n">
        <x:v>1</x:v>
      </x:c>
    </x:row>
    <x:row r="225" ht="58" customHeight="1">
      <x:c r="A225" s="28" t="str">
        <x:v>CIT-0224</x:v>
      </x:c>
      <x:c r="B225" s="28" t="str">
        <x:v>Десерты и выпечка</x:v>
      </x:c>
      <x:c r="C225" s="28" t="str">
        <x:v>кожура мандарина</x:v>
      </x:c>
      <x:c r="D225" s="28" t="str">
        <x:v>mandarin peel</x:v>
      </x:c>
      <x:c r="E225" s="28" t="str">
        <x:v>Цитрусовые</x:v>
      </x:c>
      <x:c r="F225" s="28" t="str">
        <x:v>приготовленный длиннозёрный рис</x:v>
      </x:c>
      <x:c r="G225" s="28" t="str">
        <x:v>cooked long-grain rice</x:v>
      </x:c>
      <x:c r="H225" s="28" t="str">
        <x:v>Злаки и хлеб</x:v>
      </x:c>
      <x:c r="I225" s="28" t="str">
        <x:v>цитрусовый, фруктовый, цветочный, пряный</x:v>
      </x:c>
      <x:c r="J225" s="28" t="str">
        <x:v>зерновой, обжаренный, ореховый, дрожжевой</x:v>
      </x:c>
      <x:c r="K225" s="28" t="str">
        <x:v>лимонен, гамма-терпинен, метил-N-метилантранилат, линалол</x:v>
      </x:c>
      <x:c r="L225" s="28" t="str">
        <x:v>пиразины, мальтол, фураны, эфиры брожения</x:v>
      </x:c>
      <x:c r="M225" s="28" t="str">
        <x:v>прямое семейное перекрытие не является главным механизмом</x:v>
      </x:c>
      <x:c r="N225" s="28" t="str">
        <x:v>надёжный общий маркер не заявлен; сочетание объясняется семействами и сенсорным балансом</x:v>
      </x:c>
      <x:c r="O225" s="28" t="str">
        <x:v>вкусовой баланс</x:v>
      </x:c>
      <x:c r="P225" s="28" t="str">
        <x:v>Высокая кисло-ароматическая нота контрастирует с жареными, горькими и карамельными оттенками; сахар или жир связывает два регистра.</x:v>
      </x:c>
      <x:c r="Q225" s="28" t="str">
        <x:v>нет выраженного; нет выраженного</x:v>
      </x:c>
      <x:c r="R225" s="28" t="str">
        <x:v>сок водный; кожура богата эфирным маслом; крахмал смягчает кислотность; жир/масло помогает аромату цедры</x:v>
      </x:c>
      <x:c r="S22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25"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Приготовленный длиннозёрный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U225" s="28" t="str">
        <x:v>Избыток кислоты делает вкус плоско-резким; белая часть кожуры даёт лишнюю горечь.</x:v>
      </x:c>
      <x:c r="V225" s="28" t="str">
        <x:v>сливочное масло или мёд</x:v>
      </x:c>
      <x:c r="W225" s="28" t="str">
        <x:v>кекс, каша, хлеб, крамбл или салат</x:v>
      </x:c>
      <x:c r="X225" s="28" t="str">
        <x:v>десерты, еда</x:v>
      </x:c>
      <x:c r="Y225" s="28" t="str">
        <x:v>Средняя</x:v>
      </x:c>
      <x:c r="Z225" s="28" t="str">
        <x:v>The Art &amp; Science of Foodpairing.pdf</x:v>
      </x:c>
      <x:c r="AA225" s="28" t="str">
        <x:v>The Art &amp; Science of Foodpairing.pdf: 366</x:v>
      </x:c>
      <x:c r="AB225" s="28" t="str">
        <x:v>Пара представлена в ароматической диаграмме Foodpairing на странице 366.</x:v>
      </x:c>
      <x:c r="AC225" s="28" t="n">
        <x:v>1</x:v>
      </x:c>
      <x:c r="AD225" s="28" t="n">
        <x:v>1</x:v>
      </x:c>
    </x:row>
    <x:row r="226" ht="58" customHeight="1">
      <x:c r="A226" s="28" t="str">
        <x:v>CIT-0225</x:v>
      </x:c>
      <x:c r="B226" s="28" t="str">
        <x:v>Еда и соусы</x:v>
      </x:c>
      <x:c r="C226" s="28" t="str">
        <x:v>кожура мандарина</x:v>
      </x:c>
      <x:c r="D226" s="28" t="str">
        <x:v>mandarin peel</x:v>
      </x:c>
      <x:c r="E226" s="28" t="str">
        <x:v>Цитрусовые</x:v>
      </x:c>
      <x:c r="F226" s="28" t="str">
        <x:v>припущенное филе трески</x:v>
      </x:c>
      <x:c r="G226" s="28" t="str">
        <x:v>poached cod fillet</x:v>
      </x:c>
      <x:c r="H226" s="28" t="str">
        <x:v>Рыба и морепродукты</x:v>
      </x:c>
      <x:c r="I226" s="28" t="str">
        <x:v>цитрусовый, фруктовый, цветочный, пряный</x:v>
      </x:c>
      <x:c r="J226" s="28" t="str">
        <x:v>морской, йодистый, зелёный, жирный</x:v>
      </x:c>
      <x:c r="K226" s="28" t="str">
        <x:v>лимонен, гамма-терпинен, метил-N-метилантранилат, линалол</x:v>
      </x:c>
      <x:c r="L226" s="28" t="str">
        <x:v>альдегиды окисления липидов, бромфенолы, диметилсульфид, умами-соединения</x:v>
      </x:c>
      <x:c r="M226" s="28" t="str">
        <x:v>прямое семейное перекрытие не является главным механизмом</x:v>
      </x:c>
      <x:c r="N226" s="28" t="str">
        <x:v>надёжный общий маркер не заявлен; сочетание объясняется семействами и сенсорным балансом</x:v>
      </x:c>
      <x:c r="O226" s="28" t="str">
        <x:v>вкусовой баланс, влияние матрицы/растворимости</x:v>
      </x:c>
      <x:c r="P226" s="28" t="str">
        <x:v>Кислотность и лёгкая горечь цитруса снижают ощущение жирности; соль и умами, в свою очередь, делают фруктовую часть менее резкой.</x:v>
      </x:c>
      <x:c r="Q226" s="28" t="str">
        <x:v>нет выраженного; нет выраженного</x:v>
      </x:c>
      <x:c r="R226" s="28" t="str">
        <x:v>сок водный; кожура богата эфирным маслом; кислота может денатурировать поверхностные белки; жир рыбы удерживает терпены</x:v>
      </x:c>
      <x:c r="S22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226"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Припущенное филе трески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уменьшает восприятие жирности и рыбных нот, усиливая свежесть и слюноотделение.</x:v>
      </x:c>
      <x:c r="U226" s="28" t="str">
        <x:v>Избыток кислоты делает вкус плоско-резким; белая часть кожуры даёт лишнюю горечь; слишком долгая маринация ухудшает текстуру.</x:v>
      </x:c>
      <x:c r="V226" s="28" t="str">
        <x:v>кинза или фенхель</x:v>
      </x:c>
      <x:c r="W226" s="28" t="str">
        <x:v>севиче, маринад, beurre blanc, тартар или салат</x:v>
      </x:c>
      <x:c r="X226" s="28" t="str">
        <x:v>еда, соусы/маринады</x:v>
      </x:c>
      <x:c r="Y226" s="28" t="str">
        <x:v>Средняя</x:v>
      </x:c>
      <x:c r="Z226" s="28" t="str">
        <x:v>The Art &amp; Science of Foodpairing.pdf</x:v>
      </x:c>
      <x:c r="AA226" s="28" t="str">
        <x:v>The Art &amp; Science of Foodpairing.pdf: 366</x:v>
      </x:c>
      <x:c r="AB226" s="28" t="str">
        <x:v>Пара представлена в ароматической диаграмме Foodpairing на странице 366.</x:v>
      </x:c>
      <x:c r="AC226" s="28" t="n">
        <x:v>1</x:v>
      </x:c>
      <x:c r="AD226" s="28" t="n">
        <x:v>1</x:v>
      </x:c>
    </x:row>
    <x:row r="227" ht="58" customHeight="1">
      <x:c r="A227" s="28" t="str">
        <x:v>CIT-0226</x:v>
      </x:c>
      <x:c r="B227" s="28" t="str">
        <x:v>Универсальные</x:v>
      </x:c>
      <x:c r="C227" s="28" t="str">
        <x:v>кожура мандарина</x:v>
      </x:c>
      <x:c r="D227" s="28" t="str">
        <x:v>mandarin peel</x:v>
      </x:c>
      <x:c r="E227" s="28" t="str">
        <x:v>Цитрусовые</x:v>
      </x:c>
      <x:c r="F227" s="28" t="str">
        <x:v>розмарин</x:v>
      </x:c>
      <x:c r="G227" s="28" t="str">
        <x:v>rosemary</x:v>
      </x:c>
      <x:c r="H227" s="28" t="str">
        <x:v>Травы</x:v>
      </x:c>
      <x:c r="I227" s="28" t="str">
        <x:v>цитрусовый, фруктовый, цветочный, пряный</x:v>
      </x:c>
      <x:c r="J227" s="28" t="str">
        <x:v>травяной, хвойный, камфорный, древесный</x:v>
      </x:c>
      <x:c r="K227" s="28" t="str">
        <x:v>лимонен, гамма-терпинен, метил-N-метилантранилат, линалол</x:v>
      </x:c>
      <x:c r="L227" s="28" t="str">
        <x:v>1,8-цинеол, камфора, тимол/карвакрол, альфа-пинен</x:v>
      </x:c>
      <x:c r="M227" s="28" t="str">
        <x:v>прямое семейное перекрытие не является главным механизмом</x:v>
      </x:c>
      <x:c r="N227" s="28" t="str">
        <x:v>надёжный общий маркер не заявлен; сочетание объясняется семействами и сенсорным балансом</x:v>
      </x:c>
      <x:c r="O227" s="28" t="str">
        <x:v>вкусовой баланс, тройничное восприятие</x:v>
      </x:c>
      <x:c r="P227" s="28" t="str">
        <x:v>Кислота усиливает слюноотделение и делает пряный аромат ярче; терпены цитруса образуют мост с эфирными маслами травы или специи.</x:v>
      </x:c>
      <x:c r="Q227" s="28" t="str">
        <x:v>нет выраженного; камфора и цинеол дают прохладно-камфорное ощущение</x:v>
      </x:c>
      <x:c r="R227" s="28" t="str">
        <x:v>сок водный; кожура богата эфирным маслом; эфирные масла лучше раскрываются в жире и спирте</x:v>
      </x:c>
      <x:c r="S22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27"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U227" s="28" t="str">
        <x:v>Избыток кислоты делает вкус плоско-резким; белая часть кожуры даёт лишнюю горечь; цитрус легко подавляет деликатный аромат партнёра.</x:v>
      </x:c>
      <x:c r="V227" s="28" t="str">
        <x:v>оливковое масло или огурец</x:v>
      </x:c>
      <x:c r="W227" s="28" t="str">
        <x:v>лимонад, кордиал, салатная заправка или зелёный соус</x:v>
      </x:c>
      <x:c r="X227" s="28" t="str">
        <x:v>напитки, еда, соусы/маринады</x:v>
      </x:c>
      <x:c r="Y227" s="28" t="str">
        <x:v>Средняя</x:v>
      </x:c>
      <x:c r="Z227" s="28" t="str">
        <x:v>The Art &amp; Science of Foodpairing.pdf</x:v>
      </x:c>
      <x:c r="AA227" s="28" t="str">
        <x:v>The Art &amp; Science of Foodpairing.pdf: 113</x:v>
      </x:c>
      <x:c r="AB227" s="28" t="str">
        <x:v>Пара представлена в ароматической диаграмме Foodpairing на странице 113.</x:v>
      </x:c>
      <x:c r="AC227" s="28" t="n">
        <x:v>1</x:v>
      </x:c>
      <x:c r="AD227" s="28" t="n">
        <x:v>1</x:v>
      </x:c>
    </x:row>
    <x:row r="228" ht="58" customHeight="1">
      <x:c r="A228" s="28" t="str">
        <x:v>CIT-0227</x:v>
      </x:c>
      <x:c r="B228" s="28" t="str">
        <x:v>Универсальные</x:v>
      </x:c>
      <x:c r="C228" s="28" t="str">
        <x:v>кожура мандарина</x:v>
      </x:c>
      <x:c r="D228" s="28" t="str">
        <x:v>mandarin peel</x:v>
      </x:c>
      <x:c r="E228" s="28" t="str">
        <x:v>Цитрусовые</x:v>
      </x:c>
      <x:c r="F228" s="28" t="str">
        <x:v>сушёные листья эвкалипта</x:v>
      </x:c>
      <x:c r="G228" s="28" t="str">
        <x:v>dried eucalyptus leaves</x:v>
      </x:c>
      <x:c r="H228" s="28" t="str">
        <x:v>Прочее</x:v>
      </x:c>
      <x:c r="I228" s="28" t="str">
        <x:v>цитрусовый, фруктовый, цветочный, пряный</x:v>
      </x:c>
      <x:c r="J228" s="28" t="str">
        <x:v>нейтральный/специфический</x:v>
      </x:c>
      <x:c r="K228" s="28" t="str">
        <x:v>лимонен, гамма-терпинен, метил-N-метилантранилат, линалол</x:v>
      </x:c>
      <x:c r="L228" s="28" t="str">
        <x:v>нужен профиль конкретного продукта</x:v>
      </x:c>
      <x:c r="M228" s="28" t="str">
        <x:v>прямое семейное перекрытие не является главным механизмом</x:v>
      </x:c>
      <x:c r="N228" s="28" t="str">
        <x:v>надёжный общий маркер не заявлен; сочетание объясняется семействами и сенсорным балансом</x:v>
      </x:c>
      <x:c r="O228" s="28" t="str">
        <x:v>вкусовой баланс, тройничное восприятие</x:v>
      </x:c>
      <x:c r="P228" s="28" t="str">
        <x:v>Основной эффект определяется ароматическим контрастом и добавлением кислотной свежести; точный баланс зависит от дозировки и матрицы.</x:v>
      </x:c>
      <x:c r="Q228" s="28" t="str">
        <x:v>нет выраженного; нет данных</x:v>
      </x:c>
      <x:c r="R228" s="28" t="str">
        <x:v>сок водный; кожура богата эфирным маслом; зависит от формы продукта</x:v>
      </x:c>
      <x:c r="S22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28"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Сушёные листья эвкалипта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228" s="28" t="str">
        <x:v>Избыток кислоты делает вкус плоско-резким; белая часть кожуры даёт лишнюю горечь.</x:v>
      </x:c>
      <x:c r="V228" s="28" t="str">
        <x:v>мёд или нейтральная жировая основа</x:v>
      </x:c>
      <x:c r="W228" s="28" t="str">
        <x:v>соус, напиток или десерт после пробной дегустации</x:v>
      </x:c>
      <x:c r="X228" s="28" t="str">
        <x:v>универсальное</x:v>
      </x:c>
      <x:c r="Y228" s="28" t="str">
        <x:v>Средняя</x:v>
      </x:c>
      <x:c r="Z228" s="28" t="str">
        <x:v>The Art &amp; Science of Foodpairing.pdf</x:v>
      </x:c>
      <x:c r="AA228" s="28" t="str">
        <x:v>The Art &amp; Science of Foodpairing.pdf: 204</x:v>
      </x:c>
      <x:c r="AB228" s="28" t="str">
        <x:v>Пара представлена в ароматической диаграмме Foodpairing на странице 204.</x:v>
      </x:c>
      <x:c r="AC228" s="28" t="n">
        <x:v>1</x:v>
      </x:c>
      <x:c r="AD228" s="28" t="n">
        <x:v>1</x:v>
      </x:c>
    </x:row>
    <x:row r="229" ht="58" customHeight="1">
      <x:c r="A229" s="28" t="str">
        <x:v>CIT-0228</x:v>
      </x:c>
      <x:c r="B229" s="28" t="str">
        <x:v>Универсальные</x:v>
      </x:c>
      <x:c r="C229" s="28" t="str">
        <x:v>кожура мандарина</x:v>
      </x:c>
      <x:c r="D229" s="28" t="str">
        <x:v>mandarin peel</x:v>
      </x:c>
      <x:c r="E229" s="28" t="str">
        <x:v>Цитрусовые</x:v>
      </x:c>
      <x:c r="F229" s="28" t="str">
        <x:v>сушёный гибискус</x:v>
      </x:c>
      <x:c r="G229" s="28" t="str">
        <x:v>dried hibiscus flower</x:v>
      </x:c>
      <x:c r="H229" s="28" t="str">
        <x:v>Прочее</x:v>
      </x:c>
      <x:c r="I229" s="28" t="str">
        <x:v>цитрусовый, фруктовый, цветочный, пряный</x:v>
      </x:c>
      <x:c r="J229" s="28" t="str">
        <x:v>нейтральный/специфический</x:v>
      </x:c>
      <x:c r="K229" s="28" t="str">
        <x:v>лимонен, гамма-терпинен, метил-N-метилантранилат, линалол</x:v>
      </x:c>
      <x:c r="L229" s="28" t="str">
        <x:v>нужен профиль конкретного продукта</x:v>
      </x:c>
      <x:c r="M229" s="28" t="str">
        <x:v>прямое семейное перекрытие не является главным механизмом</x:v>
      </x:c>
      <x:c r="N229" s="28" t="str">
        <x:v>надёжный общий маркер не заявлен; сочетание объясняется семействами и сенсорным балансом</x:v>
      </x:c>
      <x:c r="O229" s="28" t="str">
        <x:v>вкусовой баланс, тройничное восприятие</x:v>
      </x:c>
      <x:c r="P229" s="28" t="str">
        <x:v>Основной эффект определяется ароматическим контрастом и добавлением кислотной свежести; точный баланс зависит от дозировки и матрицы.</x:v>
      </x:c>
      <x:c r="Q229" s="28" t="str">
        <x:v>нет выраженного; нет данных</x:v>
      </x:c>
      <x:c r="R229" s="28" t="str">
        <x:v>сок водный; кожура богата эфирным маслом; зависит от формы продукта</x:v>
      </x:c>
      <x:c r="S22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29"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Сушёный гибискус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229" s="28" t="str">
        <x:v>Избыток кислоты делает вкус плоско-резким; белая часть кожуры даёт лишнюю горечь.</x:v>
      </x:c>
      <x:c r="V229" s="28" t="str">
        <x:v>мёд или нейтральная жировая основа</x:v>
      </x:c>
      <x:c r="W229" s="28" t="str">
        <x:v>соус, напиток или десерт после пробной дегустации</x:v>
      </x:c>
      <x:c r="X229" s="28" t="str">
        <x:v>универсальное</x:v>
      </x:c>
      <x:c r="Y229" s="28" t="str">
        <x:v>Средняя</x:v>
      </x:c>
      <x:c r="Z229" s="28" t="str">
        <x:v>The Art &amp; Science of Foodpairing.pdf</x:v>
      </x:c>
      <x:c r="AA229" s="28" t="str">
        <x:v>The Art &amp; Science of Foodpairing.pdf: 366</x:v>
      </x:c>
      <x:c r="AB229" s="28" t="str">
        <x:v>Пара представлена в ароматической диаграмме Foodpairing на странице 366.</x:v>
      </x:c>
      <x:c r="AC229" s="28" t="n">
        <x:v>1</x:v>
      </x:c>
      <x:c r="AD229" s="28" t="n">
        <x:v>1</x:v>
      </x:c>
    </x:row>
    <x:row r="230" ht="58" customHeight="1">
      <x:c r="A230" s="28" t="str">
        <x:v>CIT-0229</x:v>
      </x:c>
      <x:c r="B230" s="28" t="str">
        <x:v>Еда и соусы</x:v>
      </x:c>
      <x:c r="C230" s="28" t="str">
        <x:v>кожура мандарина</x:v>
      </x:c>
      <x:c r="D230" s="28" t="str">
        <x:v>mandarin peel</x:v>
      </x:c>
      <x:c r="E230" s="28" t="str">
        <x:v>Цитрусовые</x:v>
      </x:c>
      <x:c r="F230" s="28" t="str">
        <x:v>томатильо</x:v>
      </x:c>
      <x:c r="G230" s="28" t="str">
        <x:v>tomatillo</x:v>
      </x:c>
      <x:c r="H230" s="28" t="str">
        <x:v>Овощи</x:v>
      </x:c>
      <x:c r="I230" s="28" t="str">
        <x:v>цитрусовый, фруктовый, цветочный, пряный</x:v>
      </x:c>
      <x:c r="J230" s="28" t="str">
        <x:v>зелёный, землистый, растительный, иногда сернистый</x:v>
      </x:c>
      <x:c r="K230" s="28" t="str">
        <x:v>лимонен, гамма-терпинен, метил-N-метилантранилат, линалол</x:v>
      </x:c>
      <x:c r="L230" s="28" t="str">
        <x:v>C6-альдегиды, метоксипиразины, геосмин (землистые), сернистые соединения</x:v>
      </x:c>
      <x:c r="M230" s="28" t="str">
        <x:v>прямое семейное перекрытие не является главным механизмом</x:v>
      </x:c>
      <x:c r="N230" s="28" t="str">
        <x:v>надёжный общий маркер не заявлен; сочетание объясняется семействами и сенсорным балансом</x:v>
      </x:c>
      <x:c r="O230" s="28" t="str">
        <x:v>вкусовой баланс</x:v>
      </x:c>
      <x:c r="P230" s="28" t="str">
        <x:v>Кислота подчёркивает природную сладость овоща, сокращает землистое/сернистое послевкусие и повышает слюноотделение.</x:v>
      </x:c>
      <x:c r="Q230" s="28" t="str">
        <x:v>нет выраженного; нет выраженного</x:v>
      </x:c>
      <x:c r="R230" s="28" t="str">
        <x:v>сок водный; кожура богата эфирным маслом; водная/крахмальная матрица; масло помогает распределить цедру</x:v>
      </x:c>
      <x:c r="S23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30"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Томатильо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U230" s="28" t="str">
        <x:v>Избыток кислоты делает вкус плоско-резким; белая часть кожуры даёт лишнюю горечь.</x:v>
      </x:c>
      <x:c r="V230" s="28" t="str">
        <x:v>оливковое масло или базилик</x:v>
      </x:c>
      <x:c r="W230" s="28" t="str">
        <x:v>винегрет, салат, пюре, запечённое блюдо или овощной соус</x:v>
      </x:c>
      <x:c r="X230" s="28" t="str">
        <x:v>еда, соусы/маринады</x:v>
      </x:c>
      <x:c r="Y230" s="28" t="str">
        <x:v>Средняя</x:v>
      </x:c>
      <x:c r="Z230" s="28" t="str">
        <x:v>The Art &amp; Science of Foodpairing.pdf</x:v>
      </x:c>
      <x:c r="AA230" s="28" t="str">
        <x:v>The Art &amp; Science of Foodpairing.pdf: 366</x:v>
      </x:c>
      <x:c r="AB230" s="28" t="str">
        <x:v>Пара представлена в ароматической диаграмме Foodpairing на странице 366.</x:v>
      </x:c>
      <x:c r="AC230" s="28" t="n">
        <x:v>1</x:v>
      </x:c>
      <x:c r="AD230" s="28" t="n">
        <x:v>1</x:v>
      </x:c>
    </x:row>
    <x:row r="231" ht="58" customHeight="1">
      <x:c r="A231" s="28" t="str">
        <x:v>CIT-0230</x:v>
      </x:c>
      <x:c r="B231" s="28" t="str">
        <x:v>Универсальные</x:v>
      </x:c>
      <x:c r="C231" s="28" t="str">
        <x:v>кожура мандарина</x:v>
      </x:c>
      <x:c r="D231" s="28" t="str">
        <x:v>mandarin peel</x:v>
      </x:c>
      <x:c r="E231" s="28" t="str">
        <x:v>Цитрусовые</x:v>
      </x:c>
      <x:c r="F231" s="28" t="str">
        <x:v>цветы бузины</x:v>
      </x:c>
      <x:c r="G231" s="28" t="str">
        <x:v>elderflower blossom</x:v>
      </x:c>
      <x:c r="H231" s="28" t="str">
        <x:v>Прочее</x:v>
      </x:c>
      <x:c r="I231" s="28" t="str">
        <x:v>цитрусовый, фруктовый, цветочный, пряный</x:v>
      </x:c>
      <x:c r="J231" s="28" t="str">
        <x:v>нейтральный/специфический</x:v>
      </x:c>
      <x:c r="K231" s="28" t="str">
        <x:v>лимонен, гамма-терпинен, метил-N-метилантранилат, линалол</x:v>
      </x:c>
      <x:c r="L231" s="28" t="str">
        <x:v>нужен профиль конкретного продукта</x:v>
      </x:c>
      <x:c r="M231" s="28" t="str">
        <x:v>прямое семейное перекрытие не является главным механизмом</x:v>
      </x:c>
      <x:c r="N231" s="28" t="str">
        <x:v>надёжный общий маркер не заявлен; сочетание объясняется семействами и сенсорным балансом</x:v>
      </x:c>
      <x:c r="O231" s="28" t="str">
        <x:v>вкусовой баланс, тройничное восприятие</x:v>
      </x:c>
      <x:c r="P231" s="28" t="str">
        <x:v>Основной эффект определяется ароматическим контрастом и добавлением кислотной свежести; точный баланс зависит от дозировки и матрицы.</x:v>
      </x:c>
      <x:c r="Q231" s="28" t="str">
        <x:v>нет выраженного; нет данных</x:v>
      </x:c>
      <x:c r="R231" s="28" t="str">
        <x:v>сок водный; кожура богата эфирным маслом; зависит от формы продукта</x:v>
      </x:c>
      <x:c r="S23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31"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Цветы бузины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231" s="28" t="str">
        <x:v>Избыток кислоты делает вкус плоско-резким; белая часть кожуры даёт лишнюю горечь.</x:v>
      </x:c>
      <x:c r="V231" s="28" t="str">
        <x:v>мёд или нейтральная жировая основа</x:v>
      </x:c>
      <x:c r="W231" s="28" t="str">
        <x:v>соус, напиток или десерт после пробной дегустации</x:v>
      </x:c>
      <x:c r="X231" s="28" t="str">
        <x:v>универсальное</x:v>
      </x:c>
      <x:c r="Y231" s="28" t="str">
        <x:v>Средняя</x:v>
      </x:c>
      <x:c r="Z231" s="28" t="str">
        <x:v>The Art &amp; Science of Foodpairing.pdf</x:v>
      </x:c>
      <x:c r="AA231" s="28" t="str">
        <x:v>The Art &amp; Science of Foodpairing.pdf: 366</x:v>
      </x:c>
      <x:c r="AB231" s="28" t="str">
        <x:v>Пара представлена в ароматической диаграмме Foodpairing на странице 366.</x:v>
      </x:c>
      <x:c r="AC231" s="28" t="n">
        <x:v>1</x:v>
      </x:c>
      <x:c r="AD231" s="28" t="n">
        <x:v>1</x:v>
      </x:c>
    </x:row>
    <x:row r="232" ht="58" customHeight="1">
      <x:c r="A232" s="28" t="str">
        <x:v>CIT-0231</x:v>
      </x:c>
      <x:c r="B232" s="28" t="str">
        <x:v>Универсальные</x:v>
      </x:c>
      <x:c r="C232" s="28" t="str">
        <x:v>кожура мандарина</x:v>
      </x:c>
      <x:c r="D232" s="28" t="str">
        <x:v>mandarin peel</x:v>
      </x:c>
      <x:c r="E232" s="28" t="str">
        <x:v>Цитрусовые</x:v>
      </x:c>
      <x:c r="F232" s="28" t="str">
        <x:v>чили ахи мирасоль</x:v>
      </x:c>
      <x:c r="G232" s="28" t="str">
        <x:v>aji mirasol chilli</x:v>
      </x:c>
      <x:c r="H232" s="28" t="str">
        <x:v>Пряности</x:v>
      </x:c>
      <x:c r="I232" s="28" t="str">
        <x:v>цитрусовый, фруктовый, цветочный, пряный</x:v>
      </x:c>
      <x:c r="J232" s="28" t="str">
        <x:v>зелёный, фруктовый, пряный</x:v>
      </x:c>
      <x:c r="K232" s="28" t="str">
        <x:v>лимонен, гамма-терпинен, метил-N-метилантранилат, линалол</x:v>
      </x:c>
      <x:c r="L232" s="28" t="str">
        <x:v>капсаицин, пиразины, эфиры</x:v>
      </x:c>
      <x:c r="M232" s="28" t="str">
        <x:v>пряный, фруктовый</x:v>
      </x:c>
      <x:c r="N232" s="28" t="str">
        <x:v>надёжный общий маркер не заявлен; сочетание объясняется семействами и сенсорным балансом</x:v>
      </x:c>
      <x:c r="O232" s="28" t="str">
        <x:v>перекрытие ароматических семейств, вкусовой баланс, тройничное восприятие</x:v>
      </x:c>
      <x:c r="P232" s="28" t="str">
        <x:v>Кислота усиливает слюноотделение и делает пряный аромат ярче; терпены цитруса образуют мост с эфирными маслами травы или специи.</x:v>
      </x:c>
      <x:c r="Q232" s="28" t="str">
        <x:v>нет выраженного; капсаицин активирует TRPV1 и создаёт жжение</x:v>
      </x:c>
      <x:c r="R232" s="28" t="str">
        <x:v>сок водный; кожура богата эфирным маслом; капсаицин жирорастворим; кислота не нейтрализует жжение, но усиливает слюноотделение</x:v>
      </x:c>
      <x:c r="S23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32"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Чили ахи мирасоль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пряный, фруктовый.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Фруктовые чили могут поддерживать цитрусовые эфиры, но острота требует баланса.</x:v>
      </x:c>
      <x:c r="U232"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V232" s="28" t="str">
        <x:v>мёд или ваниль</x:v>
      </x:c>
      <x:c r="W232" s="28" t="str">
        <x:v>сироп, кордиал, чатни, маринад или пряный десерт</x:v>
      </x:c>
      <x:c r="X232" s="28" t="str">
        <x:v>напитки, еда, соусы/маринады</x:v>
      </x:c>
      <x:c r="Y232" s="28" t="str">
        <x:v>Средняя</x:v>
      </x:c>
      <x:c r="Z232" s="28" t="str">
        <x:v>The Art &amp; Science of Foodpairing.pdf</x:v>
      </x:c>
      <x:c r="AA232" s="28" t="str">
        <x:v>The Art &amp; Science of Foodpairing.pdf: 358</x:v>
      </x:c>
      <x:c r="AB232" s="28" t="str">
        <x:v>Пара представлена в ароматической диаграмме Foodpairing на странице 358.</x:v>
      </x:c>
      <x:c r="AC232" s="28" t="n">
        <x:v>1</x:v>
      </x:c>
      <x:c r="AD232" s="28" t="n">
        <x:v>1</x:v>
      </x:c>
    </x:row>
    <x:row r="233" ht="58" customHeight="1">
      <x:c r="A233" s="28" t="str">
        <x:v>CIT-0232</x:v>
      </x:c>
      <x:c r="B233" s="28" t="str">
        <x:v>Еда и соусы</x:v>
      </x:c>
      <x:c r="C233" s="28" t="str">
        <x:v>кожура мандарина</x:v>
      </x:c>
      <x:c r="D233" s="28" t="str">
        <x:v>mandarin peel</x:v>
      </x:c>
      <x:c r="E233" s="28" t="str">
        <x:v>Цитрусовые</x:v>
      </x:c>
      <x:c r="F233" s="28" t="str">
        <x:v>чипсы из свёклы</x:v>
      </x:c>
      <x:c r="G233" s="28" t="str">
        <x:v>beetroot crisps</x:v>
      </x:c>
      <x:c r="H233" s="28" t="str">
        <x:v>Овощи</x:v>
      </x:c>
      <x:c r="I233" s="28" t="str">
        <x:v>цитрусовый, фруктовый, цветочный, пряный</x:v>
      </x:c>
      <x:c r="J233" s="28" t="str">
        <x:v>зелёный, землистый, растительный, иногда сернистый</x:v>
      </x:c>
      <x:c r="K233" s="28" t="str">
        <x:v>лимонен, гамма-терпинен, метил-N-метилантранилат, линалол</x:v>
      </x:c>
      <x:c r="L233" s="28" t="str">
        <x:v>C6-альдегиды, метоксипиразины, геосмин (землистые), сернистые соединения</x:v>
      </x:c>
      <x:c r="M233" s="28" t="str">
        <x:v>прямое семейное перекрытие не является главным механизмом</x:v>
      </x:c>
      <x:c r="N233" s="28" t="str">
        <x:v>надёжный общий маркер не заявлен; сочетание объясняется семействами и сенсорным балансом</x:v>
      </x:c>
      <x:c r="O233" s="28" t="str">
        <x:v>вкусовой баланс</x:v>
      </x:c>
      <x:c r="P233" s="28" t="str">
        <x:v>Кислота подчёркивает природную сладость овоща, сокращает землистое/сернистое послевкусие и повышает слюноотделение.</x:v>
      </x:c>
      <x:c r="Q233" s="28" t="str">
        <x:v>нет выраженного; нет выраженного</x:v>
      </x:c>
      <x:c r="R233" s="28" t="str">
        <x:v>сок водный; кожура богата эфирным маслом; водная/крахмальная матрица; масло помогает распределить цедру</x:v>
      </x:c>
      <x:c r="S23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33"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Чипсы из свёклы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U233" s="28" t="str">
        <x:v>Избыток кислоты делает вкус плоско-резким; белая часть кожуры даёт лишнюю горечь.</x:v>
      </x:c>
      <x:c r="V233" s="28" t="str">
        <x:v>оливковое масло или базилик</x:v>
      </x:c>
      <x:c r="W233" s="28" t="str">
        <x:v>винегрет, салат, пюре, запечённое блюдо или овощной соус</x:v>
      </x:c>
      <x:c r="X233" s="28" t="str">
        <x:v>еда, соусы/маринады</x:v>
      </x:c>
      <x:c r="Y233" s="28" t="str">
        <x:v>Средняя</x:v>
      </x:c>
      <x:c r="Z233" s="28" t="str">
        <x:v>The Art &amp; Science of Foodpairing.pdf</x:v>
      </x:c>
      <x:c r="AA233" s="28" t="str">
        <x:v>The Art &amp; Science of Foodpairing.pdf: 366</x:v>
      </x:c>
      <x:c r="AB233" s="28" t="str">
        <x:v>Пара представлена в ароматической диаграмме Foodpairing на странице 366.</x:v>
      </x:c>
      <x:c r="AC233" s="28" t="n">
        <x:v>1</x:v>
      </x:c>
      <x:c r="AD233" s="28" t="n">
        <x:v>1</x:v>
      </x:c>
    </x:row>
    <x:row r="234" ht="58" customHeight="1">
      <x:c r="A234" s="28" t="str">
        <x:v>CIT-0233</x:v>
      </x:c>
      <x:c r="B234" s="28" t="str">
        <x:v>Десерты и выпечка</x:v>
      </x:c>
      <x:c r="C234" s="28" t="str">
        <x:v>кожура помело</x:v>
      </x:c>
      <x:c r="D234" s="28" t="str">
        <x:v>pomelo peel</x:v>
      </x:c>
      <x:c r="E234" s="28" t="str">
        <x:v>Цитрусовые</x:v>
      </x:c>
      <x:c r="F234" s="28" t="str">
        <x:v>семена укропа</x:v>
      </x:c>
      <x:c r="G234" s="28" t="str">
        <x:v>dill seeds</x:v>
      </x:c>
      <x:c r="H234" s="28" t="str">
        <x:v>Орехи и семена</x:v>
      </x:c>
      <x:c r="I234" s="28" t="str">
        <x:v>цитрусовый, горький, свежий, сернистый</x:v>
      </x:c>
      <x:c r="J234" s="28" t="str">
        <x:v>ореховый, обжаренный, жирный, зелёный</x:v>
      </x:c>
      <x:c r="K234" s="28" t="str">
        <x:v>лимонен, нооткатон, грейпфрутовые тиолы, нарингин</x:v>
      </x:c>
      <x:c r="L234" s="28" t="str">
        <x:v>пиразины, альдегиды окисления жиров, бензальдегид (миндаль)</x:v>
      </x:c>
      <x:c r="M234" s="28" t="str">
        <x:v>прямое семейное перекрытие не является главным механизмом</x:v>
      </x:c>
      <x:c r="N234" s="28" t="str">
        <x:v>надёжный общий маркер не заявлен; сочетание объясняется семействами и сенсорным балансом</x:v>
      </x:c>
      <x:c r="O234" s="28" t="str">
        <x:v>вкусовой баланс, влияние матрицы/растворимости</x:v>
      </x:c>
      <x:c r="P234" s="28" t="str">
        <x:v>Кислотность и лёгкая горечь цитруса снижают ощущение жирности; соль и умами, в свою очередь, делают фруктовую часть менее резкой.</x:v>
      </x:c>
      <x:c r="Q234" s="28" t="str">
        <x:v>нет выраженного; кислота усиливает слюноотделение; нет выраженного</x:v>
      </x:c>
      <x:c r="R234" s="28" t="str">
        <x:v>водная фаза сока + гидрофобные масла кожуры; высокая жирность растворяет терпеновые масла цитруса</x:v>
      </x:c>
      <x:c r="S23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34" s="28" t="str">
        <x:v>Кожура помело формирует профиль «цитрусовый, горький, свежий, сернистый»; характерные маркеры: лимонен, нооткатон, грейпфрутовые тиолы, нарингин. Семена укропа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Кислота режет жирность, а цедра связывается с обжаренными и цветочными нотами.</x:v>
      </x:c>
      <x:c r="U234" s="28" t="str">
        <x:v>Избыток кислоты делает вкус плоско-резким; белая часть кожуры даёт лишнюю горечь.</x:v>
      </x:c>
      <x:c r="V234" s="28" t="str">
        <x:v>мёд или шоколад</x:v>
      </x:c>
      <x:c r="W234" s="28" t="str">
        <x:v>пралине, крем, выпечка, салат или ореховый соус</x:v>
      </x:c>
      <x:c r="X234" s="28" t="str">
        <x:v>десерты</x:v>
      </x:c>
      <x:c r="Y234" s="28" t="str">
        <x:v>Средняя</x:v>
      </x:c>
      <x:c r="Z234" s="28" t="str">
        <x:v>The Art &amp; Science of Foodpairing.pdf</x:v>
      </x:c>
      <x:c r="AA234" s="28" t="str">
        <x:v>The Art &amp; Science of Foodpairing.pdf: 42</x:v>
      </x:c>
      <x:c r="AB234" s="28" t="str">
        <x:v>Пара представлена в ароматической диаграмме Foodpairing на странице 42.</x:v>
      </x:c>
      <x:c r="AC234" s="28" t="n">
        <x:v>1</x:v>
      </x:c>
      <x:c r="AD234" s="28" t="n">
        <x:v>1</x:v>
      </x:c>
    </x:row>
    <x:row r="235" ht="58" customHeight="1">
      <x:c r="A235" s="28" t="str">
        <x:v>CIT-0234</x:v>
      </x:c>
      <x:c r="B235" s="28" t="str">
        <x:v>Десерты и выпечка</x:v>
      </x:c>
      <x:c r="C235" s="28" t="str">
        <x:v>красный апельсин</x:v>
      </x:c>
      <x:c r="D235" s="28" t="str">
        <x:v>Красный апельсин</x:v>
      </x:c>
      <x:c r="E235" s="28" t="str">
        <x:v>Цитрусовые</x:v>
      </x:c>
      <x:c r="F235" s="28" t="str">
        <x:v>ананас</x:v>
      </x:c>
      <x:c r="G235" s="28" t="str">
        <x:v>ананас</x:v>
      </x:c>
      <x:c r="H235" s="28" t="str">
        <x:v>Тропические фрукты</x:v>
      </x:c>
      <x:c r="I235" s="28" t="str">
        <x:v>цитрусовый, сладко-фруктовый, цветочный, восковой</x:v>
      </x:c>
      <x:c r="J235" s="28" t="str">
        <x:v>фруктовый, тропический, цветочный, сливочный</x:v>
      </x:c>
      <x:c r="K235" s="28" t="str">
        <x:v>лимонен, линалол, деканаль, октаналь, мирцен</x:v>
      </x:c>
      <x:c r="L235" s="28" t="str">
        <x:v>этилбутират, гексилацетат, лактоны, сернистые тиолы (у части фруктов)</x:v>
      </x:c>
      <x:c r="M235" s="28" t="str">
        <x:v>цветочный</x:v>
      </x:c>
      <x:c r="N235" s="28" t="str">
        <x:v>надёжный общий маркер не заявлен; сочетание объясняется семействами и сенсорным балансом</x:v>
      </x:c>
      <x:c r="O235" s="28" t="str">
        <x:v>перекрытие ароматических семейств, вкусовой баланс</x:v>
      </x:c>
      <x:c r="P235" s="28" t="str">
        <x:v>Общая фруктовая сладость и летучие эфиры создают непрерывный ароматический профиль, а цитрусовая кислота повышает контраст и свежесть.</x:v>
      </x:c>
      <x:c r="Q235" s="28" t="str">
        <x:v>нет выраженного; нет выраженного</x:v>
      </x:c>
      <x:c r="R235" s="28" t="str">
        <x:v>сок водный; цедра и ликёры несут гидрофобные эфирные масла; сочная или кремовая фруктовая матрица</x:v>
      </x:c>
      <x:c r="S23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35"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235" s="28" t="str">
        <x:v>Избыток кислоты делает вкус плоско-резким; белая часть кожуры даёт лишнюю горечь.</x:v>
      </x:c>
      <x:c r="V235" s="28" t="str">
        <x:v>кокос или имбирь</x:v>
      </x:c>
      <x:c r="W235" s="28" t="str">
        <x:v>смузи, кордиал, сорбет, чатни или коктейль</x:v>
      </x:c>
      <x:c r="X235" s="28" t="str">
        <x:v>напитки, десерты</x:v>
      </x:c>
      <x:c r="Y235" s="28" t="str">
        <x:v>Гипотеза / практическая</x:v>
      </x:c>
      <x:c r="Z235" s="28" t="str">
        <x:v>Таблица сочетания(1).pdf</x:v>
      </x:c>
      <x:c r="AA235" s="28" t="str">
        <x:v>Таблица сочетания(1).pdf: 3</x:v>
      </x:c>
      <x:c r="AB235" s="28" t="str">
        <x:v>Пара указана в таблице: «Красный апельсин» → колонка «Фрукты».</x:v>
      </x:c>
      <x:c r="AC235" s="28" t="n">
        <x:v>1</x:v>
      </x:c>
      <x:c r="AD235" s="28" t="n">
        <x:v>1</x:v>
      </x:c>
    </x:row>
    <x:row r="236" ht="58" customHeight="1">
      <x:c r="A236" s="28" t="str">
        <x:v>CIT-0235</x:v>
      </x:c>
      <x:c r="B236" s="28" t="str">
        <x:v>Универсальные</x:v>
      </x:c>
      <x:c r="C236" s="28" t="str">
        <x:v>красный апельсин</x:v>
      </x:c>
      <x:c r="D236" s="28" t="str">
        <x:v>Красный апельсин</x:v>
      </x:c>
      <x:c r="E236" s="28" t="str">
        <x:v>Цитрусовые</x:v>
      </x:c>
      <x:c r="F236" s="28" t="str">
        <x:v>гвоздика</x:v>
      </x:c>
      <x:c r="G236" s="28" t="str">
        <x:v>гвоздика</x:v>
      </x:c>
      <x:c r="H236" s="28" t="str">
        <x:v>Пряности</x:v>
      </x:c>
      <x:c r="I236" s="28" t="str">
        <x:v>цитрусовый, сладко-фруктовый, цветочный, восковой</x:v>
      </x:c>
      <x:c r="J236" s="28" t="str">
        <x:v>пряный, фенольный, древесный</x:v>
      </x:c>
      <x:c r="K236" s="28" t="str">
        <x:v>лимонен, линалол, деканаль, октаналь, мирцен</x:v>
      </x:c>
      <x:c r="L236" s="28" t="str">
        <x:v>эвгенол, эвгенилацетат, бета-кариофиллен</x:v>
      </x:c>
      <x:c r="M236" s="28" t="str">
        <x:v>прямое семейное перекрытие не является главным механизмом</x:v>
      </x:c>
      <x:c r="N236" s="28" t="str">
        <x:v>надёжный общий маркер не заявлен; сочетание объясняется семействами и сенсорным балансом</x:v>
      </x:c>
      <x:c r="O236" s="28" t="str">
        <x:v>вкусовой баланс, тройничное восприятие</x:v>
      </x:c>
      <x:c r="P236" s="28" t="str">
        <x:v>Кислота усиливает слюноотделение и делает пряный аромат ярче; терпены цитруса образуют мост с эфирными маслами травы или специи.</x:v>
      </x:c>
      <x:c r="Q236" s="28" t="str">
        <x:v>нет выраженного; эвгенол даёт теплоту и лёгкое онемение</x:v>
      </x:c>
      <x:c r="R236" s="28" t="str">
        <x:v>сок водный; цедра и ликёры несут гидрофобные эфирные масла; эфирное масло хорошо растворяется в спирте и жире</x:v>
      </x:c>
      <x:c r="S23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36"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Гвоздика очень интенсивна и легко доминирует.</x:v>
      </x:c>
      <x:c r="U236" s="28" t="str">
        <x:v>Избыток кислоты делает вкус плоско-резким; белая часть кожуры даёт лишнюю горечь.</x:v>
      </x:c>
      <x:c r="V236" s="28" t="str">
        <x:v>мёд или ваниль</x:v>
      </x:c>
      <x:c r="W236" s="28" t="str">
        <x:v>сироп, кордиал, чатни, маринад или пряный десерт</x:v>
      </x:c>
      <x:c r="X236" s="28" t="str">
        <x:v>напитки, еда, соусы/маринады</x:v>
      </x:c>
      <x:c r="Y236" s="28" t="str">
        <x:v>Гипотеза / практическая</x:v>
      </x:c>
      <x:c r="Z236" s="28" t="str">
        <x:v>Таблица сочетания(1).pdf</x:v>
      </x:c>
      <x:c r="AA236" s="28" t="str">
        <x:v>Таблица сочетания(1).pdf: 3</x:v>
      </x:c>
      <x:c r="AB236" s="28" t="str">
        <x:v>Пара указана в таблице: «Красный апельсин» → колонка «Травы и специи».</x:v>
      </x:c>
      <x:c r="AC236" s="28" t="n">
        <x:v>1</x:v>
      </x:c>
      <x:c r="AD236" s="28" t="n">
        <x:v>1</x:v>
      </x:c>
    </x:row>
    <x:row r="237" ht="58" customHeight="1">
      <x:c r="A237" s="28" t="str">
        <x:v>CIT-0236</x:v>
      </x:c>
      <x:c r="B237" s="28" t="str">
        <x:v>Универсальные</x:v>
      </x:c>
      <x:c r="C237" s="28" t="str">
        <x:v>красный апельсин</x:v>
      </x:c>
      <x:c r="D237" s="28" t="str">
        <x:v>Красный апельсин</x:v>
      </x:c>
      <x:c r="E237" s="28" t="str">
        <x:v>Цитрусовые</x:v>
      </x:c>
      <x:c r="F237" s="28" t="str">
        <x:v>имбирь</x:v>
      </x:c>
      <x:c r="G237" s="28" t="str">
        <x:v>имбирь</x:v>
      </x:c>
      <x:c r="H237" s="28" t="str">
        <x:v>Пряности</x:v>
      </x:c>
      <x:c r="I237" s="28" t="str">
        <x:v>цитрусовый, сладко-фруктовый, цветочный, восковой</x:v>
      </x:c>
      <x:c r="J237" s="28" t="str">
        <x:v>цитрусовый, пряный, древесный, тёплый</x:v>
      </x:c>
      <x:c r="K237" s="28" t="str">
        <x:v>лимонен, линалол, деканаль, октаналь, мирцен</x:v>
      </x:c>
      <x:c r="L237" s="28" t="str">
        <x:v>зингиберен, цитраль, гераниол, гингеролы/шогаолы</x:v>
      </x:c>
      <x:c r="M237" s="28" t="str">
        <x:v>цитрусовый</x:v>
      </x:c>
      <x:c r="N237" s="28" t="str">
        <x:v>надёжный общий маркер не заявлен; сочетание объясняется семействами и сенсорным балансом</x:v>
      </x:c>
      <x:c r="O237" s="28" t="str">
        <x:v>перекрытие ароматических семейств, вкусовой баланс, тройничное восприятие</x:v>
      </x:c>
      <x:c r="P237" s="28" t="str">
        <x:v>Кислота усиливает слюноотделение и делает пряный аромат ярче; терпены цитруса образуют мост с эфирными маслами травы или специи.</x:v>
      </x:c>
      <x:c r="Q237" s="28" t="str">
        <x:v>нет выраженного; гингеролы и шогаолы активируют TRPV1 и дают тепло</x:v>
      </x:c>
      <x:c r="R237" s="28" t="str">
        <x:v>сок водный; цедра и ликёры несут гидрофобные эфирные масла; ароматические терпены лучше извлекаются этанолом и жиром</x:v>
      </x:c>
      <x:c r="S23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37"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Свежий имбирь более цитрусовый, нагретый и сушёный — более тёплый и жгучий.</x:v>
      </x:c>
      <x:c r="U237" s="28" t="str">
        <x:v>Избыток кислоты делает вкус плоско-резким; белая часть кожуры даёт лишнюю горечь.</x:v>
      </x:c>
      <x:c r="V237" s="28" t="str">
        <x:v>мёд или ваниль</x:v>
      </x:c>
      <x:c r="W237" s="28" t="str">
        <x:v>сироп, кордиал, чатни, маринад или пряный десерт</x:v>
      </x:c>
      <x:c r="X237" s="28" t="str">
        <x:v>напитки, еда, соусы/маринады</x:v>
      </x:c>
      <x:c r="Y237" s="28" t="str">
        <x:v>Гипотеза / практическая</x:v>
      </x:c>
      <x:c r="Z237" s="28" t="str">
        <x:v>Таблица сочетания(1).pdf</x:v>
      </x:c>
      <x:c r="AA237" s="28" t="str">
        <x:v>Таблица сочетания(1).pdf: 3</x:v>
      </x:c>
      <x:c r="AB237" s="28" t="str">
        <x:v>Пара указана в таблице: «Красный апельсин» → колонка «Травы и специи».</x:v>
      </x:c>
      <x:c r="AC237" s="28" t="n">
        <x:v>1</x:v>
      </x:c>
      <x:c r="AD237" s="28" t="n">
        <x:v>1</x:v>
      </x:c>
    </x:row>
    <x:row r="238" ht="58" customHeight="1">
      <x:c r="A238" s="28" t="str">
        <x:v>CIT-0237</x:v>
      </x:c>
      <x:c r="B238" s="28" t="str">
        <x:v>Универсальные</x:v>
      </x:c>
      <x:c r="C238" s="28" t="str">
        <x:v>красный апельсин</x:v>
      </x:c>
      <x:c r="D238" s="28" t="str">
        <x:v>Красный апельсин</x:v>
      </x:c>
      <x:c r="E238" s="28" t="str">
        <x:v>Цитрусовые</x:v>
      </x:c>
      <x:c r="F238" s="28" t="str">
        <x:v>инжир</x:v>
      </x:c>
      <x:c r="G238" s="28" t="str">
        <x:v>инжир</x:v>
      </x:c>
      <x:c r="H238" s="28" t="str">
        <x:v>Прочее</x:v>
      </x:c>
      <x:c r="I238" s="28" t="str">
        <x:v>цитрусовый, сладко-фруктовый, цветочный, восковой</x:v>
      </x:c>
      <x:c r="J238" s="28" t="str">
        <x:v>нейтральный/специфический</x:v>
      </x:c>
      <x:c r="K238" s="28" t="str">
        <x:v>лимонен, линалол, деканаль, октаналь, мирцен</x:v>
      </x:c>
      <x:c r="L238" s="28" t="str">
        <x:v>нужен профиль конкретного продукта</x:v>
      </x:c>
      <x:c r="M238" s="28" t="str">
        <x:v>прямое семейное перекрытие не является главным механизмом</x:v>
      </x:c>
      <x:c r="N238" s="28" t="str">
        <x:v>надёжный общий маркер не заявлен; сочетание объясняется семействами и сенсорным балансом</x:v>
      </x:c>
      <x:c r="O238" s="28" t="str">
        <x:v>вкусовой баланс, тройничное восприятие</x:v>
      </x:c>
      <x:c r="P238" s="28" t="str">
        <x:v>Основной эффект определяется ароматическим контрастом и добавлением кислотной свежести; точный баланс зависит от дозировки и матрицы.</x:v>
      </x:c>
      <x:c r="Q238" s="28" t="str">
        <x:v>нет выраженного; нет данных</x:v>
      </x:c>
      <x:c r="R238" s="28" t="str">
        <x:v>сок водный; цедра и ликёры несут гидрофобные эфирные масла; зависит от формы продукта</x:v>
      </x:c>
      <x:c r="S23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38"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Инжир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38" s="28" t="str">
        <x:v>Избыток кислоты делает вкус плоско-резким; белая часть кожуры даёт лишнюю горечь.</x:v>
      </x:c>
      <x:c r="V238" s="28" t="str">
        <x:v>мёд или нейтральная жировая основа</x:v>
      </x:c>
      <x:c r="W238" s="28" t="str">
        <x:v>соус, напиток или десерт после пробной дегустации</x:v>
      </x:c>
      <x:c r="X238" s="28" t="str">
        <x:v>универсальное</x:v>
      </x:c>
      <x:c r="Y238" s="28" t="str">
        <x:v>Гипотеза / практическая</x:v>
      </x:c>
      <x:c r="Z238" s="28" t="str">
        <x:v>Таблица сочетания(1).pdf</x:v>
      </x:c>
      <x:c r="AA238" s="28" t="str">
        <x:v>Таблица сочетания(1).pdf: 3</x:v>
      </x:c>
      <x:c r="AB238" s="28" t="str">
        <x:v>Пара указана в таблице: «Красный апельсин» → колонка «Фрукты».</x:v>
      </x:c>
      <x:c r="AC238" s="28" t="n">
        <x:v>1</x:v>
      </x:c>
      <x:c r="AD238" s="28" t="n">
        <x:v>1</x:v>
      </x:c>
    </x:row>
    <x:row r="239" ht="58" customHeight="1">
      <x:c r="A239" s="28" t="str">
        <x:v>CIT-0238</x:v>
      </x:c>
      <x:c r="B239" s="28" t="str">
        <x:v>Универсальные</x:v>
      </x:c>
      <x:c r="C239" s="28" t="str">
        <x:v>красный апельсин</x:v>
      </x:c>
      <x:c r="D239" s="28" t="str">
        <x:v>Красный апельсин</x:v>
      </x:c>
      <x:c r="E239" s="28" t="str">
        <x:v>Цитрусовые</x:v>
      </x:c>
      <x:c r="F239" s="28" t="str">
        <x:v>кардамон</x:v>
      </x:c>
      <x:c r="G239" s="28" t="str">
        <x:v>кардамон</x:v>
      </x:c>
      <x:c r="H239" s="28" t="str">
        <x:v>Пряности</x:v>
      </x:c>
      <x:c r="I239" s="28" t="str">
        <x:v>цитрусовый, сладко-фруктовый, цветочный, восковой</x:v>
      </x:c>
      <x:c r="J239" s="28" t="str">
        <x:v>цитрусовый, камфорный, цветочный, эвкалиптовый</x:v>
      </x:c>
      <x:c r="K239" s="28" t="str">
        <x:v>лимонен, линалол, деканаль, октаналь, мирцен</x:v>
      </x:c>
      <x:c r="L239" s="28" t="str">
        <x:v>1,8-цинеол, альфа-терпинилацетат, линалол, лимонен</x:v>
      </x:c>
      <x:c r="M239" s="28" t="str">
        <x:v>цветочный, цитрусовый</x:v>
      </x:c>
      <x:c r="N239" s="28" t="str">
        <x:v>лимонен, линалол</x:v>
      </x:c>
      <x:c r="O239" s="28" t="str">
        <x:v>общие ароматические молекулы, перекрытие ароматических семейств, вкусовой баланс, тройничное восприятие</x:v>
      </x:c>
      <x:c r="P239" s="28" t="str">
        <x:v>Кислота усиливает слюноотделение и делает пряный аромат ярче; терпены цитруса образуют мост с эфирными маслами травы или специи.</x:v>
      </x:c>
      <x:c r="Q239" s="28" t="str">
        <x:v>нет выраженного; 1,8-цинеол создаёт прохладно-камфорное ощущение</x:v>
      </x:c>
      <x:c r="R239" s="28" t="str">
        <x:v>сок водный; цедра и ликёры несут гидрофобные эфирные масла; эфирные масла гидрофобны, хорошо переходят в жир и спирт</x:v>
      </x:c>
      <x:c r="S23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39"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Кардамон часто служит мостом между цитрусом, цветами и древесными нотами.</x:v>
      </x:c>
      <x:c r="U239" s="28" t="str">
        <x:v>Избыток кислоты делает вкус плоско-резким; белая часть кожуры даёт лишнюю горечь.</x:v>
      </x:c>
      <x:c r="V239" s="28" t="str">
        <x:v>мёд или ваниль</x:v>
      </x:c>
      <x:c r="W239" s="28" t="str">
        <x:v>сироп, кордиал, чатни, маринад или пряный десерт</x:v>
      </x:c>
      <x:c r="X239" s="28" t="str">
        <x:v>напитки, еда, соусы/маринады</x:v>
      </x:c>
      <x:c r="Y239" s="28" t="str">
        <x:v>Средняя</x:v>
      </x:c>
      <x:c r="Z239" s="28" t="str">
        <x:v>Таблица сочетания(1).pdf</x:v>
      </x:c>
      <x:c r="AA239" s="28" t="str">
        <x:v>Таблица сочетания(1).pdf: 3</x:v>
      </x:c>
      <x:c r="AB239" s="28" t="str">
        <x:v>Пара указана в таблице: «Красный апельсин» → колонка «Травы и специи».</x:v>
      </x:c>
      <x:c r="AC239" s="28" t="n">
        <x:v>1</x:v>
      </x:c>
      <x:c r="AD239" s="28" t="n">
        <x:v>1</x:v>
      </x:c>
    </x:row>
    <x:row r="240" ht="58" customHeight="1">
      <x:c r="A240" s="28" t="str">
        <x:v>CIT-0239</x:v>
      </x:c>
      <x:c r="B240" s="28" t="str">
        <x:v>Универсальные</x:v>
      </x:c>
      <x:c r="C240" s="28" t="str">
        <x:v>красный апельсин</x:v>
      </x:c>
      <x:c r="D240" s="28" t="str">
        <x:v>Красный апельсин</x:v>
      </x:c>
      <x:c r="E240" s="28" t="str">
        <x:v>Цитрусовые</x:v>
      </x:c>
      <x:c r="F240" s="28" t="str">
        <x:v>корица</x:v>
      </x:c>
      <x:c r="G240" s="28" t="str">
        <x:v>корица</x:v>
      </x:c>
      <x:c r="H240" s="28" t="str">
        <x:v>Пряности</x:v>
      </x:c>
      <x:c r="I240" s="28" t="str">
        <x:v>цитрусовый, сладко-фруктовый, цветочный, восковой</x:v>
      </x:c>
      <x:c r="J240" s="28" t="str">
        <x:v>сладко-пряный, древесный, тёплый</x:v>
      </x:c>
      <x:c r="K240" s="28" t="str">
        <x:v>лимонен, линалол, деканаль, октаналь, мирцен</x:v>
      </x:c>
      <x:c r="L240" s="28" t="str">
        <x:v>коричный альдегид, эвгенол, кумарин</x:v>
      </x:c>
      <x:c r="M240" s="28" t="str">
        <x:v>прямое семейное перекрытие не является главным механизмом</x:v>
      </x:c>
      <x:c r="N240" s="28" t="str">
        <x:v>надёжный общий маркер не заявлен; сочетание объясняется семействами и сенсорным балансом</x:v>
      </x:c>
      <x:c r="O240" s="28" t="str">
        <x:v>вкусовой баланс, тройничное восприятие</x:v>
      </x:c>
      <x:c r="P240" s="28" t="str">
        <x:v>Кислота усиливает слюноотделение и делает пряный аромат ярче; терпены цитруса образуют мост с эфирными маслами травы или специи.</x:v>
      </x:c>
      <x:c r="Q240" s="28" t="str">
        <x:v>нет выраженного; коричный альдегид активирует TRPA1 и создаёт тепло</x:v>
      </x:c>
      <x:c r="R240" s="28" t="str">
        <x:v>сок водный; цедра и ликёры несут гидрофобные эфирные масла; лучше раскрывается в жире, сахаре и спирте</x:v>
      </x:c>
      <x:c r="S24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40"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Корица добавляет тёплый низкий регистр и усиливает впечатление сладости.</x:v>
      </x:c>
      <x:c r="U240" s="28" t="str">
        <x:v>Избыток кислоты делает вкус плоско-резким; белая часть кожуры даёт лишнюю горечь.</x:v>
      </x:c>
      <x:c r="V240" s="28" t="str">
        <x:v>мёд или ваниль</x:v>
      </x:c>
      <x:c r="W240" s="28" t="str">
        <x:v>сироп, кордиал, чатни, маринад или пряный десерт</x:v>
      </x:c>
      <x:c r="X240" s="28" t="str">
        <x:v>напитки, еда, соусы/маринады</x:v>
      </x:c>
      <x:c r="Y240" s="28" t="str">
        <x:v>Гипотеза / практическая</x:v>
      </x:c>
      <x:c r="Z240" s="28" t="str">
        <x:v>Таблица сочетания(1).pdf</x:v>
      </x:c>
      <x:c r="AA240" s="28" t="str">
        <x:v>Таблица сочетания(1).pdf: 3</x:v>
      </x:c>
      <x:c r="AB240" s="28" t="str">
        <x:v>Пара указана в таблице: «Красный апельсин» → колонка «Травы и специи».</x:v>
      </x:c>
      <x:c r="AC240" s="28" t="n">
        <x:v>1</x:v>
      </x:c>
      <x:c r="AD240" s="28" t="n">
        <x:v>1</x:v>
      </x:c>
    </x:row>
    <x:row r="241" ht="58" customHeight="1">
      <x:c r="A241" s="28" t="str">
        <x:v>CIT-0240</x:v>
      </x:c>
      <x:c r="B241" s="28" t="str">
        <x:v>Десерты и выпечка</x:v>
      </x:c>
      <x:c r="C241" s="28" t="str">
        <x:v>красный апельсин</x:v>
      </x:c>
      <x:c r="D241" s="28" t="str">
        <x:v>Красный апельсин</x:v>
      </x:c>
      <x:c r="E241" s="28" t="str">
        <x:v>Цитрусовые</x:v>
      </x:c>
      <x:c r="F241" s="28" t="str">
        <x:v>маракуйя</x:v>
      </x:c>
      <x:c r="G241" s="28" t="str">
        <x:v>маракуйя</x:v>
      </x:c>
      <x:c r="H241" s="28" t="str">
        <x:v>Тропические фрукты</x:v>
      </x:c>
      <x:c r="I241" s="28" t="str">
        <x:v>цитрусовый, сладко-фруктовый, цветочный, восковой</x:v>
      </x:c>
      <x:c r="J241" s="28" t="str">
        <x:v>фруктовый, тропический, цветочный, сливочный</x:v>
      </x:c>
      <x:c r="K241" s="28" t="str">
        <x:v>лимонен, линалол, деканаль, октаналь, мирцен</x:v>
      </x:c>
      <x:c r="L241" s="28" t="str">
        <x:v>этилбутират, гексилацетат, лактоны, сернистые тиолы (у части фруктов)</x:v>
      </x:c>
      <x:c r="M241" s="28" t="str">
        <x:v>цветочный</x:v>
      </x:c>
      <x:c r="N241" s="28" t="str">
        <x:v>надёжный общий маркер не заявлен; сочетание объясняется семействами и сенсорным балансом</x:v>
      </x:c>
      <x:c r="O241" s="28" t="str">
        <x:v>перекрытие ароматических семейств, вкусовой баланс</x:v>
      </x:c>
      <x:c r="P241" s="28" t="str">
        <x:v>Общая фруктовая сладость и летучие эфиры создают непрерывный ароматический профиль, а цитрусовая кислота повышает контраст и свежесть.</x:v>
      </x:c>
      <x:c r="Q241" s="28" t="str">
        <x:v>нет выраженного; нет выраженного</x:v>
      </x:c>
      <x:c r="R241" s="28" t="str">
        <x:v>сок водный; цедра и ликёры несут гидрофобные эфирные масла; сочная или кремовая фруктовая матрица</x:v>
      </x:c>
      <x:c r="S24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41"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Маракуйя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241" s="28" t="str">
        <x:v>Избыток кислоты делает вкус плоско-резким; белая часть кожуры даёт лишнюю горечь.</x:v>
      </x:c>
      <x:c r="V241" s="28" t="str">
        <x:v>кокос или имбирь</x:v>
      </x:c>
      <x:c r="W241" s="28" t="str">
        <x:v>смузи, кордиал, сорбет, чатни или коктейль</x:v>
      </x:c>
      <x:c r="X241" s="28" t="str">
        <x:v>напитки, десерты</x:v>
      </x:c>
      <x:c r="Y241" s="28" t="str">
        <x:v>Гипотеза / практическая</x:v>
      </x:c>
      <x:c r="Z241" s="28" t="str">
        <x:v>Таблица сочетания(1).pdf</x:v>
      </x:c>
      <x:c r="AA241" s="28" t="str">
        <x:v>Таблица сочетания(1).pdf: 3</x:v>
      </x:c>
      <x:c r="AB241" s="28" t="str">
        <x:v>Пара указана в таблице: «Красный апельсин» → колонка «Фрукты».</x:v>
      </x:c>
      <x:c r="AC241" s="28" t="n">
        <x:v>1</x:v>
      </x:c>
      <x:c r="AD241" s="28" t="n">
        <x:v>1</x:v>
      </x:c>
    </x:row>
    <x:row r="242" ht="58" customHeight="1">
      <x:c r="A242" s="28" t="str">
        <x:v>CIT-0241</x:v>
      </x:c>
      <x:c r="B242" s="28" t="str">
        <x:v>Десерты и выпечка</x:v>
      </x:c>
      <x:c r="C242" s="28" t="str">
        <x:v>красный апельсин</x:v>
      </x:c>
      <x:c r="D242" s="28" t="str">
        <x:v>Красный апельсин</x:v>
      </x:c>
      <x:c r="E242" s="28" t="str">
        <x:v>Цитрусовые</x:v>
      </x:c>
      <x:c r="F242" s="28" t="str">
        <x:v>мёд</x:v>
      </x:c>
      <x:c r="G242" s="28" t="str">
        <x:v>мёд</x:v>
      </x:c>
      <x:c r="H242" s="28" t="str">
        <x:v>Подсластители</x:v>
      </x:c>
      <x:c r="I242" s="28" t="str">
        <x:v>цитрусовый, сладко-фруктовый, цветочный, восковой</x:v>
      </x:c>
      <x:c r="J242" s="28" t="str">
        <x:v>медовый, цветочный, карамельный</x:v>
      </x:c>
      <x:c r="K242" s="28" t="str">
        <x:v>лимонен, линалол, деканаль, октаналь, мирцен</x:v>
      </x:c>
      <x:c r="L242" s="28" t="str">
        <x:v>фенилуксусные соединения, фураны, норизопреноиды</x:v>
      </x:c>
      <x:c r="M242" s="28" t="str">
        <x:v>цветочный</x:v>
      </x:c>
      <x:c r="N242" s="28" t="str">
        <x:v>надёжный общий маркер не заявлен; сочетание объясняется семействами и сенсорным балансом</x:v>
      </x:c>
      <x:c r="O242" s="28" t="str">
        <x:v>перекрытие ароматических семейств, вкусовой баланс</x:v>
      </x:c>
      <x:c r="P242" s="28" t="str">
        <x:v>Сладость подавляет воспринимаемую кислотность и горечь кожуры, а кислота не даёт сочетанию стать приторным.</x:v>
      </x:c>
      <x:c r="Q242" s="28" t="str">
        <x:v>нет выраженного; нет выраженного</x:v>
      </x:c>
      <x:c r="R242" s="28" t="str">
        <x:v>сок водный; цедра и ликёры несут гидрофобные эфирные масла; сахар повышает вязкость и снижает воспринимаемую кислотность</x:v>
      </x:c>
      <x:c r="S24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42"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Апельсиновый профиль строится на лимонене и альдегидах с восково-сладкой нотой. Сладость балансирует кислоту и горечь кожуры; цветочные компоненты могут поддерживать цитрус.</x:v>
      </x:c>
      <x:c r="U242" s="28" t="str">
        <x:v>Избыток кислоты делает вкус плоско-резким; белая часть кожуры даёт лишнюю горечь.</x:v>
      </x:c>
      <x:c r="V242" s="28" t="str">
        <x:v>имбирь или ваниль</x:v>
      </x:c>
      <x:c r="W242" s="28" t="str">
        <x:v>сироп, мармелад, крем, глазурь или лимонад</x:v>
      </x:c>
      <x:c r="X242" s="28" t="str">
        <x:v>напитки, десерты</x:v>
      </x:c>
      <x:c r="Y242" s="28" t="str">
        <x:v>Гипотеза / практическая</x:v>
      </x:c>
      <x:c r="Z242" s="28" t="str">
        <x:v>Таблица сочетания(1).pdf</x:v>
      </x:c>
      <x:c r="AA242" s="28" t="str">
        <x:v>Таблица сочетания(1).pdf: 3</x:v>
      </x:c>
      <x:c r="AB242" s="28" t="str">
        <x:v>Пара указана в таблице: «Красный апельсин» → колонка «Другое».</x:v>
      </x:c>
      <x:c r="AC242" s="28" t="n">
        <x:v>1</x:v>
      </x:c>
      <x:c r="AD242" s="28" t="n">
        <x:v>1</x:v>
      </x:c>
    </x:row>
    <x:row r="243" ht="58" customHeight="1">
      <x:c r="A243" s="28" t="str">
        <x:v>CIT-0242</x:v>
      </x:c>
      <x:c r="B243" s="28" t="str">
        <x:v>Десерты и выпечка</x:v>
      </x:c>
      <x:c r="C243" s="28" t="str">
        <x:v>красный апельсин</x:v>
      </x:c>
      <x:c r="D243" s="28" t="str">
        <x:v>Красный апельсин</x:v>
      </x:c>
      <x:c r="E243" s="28" t="str">
        <x:v>Цитрусовые</x:v>
      </x:c>
      <x:c r="F243" s="28" t="str">
        <x:v>миндаль</x:v>
      </x:c>
      <x:c r="G243" s="28" t="str">
        <x:v>миндаль</x:v>
      </x:c>
      <x:c r="H243" s="28" t="str">
        <x:v>Орехи и семена</x:v>
      </x:c>
      <x:c r="I243" s="28" t="str">
        <x:v>цитрусовый, сладко-фруктовый, цветочный, восковой</x:v>
      </x:c>
      <x:c r="J243" s="28" t="str">
        <x:v>ореховый, обжаренный, жирный, зелёный</x:v>
      </x:c>
      <x:c r="K243" s="28" t="str">
        <x:v>лимонен, линалол, деканаль, октаналь, мирцен</x:v>
      </x:c>
      <x:c r="L243" s="28" t="str">
        <x:v>пиразины, альдегиды окисления жиров, бензальдегид (миндаль)</x:v>
      </x:c>
      <x:c r="M243" s="28" t="str">
        <x:v>прямое семейное перекрытие не является главным механизмом</x:v>
      </x:c>
      <x:c r="N243" s="28" t="str">
        <x:v>надёжный общий маркер не заявлен; сочетание объясняется семействами и сенсорным балансом</x:v>
      </x:c>
      <x:c r="O243" s="28" t="str">
        <x:v>вкусовой баланс, влияние матрицы/растворимости</x:v>
      </x:c>
      <x:c r="P243" s="28" t="str">
        <x:v>Кислотность и лёгкая горечь цитруса снижают ощущение жирности; соль и умами, в свою очередь, делают фруктовую часть менее резкой.</x:v>
      </x:c>
      <x:c r="Q243" s="28" t="str">
        <x:v>нет выраженного; нет выраженного</x:v>
      </x:c>
      <x:c r="R243" s="28" t="str">
        <x:v>сок водный; цедра и ликёры несут гидрофобные эфирные масла; высокая жирность растворяет терпеновые масла цитруса</x:v>
      </x:c>
      <x:c r="S24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43"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Миндаль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U243" s="28" t="str">
        <x:v>Избыток кислоты делает вкус плоско-резким; белая часть кожуры даёт лишнюю горечь.</x:v>
      </x:c>
      <x:c r="V243" s="28" t="str">
        <x:v>мёд или шоколад</x:v>
      </x:c>
      <x:c r="W243" s="28" t="str">
        <x:v>пралине, крем, выпечка, салат или ореховый соус</x:v>
      </x:c>
      <x:c r="X243" s="28" t="str">
        <x:v>десерты</x:v>
      </x:c>
      <x:c r="Y243" s="28" t="str">
        <x:v>Гипотеза / практическая</x:v>
      </x:c>
      <x:c r="Z243" s="28" t="str">
        <x:v>Таблица сочетания(1).pdf</x:v>
      </x:c>
      <x:c r="AA243" s="28" t="str">
        <x:v>Таблица сочетания(1).pdf: 3</x:v>
      </x:c>
      <x:c r="AB243" s="28" t="str">
        <x:v>Пара указана в таблице: «Красный апельсин» → колонка «Другое».</x:v>
      </x:c>
      <x:c r="AC243" s="28" t="n">
        <x:v>1</x:v>
      </x:c>
      <x:c r="AD243" s="28" t="n">
        <x:v>1</x:v>
      </x:c>
    </x:row>
    <x:row r="244" ht="58" customHeight="1">
      <x:c r="A244" s="28" t="str">
        <x:v>CIT-0243</x:v>
      </x:c>
      <x:c r="B244" s="28" t="str">
        <x:v>Универсальные</x:v>
      </x:c>
      <x:c r="C244" s="28" t="str">
        <x:v>красный апельсин</x:v>
      </x:c>
      <x:c r="D244" s="28" t="str">
        <x:v>Красный апельсин</x:v>
      </x:c>
      <x:c r="E244" s="28" t="str">
        <x:v>Цитрусовые</x:v>
      </x:c>
      <x:c r="F244" s="28" t="str">
        <x:v>мята</x:v>
      </x:c>
      <x:c r="G244" s="28" t="str">
        <x:v>мята</x:v>
      </x:c>
      <x:c r="H244" s="28" t="str">
        <x:v>Травы</x:v>
      </x:c>
      <x:c r="I244" s="28" t="str">
        <x:v>цитрусовый, сладко-фруктовый, цветочный, восковой</x:v>
      </x:c>
      <x:c r="J244" s="28" t="str">
        <x:v>мятный, зелёный, свежий</x:v>
      </x:c>
      <x:c r="K244" s="28" t="str">
        <x:v>лимонен, линалол, деканаль, октаналь, мирцен</x:v>
      </x:c>
      <x:c r="L244" s="28" t="str">
        <x:v>ментол, ментон, 1,8-цинеол</x:v>
      </x:c>
      <x:c r="M244" s="28" t="str">
        <x:v>прямое семейное перекрытие не является главным механизмом</x:v>
      </x:c>
      <x:c r="N244" s="28" t="str">
        <x:v>надёжный общий маркер не заявлен; сочетание объясняется семействами и сенсорным балансом</x:v>
      </x:c>
      <x:c r="O244" s="28" t="str">
        <x:v>вкусовой баланс, тройничное восприятие</x:v>
      </x:c>
      <x:c r="P244" s="28" t="str">
        <x:v>Кислота усиливает слюноотделение и делает пряный аромат ярче; терпены цитруса образуют мост с эфирными маслами травы или специи.</x:v>
      </x:c>
      <x:c r="Q244" s="28" t="str">
        <x:v>нет выраженного; ментол активирует TRPM8 и создаёт охлаждение</x:v>
      </x:c>
      <x:c r="R244" s="28" t="str">
        <x:v>сок водный; цедра и ликёры несут гидрофобные эфирные масла; эфирные масла извлекаются спиртом; длительный нагрев снижает свежесть</x:v>
      </x:c>
      <x:c r="S24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44"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Мята усиливает воспринимаемую прохладу и кислотную свежесть.</x:v>
      </x:c>
      <x:c r="U244" s="28" t="str">
        <x:v>Избыток кислоты делает вкус плоско-резким; белая часть кожуры даёт лишнюю горечь; цитрус легко подавляет деликатный аромат партнёра.</x:v>
      </x:c>
      <x:c r="V244" s="28" t="str">
        <x:v>оливковое масло или огурец</x:v>
      </x:c>
      <x:c r="W244" s="28" t="str">
        <x:v>лимонад, кордиал, салатная заправка или зелёный соус</x:v>
      </x:c>
      <x:c r="X244" s="28" t="str">
        <x:v>напитки, еда, соусы/маринады</x:v>
      </x:c>
      <x:c r="Y244" s="28" t="str">
        <x:v>Гипотеза / практическая</x:v>
      </x:c>
      <x:c r="Z244" s="28" t="str">
        <x:v>Таблица сочетания(1).pdf</x:v>
      </x:c>
      <x:c r="AA244" s="28" t="str">
        <x:v>Таблица сочетания(1).pdf: 3</x:v>
      </x:c>
      <x:c r="AB244" s="28" t="str">
        <x:v>Пара указана в таблице: «Красный апельсин» → колонка «Травы и специи».</x:v>
      </x:c>
      <x:c r="AC244" s="28" t="n">
        <x:v>1</x:v>
      </x:c>
      <x:c r="AD244" s="28" t="n">
        <x:v>1</x:v>
      </x:c>
    </x:row>
    <x:row r="245" ht="58" customHeight="1">
      <x:c r="A245" s="28" t="str">
        <x:v>CIT-0244</x:v>
      </x:c>
      <x:c r="B245" s="28" t="str">
        <x:v>Универсальные</x:v>
      </x:c>
      <x:c r="C245" s="28" t="str">
        <x:v>красный апельсин</x:v>
      </x:c>
      <x:c r="D245" s="28" t="str">
        <x:v>Красный апельсин</x:v>
      </x:c>
      <x:c r="E245" s="28" t="str">
        <x:v>Цитрусовые</x:v>
      </x:c>
      <x:c r="F245" s="28" t="str">
        <x:v>розмарин</x:v>
      </x:c>
      <x:c r="G245" s="28" t="str">
        <x:v>розмарин</x:v>
      </x:c>
      <x:c r="H245" s="28" t="str">
        <x:v>Травы</x:v>
      </x:c>
      <x:c r="I245" s="28" t="str">
        <x:v>цитрусовый, сладко-фруктовый, цветочный, восковой</x:v>
      </x:c>
      <x:c r="J245" s="28" t="str">
        <x:v>травяной, хвойный, камфорный, древесный</x:v>
      </x:c>
      <x:c r="K245" s="28" t="str">
        <x:v>лимонен, линалол, деканаль, октаналь, мирцен</x:v>
      </x:c>
      <x:c r="L245" s="28" t="str">
        <x:v>1,8-цинеол, камфора, тимол/карвакрол, альфа-пинен</x:v>
      </x:c>
      <x:c r="M245" s="28" t="str">
        <x:v>прямое семейное перекрытие не является главным механизмом</x:v>
      </x:c>
      <x:c r="N245" s="28" t="str">
        <x:v>надёжный общий маркер не заявлен; сочетание объясняется семействами и сенсорным балансом</x:v>
      </x:c>
      <x:c r="O245" s="28" t="str">
        <x:v>вкусовой баланс, тройничное восприятие</x:v>
      </x:c>
      <x:c r="P245" s="28" t="str">
        <x:v>Кислота усиливает слюноотделение и делает пряный аромат ярче; терпены цитруса образуют мост с эфирными маслами травы или специи.</x:v>
      </x:c>
      <x:c r="Q245" s="28" t="str">
        <x:v>нет выраженного; камфора и цинеол дают прохладно-камфорное ощущение</x:v>
      </x:c>
      <x:c r="R245" s="28" t="str">
        <x:v>сок водный; цедра и ликёры несут гидрофобные эфирные масла; эфирные масла лучше раскрываются в жире и спирте</x:v>
      </x:c>
      <x:c r="S24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45"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U245" s="28" t="str">
        <x:v>Избыток кислоты делает вкус плоско-резким; белая часть кожуры даёт лишнюю горечь; цитрус легко подавляет деликатный аромат партнёра.</x:v>
      </x:c>
      <x:c r="V245" s="28" t="str">
        <x:v>оливковое масло или огурец</x:v>
      </x:c>
      <x:c r="W245" s="28" t="str">
        <x:v>лимонад, кордиал, салатная заправка или зелёный соус</x:v>
      </x:c>
      <x:c r="X245" s="28" t="str">
        <x:v>напитки, еда, соусы/маринады</x:v>
      </x:c>
      <x:c r="Y245" s="28" t="str">
        <x:v>Гипотеза / практическая</x:v>
      </x:c>
      <x:c r="Z245" s="28" t="str">
        <x:v>Таблица сочетания(1).pdf</x:v>
      </x:c>
      <x:c r="AA245" s="28" t="str">
        <x:v>Таблица сочетания(1).pdf: 3</x:v>
      </x:c>
      <x:c r="AB245" s="28" t="str">
        <x:v>Пара указана в таблице: «Красный апельсин» → колонка «Травы и специи».</x:v>
      </x:c>
      <x:c r="AC245" s="28" t="n">
        <x:v>1</x:v>
      </x:c>
      <x:c r="AD245" s="28" t="n">
        <x:v>1</x:v>
      </x:c>
    </x:row>
    <x:row r="246" ht="58" customHeight="1">
      <x:c r="A246" s="28" t="str">
        <x:v>CIT-0245</x:v>
      </x:c>
      <x:c r="B246" s="28" t="str">
        <x:v>Десерты и выпечка</x:v>
      </x:c>
      <x:c r="C246" s="28" t="str">
        <x:v>красный апельсин</x:v>
      </x:c>
      <x:c r="D246" s="28" t="str">
        <x:v>Красный апельсин</x:v>
      </x:c>
      <x:c r="E246" s="28" t="str">
        <x:v>Цитрусовые</x:v>
      </x:c>
      <x:c r="F246" s="28" t="str">
        <x:v>шоколад</x:v>
      </x:c>
      <x:c r="G246" s="28" t="str">
        <x:v>шоколад</x:v>
      </x:c>
      <x:c r="H246" s="28" t="str">
        <x:v>Шоколад/обжаренное</x:v>
      </x:c>
      <x:c r="I246" s="28" t="str">
        <x:v>цитрусовый, сладко-фруктовый, цветочный, восковой</x:v>
      </x:c>
      <x:c r="J246" s="28" t="str">
        <x:v>обжаренный, какао, ореховый, карамельный</x:v>
      </x:c>
      <x:c r="K246" s="28" t="str">
        <x:v>лимонен, линалол, деканаль, октаналь, мирцен</x:v>
      </x:c>
      <x:c r="L246" s="28" t="str">
        <x:v>пиразины, фураны, фенилуксусная кислота, ванилин</x:v>
      </x:c>
      <x:c r="M246" s="28" t="str">
        <x:v>прямое семейное перекрытие не является главным механизмом</x:v>
      </x:c>
      <x:c r="N246" s="28" t="str">
        <x:v>надёжный общий маркер не заявлен; сочетание объясняется семействами и сенсорным балансом</x:v>
      </x:c>
      <x:c r="O246" s="28" t="str">
        <x:v>вкусовой баланс</x:v>
      </x:c>
      <x:c r="P246" s="28" t="str">
        <x:v>Высокая кисло-ароматическая нота контрастирует с жареными, горькими и карамельными оттенками; сахар или жир связывает два регистра.</x:v>
      </x:c>
      <x:c r="Q246" s="28" t="str">
        <x:v>нет выраженного; нет выраженного</x:v>
      </x:c>
      <x:c r="R246" s="28" t="str">
        <x:v>сок водный; цедра и ликёры несут гидрофобные эфирные масла; жир какао удерживает гидрофобные терпены</x:v>
      </x:c>
      <x:c r="S246"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46"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даёт высокую свежую ноту на фоне тёмных жареных соединений.</x:v>
      </x:c>
      <x:c r="U246" s="28" t="str">
        <x:v>Избыток кислоты делает вкус плоско-резким; белая часть кожуры даёт лишнюю горечь.</x:v>
      </x:c>
      <x:c r="V246" s="28" t="str">
        <x:v>ваниль или кардамон</x:v>
      </x:c>
      <x:c r="W246" s="28" t="str">
        <x:v>ганаш, тарт, конфеты, кофейный напиток или биттер</x:v>
      </x:c>
      <x:c r="X246" s="28" t="str">
        <x:v>десерты</x:v>
      </x:c>
      <x:c r="Y246" s="28" t="str">
        <x:v>Гипотеза / практическая</x:v>
      </x:c>
      <x:c r="Z246" s="28" t="str">
        <x:v>Таблица сочетания(1).pdf</x:v>
      </x:c>
      <x:c r="AA246" s="28" t="str">
        <x:v>Таблица сочетания(1).pdf: 3</x:v>
      </x:c>
      <x:c r="AB246" s="28" t="str">
        <x:v>Пара указана в таблице: «Красный апельсин» → колонка «Другое».</x:v>
      </x:c>
      <x:c r="AC246" s="28" t="n">
        <x:v>1</x:v>
      </x:c>
      <x:c r="AD246" s="28" t="n">
        <x:v>1</x:v>
      </x:c>
    </x:row>
    <x:row r="247" ht="58" customHeight="1">
      <x:c r="A247" s="28" t="str">
        <x:v>CIT-0246</x:v>
      </x:c>
      <x:c r="B247" s="28" t="str">
        <x:v>Универсальные</x:v>
      </x:c>
      <x:c r="C247" s="28" t="str">
        <x:v>красный апельсин Моро</x:v>
      </x:c>
      <x:c r="D247" s="28" t="str">
        <x:v>Moro blood orange</x:v>
      </x:c>
      <x:c r="E247" s="28" t="str">
        <x:v>Цитрусовые</x:v>
      </x:c>
      <x:c r="F247" s="28" t="str">
        <x:v>быстро обжаренный пак-чой</x:v>
      </x:c>
      <x:c r="G247" s="28" t="str">
        <x:v>stir-fried pak choi</x:v>
      </x:c>
      <x:c r="H247" s="28" t="str">
        <x:v>Прочее</x:v>
      </x:c>
      <x:c r="I247" s="28" t="str">
        <x:v>цитрусовый, сладко-фруктовый, цветочный, восковой</x:v>
      </x:c>
      <x:c r="J247" s="28" t="str">
        <x:v>нейтральный/специфический</x:v>
      </x:c>
      <x:c r="K247" s="28" t="str">
        <x:v>лимонен, линалол, деканаль, октаналь, мирцен</x:v>
      </x:c>
      <x:c r="L247" s="28" t="str">
        <x:v>нужен профиль конкретного продукта</x:v>
      </x:c>
      <x:c r="M247" s="28" t="str">
        <x:v>прямое семейное перекрытие не является главным механизмом</x:v>
      </x:c>
      <x:c r="N247" s="28" t="str">
        <x:v>надёжный общий маркер не заявлен; сочетание объясняется семействами и сенсорным балансом</x:v>
      </x:c>
      <x:c r="O247" s="28" t="str">
        <x:v>вкусовой баланс, тройничное восприятие</x:v>
      </x:c>
      <x:c r="P247" s="28" t="str">
        <x:v>Основной эффект определяется ароматическим контрастом и добавлением кислотной свежести; точный баланс зависит от дозировки и матрицы.</x:v>
      </x:c>
      <x:c r="Q247" s="28" t="str">
        <x:v>нет выраженного; нет данных</x:v>
      </x:c>
      <x:c r="R247" s="28" t="str">
        <x:v>сок водный; цедра и ликёры несут гидрофобные эфирные масла; зависит от формы продукта</x:v>
      </x:c>
      <x:c r="S24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47"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Быстро обжаренный пак-чой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47" s="28" t="str">
        <x:v>Избыток кислоты делает вкус плоско-резким; белая часть кожуры даёт лишнюю горечь.</x:v>
      </x:c>
      <x:c r="V247" s="28" t="str">
        <x:v>мёд или нейтральная жировая основа</x:v>
      </x:c>
      <x:c r="W247" s="28" t="str">
        <x:v>соус, напиток или десерт после пробной дегустации</x:v>
      </x:c>
      <x:c r="X247" s="28" t="str">
        <x:v>универсальное</x:v>
      </x:c>
      <x:c r="Y247" s="28" t="str">
        <x:v>Средняя</x:v>
      </x:c>
      <x:c r="Z247" s="28" t="str">
        <x:v>The Art &amp; Science of Foodpairing.pdf</x:v>
      </x:c>
      <x:c r="AA247" s="28" t="str">
        <x:v>The Art &amp; Science of Foodpairing.pdf: 67</x:v>
      </x:c>
      <x:c r="AB247" s="28" t="str">
        <x:v>Пара представлена в ароматической диаграмме Foodpairing на странице 67.</x:v>
      </x:c>
      <x:c r="AC247" s="28" t="n">
        <x:v>1</x:v>
      </x:c>
      <x:c r="AD247" s="28" t="n">
        <x:v>1</x:v>
      </x:c>
    </x:row>
    <x:row r="248" ht="58" customHeight="1">
      <x:c r="A248" s="28" t="str">
        <x:v>CIT-0247</x:v>
      </x:c>
      <x:c r="B248" s="28" t="str">
        <x:v>Десерты и выпечка</x:v>
      </x:c>
      <x:c r="C248" s="28" t="str">
        <x:v>красный апельсин Моро</x:v>
      </x:c>
      <x:c r="D248" s="28" t="str">
        <x:v>Moro blood orange</x:v>
      </x:c>
      <x:c r="E248" s="28" t="str">
        <x:v>Цитрусовые</x:v>
      </x:c>
      <x:c r="F248" s="28" t="str">
        <x:v>гречка</x:v>
      </x:c>
      <x:c r="G248" s="28" t="str">
        <x:v>buckwheat</x:v>
      </x:c>
      <x:c r="H248" s="28" t="str">
        <x:v>Злаки и хлеб</x:v>
      </x:c>
      <x:c r="I248" s="28" t="str">
        <x:v>цитрусовый, сладко-фруктовый, цветочный, восковой</x:v>
      </x:c>
      <x:c r="J248" s="28" t="str">
        <x:v>зерновой, обжаренный, ореховый, дрожжевой</x:v>
      </x:c>
      <x:c r="K248" s="28" t="str">
        <x:v>лимонен, линалол, деканаль, октаналь, мирцен</x:v>
      </x:c>
      <x:c r="L248" s="28" t="str">
        <x:v>пиразины, мальтол, фураны, эфиры брожения</x:v>
      </x:c>
      <x:c r="M248" s="28" t="str">
        <x:v>прямое семейное перекрытие не является главным механизмом</x:v>
      </x:c>
      <x:c r="N248" s="28" t="str">
        <x:v>надёжный общий маркер не заявлен; сочетание объясняется семействами и сенсорным балансом</x:v>
      </x:c>
      <x:c r="O248" s="28" t="str">
        <x:v>вкусовой баланс</x:v>
      </x:c>
      <x:c r="P248" s="28" t="str">
        <x:v>Высокая кисло-ароматическая нота контрастирует с жареными, горькими и карамельными оттенками; сахар или жир связывает два регистра.</x:v>
      </x:c>
      <x:c r="Q248" s="28" t="str">
        <x:v>нет выраженного; нет выраженного</x:v>
      </x:c>
      <x:c r="R248" s="28" t="str">
        <x:v>сок водный; цедра и ликёры несут гидрофобные эфирные масла; крахмал смягчает кислотность; жир/масло помогает аромату цедры</x:v>
      </x:c>
      <x:c r="S24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48"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Гречка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освежает зерновой профиль и создаёт контраст с обжаренными нотами.</x:v>
      </x:c>
      <x:c r="U248" s="28" t="str">
        <x:v>Избыток кислоты делает вкус плоско-резким; белая часть кожуры даёт лишнюю горечь.</x:v>
      </x:c>
      <x:c r="V248" s="28" t="str">
        <x:v>сливочное масло или мёд</x:v>
      </x:c>
      <x:c r="W248" s="28" t="str">
        <x:v>кекс, каша, хлеб, крамбл или салат</x:v>
      </x:c>
      <x:c r="X248" s="28" t="str">
        <x:v>десерты, еда</x:v>
      </x:c>
      <x:c r="Y248" s="28" t="str">
        <x:v>Средняя</x:v>
      </x:c>
      <x:c r="Z248" s="28" t="str">
        <x:v>The Art &amp; Science of Foodpairing.pdf</x:v>
      </x:c>
      <x:c r="AA248" s="28" t="str">
        <x:v>The Art &amp; Science of Foodpairing.pdf: 67</x:v>
      </x:c>
      <x:c r="AB248" s="28" t="str">
        <x:v>Пара представлена в ароматической диаграмме Foodpairing на странице 67.</x:v>
      </x:c>
      <x:c r="AC248" s="28" t="n">
        <x:v>1</x:v>
      </x:c>
      <x:c r="AD248" s="28" t="n">
        <x:v>1</x:v>
      </x:c>
    </x:row>
    <x:row r="249" ht="58" customHeight="1">
      <x:c r="A249" s="28" t="str">
        <x:v>CIT-0248</x:v>
      </x:c>
      <x:c r="B249" s="28" t="str">
        <x:v>Еда и соусы</x:v>
      </x:c>
      <x:c r="C249" s="28" t="str">
        <x:v>красный апельсин Моро</x:v>
      </x:c>
      <x:c r="D249" s="28" t="str">
        <x:v>Moro blood orange</x:v>
      </x:c>
      <x:c r="E249" s="28" t="str">
        <x:v>Цитрусовые</x:v>
      </x:c>
      <x:c r="F249" s="28" t="str">
        <x:v>жареная индейка</x:v>
      </x:c>
      <x:c r="G249" s="28" t="str">
        <x:v>roast turkey</x:v>
      </x:c>
      <x:c r="H249" s="28" t="str">
        <x:v>Мясо и птица</x:v>
      </x:c>
      <x:c r="I249" s="28" t="str">
        <x:v>цитрусовый, сладко-фруктовый, цветочный, восковой</x:v>
      </x:c>
      <x:c r="J249" s="28" t="str">
        <x:v>жареный, мясной, сернистый, жирный</x:v>
      </x:c>
      <x:c r="K249" s="28" t="str">
        <x:v>лимонен, линалол, деканаль, октаналь, мирцен</x:v>
      </x:c>
      <x:c r="L249" s="28" t="str">
        <x:v>пиразины, тиазолы, альдегиды жиров, сернистые соединения</x:v>
      </x:c>
      <x:c r="M249" s="28" t="str">
        <x:v>прямое семейное перекрытие не является главным механизмом</x:v>
      </x:c>
      <x:c r="N249" s="28" t="str">
        <x:v>надёжный общий маркер не заявлен; сочетание объясняется семействами и сенсорным балансом</x:v>
      </x:c>
      <x:c r="O249" s="28" t="str">
        <x:v>вкусовой баланс, влияние матрицы/растворимости</x:v>
      </x:c>
      <x:c r="P249" s="28" t="str">
        <x:v>Кислотность и лёгкая горечь цитруса снижают ощущение жирности; соль и умами, в свою очередь, делают фруктовую часть менее резкой.</x:v>
      </x:c>
      <x:c r="Q249" s="28" t="str">
        <x:v>нет выраженного; нет выраженного</x:v>
      </x:c>
      <x:c r="R249" s="28" t="str">
        <x:v>сок водный; цедра и ликёры несут гидрофобные эфирные масла; жир удерживает терпеновые масла; кислота снижает ощущение жирности</x:v>
      </x:c>
      <x:c r="S24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249"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Жареная индейка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U249" s="28" t="str">
        <x:v>Избыток кислоты делает вкус плоско-резким; белая часть кожуры даёт лишнюю горечь; слишком долгая маринация ухудшает текстуру.</x:v>
      </x:c>
      <x:c r="V249" s="28" t="str">
        <x:v>розмарин или чёрный перец</x:v>
      </x:c>
      <x:c r="W249" s="28" t="str">
        <x:v>маринад, глазурь, соус, жаркое или салат</x:v>
      </x:c>
      <x:c r="X249" s="28" t="str">
        <x:v>еда, соусы/маринады</x:v>
      </x:c>
      <x:c r="Y249" s="28" t="str">
        <x:v>Средняя</x:v>
      </x:c>
      <x:c r="Z249" s="28" t="str">
        <x:v>The Art &amp; Science of Foodpairing.pdf</x:v>
      </x:c>
      <x:c r="AA249" s="28" t="str">
        <x:v>The Art &amp; Science of Foodpairing.pdf: 67</x:v>
      </x:c>
      <x:c r="AB249" s="28" t="str">
        <x:v>Пара представлена в ароматической диаграмме Foodpairing на странице 67.</x:v>
      </x:c>
      <x:c r="AC249" s="28" t="n">
        <x:v>1</x:v>
      </x:c>
      <x:c r="AD249" s="28" t="n">
        <x:v>1</x:v>
      </x:c>
    </x:row>
    <x:row r="250" ht="58" customHeight="1">
      <x:c r="A250" s="28" t="str">
        <x:v>CIT-0249</x:v>
      </x:c>
      <x:c r="B250" s="28" t="str">
        <x:v>Еда и соусы</x:v>
      </x:c>
      <x:c r="C250" s="28" t="str">
        <x:v>красный апельсин Моро</x:v>
      </x:c>
      <x:c r="D250" s="28" t="str">
        <x:v>Moro blood orange</x:v>
      </x:c>
      <x:c r="E250" s="28" t="str">
        <x:v>Цитрусовые</x:v>
      </x:c>
      <x:c r="F250" s="28" t="str">
        <x:v>запечённая барабулька</x:v>
      </x:c>
      <x:c r="G250" s="28" t="str">
        <x:v>baked red mullet</x:v>
      </x:c>
      <x:c r="H250" s="28" t="str">
        <x:v>Рыба и морепродукты</x:v>
      </x:c>
      <x:c r="I250" s="28" t="str">
        <x:v>цитрусовый, сладко-фруктовый, цветочный, восковой</x:v>
      </x:c>
      <x:c r="J250" s="28" t="str">
        <x:v>морской, йодистый, зелёный, жирный</x:v>
      </x:c>
      <x:c r="K250" s="28" t="str">
        <x:v>лимонен, линалол, деканаль, октаналь, мирцен</x:v>
      </x:c>
      <x:c r="L250" s="28" t="str">
        <x:v>альдегиды окисления липидов, бромфенолы, диметилсульфид, умами-соединения</x:v>
      </x:c>
      <x:c r="M250" s="28" t="str">
        <x:v>прямое семейное перекрытие не является главным механизмом</x:v>
      </x:c>
      <x:c r="N250" s="28" t="str">
        <x:v>надёжный общий маркер не заявлен; сочетание объясняется семействами и сенсорным балансом</x:v>
      </x:c>
      <x:c r="O250" s="28" t="str">
        <x:v>вкусовой баланс, влияние матрицы/растворимости</x:v>
      </x:c>
      <x:c r="P250" s="28" t="str">
        <x:v>Кислотность и лёгкая горечь цитруса снижают ощущение жирности; соль и умами, в свою очередь, делают фруктовую часть менее резкой.</x:v>
      </x:c>
      <x:c r="Q250" s="28" t="str">
        <x:v>нет выраженного; нет выраженного</x:v>
      </x:c>
      <x:c r="R250" s="28" t="str">
        <x:v>сок водный; цедра и ликёры несут гидрофобные эфирные масла; кислота может денатурировать поверхностные белки; жир рыбы удерживает терпены</x:v>
      </x:c>
      <x:c r="S25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250"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Запечённая барабулька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U250" s="28" t="str">
        <x:v>Избыток кислоты делает вкус плоско-резким; белая часть кожуры даёт лишнюю горечь; слишком долгая маринация ухудшает текстуру.</x:v>
      </x:c>
      <x:c r="V250" s="28" t="str">
        <x:v>кинза или фенхель</x:v>
      </x:c>
      <x:c r="W250" s="28" t="str">
        <x:v>севиче, маринад, beurre blanc, тартар или салат</x:v>
      </x:c>
      <x:c r="X250" s="28" t="str">
        <x:v>еда, соусы/маринады</x:v>
      </x:c>
      <x:c r="Y250" s="28" t="str">
        <x:v>Средняя</x:v>
      </x:c>
      <x:c r="Z250" s="28" t="str">
        <x:v>The Art &amp; Science of Foodpairing.pdf</x:v>
      </x:c>
      <x:c r="AA250" s="28" t="str">
        <x:v>The Art &amp; Science of Foodpairing.pdf: 242</x:v>
      </x:c>
      <x:c r="AB250" s="28" t="str">
        <x:v>Пара представлена в ароматической диаграмме Foodpairing на странице 242.</x:v>
      </x:c>
      <x:c r="AC250" s="28" t="n">
        <x:v>1</x:v>
      </x:c>
      <x:c r="AD250" s="28" t="n">
        <x:v>1</x:v>
      </x:c>
    </x:row>
    <x:row r="251" ht="58" customHeight="1">
      <x:c r="A251" s="28" t="str">
        <x:v>CIT-0250</x:v>
      </x:c>
      <x:c r="B251" s="28" t="str">
        <x:v>Универсальные</x:v>
      </x:c>
      <x:c r="C251" s="28" t="str">
        <x:v>красный апельсин Моро</x:v>
      </x:c>
      <x:c r="D251" s="28" t="str">
        <x:v>Moro blood orange</x:v>
      </x:c>
      <x:c r="E251" s="28" t="str">
        <x:v>Цитрусовые</x:v>
      </x:c>
      <x:c r="F251" s="28" t="str">
        <x:v>индийский лавровый лист</x:v>
      </x:c>
      <x:c r="G251" s="28" t="str">
        <x:v>Indian bay leaf</x:v>
      </x:c>
      <x:c r="H251" s="28" t="str">
        <x:v>Прочее</x:v>
      </x:c>
      <x:c r="I251" s="28" t="str">
        <x:v>цитрусовый, сладко-фруктовый, цветочный, восковой</x:v>
      </x:c>
      <x:c r="J251" s="28" t="str">
        <x:v>нейтральный/специфический</x:v>
      </x:c>
      <x:c r="K251" s="28" t="str">
        <x:v>лимонен, линалол, деканаль, октаналь, мирцен</x:v>
      </x:c>
      <x:c r="L251" s="28" t="str">
        <x:v>нужен профиль конкретного продукта</x:v>
      </x:c>
      <x:c r="M251" s="28" t="str">
        <x:v>прямое семейное перекрытие не является главным механизмом</x:v>
      </x:c>
      <x:c r="N251" s="28" t="str">
        <x:v>надёжный общий маркер не заявлен; сочетание объясняется семействами и сенсорным балансом</x:v>
      </x:c>
      <x:c r="O251" s="28" t="str">
        <x:v>вкусовой баланс, тройничное восприятие</x:v>
      </x:c>
      <x:c r="P251" s="28" t="str">
        <x:v>Основной эффект определяется ароматическим контрастом и добавлением кислотной свежести; точный баланс зависит от дозировки и матрицы.</x:v>
      </x:c>
      <x:c r="Q251" s="28" t="str">
        <x:v>нет выраженного; нет данных</x:v>
      </x:c>
      <x:c r="R251" s="28" t="str">
        <x:v>сок водный; цедра и ликёры несут гидрофобные эфирные масла; зависит от формы продукта</x:v>
      </x:c>
      <x:c r="S25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51"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Индийский лавровый лист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51" s="28" t="str">
        <x:v>Избыток кислоты делает вкус плоско-резким; белая часть кожуры даёт лишнюю горечь.</x:v>
      </x:c>
      <x:c r="V251" s="28" t="str">
        <x:v>мёд или нейтральная жировая основа</x:v>
      </x:c>
      <x:c r="W251" s="28" t="str">
        <x:v>соус, напиток или десерт после пробной дегустации</x:v>
      </x:c>
      <x:c r="X251" s="28" t="str">
        <x:v>универсальное</x:v>
      </x:c>
      <x:c r="Y251" s="28" t="str">
        <x:v>Средняя</x:v>
      </x:c>
      <x:c r="Z251" s="28" t="str">
        <x:v>The Art &amp; Science of Foodpairing.pdf</x:v>
      </x:c>
      <x:c r="AA251" s="28" t="str">
        <x:v>The Art &amp; Science of Foodpairing.pdf: 274</x:v>
      </x:c>
      <x:c r="AB251" s="28" t="str">
        <x:v>Пара представлена в ароматической диаграмме Foodpairing на странице 274.</x:v>
      </x:c>
      <x:c r="AC251" s="28" t="n">
        <x:v>1</x:v>
      </x:c>
      <x:c r="AD251" s="28" t="n">
        <x:v>1</x:v>
      </x:c>
    </x:row>
    <x:row r="252" ht="58" customHeight="1">
      <x:c r="A252" s="28" t="str">
        <x:v>CIT-0251</x:v>
      </x:c>
      <x:c r="B252" s="28" t="str">
        <x:v>Десерты и выпечка</x:v>
      </x:c>
      <x:c r="C252" s="28" t="str">
        <x:v>красный апельсин Моро</x:v>
      </x:c>
      <x:c r="D252" s="28" t="str">
        <x:v>Moro blood orange</x:v>
      </x:c>
      <x:c r="E252" s="28" t="str">
        <x:v>Цитрусовые</x:v>
      </x:c>
      <x:c r="F252" s="28" t="str">
        <x:v>приготовленный чёрный рис</x:v>
      </x:c>
      <x:c r="G252" s="28" t="str">
        <x:v>cooked black rice</x:v>
      </x:c>
      <x:c r="H252" s="28" t="str">
        <x:v>Злаки и хлеб</x:v>
      </x:c>
      <x:c r="I252" s="28" t="str">
        <x:v>цитрусовый, сладко-фруктовый, цветочный, восковой</x:v>
      </x:c>
      <x:c r="J252" s="28" t="str">
        <x:v>зерновой, обжаренный, ореховый, дрожжевой</x:v>
      </x:c>
      <x:c r="K252" s="28" t="str">
        <x:v>лимонен, линалол, деканаль, октаналь, мирцен</x:v>
      </x:c>
      <x:c r="L252" s="28" t="str">
        <x:v>пиразины, мальтол, фураны, эфиры брожения</x:v>
      </x:c>
      <x:c r="M252" s="28" t="str">
        <x:v>прямое семейное перекрытие не является главным механизмом</x:v>
      </x:c>
      <x:c r="N252" s="28" t="str">
        <x:v>надёжный общий маркер не заявлен; сочетание объясняется семействами и сенсорным балансом</x:v>
      </x:c>
      <x:c r="O252" s="28" t="str">
        <x:v>вкусовой баланс</x:v>
      </x:c>
      <x:c r="P252" s="28" t="str">
        <x:v>Высокая кисло-ароматическая нота контрастирует с жареными, горькими и карамельными оттенками; сахар или жир связывает два регистра.</x:v>
      </x:c>
      <x:c r="Q252" s="28" t="str">
        <x:v>нет выраженного; нет выраженного</x:v>
      </x:c>
      <x:c r="R252" s="28" t="str">
        <x:v>сок водный; цедра и ликёры несут гидрофобные эфирные масла; крахмал смягчает кислотность; жир/масло помогает аромату цедры</x:v>
      </x:c>
      <x:c r="S25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52"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Приготовленный чёрный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освежает зерновой профиль и создаёт контраст с обжаренными нотами.</x:v>
      </x:c>
      <x:c r="U252" s="28" t="str">
        <x:v>Избыток кислоты делает вкус плоско-резким; белая часть кожуры даёт лишнюю горечь.</x:v>
      </x:c>
      <x:c r="V252" s="28" t="str">
        <x:v>сливочное масло или мёд</x:v>
      </x:c>
      <x:c r="W252" s="28" t="str">
        <x:v>кекс, каша, хлеб, крамбл или салат</x:v>
      </x:c>
      <x:c r="X252" s="28" t="str">
        <x:v>десерты, еда</x:v>
      </x:c>
      <x:c r="Y252" s="28" t="str">
        <x:v>Средняя</x:v>
      </x:c>
      <x:c r="Z252" s="28" t="str">
        <x:v>The Art &amp; Science of Foodpairing.pdf</x:v>
      </x:c>
      <x:c r="AA252" s="28" t="str">
        <x:v>The Art &amp; Science of Foodpairing.pdf: 67</x:v>
      </x:c>
      <x:c r="AB252" s="28" t="str">
        <x:v>Пара представлена в ароматической диаграмме Foodpairing на странице 67.</x:v>
      </x:c>
      <x:c r="AC252" s="28" t="n">
        <x:v>1</x:v>
      </x:c>
      <x:c r="AD252" s="28" t="n">
        <x:v>1</x:v>
      </x:c>
    </x:row>
    <x:row r="253" ht="58" customHeight="1">
      <x:c r="A253" s="28" t="str">
        <x:v>CIT-0252</x:v>
      </x:c>
      <x:c r="B253" s="28" t="str">
        <x:v>Десерты и выпечка</x:v>
      </x:c>
      <x:c r="C253" s="28" t="str">
        <x:v>красный апельсин Моро</x:v>
      </x:c>
      <x:c r="D253" s="28" t="str">
        <x:v>Moro blood orange</x:v>
      </x:c>
      <x:c r="E253" s="28" t="str">
        <x:v>Цитрусовые</x:v>
      </x:c>
      <x:c r="F253" s="28" t="str">
        <x:v>рапсовое масло</x:v>
      </x:c>
      <x:c r="G253" s="28" t="str">
        <x:v>rapeseed oil</x:v>
      </x:c>
      <x:c r="H253" s="28" t="str">
        <x:v>Молочные продукты</x:v>
      </x:c>
      <x:c r="I253" s="28" t="str">
        <x:v>цитрусовый, сладко-фруктовый, цветочный, восковой</x:v>
      </x:c>
      <x:c r="J253" s="28" t="str">
        <x:v>сливочный, молочный, масляный, иногда животный</x:v>
      </x:c>
      <x:c r="K253" s="28" t="str">
        <x:v>лимонен, линалол, деканаль, октаналь, мирцен</x:v>
      </x:c>
      <x:c r="L253" s="28" t="str">
        <x:v>диацетил, молочные лактоны, свободные жирные кислоты</x:v>
      </x:c>
      <x:c r="M253" s="28" t="str">
        <x:v>прямое семейное перекрытие не является главным механизмом</x:v>
      </x:c>
      <x:c r="N253" s="28" t="str">
        <x:v>надёжный общий маркер не заявлен; сочетание объясняется семействами и сенсорным балансом</x:v>
      </x:c>
      <x:c r="O253" s="28" t="str">
        <x:v>вкусовой баланс, влияние матрицы/растворимости</x:v>
      </x:c>
      <x:c r="P253" s="28" t="str">
        <x:v>Кислотность и лёгкая горечь цитруса снижают ощущение жирности; соль и умами, в свою очередь, делают фруктовую часть менее резкой.</x:v>
      </x:c>
      <x:c r="Q253" s="28" t="str">
        <x:v>нет выраженного; нет выраженного</x:v>
      </x:c>
      <x:c r="R253" s="28" t="str">
        <x:v>сок водный; цедра и ликёры несут гидрофобные эфирные масла; жир растворяет терпены; кислота цитруса может коагулировать молочный белок</x:v>
      </x:c>
      <x:c r="S253"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253"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Рапсовое масло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U253" s="28" t="str">
        <x:v>Избыток кислоты делает вкус плоско-резким; белая часть кожуры даёт лишнюю горечь; возможна коагуляция белка.</x:v>
      </x:c>
      <x:c r="V253" s="28" t="str">
        <x:v>мёд или ваниль</x:v>
      </x:c>
      <x:c r="W253" s="28" t="str">
        <x:v>чизкейк, крем, мороженое, соус или салат</x:v>
      </x:c>
      <x:c r="X253" s="28" t="str">
        <x:v>десерты, еда</x:v>
      </x:c>
      <x:c r="Y253" s="28" t="str">
        <x:v>Средняя</x:v>
      </x:c>
      <x:c r="Z253" s="28" t="str">
        <x:v>The Art &amp; Science of Foodpairing.pdf</x:v>
      </x:c>
      <x:c r="AA253" s="28" t="str">
        <x:v>The Art &amp; Science of Foodpairing.pdf: 67</x:v>
      </x:c>
      <x:c r="AB253" s="28" t="str">
        <x:v>Пара представлена в ароматической диаграмме Foodpairing на странице 67.</x:v>
      </x:c>
      <x:c r="AC253" s="28" t="n">
        <x:v>1</x:v>
      </x:c>
      <x:c r="AD253" s="28" t="n">
        <x:v>1</x:v>
      </x:c>
    </x:row>
    <x:row r="254" ht="58" customHeight="1">
      <x:c r="A254" s="28" t="str">
        <x:v>CIT-0253</x:v>
      </x:c>
      <x:c r="B254" s="28" t="str">
        <x:v>Универсальные</x:v>
      </x:c>
      <x:c r="C254" s="28" t="str">
        <x:v>красный апельсин Моро</x:v>
      </x:c>
      <x:c r="D254" s="28" t="str">
        <x:v>Moro blood orange</x:v>
      </x:c>
      <x:c r="E254" s="28" t="str">
        <x:v>Цитрусовые</x:v>
      </x:c>
      <x:c r="F254" s="28" t="str">
        <x:v>скрэмбл</x:v>
      </x:c>
      <x:c r="G254" s="28" t="str">
        <x:v>scrambled egg</x:v>
      </x:c>
      <x:c r="H254" s="28" t="str">
        <x:v>Прочее</x:v>
      </x:c>
      <x:c r="I254" s="28" t="str">
        <x:v>цитрусовый, сладко-фруктовый, цветочный, восковой</x:v>
      </x:c>
      <x:c r="J254" s="28" t="str">
        <x:v>нейтральный/специфический</x:v>
      </x:c>
      <x:c r="K254" s="28" t="str">
        <x:v>лимонен, линалол, деканаль, октаналь, мирцен</x:v>
      </x:c>
      <x:c r="L254" s="28" t="str">
        <x:v>нужен профиль конкретного продукта</x:v>
      </x:c>
      <x:c r="M254" s="28" t="str">
        <x:v>прямое семейное перекрытие не является главным механизмом</x:v>
      </x:c>
      <x:c r="N254" s="28" t="str">
        <x:v>надёжный общий маркер не заявлен; сочетание объясняется семействами и сенсорным балансом</x:v>
      </x:c>
      <x:c r="O254" s="28" t="str">
        <x:v>вкусовой баланс, тройничное восприятие</x:v>
      </x:c>
      <x:c r="P254" s="28" t="str">
        <x:v>Основной эффект определяется ароматическим контрастом и добавлением кислотной свежести; точный баланс зависит от дозировки и матрицы.</x:v>
      </x:c>
      <x:c r="Q254" s="28" t="str">
        <x:v>нет выраженного; нет данных</x:v>
      </x:c>
      <x:c r="R254" s="28" t="str">
        <x:v>сок водный; цедра и ликёры несут гидрофобные эфирные масла; зависит от формы продукта</x:v>
      </x:c>
      <x:c r="S25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54"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Скрэмбл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54" s="28" t="str">
        <x:v>Избыток кислоты делает вкус плоско-резким; белая часть кожуры даёт лишнюю горечь.</x:v>
      </x:c>
      <x:c r="V254" s="28" t="str">
        <x:v>мёд или нейтральная жировая основа</x:v>
      </x:c>
      <x:c r="W254" s="28" t="str">
        <x:v>соус, напиток или десерт после пробной дегустации</x:v>
      </x:c>
      <x:c r="X254" s="28" t="str">
        <x:v>универсальное</x:v>
      </x:c>
      <x:c r="Y254" s="28" t="str">
        <x:v>Средняя</x:v>
      </x:c>
      <x:c r="Z254" s="28" t="str">
        <x:v>The Art &amp; Science of Foodpairing.pdf</x:v>
      </x:c>
      <x:c r="AA254" s="28" t="str">
        <x:v>The Art &amp; Science of Foodpairing.pdf: 67</x:v>
      </x:c>
      <x:c r="AB254" s="28" t="str">
        <x:v>Пара представлена в ароматической диаграмме Foodpairing на странице 67.</x:v>
      </x:c>
      <x:c r="AC254" s="28" t="n">
        <x:v>1</x:v>
      </x:c>
      <x:c r="AD254" s="28" t="n">
        <x:v>1</x:v>
      </x:c>
    </x:row>
    <x:row r="255" ht="58" customHeight="1">
      <x:c r="A255" s="28" t="str">
        <x:v>CIT-0254</x:v>
      </x:c>
      <x:c r="B255" s="28" t="str">
        <x:v>Универсальные</x:v>
      </x:c>
      <x:c r="C255" s="28" t="str">
        <x:v>красный апельсин Моро</x:v>
      </x:c>
      <x:c r="D255" s="28" t="str">
        <x:v>Moro blood orange</x:v>
      </x:c>
      <x:c r="E255" s="28" t="str">
        <x:v>Цитрусовые</x:v>
      </x:c>
      <x:c r="F255" s="28" t="str">
        <x:v>сметана</x:v>
      </x:c>
      <x:c r="G255" s="28" t="str">
        <x:v>sour cream</x:v>
      </x:c>
      <x:c r="H255" s="28" t="str">
        <x:v>Прочее</x:v>
      </x:c>
      <x:c r="I255" s="28" t="str">
        <x:v>цитрусовый, сладко-фруктовый, цветочный, восковой</x:v>
      </x:c>
      <x:c r="J255" s="28" t="str">
        <x:v>нейтральный/специфический</x:v>
      </x:c>
      <x:c r="K255" s="28" t="str">
        <x:v>лимонен, линалол, деканаль, октаналь, мирцен</x:v>
      </x:c>
      <x:c r="L255" s="28" t="str">
        <x:v>нужен профиль конкретного продукта</x:v>
      </x:c>
      <x:c r="M255" s="28" t="str">
        <x:v>прямое семейное перекрытие не является главным механизмом</x:v>
      </x:c>
      <x:c r="N255" s="28" t="str">
        <x:v>надёжный общий маркер не заявлен; сочетание объясняется семействами и сенсорным балансом</x:v>
      </x:c>
      <x:c r="O255" s="28" t="str">
        <x:v>вкусовой баланс, тройничное восприятие</x:v>
      </x:c>
      <x:c r="P255" s="28" t="str">
        <x:v>Основной эффект определяется ароматическим контрастом и добавлением кислотной свежести; точный баланс зависит от дозировки и матрицы.</x:v>
      </x:c>
      <x:c r="Q255" s="28" t="str">
        <x:v>нет выраженного; нет данных</x:v>
      </x:c>
      <x:c r="R255" s="28" t="str">
        <x:v>сок водный; цедра и ликёры несут гидрофобные эфирные масла; зависит от формы продукта</x:v>
      </x:c>
      <x:c r="S25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55"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Сметана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55" s="28" t="str">
        <x:v>Избыток кислоты делает вкус плоско-резким; белая часть кожуры даёт лишнюю горечь.</x:v>
      </x:c>
      <x:c r="V255" s="28" t="str">
        <x:v>мёд или нейтральная жировая основа</x:v>
      </x:c>
      <x:c r="W255" s="28" t="str">
        <x:v>соус, напиток или десерт после пробной дегустации</x:v>
      </x:c>
      <x:c r="X255" s="28" t="str">
        <x:v>универсальное</x:v>
      </x:c>
      <x:c r="Y255" s="28" t="str">
        <x:v>Средняя</x:v>
      </x:c>
      <x:c r="Z255" s="28" t="str">
        <x:v>The Art &amp; Science of Foodpairing.pdf</x:v>
      </x:c>
      <x:c r="AA255" s="28" t="str">
        <x:v>The Art &amp; Science of Foodpairing.pdf: 67</x:v>
      </x:c>
      <x:c r="AB255" s="28" t="str">
        <x:v>Пара представлена в ароматической диаграмме Foodpairing на странице 67.</x:v>
      </x:c>
      <x:c r="AC255" s="28" t="n">
        <x:v>1</x:v>
      </x:c>
      <x:c r="AD255" s="28" t="n">
        <x:v>1</x:v>
      </x:c>
    </x:row>
    <x:row r="256" ht="58" customHeight="1">
      <x:c r="A256" s="28" t="str">
        <x:v>CIT-0255</x:v>
      </x:c>
      <x:c r="B256" s="28" t="str">
        <x:v>Универсальные</x:v>
      </x:c>
      <x:c r="C256" s="28" t="str">
        <x:v>красный апельсин Моро</x:v>
      </x:c>
      <x:c r="D256" s="28" t="str">
        <x:v>Moro blood orange</x:v>
      </x:c>
      <x:c r="E256" s="28" t="str">
        <x:v>Цитрусовые</x:v>
      </x:c>
      <x:c r="F256" s="28" t="str">
        <x:v>сушёные листья эвкалипта</x:v>
      </x:c>
      <x:c r="G256" s="28" t="str">
        <x:v>dried eucalyptus leaves</x:v>
      </x:c>
      <x:c r="H256" s="28" t="str">
        <x:v>Прочее</x:v>
      </x:c>
      <x:c r="I256" s="28" t="str">
        <x:v>цитрусовый, сладко-фруктовый, цветочный, восковой</x:v>
      </x:c>
      <x:c r="J256" s="28" t="str">
        <x:v>нейтральный/специфический</x:v>
      </x:c>
      <x:c r="K256" s="28" t="str">
        <x:v>лимонен, линалол, деканаль, октаналь, мирцен</x:v>
      </x:c>
      <x:c r="L256" s="28" t="str">
        <x:v>нужен профиль конкретного продукта</x:v>
      </x:c>
      <x:c r="M256" s="28" t="str">
        <x:v>прямое семейное перекрытие не является главным механизмом</x:v>
      </x:c>
      <x:c r="N256" s="28" t="str">
        <x:v>надёжный общий маркер не заявлен; сочетание объясняется семействами и сенсорным балансом</x:v>
      </x:c>
      <x:c r="O256" s="28" t="str">
        <x:v>вкусовой баланс, тройничное восприятие</x:v>
      </x:c>
      <x:c r="P256" s="28" t="str">
        <x:v>Основной эффект определяется ароматическим контрастом и добавлением кислотной свежести; точный баланс зависит от дозировки и матрицы.</x:v>
      </x:c>
      <x:c r="Q256" s="28" t="str">
        <x:v>нет выраженного; нет данных</x:v>
      </x:c>
      <x:c r="R256" s="28" t="str">
        <x:v>сок водный; цедра и ликёры несут гидрофобные эфирные масла; зависит от формы продукта</x:v>
      </x:c>
      <x:c r="S25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56"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Сушёные листья эвкалипта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56" s="28" t="str">
        <x:v>Избыток кислоты делает вкус плоско-резким; белая часть кожуры даёт лишнюю горечь.</x:v>
      </x:c>
      <x:c r="V256" s="28" t="str">
        <x:v>мёд или нейтральная жировая основа</x:v>
      </x:c>
      <x:c r="W256" s="28" t="str">
        <x:v>соус, напиток или десерт после пробной дегустации</x:v>
      </x:c>
      <x:c r="X256" s="28" t="str">
        <x:v>универсальное</x:v>
      </x:c>
      <x:c r="Y256" s="28" t="str">
        <x:v>Средняя</x:v>
      </x:c>
      <x:c r="Z256" s="28" t="str">
        <x:v>The Art &amp; Science of Foodpairing.pdf</x:v>
      </x:c>
      <x:c r="AA256" s="28" t="str">
        <x:v>The Art &amp; Science of Foodpairing.pdf: 204</x:v>
      </x:c>
      <x:c r="AB256" s="28" t="str">
        <x:v>Пара представлена в ароматической диаграмме Foodpairing на странице 204.</x:v>
      </x:c>
      <x:c r="AC256" s="28" t="n">
        <x:v>1</x:v>
      </x:c>
      <x:c r="AD256" s="28" t="n">
        <x:v>1</x:v>
      </x:c>
    </x:row>
    <x:row r="257" ht="58" customHeight="1">
      <x:c r="A257" s="28" t="str">
        <x:v>CIT-0256</x:v>
      </x:c>
      <x:c r="B257" s="28" t="str">
        <x:v>Универсальные</x:v>
      </x:c>
      <x:c r="C257" s="28" t="str">
        <x:v>красный апельсин Моро</x:v>
      </x:c>
      <x:c r="D257" s="28" t="str">
        <x:v>Moro blood orange</x:v>
      </x:c>
      <x:c r="E257" s="28" t="str">
        <x:v>Цитрусовые</x:v>
      </x:c>
      <x:c r="F257" s="28" t="str">
        <x:v>сушёный гибискус</x:v>
      </x:c>
      <x:c r="G257" s="28" t="str">
        <x:v>dried hibiscus flower</x:v>
      </x:c>
      <x:c r="H257" s="28" t="str">
        <x:v>Прочее</x:v>
      </x:c>
      <x:c r="I257" s="28" t="str">
        <x:v>цитрусовый, сладко-фруктовый, цветочный, восковой</x:v>
      </x:c>
      <x:c r="J257" s="28" t="str">
        <x:v>нейтральный/специфический</x:v>
      </x:c>
      <x:c r="K257" s="28" t="str">
        <x:v>лимонен, линалол, деканаль, октаналь, мирцен</x:v>
      </x:c>
      <x:c r="L257" s="28" t="str">
        <x:v>нужен профиль конкретного продукта</x:v>
      </x:c>
      <x:c r="M257" s="28" t="str">
        <x:v>прямое семейное перекрытие не является главным механизмом</x:v>
      </x:c>
      <x:c r="N257" s="28" t="str">
        <x:v>надёжный общий маркер не заявлен; сочетание объясняется семействами и сенсорным балансом</x:v>
      </x:c>
      <x:c r="O257" s="28" t="str">
        <x:v>вкусовой баланс, тройничное восприятие</x:v>
      </x:c>
      <x:c r="P257" s="28" t="str">
        <x:v>Основной эффект определяется ароматическим контрастом и добавлением кислотной свежести; точный баланс зависит от дозировки и матрицы.</x:v>
      </x:c>
      <x:c r="Q257" s="28" t="str">
        <x:v>нет выраженного; нет данных</x:v>
      </x:c>
      <x:c r="R257" s="28" t="str">
        <x:v>сок водный; цедра и ликёры несут гидрофобные эфирные масла; зависит от формы продукта</x:v>
      </x:c>
      <x:c r="S25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57"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Сушёный гибискус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57" s="28" t="str">
        <x:v>Избыток кислоты делает вкус плоско-резким; белая часть кожуры даёт лишнюю горечь.</x:v>
      </x:c>
      <x:c r="V257" s="28" t="str">
        <x:v>мёд или нейтральная жировая основа</x:v>
      </x:c>
      <x:c r="W257" s="28" t="str">
        <x:v>соус, напиток или десерт после пробной дегустации</x:v>
      </x:c>
      <x:c r="X257" s="28" t="str">
        <x:v>универсальное</x:v>
      </x:c>
      <x:c r="Y257" s="28" t="str">
        <x:v>Средняя</x:v>
      </x:c>
      <x:c r="Z257" s="28" t="str">
        <x:v>The Art &amp; Science of Foodpairing.pdf</x:v>
      </x:c>
      <x:c r="AA257" s="28" t="str">
        <x:v>The Art &amp; Science of Foodpairing.pdf: 67</x:v>
      </x:c>
      <x:c r="AB257" s="28" t="str">
        <x:v>Пара представлена в ароматической диаграмме Foodpairing на странице 67.</x:v>
      </x:c>
      <x:c r="AC257" s="28" t="n">
        <x:v>1</x:v>
      </x:c>
      <x:c r="AD257" s="28" t="n">
        <x:v>1</x:v>
      </x:c>
    </x:row>
    <x:row r="258" ht="58" customHeight="1">
      <x:c r="A258" s="28" t="str">
        <x:v>CIT-0257</x:v>
      </x:c>
      <x:c r="B258" s="28" t="str">
        <x:v>Еда и соусы</x:v>
      </x:c>
      <x:c r="C258" s="28" t="str">
        <x:v>красный апельсин Моро</x:v>
      </x:c>
      <x:c r="D258" s="28" t="str">
        <x:v>Moro blood orange</x:v>
      </x:c>
      <x:c r="E258" s="28" t="str">
        <x:v>Цитрусовые</x:v>
      </x:c>
      <x:c r="F258" s="28" t="str">
        <x:v>филе скумбрии</x:v>
      </x:c>
      <x:c r="G258" s="28" t="str">
        <x:v>mackerel fillet</x:v>
      </x:c>
      <x:c r="H258" s="28" t="str">
        <x:v>Рыба и морепродукты</x:v>
      </x:c>
      <x:c r="I258" s="28" t="str">
        <x:v>цитрусовый, сладко-фруктовый, цветочный, восковой</x:v>
      </x:c>
      <x:c r="J258" s="28" t="str">
        <x:v>морской, йодистый, зелёный, жирный</x:v>
      </x:c>
      <x:c r="K258" s="28" t="str">
        <x:v>лимонен, линалол, деканаль, октаналь, мирцен</x:v>
      </x:c>
      <x:c r="L258" s="28" t="str">
        <x:v>альдегиды окисления липидов, бромфенолы, диметилсульфид, умами-соединения</x:v>
      </x:c>
      <x:c r="M258" s="28" t="str">
        <x:v>прямое семейное перекрытие не является главным механизмом</x:v>
      </x:c>
      <x:c r="N258" s="28" t="str">
        <x:v>надёжный общий маркер не заявлен; сочетание объясняется семействами и сенсорным балансом</x:v>
      </x:c>
      <x:c r="O258" s="28" t="str">
        <x:v>вкусовой баланс, влияние матрицы/растворимости</x:v>
      </x:c>
      <x:c r="P258" s="28" t="str">
        <x:v>Кислотность и лёгкая горечь цитруса снижают ощущение жирности; соль и умами, в свою очередь, делают фруктовую часть менее резкой.</x:v>
      </x:c>
      <x:c r="Q258" s="28" t="str">
        <x:v>нет выраженного; нет выраженного</x:v>
      </x:c>
      <x:c r="R258" s="28" t="str">
        <x:v>сок водный; цедра и ликёры несут гидрофобные эфирные масла; кислота может денатурировать поверхностные белки; жир рыбы удерживает терпены</x:v>
      </x:c>
      <x:c r="S25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258"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Филе скумбрии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U258" s="28" t="str">
        <x:v>Избыток кислоты делает вкус плоско-резким; белая часть кожуры даёт лишнюю горечь; слишком долгая маринация ухудшает текстуру.</x:v>
      </x:c>
      <x:c r="V258" s="28" t="str">
        <x:v>кинза или фенхель</x:v>
      </x:c>
      <x:c r="W258" s="28" t="str">
        <x:v>севиче, маринад, beurre blanc, тартар или салат</x:v>
      </x:c>
      <x:c r="X258" s="28" t="str">
        <x:v>еда, соусы/маринады</x:v>
      </x:c>
      <x:c r="Y258" s="28" t="str">
        <x:v>Средняя</x:v>
      </x:c>
      <x:c r="Z258" s="28" t="str">
        <x:v>The Art &amp; Science of Foodpairing.pdf</x:v>
      </x:c>
      <x:c r="AA258" s="28" t="str">
        <x:v>The Art &amp; Science of Foodpairing.pdf: 67</x:v>
      </x:c>
      <x:c r="AB258" s="28" t="str">
        <x:v>Пара представлена в ароматической диаграмме Foodpairing на странице 67.</x:v>
      </x:c>
      <x:c r="AC258" s="28" t="n">
        <x:v>1</x:v>
      </x:c>
      <x:c r="AD258" s="28" t="n">
        <x:v>1</x:v>
      </x:c>
    </x:row>
    <x:row r="259" ht="58" customHeight="1">
      <x:c r="A259" s="28" t="str">
        <x:v>CIT-0258</x:v>
      </x:c>
      <x:c r="B259" s="28" t="str">
        <x:v>Еда и соусы</x:v>
      </x:c>
      <x:c r="C259" s="28" t="str">
        <x:v>красный апельсин Моро</x:v>
      </x:c>
      <x:c r="D259" s="28" t="str">
        <x:v>Moro blood orange</x:v>
      </x:c>
      <x:c r="E259" s="28" t="str">
        <x:v>Цитрусовые</x:v>
      </x:c>
      <x:c r="F259" s="28" t="str">
        <x:v>цветная капуста</x:v>
      </x:c>
      <x:c r="G259" s="28" t="str">
        <x:v>cauliflower</x:v>
      </x:c>
      <x:c r="H259" s="28" t="str">
        <x:v>Овощи</x:v>
      </x:c>
      <x:c r="I259" s="28" t="str">
        <x:v>цитрусовый, сладко-фруктовый, цветочный, восковой</x:v>
      </x:c>
      <x:c r="J259" s="28" t="str">
        <x:v>зелёный, землистый, растительный, иногда сернистый</x:v>
      </x:c>
      <x:c r="K259" s="28" t="str">
        <x:v>лимонен, линалол, деканаль, октаналь, мирцен</x:v>
      </x:c>
      <x:c r="L259" s="28" t="str">
        <x:v>C6-альдегиды, метоксипиразины, геосмин (землистые), сернистые соединения</x:v>
      </x:c>
      <x:c r="M259" s="28" t="str">
        <x:v>прямое семейное перекрытие не является главным механизмом</x:v>
      </x:c>
      <x:c r="N259" s="28" t="str">
        <x:v>надёжный общий маркер не заявлен; сочетание объясняется семействами и сенсорным балансом</x:v>
      </x:c>
      <x:c r="O259" s="28" t="str">
        <x:v>вкусовой баланс</x:v>
      </x:c>
      <x:c r="P259" s="28" t="str">
        <x:v>Кислота подчёркивает природную сладость овоща, сокращает землистое/сернистое послевкусие и повышает слюноотделение.</x:v>
      </x:c>
      <x:c r="Q259" s="28" t="str">
        <x:v>нет выраженного; нет выраженного</x:v>
      </x:c>
      <x:c r="R259" s="28" t="str">
        <x:v>сок водный; цедра и ликёры несут гидрофобные эфирные масла; водная/крахмальная матрица; масло помогает распределить цедру</x:v>
      </x:c>
      <x:c r="S25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59"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Цветная капуста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259" s="28" t="str">
        <x:v>Избыток кислоты делает вкус плоско-резким; белая часть кожуры даёт лишнюю горечь.</x:v>
      </x:c>
      <x:c r="V259" s="28" t="str">
        <x:v>оливковое масло или базилик</x:v>
      </x:c>
      <x:c r="W259" s="28" t="str">
        <x:v>винегрет, салат, пюре, запечённое блюдо или овощной соус</x:v>
      </x:c>
      <x:c r="X259" s="28" t="str">
        <x:v>еда, соусы/маринады</x:v>
      </x:c>
      <x:c r="Y259" s="28" t="str">
        <x:v>Средняя</x:v>
      </x:c>
      <x:c r="Z259" s="28" t="str">
        <x:v>The Art &amp; Science of Foodpairing.pdf</x:v>
      </x:c>
      <x:c r="AA259" s="28" t="str">
        <x:v>The Art &amp; Science of Foodpairing.pdf: 67</x:v>
      </x:c>
      <x:c r="AB259" s="28" t="str">
        <x:v>Пара представлена в ароматической диаграмме Foodpairing на странице 67.</x:v>
      </x:c>
      <x:c r="AC259" s="28" t="n">
        <x:v>1</x:v>
      </x:c>
      <x:c r="AD259" s="28" t="n">
        <x:v>2</x:v>
      </x:c>
    </x:row>
    <x:row r="260" ht="58" customHeight="1">
      <x:c r="A260" s="28" t="str">
        <x:v>CIT-0259</x:v>
      </x:c>
      <x:c r="B260" s="28" t="str">
        <x:v>Напитки</x:v>
      </x:c>
      <x:c r="C260" s="28" t="str">
        <x:v>красный апельсин Тарокко</x:v>
      </x:c>
      <x:c r="D260" s="28" t="str">
        <x:v>Tarocco blood orange</x:v>
      </x:c>
      <x:c r="E260" s="28" t="str">
        <x:v>Цитрусовые</x:v>
      </x:c>
      <x:c r="F260" s="28" t="str">
        <x:v>абсент</x:v>
      </x:c>
      <x:c r="G260" s="28" t="str">
        <x:v>absinthe</x:v>
      </x:c>
      <x:c r="H260" s="28" t="str">
        <x:v>Алкогольные напитки</x:v>
      </x:c>
      <x:c r="I260" s="28" t="str">
        <x:v>цитрусовый, сладко-фруктовый, цветочный, восковой</x:v>
      </x:c>
      <x:c r="J260" s="28" t="str">
        <x:v>зависит от основы, эфирный, древесный/пряный</x:v>
      </x:c>
      <x:c r="K260" s="28" t="str">
        <x:v>лимонен, линалол, деканаль, октаналь, мирцен</x:v>
      </x:c>
      <x:c r="L260" s="28" t="str">
        <x:v>этанол, эфиры, терпены/дубовые соединения</x:v>
      </x:c>
      <x:c r="M260" s="28" t="str">
        <x:v>прямое семейное перекрытие не является главным механизмом</x:v>
      </x:c>
      <x:c r="N260" s="28" t="str">
        <x:v>надёжный общий маркер не заявлен; сочетание объясняется семействами и сенсорным балансом</x:v>
      </x:c>
      <x:c r="O260" s="28" t="str">
        <x:v>вкусовой баланс, тройничное восприятие, влияние матрицы/растворимости</x:v>
      </x:c>
      <x:c r="P260" s="28" t="str">
        <x:v>Этанол усиливает летучесть терпенов и ощущение тепла; сахар и вода регулируют кислотность, горечь кожуры и спиртуозность.</x:v>
      </x:c>
      <x:c r="Q260" s="28" t="str">
        <x:v>нет выраженного; этанол усиливает тепло и летучесть аромата</x:v>
      </x:c>
      <x:c r="R260" s="28" t="str">
        <x:v>сок водный; цедра и ликёры несут гидрофобные эфирные масла; этанол — хороший растворитель гидрофобных эфирных масел</x:v>
      </x:c>
      <x:c r="S260"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260"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Абсент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Апельсиновый профиль строится на лимонене и альдегидах с восково-сладкой нотой. Спирт извлекает цедру и усиливает ретроназальный выход терпенов; сахар и разбавление меняют баланс.</x:v>
      </x:c>
      <x:c r="U260" s="28" t="str">
        <x:v>Избыток кислоты делает вкус плоско-резким; белая часть кожуры даёт лишнюю горечь.</x:v>
      </x:c>
      <x:c r="V260" s="28" t="str">
        <x:v>сахарный сироп или биттер</x:v>
      </x:c>
      <x:c r="W260" s="28" t="str">
        <x:v>коктейль, спритц, настойка, ликёр или кордиал</x:v>
      </x:c>
      <x:c r="X260" s="28" t="str">
        <x:v>напитки</x:v>
      </x:c>
      <x:c r="Y260" s="28" t="str">
        <x:v>Средняя</x:v>
      </x:c>
      <x:c r="Z260" s="28" t="str">
        <x:v>The Art &amp; Science of Foodpairing.pdf</x:v>
      </x:c>
      <x:c r="AA260" s="28" t="str">
        <x:v>The Art &amp; Science of Foodpairing.pdf: 292</x:v>
      </x:c>
      <x:c r="AB260" s="28" t="str">
        <x:v>Пара представлена в ароматической диаграмме Foodpairing на странице 292.</x:v>
      </x:c>
      <x:c r="AC260" s="28" t="n">
        <x:v>1</x:v>
      </x:c>
      <x:c r="AD260" s="28" t="n">
        <x:v>1</x:v>
      </x:c>
    </x:row>
    <x:row r="261" ht="58" customHeight="1">
      <x:c r="A261" s="28" t="str">
        <x:v>CIT-0260</x:v>
      </x:c>
      <x:c r="B261" s="28" t="str">
        <x:v>Универсальные</x:v>
      </x:c>
      <x:c r="C261" s="28" t="str">
        <x:v>красный апельсин Тарокко</x:v>
      </x:c>
      <x:c r="D261" s="28" t="str">
        <x:v>Tarocco blood orange</x:v>
      </x:c>
      <x:c r="E261" s="28" t="str">
        <x:v>Цитрусовые</x:v>
      </x:c>
      <x:c r="F261" s="28" t="str">
        <x:v>водяной ямс</x:v>
      </x:c>
      <x:c r="G261" s="28" t="str">
        <x:v>water yam</x:v>
      </x:c>
      <x:c r="H261" s="28" t="str">
        <x:v>Прочее</x:v>
      </x:c>
      <x:c r="I261" s="28" t="str">
        <x:v>цитрусовый, сладко-фруктовый, цветочный, восковой</x:v>
      </x:c>
      <x:c r="J261" s="28" t="str">
        <x:v>нейтральный/специфический</x:v>
      </x:c>
      <x:c r="K261" s="28" t="str">
        <x:v>лимонен, линалол, деканаль, октаналь, мирцен</x:v>
      </x:c>
      <x:c r="L261" s="28" t="str">
        <x:v>нужен профиль конкретного продукта</x:v>
      </x:c>
      <x:c r="M261" s="28" t="str">
        <x:v>прямое семейное перекрытие не является главным механизмом</x:v>
      </x:c>
      <x:c r="N261" s="28" t="str">
        <x:v>надёжный общий маркер не заявлен; сочетание объясняется семействами и сенсорным балансом</x:v>
      </x:c>
      <x:c r="O261" s="28" t="str">
        <x:v>вкусовой баланс, тройничное восприятие</x:v>
      </x:c>
      <x:c r="P261" s="28" t="str">
        <x:v>Основной эффект определяется ароматическим контрастом и добавлением кислотной свежести; точный баланс зависит от дозировки и матрицы.</x:v>
      </x:c>
      <x:c r="Q261" s="28" t="str">
        <x:v>нет выраженного; нет данных</x:v>
      </x:c>
      <x:c r="R261" s="28" t="str">
        <x:v>сок водный; цедра и ликёры несут гидрофобные эфирные масла; зависит от формы продукта</x:v>
      </x:c>
      <x:c r="S26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61"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Водяной ямс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61" s="28" t="str">
        <x:v>Избыток кислоты делает вкус плоско-резким; белая часть кожуры даёт лишнюю горечь.</x:v>
      </x:c>
      <x:c r="V261" s="28" t="str">
        <x:v>мёд или нейтральная жировая основа</x:v>
      </x:c>
      <x:c r="W261" s="28" t="str">
        <x:v>соус, напиток или десерт после пробной дегустации</x:v>
      </x:c>
      <x:c r="X261" s="28" t="str">
        <x:v>универсальное</x:v>
      </x:c>
      <x:c r="Y261" s="28" t="str">
        <x:v>Средняя</x:v>
      </x:c>
      <x:c r="Z261" s="28" t="str">
        <x:v>The Art &amp; Science of Foodpairing.pdf</x:v>
      </x:c>
      <x:c r="AA261" s="28" t="str">
        <x:v>The Art &amp; Science of Foodpairing.pdf: 236</x:v>
      </x:c>
      <x:c r="AB261" s="28" t="str">
        <x:v>Пара представлена в ароматической диаграмме Foodpairing на странице 236.</x:v>
      </x:c>
      <x:c r="AC261" s="28" t="n">
        <x:v>1</x:v>
      </x:c>
      <x:c r="AD261" s="28" t="n">
        <x:v>1</x:v>
      </x:c>
    </x:row>
    <x:row r="262" ht="58" customHeight="1">
      <x:c r="A262" s="28" t="str">
        <x:v>CIT-0261</x:v>
      </x:c>
      <x:c r="B262" s="28" t="str">
        <x:v>Десерты и выпечка</x:v>
      </x:c>
      <x:c r="C262" s="28" t="str">
        <x:v>красный апельсин Тарокко</x:v>
      </x:c>
      <x:c r="D262" s="28" t="str">
        <x:v>Tarocco blood orange</x:v>
      </x:c>
      <x:c r="E262" s="28" t="str">
        <x:v>Цитрусовые</x:v>
      </x:c>
      <x:c r="F262" s="28" t="str">
        <x:v>дуриан</x:v>
      </x:c>
      <x:c r="G262" s="28" t="str">
        <x:v>durian</x:v>
      </x:c>
      <x:c r="H262" s="28" t="str">
        <x:v>Тропические фрукты</x:v>
      </x:c>
      <x:c r="I262" s="28" t="str">
        <x:v>цитрусовый, сладко-фруктовый, цветочный, восковой</x:v>
      </x:c>
      <x:c r="J262" s="28" t="str">
        <x:v>фруктовый, тропический, цветочный, сливочный</x:v>
      </x:c>
      <x:c r="K262" s="28" t="str">
        <x:v>лимонен, линалол, деканаль, октаналь, мирцен</x:v>
      </x:c>
      <x:c r="L262" s="28" t="str">
        <x:v>этилбутират, гексилацетат, лактоны, сернистые тиолы (у части фруктов)</x:v>
      </x:c>
      <x:c r="M262" s="28" t="str">
        <x:v>цветочный</x:v>
      </x:c>
      <x:c r="N262" s="28" t="str">
        <x:v>надёжный общий маркер не заявлен; сочетание объясняется семействами и сенсорным балансом</x:v>
      </x:c>
      <x:c r="O262" s="28" t="str">
        <x:v>перекрытие ароматических семейств, вкусовой баланс</x:v>
      </x:c>
      <x:c r="P262" s="28" t="str">
        <x:v>Общая фруктовая сладость и летучие эфиры создают непрерывный ароматический профиль, а цитрусовая кислота повышает контраст и свежесть.</x:v>
      </x:c>
      <x:c r="Q262" s="28" t="str">
        <x:v>нет выраженного; нет выраженного</x:v>
      </x:c>
      <x:c r="R262" s="28" t="str">
        <x:v>сок водный; цедра и ликёры несут гидрофобные эфирные масла; сочная или кремовая фруктовая матрица</x:v>
      </x:c>
      <x:c r="S26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62"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Дуриан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262" s="28" t="str">
        <x:v>Избыток кислоты делает вкус плоско-резким; белая часть кожуры даёт лишнюю горечь.</x:v>
      </x:c>
      <x:c r="V262" s="28" t="str">
        <x:v>кокос или имбирь</x:v>
      </x:c>
      <x:c r="W262" s="28" t="str">
        <x:v>смузи, кордиал, сорбет, чатни или коктейль</x:v>
      </x:c>
      <x:c r="X262" s="28" t="str">
        <x:v>напитки, десерты</x:v>
      </x:c>
      <x:c r="Y262" s="28" t="str">
        <x:v>Средняя</x:v>
      </x:c>
      <x:c r="Z262" s="28" t="str">
        <x:v>The Art &amp; Science of Foodpairing.pdf</x:v>
      </x:c>
      <x:c r="AA262" s="28" t="str">
        <x:v>The Art &amp; Science of Foodpairing.pdf: 292</x:v>
      </x:c>
      <x:c r="AB262" s="28" t="str">
        <x:v>Пара представлена в ароматической диаграмме Foodpairing на странице 292.</x:v>
      </x:c>
      <x:c r="AC262" s="28" t="n">
        <x:v>1</x:v>
      </x:c>
      <x:c r="AD262" s="28" t="n">
        <x:v>1</x:v>
      </x:c>
    </x:row>
    <x:row r="263" ht="58" customHeight="1">
      <x:c r="A263" s="28" t="str">
        <x:v>CIT-0262</x:v>
      </x:c>
      <x:c r="B263" s="28" t="str">
        <x:v>Десерты и выпечка</x:v>
      </x:c>
      <x:c r="C263" s="28" t="str">
        <x:v>красный апельсин Тарокко</x:v>
      </x:c>
      <x:c r="D263" s="28" t="str">
        <x:v>Tarocco blood orange</x:v>
      </x:c>
      <x:c r="E263" s="28" t="str">
        <x:v>Цитрусовые</x:v>
      </x:c>
      <x:c r="F263" s="28" t="str">
        <x:v>дуриан Мон Тонг</x:v>
      </x:c>
      <x:c r="G263" s="28" t="str">
        <x:v>Mon Thong durian</x:v>
      </x:c>
      <x:c r="H263" s="28" t="str">
        <x:v>Тропические фрукты</x:v>
      </x:c>
      <x:c r="I263" s="28" t="str">
        <x:v>цитрусовый, сладко-фруктовый, цветочный, восковой</x:v>
      </x:c>
      <x:c r="J263" s="28" t="str">
        <x:v>фруктовый, тропический, цветочный, сливочный</x:v>
      </x:c>
      <x:c r="K263" s="28" t="str">
        <x:v>лимонен, линалол, деканаль, октаналь, мирцен</x:v>
      </x:c>
      <x:c r="L263" s="28" t="str">
        <x:v>этилбутират, гексилацетат, лактоны, сернистые тиолы (у части фруктов)</x:v>
      </x:c>
      <x:c r="M263" s="28" t="str">
        <x:v>цветочный</x:v>
      </x:c>
      <x:c r="N263" s="28" t="str">
        <x:v>надёжный общий маркер не заявлен; сочетание объясняется семействами и сенсорным балансом</x:v>
      </x:c>
      <x:c r="O263" s="28" t="str">
        <x:v>перекрытие ароматических семейств, вкусовой баланс</x:v>
      </x:c>
      <x:c r="P263" s="28" t="str">
        <x:v>Общая фруктовая сладость и летучие эфиры создают непрерывный ароматический профиль, а цитрусовая кислота повышает контраст и свежесть.</x:v>
      </x:c>
      <x:c r="Q263" s="28" t="str">
        <x:v>нет выраженного; нет выраженного</x:v>
      </x:c>
      <x:c r="R263" s="28" t="str">
        <x:v>сок водный; цедра и ликёры несут гидрофобные эфирные масла; сочная или кремовая фруктовая матрица</x:v>
      </x:c>
      <x:c r="S26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63"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Дуриан мон тонг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263" s="28" t="str">
        <x:v>Избыток кислоты делает вкус плоско-резким; белая часть кожуры даёт лишнюю горечь.</x:v>
      </x:c>
      <x:c r="V263" s="28" t="str">
        <x:v>кокос или имбирь</x:v>
      </x:c>
      <x:c r="W263" s="28" t="str">
        <x:v>смузи, кордиал, сорбет, чатни или коктейль</x:v>
      </x:c>
      <x:c r="X263" s="28" t="str">
        <x:v>напитки, десерты</x:v>
      </x:c>
      <x:c r="Y263" s="28" t="str">
        <x:v>Средняя</x:v>
      </x:c>
      <x:c r="Z263" s="28" t="str">
        <x:v>The Art &amp; Science of Foodpairing.pdf</x:v>
      </x:c>
      <x:c r="AA263" s="28" t="str">
        <x:v>The Art &amp; Science of Foodpairing.pdf: 292</x:v>
      </x:c>
      <x:c r="AB263" s="28" t="str">
        <x:v>Пара представлена в ароматической диаграмме Foodpairing на странице 292.</x:v>
      </x:c>
      <x:c r="AC263" s="28" t="n">
        <x:v>1</x:v>
      </x:c>
      <x:c r="AD263" s="28" t="n">
        <x:v>1</x:v>
      </x:c>
    </x:row>
    <x:row r="264" ht="58" customHeight="1">
      <x:c r="A264" s="28" t="str">
        <x:v>CIT-0263</x:v>
      </x:c>
      <x:c r="B264" s="28" t="str">
        <x:v>Универсальные</x:v>
      </x:c>
      <x:c r="C264" s="28" t="str">
        <x:v>красный апельсин Тарокко</x:v>
      </x:c>
      <x:c r="D264" s="28" t="str">
        <x:v>Tarocco blood orange</x:v>
      </x:c>
      <x:c r="E264" s="28" t="str">
        <x:v>Цитрусовые</x:v>
      </x:c>
      <x:c r="F264" s="28" t="str">
        <x:v>жареная свиная грудинка</x:v>
      </x:c>
      <x:c r="G264" s="28" t="str">
        <x:v>roast pork belly</x:v>
      </x:c>
      <x:c r="H264" s="28" t="str">
        <x:v>Прочее</x:v>
      </x:c>
      <x:c r="I264" s="28" t="str">
        <x:v>цитрусовый, сладко-фруктовый, цветочный, восковой</x:v>
      </x:c>
      <x:c r="J264" s="28" t="str">
        <x:v>нейтральный/специфический</x:v>
      </x:c>
      <x:c r="K264" s="28" t="str">
        <x:v>лимонен, линалол, деканаль, октаналь, мирцен</x:v>
      </x:c>
      <x:c r="L264" s="28" t="str">
        <x:v>нужен профиль конкретного продукта</x:v>
      </x:c>
      <x:c r="M264" s="28" t="str">
        <x:v>прямое семейное перекрытие не является главным механизмом</x:v>
      </x:c>
      <x:c r="N264" s="28" t="str">
        <x:v>надёжный общий маркер не заявлен; сочетание объясняется семействами и сенсорным балансом</x:v>
      </x:c>
      <x:c r="O264" s="28" t="str">
        <x:v>вкусовой баланс, тройничное восприятие</x:v>
      </x:c>
      <x:c r="P264" s="28" t="str">
        <x:v>Основной эффект определяется ароматическим контрастом и добавлением кислотной свежести; точный баланс зависит от дозировки и матрицы.</x:v>
      </x:c>
      <x:c r="Q264" s="28" t="str">
        <x:v>нет выраженного; нет данных</x:v>
      </x:c>
      <x:c r="R264" s="28" t="str">
        <x:v>сок водный; цедра и ликёры несут гидрофобные эфирные масла; зависит от формы продукта</x:v>
      </x:c>
      <x:c r="S26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64"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Жареная свиная грудинка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64" s="28" t="str">
        <x:v>Избыток кислоты делает вкус плоско-резким; белая часть кожуры даёт лишнюю горечь.</x:v>
      </x:c>
      <x:c r="V264" s="28" t="str">
        <x:v>мёд или нейтральная жировая основа</x:v>
      </x:c>
      <x:c r="W264" s="28" t="str">
        <x:v>соус, напиток или десерт после пробной дегустации</x:v>
      </x:c>
      <x:c r="X264" s="28" t="str">
        <x:v>универсальное</x:v>
      </x:c>
      <x:c r="Y264" s="28" t="str">
        <x:v>Средняя</x:v>
      </x:c>
      <x:c r="Z264" s="28" t="str">
        <x:v>The Art &amp; Science of Foodpairing.pdf</x:v>
      </x:c>
      <x:c r="AA264" s="28" t="str">
        <x:v>The Art &amp; Science of Foodpairing.pdf: 292</x:v>
      </x:c>
      <x:c r="AB264" s="28" t="str">
        <x:v>Пара представлена в ароматической диаграмме Foodpairing на странице 292.</x:v>
      </x:c>
      <x:c r="AC264" s="28" t="n">
        <x:v>1</x:v>
      </x:c>
      <x:c r="AD264" s="28" t="n">
        <x:v>1</x:v>
      </x:c>
    </x:row>
    <x:row r="265" ht="58" customHeight="1">
      <x:c r="A265" s="28" t="str">
        <x:v>CIT-0264</x:v>
      </x:c>
      <x:c r="B265" s="28" t="str">
        <x:v>Универсальные</x:v>
      </x:c>
      <x:c r="C265" s="28" t="str">
        <x:v>красный апельсин Тарокко</x:v>
      </x:c>
      <x:c r="D265" s="28" t="str">
        <x:v>Tarocco blood orange</x:v>
      </x:c>
      <x:c r="E265" s="28" t="str">
        <x:v>Цитрусовые</x:v>
      </x:c>
      <x:c r="F265" s="28" t="str">
        <x:v>запечённый чизкейк</x:v>
      </x:c>
      <x:c r="G265" s="28" t="str">
        <x:v>baked cheesecake</x:v>
      </x:c>
      <x:c r="H265" s="28" t="str">
        <x:v>Прочее</x:v>
      </x:c>
      <x:c r="I265" s="28" t="str">
        <x:v>цитрусовый, сладко-фруктовый, цветочный, восковой</x:v>
      </x:c>
      <x:c r="J265" s="28" t="str">
        <x:v>нейтральный/специфический</x:v>
      </x:c>
      <x:c r="K265" s="28" t="str">
        <x:v>лимонен, линалол, деканаль, октаналь, мирцен</x:v>
      </x:c>
      <x:c r="L265" s="28" t="str">
        <x:v>нужен профиль конкретного продукта</x:v>
      </x:c>
      <x:c r="M265" s="28" t="str">
        <x:v>прямое семейное перекрытие не является главным механизмом</x:v>
      </x:c>
      <x:c r="N265" s="28" t="str">
        <x:v>надёжный общий маркер не заявлен; сочетание объясняется семействами и сенсорным балансом</x:v>
      </x:c>
      <x:c r="O265" s="28" t="str">
        <x:v>вкусовой баланс, тройничное восприятие</x:v>
      </x:c>
      <x:c r="P265" s="28" t="str">
        <x:v>Основной эффект определяется ароматическим контрастом и добавлением кислотной свежести; точный баланс зависит от дозировки и матрицы.</x:v>
      </x:c>
      <x:c r="Q265" s="28" t="str">
        <x:v>нет выраженного; нет данных</x:v>
      </x:c>
      <x:c r="R265" s="28" t="str">
        <x:v>сок водный; цедра и ликёры несут гидрофобные эфирные масла; зависит от формы продукта</x:v>
      </x:c>
      <x:c r="S26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65"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Запечённый чизкейк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65" s="28" t="str">
        <x:v>Избыток кислоты делает вкус плоско-резким; белая часть кожуры даёт лишнюю горечь.</x:v>
      </x:c>
      <x:c r="V265" s="28" t="str">
        <x:v>мёд или нейтральная жировая основа</x:v>
      </x:c>
      <x:c r="W265" s="28" t="str">
        <x:v>соус, напиток или десерт после пробной дегустации</x:v>
      </x:c>
      <x:c r="X265" s="28" t="str">
        <x:v>универсальное</x:v>
      </x:c>
      <x:c r="Y265" s="28" t="str">
        <x:v>Средняя</x:v>
      </x:c>
      <x:c r="Z265" s="28" t="str">
        <x:v>The Art &amp; Science of Foodpairing.pdf</x:v>
      </x:c>
      <x:c r="AA265" s="28" t="str">
        <x:v>The Art &amp; Science of Foodpairing.pdf: 292</x:v>
      </x:c>
      <x:c r="AB265" s="28" t="str">
        <x:v>Пара представлена в ароматической диаграмме Foodpairing на странице 292.</x:v>
      </x:c>
      <x:c r="AC265" s="28" t="n">
        <x:v>1</x:v>
      </x:c>
      <x:c r="AD265" s="28" t="n">
        <x:v>1</x:v>
      </x:c>
    </x:row>
    <x:row r="266" ht="58" customHeight="1">
      <x:c r="A266" s="28" t="str">
        <x:v>CIT-0265</x:v>
      </x:c>
      <x:c r="B266" s="28" t="str">
        <x:v>Еда и соусы</x:v>
      </x:c>
      <x:c r="C266" s="28" t="str">
        <x:v>красный апельсин Тарокко</x:v>
      </x:c>
      <x:c r="D266" s="28" t="str">
        <x:v>Tarocco blood orange</x:v>
      </x:c>
      <x:c r="E266" s="28" t="str">
        <x:v>Цитрусовые</x:v>
      </x:c>
      <x:c r="F266" s="28" t="str">
        <x:v>зелёная спаржа</x:v>
      </x:c>
      <x:c r="G266" s="28" t="str">
        <x:v>green asparagus</x:v>
      </x:c>
      <x:c r="H266" s="28" t="str">
        <x:v>Овощи</x:v>
      </x:c>
      <x:c r="I266" s="28" t="str">
        <x:v>цитрусовый, сладко-фруктовый, цветочный, восковой</x:v>
      </x:c>
      <x:c r="J266" s="28" t="str">
        <x:v>зелёный, землистый, растительный, иногда сернистый</x:v>
      </x:c>
      <x:c r="K266" s="28" t="str">
        <x:v>лимонен, линалол, деканаль, октаналь, мирцен</x:v>
      </x:c>
      <x:c r="L266" s="28" t="str">
        <x:v>C6-альдегиды, метоксипиразины, геосмин (землистые), сернистые соединения</x:v>
      </x:c>
      <x:c r="M266" s="28" t="str">
        <x:v>прямое семейное перекрытие не является главным механизмом</x:v>
      </x:c>
      <x:c r="N266" s="28" t="str">
        <x:v>надёжный общий маркер не заявлен; сочетание объясняется семействами и сенсорным балансом</x:v>
      </x:c>
      <x:c r="O266" s="28" t="str">
        <x:v>вкусовой баланс</x:v>
      </x:c>
      <x:c r="P266" s="28" t="str">
        <x:v>Кислота подчёркивает природную сладость овоща, сокращает землистое/сернистое послевкусие и повышает слюноотделение.</x:v>
      </x:c>
      <x:c r="Q266" s="28" t="str">
        <x:v>нет выраженного; нет выраженного</x:v>
      </x:c>
      <x:c r="R266" s="28" t="str">
        <x:v>сок водный; цедра и ликёры несут гидрофобные эфирные масла; водная/крахмальная матрица; масло помогает распределить цедру</x:v>
      </x:c>
      <x:c r="S26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66"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Зелёная спаржа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266" s="28" t="str">
        <x:v>Избыток кислоты делает вкус плоско-резким; белая часть кожуры даёт лишнюю горечь.</x:v>
      </x:c>
      <x:c r="V266" s="28" t="str">
        <x:v>оливковое масло или базилик</x:v>
      </x:c>
      <x:c r="W266" s="28" t="str">
        <x:v>винегрет, салат, пюре, запечённое блюдо или овощной соус</x:v>
      </x:c>
      <x:c r="X266" s="28" t="str">
        <x:v>еда, соусы/маринады</x:v>
      </x:c>
      <x:c r="Y266" s="28" t="str">
        <x:v>Средняя</x:v>
      </x:c>
      <x:c r="Z266" s="28" t="str">
        <x:v>The Art &amp; Science of Foodpairing.pdf</x:v>
      </x:c>
      <x:c r="AA266" s="28" t="str">
        <x:v>The Art &amp; Science of Foodpairing.pdf: 292</x:v>
      </x:c>
      <x:c r="AB266" s="28" t="str">
        <x:v>Пара представлена в ароматической диаграмме Foodpairing на странице 292.</x:v>
      </x:c>
      <x:c r="AC266" s="28" t="n">
        <x:v>1</x:v>
      </x:c>
      <x:c r="AD266" s="28" t="n">
        <x:v>1</x:v>
      </x:c>
    </x:row>
    <x:row r="267" ht="58" customHeight="1">
      <x:c r="A267" s="28" t="str">
        <x:v>CIT-0266</x:v>
      </x:c>
      <x:c r="B267" s="28" t="str">
        <x:v>Десерты и выпечка</x:v>
      </x:c>
      <x:c r="C267" s="28" t="str">
        <x:v>красный апельсин Тарокко</x:v>
      </x:c>
      <x:c r="D267" s="28" t="str">
        <x:v>Tarocco blood orange</x:v>
      </x:c>
      <x:c r="E267" s="28" t="str">
        <x:v>Цитрусовые</x:v>
      </x:c>
      <x:c r="F267" s="28" t="str">
        <x:v>кедровый орех</x:v>
      </x:c>
      <x:c r="G267" s="28" t="str">
        <x:v>pine nut</x:v>
      </x:c>
      <x:c r="H267" s="28" t="str">
        <x:v>Орехи и семена</x:v>
      </x:c>
      <x:c r="I267" s="28" t="str">
        <x:v>цитрусовый, сладко-фруктовый, цветочный, восковой</x:v>
      </x:c>
      <x:c r="J267" s="28" t="str">
        <x:v>ореховый, обжаренный, жирный, зелёный</x:v>
      </x:c>
      <x:c r="K267" s="28" t="str">
        <x:v>лимонен, линалол, деканаль, октаналь, мирцен</x:v>
      </x:c>
      <x:c r="L267" s="28" t="str">
        <x:v>пиразины, альдегиды окисления жиров, бензальдегид (миндаль)</x:v>
      </x:c>
      <x:c r="M267" s="28" t="str">
        <x:v>прямое семейное перекрытие не является главным механизмом</x:v>
      </x:c>
      <x:c r="N267" s="28" t="str">
        <x:v>надёжный общий маркер не заявлен; сочетание объясняется семействами и сенсорным балансом</x:v>
      </x:c>
      <x:c r="O267" s="28" t="str">
        <x:v>вкусовой баланс, влияние матрицы/растворимости</x:v>
      </x:c>
      <x:c r="P267" s="28" t="str">
        <x:v>Кислотность и лёгкая горечь цитруса снижают ощущение жирности; соль и умами, в свою очередь, делают фруктовую часть менее резкой.</x:v>
      </x:c>
      <x:c r="Q267" s="28" t="str">
        <x:v>нет выраженного; нет выраженного</x:v>
      </x:c>
      <x:c r="R267" s="28" t="str">
        <x:v>сок водный; цедра и ликёры несут гидрофобные эфирные масла; высокая жирность растворяет терпеновые масла цитруса</x:v>
      </x:c>
      <x:c r="S26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67"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Кедровый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U267" s="28" t="str">
        <x:v>Избыток кислоты делает вкус плоско-резким; белая часть кожуры даёт лишнюю горечь.</x:v>
      </x:c>
      <x:c r="V267" s="28" t="str">
        <x:v>мёд или шоколад</x:v>
      </x:c>
      <x:c r="W267" s="28" t="str">
        <x:v>пралине, крем, выпечка, салат или ореховый соус</x:v>
      </x:c>
      <x:c r="X267" s="28" t="str">
        <x:v>десерты</x:v>
      </x:c>
      <x:c r="Y267" s="28" t="str">
        <x:v>Средняя</x:v>
      </x:c>
      <x:c r="Z267" s="28" t="str">
        <x:v>The Art &amp; Science of Foodpairing.pdf</x:v>
      </x:c>
      <x:c r="AA267" s="28" t="str">
        <x:v>The Art &amp; Science of Foodpairing.pdf: 104</x:v>
      </x:c>
      <x:c r="AB267" s="28" t="str">
        <x:v>Пара представлена в ароматической диаграмме Foodpairing на странице 104.</x:v>
      </x:c>
      <x:c r="AC267" s="28" t="n">
        <x:v>1</x:v>
      </x:c>
      <x:c r="AD267" s="28" t="n">
        <x:v>1</x:v>
      </x:c>
    </x:row>
    <x:row r="268" ht="58" customHeight="1">
      <x:c r="A268" s="28" t="str">
        <x:v>CIT-0267</x:v>
      </x:c>
      <x:c r="B268" s="28" t="str">
        <x:v>Десерты и выпечка</x:v>
      </x:c>
      <x:c r="C268" s="28" t="str">
        <x:v>красный апельсин Тарокко</x:v>
      </x:c>
      <x:c r="D268" s="28" t="str">
        <x:v>Tarocco blood orange</x:v>
      </x:c>
      <x:c r="E268" s="28" t="str">
        <x:v>Цитрусовые</x:v>
      </x:c>
      <x:c r="F268" s="28" t="str">
        <x:v>кокосовая вода</x:v>
      </x:c>
      <x:c r="G268" s="28" t="str">
        <x:v>coconut water</x:v>
      </x:c>
      <x:c r="H268" s="28" t="str">
        <x:v>Тропические плоды</x:v>
      </x:c>
      <x:c r="I268" s="28" t="str">
        <x:v>цитрусовый, сладко-фруктовый, цветочный, восковой</x:v>
      </x:c>
      <x:c r="J268" s="28" t="str">
        <x:v>сливочный, кокосовый, восковой, ореховый</x:v>
      </x:c>
      <x:c r="K268" s="28" t="str">
        <x:v>лимонен, линалол, деканаль, октаналь, мирцен</x:v>
      </x:c>
      <x:c r="L268" s="28" t="str">
        <x:v>гамма-ноналактон, дельта-декалактон, жирные кислоты</x:v>
      </x:c>
      <x:c r="M268" s="28" t="str">
        <x:v>восковой</x:v>
      </x:c>
      <x:c r="N268" s="28" t="str">
        <x:v>надёжный общий маркер не заявлен; сочетание объясняется семействами и сенсорным балансом</x:v>
      </x:c>
      <x:c r="O268" s="28" t="str">
        <x:v>перекрытие ароматических семейств, вкусовой баланс</x:v>
      </x:c>
      <x:c r="P268" s="28" t="str">
        <x:v>Общая фруктовая сладость и летучие эфиры создают непрерывный ароматический профиль, а цитрусовая кислота повышает контраст и свежесть.</x:v>
      </x:c>
      <x:c r="Q268" s="28" t="str">
        <x:v>нет выраженного; нет выраженного</x:v>
      </x:c>
      <x:c r="R268" s="28" t="str">
        <x:v>сок водный; цедра и ликёры несут гидрофобные эфирные масла; жирная эмульсионная матрица хорошо удерживает терпены</x:v>
      </x:c>
      <x:c r="S26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68"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Кокосовая вода относится к группе «тропические плоды» и даёт ноты «сливочный, кокосовый, восковой, ореховый». Прямой общий ключевой одорант из доступных профилей не фиксируется, однако продукты пересекаются на уровне семейств: восковой.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Кокос округляет кислотность и продлевает цитрусовый аромат.</x:v>
      </x:c>
      <x:c r="U268" s="28" t="str">
        <x:v>Избыток кислоты делает вкус плоско-резким; белая часть кожуры даёт лишнюю горечь.</x:v>
      </x:c>
      <x:c r="V268" s="28" t="str">
        <x:v>имбирь или мята</x:v>
      </x:c>
      <x:c r="W268" s="28" t="str">
        <x:v>коктейль, крем, сорбет или соус</x:v>
      </x:c>
      <x:c r="X268" s="28" t="str">
        <x:v>напитки, десерты</x:v>
      </x:c>
      <x:c r="Y268" s="28" t="str">
        <x:v>Средняя</x:v>
      </x:c>
      <x:c r="Z268" s="28" t="str">
        <x:v>The Art &amp; Science of Foodpairing.pdf</x:v>
      </x:c>
      <x:c r="AA268" s="28" t="str">
        <x:v>The Art &amp; Science of Foodpairing.pdf: 292</x:v>
      </x:c>
      <x:c r="AB268" s="28" t="str">
        <x:v>Пара представлена в ароматической диаграмме Foodpairing на странице 292.</x:v>
      </x:c>
      <x:c r="AC268" s="28" t="n">
        <x:v>1</x:v>
      </x:c>
      <x:c r="AD268" s="28" t="n">
        <x:v>1</x:v>
      </x:c>
    </x:row>
    <x:row r="269" ht="58" customHeight="1">
      <x:c r="A269" s="28" t="str">
        <x:v>CIT-0268</x:v>
      </x:c>
      <x:c r="B269" s="28" t="str">
        <x:v>Универсальные</x:v>
      </x:c>
      <x:c r="C269" s="28" t="str">
        <x:v>красный апельсин Тарокко</x:v>
      </x:c>
      <x:c r="D269" s="28" t="str">
        <x:v>Tarocco blood orange</x:v>
      </x:c>
      <x:c r="E269" s="28" t="str">
        <x:v>Цитрусовые</x:v>
      </x:c>
      <x:c r="F269" s="28" t="str">
        <x:v>крем-де-кассис</x:v>
      </x:c>
      <x:c r="G269" s="28" t="str">
        <x:v>creme de cassis</x:v>
      </x:c>
      <x:c r="H269" s="28" t="str">
        <x:v>Прочее</x:v>
      </x:c>
      <x:c r="I269" s="28" t="str">
        <x:v>цитрусовый, сладко-фруктовый, цветочный, восковой</x:v>
      </x:c>
      <x:c r="J269" s="28" t="str">
        <x:v>нейтральный/специфический</x:v>
      </x:c>
      <x:c r="K269" s="28" t="str">
        <x:v>лимонен, линалол, деканаль, октаналь, мирцен</x:v>
      </x:c>
      <x:c r="L269" s="28" t="str">
        <x:v>нужен профиль конкретного продукта</x:v>
      </x:c>
      <x:c r="M269" s="28" t="str">
        <x:v>прямое семейное перекрытие не является главным механизмом</x:v>
      </x:c>
      <x:c r="N269" s="28" t="str">
        <x:v>надёжный общий маркер не заявлен; сочетание объясняется семействами и сенсорным балансом</x:v>
      </x:c>
      <x:c r="O269" s="28" t="str">
        <x:v>вкусовой баланс, тройничное восприятие</x:v>
      </x:c>
      <x:c r="P269" s="28" t="str">
        <x:v>Основной эффект определяется ароматическим контрастом и добавлением кислотной свежести; точный баланс зависит от дозировки и матрицы.</x:v>
      </x:c>
      <x:c r="Q269" s="28" t="str">
        <x:v>нет выраженного; нет данных</x:v>
      </x:c>
      <x:c r="R269" s="28" t="str">
        <x:v>сок водный; цедра и ликёры несут гидрофобные эфирные масла; зависит от формы продукта</x:v>
      </x:c>
      <x:c r="S26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69"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Крем-де-кассис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69" s="28" t="str">
        <x:v>Избыток кислоты делает вкус плоско-резким; белая часть кожуры даёт лишнюю горечь.</x:v>
      </x:c>
      <x:c r="V269" s="28" t="str">
        <x:v>мёд или нейтральная жировая основа</x:v>
      </x:c>
      <x:c r="W269" s="28" t="str">
        <x:v>соус, напиток или десерт после пробной дегустации</x:v>
      </x:c>
      <x:c r="X269" s="28" t="str">
        <x:v>универсальное</x:v>
      </x:c>
      <x:c r="Y269" s="28" t="str">
        <x:v>Средняя</x:v>
      </x:c>
      <x:c r="Z269" s="28" t="str">
        <x:v>The Art &amp; Science of Foodpairing.pdf</x:v>
      </x:c>
      <x:c r="AA269" s="28" t="str">
        <x:v>The Art &amp; Science of Foodpairing.pdf: 292</x:v>
      </x:c>
      <x:c r="AB269" s="28" t="str">
        <x:v>Пара представлена в ароматической диаграмме Foodpairing на странице 292.</x:v>
      </x:c>
      <x:c r="AC269" s="28" t="n">
        <x:v>1</x:v>
      </x:c>
      <x:c r="AD269" s="28" t="n">
        <x:v>1</x:v>
      </x:c>
    </x:row>
    <x:row r="270" ht="58" customHeight="1">
      <x:c r="A270" s="28" t="str">
        <x:v>CIT-0269</x:v>
      </x:c>
      <x:c r="B270" s="28" t="str">
        <x:v>Универсальные</x:v>
      </x:c>
      <x:c r="C270" s="28" t="str">
        <x:v>красный апельсин Тарокко</x:v>
      </x:c>
      <x:c r="D270" s="28" t="str">
        <x:v>Tarocco blood orange</x:v>
      </x:c>
      <x:c r="E270" s="28" t="str">
        <x:v>Цитрусовые</x:v>
      </x:c>
      <x:c r="F270" s="28" t="str">
        <x:v>лимонник китайский (омиджа)</x:v>
      </x:c>
      <x:c r="G270" s="28" t="str">
        <x:v>omija berry</x:v>
      </x:c>
      <x:c r="H270" s="28" t="str">
        <x:v>Цитрусовые</x:v>
      </x:c>
      <x:c r="I270" s="28" t="str">
        <x:v>цитрусовый, сладко-фруктовый, цветочный, восковой</x:v>
      </x:c>
      <x:c r="J270" s="28" t="str">
        <x:v>цитрусовый, свежий, цветочный, древесный</x:v>
      </x:c>
      <x:c r="K270" s="28" t="str">
        <x:v>лимонен, линалол, деканаль, октаналь, мирцен</x:v>
      </x:c>
      <x:c r="L270" s="28" t="str">
        <x:v>цитраль (гераниаль + нераль), лимонен, гамма-терпинен, бета-пинен</x:v>
      </x:c>
      <x:c r="M270" s="28" t="str">
        <x:v>цветочный, цитрусовый</x:v>
      </x:c>
      <x:c r="N270" s="28" t="str">
        <x:v>лимонен</x:v>
      </x:c>
      <x:c r="O270" s="28" t="str">
        <x:v>общие ароматические молекулы, перекрытие ароматических семейств, вкусовой баланс, тройничное восприятие</x:v>
      </x:c>
      <x:c r="P270" s="28" t="str">
        <x:v>Сочетание строится на близком терпеновом профиле; различия в кислотности, горечи и цветочно-зелёных оттенках создают объём.</x:v>
      </x:c>
      <x:c r="Q270" s="28" t="str">
        <x:v>нет выраженного; кислота усиливает слюноотделение</x:v>
      </x:c>
      <x:c r="R270" s="28" t="str">
        <x:v>сок водный; цедра и ликёры несут гидрофобные эфирные масла; сок — водная кислая фаза; цедра — гидрофобное эфирное масло</x:v>
      </x:c>
      <x:c r="S27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70"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Лимонник китайский (омиджа)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U270" s="28" t="str">
        <x:v>Избыток кислоты делает вкус плоско-резким; белая часть кожуры даёт лишнюю горечь.</x:v>
      </x:c>
      <x:c r="V270" s="28" t="str">
        <x:v>мёд или цветочная вода</x:v>
      </x:c>
      <x:c r="W270" s="28" t="str">
        <x:v>цитрусовый кордиал, мармелад, сорбет, салат или купаж соков</x:v>
      </x:c>
      <x:c r="X270" s="28" t="str">
        <x:v>напитки, десерты</x:v>
      </x:c>
      <x:c r="Y270" s="28" t="str">
        <x:v>Средняя</x:v>
      </x:c>
      <x:c r="Z270" s="28" t="str">
        <x:v>The Art &amp; Science of Foodpairing.pdf</x:v>
      </x:c>
      <x:c r="AA270" s="28" t="str">
        <x:v>The Art &amp; Science of Foodpairing.pdf: 218</x:v>
      </x:c>
      <x:c r="AB270" s="28" t="str">
        <x:v>Пара представлена в ароматической диаграмме Foodpairing на странице 218.</x:v>
      </x:c>
      <x:c r="AC270" s="28" t="n">
        <x:v>1</x:v>
      </x:c>
      <x:c r="AD270" s="28" t="n">
        <x:v>1</x:v>
      </x:c>
    </x:row>
    <x:row r="271" ht="58" customHeight="1">
      <x:c r="A271" s="28" t="str">
        <x:v>CIT-0270</x:v>
      </x:c>
      <x:c r="B271" s="28" t="str">
        <x:v>Универсальные</x:v>
      </x:c>
      <x:c r="C271" s="28" t="str">
        <x:v>красный апельсин Тарокко</x:v>
      </x:c>
      <x:c r="D271" s="28" t="str">
        <x:v>Tarocco blood orange</x:v>
      </x:c>
      <x:c r="E271" s="28" t="str">
        <x:v>Цитрусовые</x:v>
      </x:c>
      <x:c r="F271" s="28" t="str">
        <x:v>лист манжетки</x:v>
      </x:c>
      <x:c r="G271" s="28" t="str">
        <x:v>lady's mantle leaf</x:v>
      </x:c>
      <x:c r="H271" s="28" t="str">
        <x:v>Прочее</x:v>
      </x:c>
      <x:c r="I271" s="28" t="str">
        <x:v>цитрусовый, сладко-фруктовый, цветочный, восковой</x:v>
      </x:c>
      <x:c r="J271" s="28" t="str">
        <x:v>нейтральный/специфический</x:v>
      </x:c>
      <x:c r="K271" s="28" t="str">
        <x:v>лимонен, линалол, деканаль, октаналь, мирцен</x:v>
      </x:c>
      <x:c r="L271" s="28" t="str">
        <x:v>нужен профиль конкретного продукта</x:v>
      </x:c>
      <x:c r="M271" s="28" t="str">
        <x:v>прямое семейное перекрытие не является главным механизмом</x:v>
      </x:c>
      <x:c r="N271" s="28" t="str">
        <x:v>надёжный общий маркер не заявлен; сочетание объясняется семействами и сенсорным балансом</x:v>
      </x:c>
      <x:c r="O271" s="28" t="str">
        <x:v>вкусовой баланс, тройничное восприятие</x:v>
      </x:c>
      <x:c r="P271" s="28" t="str">
        <x:v>Основной эффект определяется ароматическим контрастом и добавлением кислотной свежести; точный баланс зависит от дозировки и матрицы.</x:v>
      </x:c>
      <x:c r="Q271" s="28" t="str">
        <x:v>нет выраженного; нет данных</x:v>
      </x:c>
      <x:c r="R271" s="28" t="str">
        <x:v>сок водный; цедра и ликёры несут гидрофобные эфирные масла; зависит от формы продукта</x:v>
      </x:c>
      <x:c r="S27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71"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Лист манжетки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271" s="28" t="str">
        <x:v>Избыток кислоты делает вкус плоско-резким; белая часть кожуры даёт лишнюю горечь.</x:v>
      </x:c>
      <x:c r="V271" s="28" t="str">
        <x:v>мёд или нейтральная жировая основа</x:v>
      </x:c>
      <x:c r="W271" s="28" t="str">
        <x:v>соус, напиток или десерт после пробной дегустации</x:v>
      </x:c>
      <x:c r="X271" s="28" t="str">
        <x:v>универсальное</x:v>
      </x:c>
      <x:c r="Y271" s="28" t="str">
        <x:v>Средняя</x:v>
      </x:c>
      <x:c r="Z271" s="28" t="str">
        <x:v>The Art &amp; Science of Foodpairing.pdf</x:v>
      </x:c>
      <x:c r="AA271" s="28" t="str">
        <x:v>The Art &amp; Science of Foodpairing.pdf: 320</x:v>
      </x:c>
      <x:c r="AB271" s="28" t="str">
        <x:v>Пара представлена в ароматической диаграмме Foodpairing на странице 320.</x:v>
      </x:c>
      <x:c r="AC271" s="28" t="n">
        <x:v>1</x:v>
      </x:c>
      <x:c r="AD271" s="28" t="n">
        <x:v>1</x:v>
      </x:c>
    </x:row>
    <x:row r="272" ht="58" customHeight="1">
      <x:c r="A272" s="28" t="str">
        <x:v>CIT-0271</x:v>
      </x:c>
      <x:c r="B272" s="28" t="str">
        <x:v>Десерты и выпечка</x:v>
      </x:c>
      <x:c r="C272" s="28" t="str">
        <x:v>красный апельсин Тарокко</x:v>
      </x:c>
      <x:c r="D272" s="28" t="str">
        <x:v>Tarocco blood orange</x:v>
      </x:c>
      <x:c r="E272" s="28" t="str">
        <x:v>Цитрусовые</x:v>
      </x:c>
      <x:c r="F272" s="28" t="str">
        <x:v>лонган</x:v>
      </x:c>
      <x:c r="G272" s="28" t="str">
        <x:v>longan fruit</x:v>
      </x:c>
      <x:c r="H272" s="28" t="str">
        <x:v>Тропические фрукты</x:v>
      </x:c>
      <x:c r="I272" s="28" t="str">
        <x:v>цитрусовый, сладко-фруктовый, цветочный, восковой</x:v>
      </x:c>
      <x:c r="J272" s="28" t="str">
        <x:v>фруктовый, тропический, цветочный, сливочный</x:v>
      </x:c>
      <x:c r="K272" s="28" t="str">
        <x:v>лимонен, линалол, деканаль, октаналь, мирцен</x:v>
      </x:c>
      <x:c r="L272" s="28" t="str">
        <x:v>этилбутират, гексилацетат, лактоны, сернистые тиолы (у части фруктов)</x:v>
      </x:c>
      <x:c r="M272" s="28" t="str">
        <x:v>цветочный</x:v>
      </x:c>
      <x:c r="N272" s="28" t="str">
        <x:v>надёжный общий маркер не заявлен; сочетание объясняется семействами и сенсорным балансом</x:v>
      </x:c>
      <x:c r="O272" s="28" t="str">
        <x:v>перекрытие ароматических семейств, вкусовой баланс</x:v>
      </x:c>
      <x:c r="P272" s="28" t="str">
        <x:v>Общая фруктовая сладость и летучие эфиры создают непрерывный ароматический профиль, а цитрусовая кислота повышает контраст и свежесть.</x:v>
      </x:c>
      <x:c r="Q272" s="28" t="str">
        <x:v>нет выраженного; нет выраженного</x:v>
      </x:c>
      <x:c r="R272" s="28" t="str">
        <x:v>сок водный; цедра и ликёры несут гидрофобные эфирные масла; сочная или кремовая фруктовая матрица</x:v>
      </x:c>
      <x:c r="S27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72"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Лонган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272" s="28" t="str">
        <x:v>Избыток кислоты делает вкус плоско-резким; белая часть кожуры даёт лишнюю горечь.</x:v>
      </x:c>
      <x:c r="V272" s="28" t="str">
        <x:v>кокос или имбирь</x:v>
      </x:c>
      <x:c r="W272" s="28" t="str">
        <x:v>смузи, кордиал, сорбет, чатни или коктейль</x:v>
      </x:c>
      <x:c r="X272" s="28" t="str">
        <x:v>напитки, десерты</x:v>
      </x:c>
      <x:c r="Y272" s="28" t="str">
        <x:v>Средняя</x:v>
      </x:c>
      <x:c r="Z272" s="28" t="str">
        <x:v>The Art &amp; Science of Foodpairing.pdf</x:v>
      </x:c>
      <x:c r="AA272" s="28" t="str">
        <x:v>The Art &amp; Science of Foodpairing.pdf: 74</x:v>
      </x:c>
      <x:c r="AB272" s="28" t="str">
        <x:v>Пара представлена в ароматической диаграмме Foodpairing на странице 74.</x:v>
      </x:c>
      <x:c r="AC272" s="28" t="n">
        <x:v>1</x:v>
      </x:c>
      <x:c r="AD272" s="28" t="n">
        <x:v>1</x:v>
      </x:c>
    </x:row>
    <x:row r="273" ht="58" customHeight="1">
      <x:c r="A273" s="28" t="str">
        <x:v>CIT-0272</x:v>
      </x:c>
      <x:c r="B273" s="28" t="str">
        <x:v>Десерты и выпечка</x:v>
      </x:c>
      <x:c r="C273" s="28" t="str">
        <x:v>красный апельсин Тарокко</x:v>
      </x:c>
      <x:c r="D273" s="28" t="str">
        <x:v>Tarocco blood orange</x:v>
      </x:c>
      <x:c r="E273" s="28" t="str">
        <x:v>Цитрусовые</x:v>
      </x:c>
      <x:c r="F273" s="28" t="str">
        <x:v>манго</x:v>
      </x:c>
      <x:c r="G273" s="28" t="str">
        <x:v>mango</x:v>
      </x:c>
      <x:c r="H273" s="28" t="str">
        <x:v>Тропические фрукты</x:v>
      </x:c>
      <x:c r="I273" s="28" t="str">
        <x:v>цитрусовый, сладко-фруктовый, цветочный, восковой</x:v>
      </x:c>
      <x:c r="J273" s="28" t="str">
        <x:v>фруктовый, тропический, цветочный, сливочный</x:v>
      </x:c>
      <x:c r="K273" s="28" t="str">
        <x:v>лимонен, линалол, деканаль, октаналь, мирцен</x:v>
      </x:c>
      <x:c r="L273" s="28" t="str">
        <x:v>этилбутират, гексилацетат, лактоны, сернистые тиолы (у части фруктов)</x:v>
      </x:c>
      <x:c r="M273" s="28" t="str">
        <x:v>цветочный</x:v>
      </x:c>
      <x:c r="N273" s="28" t="str">
        <x:v>надёжный общий маркер не заявлен; сочетание объясняется семействами и сенсорным балансом</x:v>
      </x:c>
      <x:c r="O273" s="28" t="str">
        <x:v>перекрытие ароматических семейств, вкусовой баланс</x:v>
      </x:c>
      <x:c r="P273" s="28" t="str">
        <x:v>Общая фруктовая сладость и летучие эфиры создают непрерывный ароматический профиль, а цитрусовая кислота повышает контраст и свежесть.</x:v>
      </x:c>
      <x:c r="Q273" s="28" t="str">
        <x:v>нет выраженного; нет выраженного</x:v>
      </x:c>
      <x:c r="R273" s="28" t="str">
        <x:v>сок водный; цедра и ликёры несут гидрофобные эфирные масла; сочная или кремовая фруктовая матрица</x:v>
      </x:c>
      <x:c r="S27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73"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U273" s="28" t="str">
        <x:v>Избыток кислоты делает вкус плоско-резким; белая часть кожуры даёт лишнюю горечь.</x:v>
      </x:c>
      <x:c r="V273" s="28" t="str">
        <x:v>кокос или имбирь</x:v>
      </x:c>
      <x:c r="W273" s="28" t="str">
        <x:v>смузи, кордиал, сорбет, чатни или коктейль</x:v>
      </x:c>
      <x:c r="X273" s="28" t="str">
        <x:v>напитки, десерты</x:v>
      </x:c>
      <x:c r="Y273" s="28" t="str">
        <x:v>Средняя</x:v>
      </x:c>
      <x:c r="Z273" s="28" t="str">
        <x:v>The Art &amp; Science of Foodpairing.pdf</x:v>
      </x:c>
      <x:c r="AA273" s="28" t="str">
        <x:v>The Art &amp; Science of Foodpairing.pdf: 292</x:v>
      </x:c>
      <x:c r="AB273" s="28" t="str">
        <x:v>Пара представлена в ароматической диаграмме Foodpairing на странице 292.</x:v>
      </x:c>
      <x:c r="AC273" s="28" t="n">
        <x:v>1</x:v>
      </x:c>
      <x:c r="AD273" s="28" t="n">
        <x:v>1</x:v>
      </x:c>
    </x:row>
    <x:row r="274" ht="58" customHeight="1">
      <x:c r="A274" s="28" t="str">
        <x:v>CIT-0273</x:v>
      </x:c>
      <x:c r="B274" s="28" t="str">
        <x:v>Напитки</x:v>
      </x:c>
      <x:c r="C274" s="28" t="str">
        <x:v>красный апельсин Тарокко</x:v>
      </x:c>
      <x:c r="D274" s="28" t="str">
        <x:v>Tarocco blood orange</x:v>
      </x:c>
      <x:c r="E274" s="28" t="str">
        <x:v>Цитрусовые</x:v>
      </x:c>
      <x:c r="F274" s="28" t="str">
        <x:v>облепиховый ликёр</x:v>
      </x:c>
      <x:c r="G274" s="28" t="str">
        <x:v>sea buckthorn liqueur</x:v>
      </x:c>
      <x:c r="H274" s="28" t="str">
        <x:v>Алкогольные напитки</x:v>
      </x:c>
      <x:c r="I274" s="28" t="str">
        <x:v>цитрусовый, сладко-фруктовый, цветочный, восковой</x:v>
      </x:c>
      <x:c r="J274" s="28" t="str">
        <x:v>зависит от основы, эфирный, древесный/пряный</x:v>
      </x:c>
      <x:c r="K274" s="28" t="str">
        <x:v>лимонен, линалол, деканаль, октаналь, мирцен</x:v>
      </x:c>
      <x:c r="L274" s="28" t="str">
        <x:v>этанол, эфиры, терпены/дубовые соединения</x:v>
      </x:c>
      <x:c r="M274" s="28" t="str">
        <x:v>прямое семейное перекрытие не является главным механизмом</x:v>
      </x:c>
      <x:c r="N274" s="28" t="str">
        <x:v>надёжный общий маркер не заявлен; сочетание объясняется семействами и сенсорным балансом</x:v>
      </x:c>
      <x:c r="O274" s="28" t="str">
        <x:v>вкусовой баланс, тройничное восприятие, влияние матрицы/растворимости</x:v>
      </x:c>
      <x:c r="P274" s="28" t="str">
        <x:v>Этанол усиливает летучесть терпенов и ощущение тепла; сахар и вода регулируют кислотность, горечь кожуры и спиртуозность.</x:v>
      </x:c>
      <x:c r="Q274" s="28" t="str">
        <x:v>нет выраженного; этанол усиливает тепло и летучесть аромата</x:v>
      </x:c>
      <x:c r="R274" s="28" t="str">
        <x:v>сок водный; цедра и ликёры несут гидрофобные эфирные масла; этанол — хороший растворитель гидрофобных эфирных масел</x:v>
      </x:c>
      <x:c r="S274"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274"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Облепиховый ликёр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Апельсиновый профиль строится на лимонене и альдегидах с восково-сладкой нотой. Спирт извлекает цедру и усиливает ретроназальный выход терпенов; сахар и разбавление меняют баланс.</x:v>
      </x:c>
      <x:c r="U274" s="28" t="str">
        <x:v>Избыток кислоты делает вкус плоско-резким; белая часть кожуры даёт лишнюю горечь.</x:v>
      </x:c>
      <x:c r="V274" s="28" t="str">
        <x:v>сахарный сироп или биттер</x:v>
      </x:c>
      <x:c r="W274" s="28" t="str">
        <x:v>коктейль, спритц, настойка, ликёр или кордиал</x:v>
      </x:c>
      <x:c r="X274" s="28" t="str">
        <x:v>напитки</x:v>
      </x:c>
      <x:c r="Y274" s="28" t="str">
        <x:v>Средняя</x:v>
      </x:c>
      <x:c r="Z274" s="28" t="str">
        <x:v>The Art &amp; Science of Foodpairing.pdf</x:v>
      </x:c>
      <x:c r="AA274" s="28" t="str">
        <x:v>The Art &amp; Science of Foodpairing.pdf: 347</x:v>
      </x:c>
      <x:c r="AB274" s="28" t="str">
        <x:v>Пара представлена в ароматической диаграмме Foodpairing на странице 347.</x:v>
      </x:c>
      <x:c r="AC274" s="28" t="n">
        <x:v>1</x:v>
      </x:c>
      <x:c r="AD274" s="28" t="n">
        <x:v>1</x:v>
      </x:c>
    </x:row>
    <x:row r="275" ht="58" customHeight="1">
      <x:c r="A275" s="28" t="str">
        <x:v>CIT-0274</x:v>
      </x:c>
      <x:c r="B275" s="28" t="str">
        <x:v>Напитки</x:v>
      </x:c>
      <x:c r="C275" s="28" t="str">
        <x:v>красный апельсин Тарокко</x:v>
      </x:c>
      <x:c r="D275" s="28" t="str">
        <x:v>Tarocco blood orange</x:v>
      </x:c>
      <x:c r="E275" s="28" t="str">
        <x:v>Цитрусовые</x:v>
      </x:c>
      <x:c r="F275" s="28" t="str">
        <x:v>отварной чайот</x:v>
      </x:c>
      <x:c r="G275" s="28" t="str">
        <x:v>boiled chayote squash</x:v>
      </x:c>
      <x:c r="H275" s="28" t="str">
        <x:v>Чай и настои</x:v>
      </x:c>
      <x:c r="I275" s="28" t="str">
        <x:v>цитрусовый, сладко-фруктовый, цветочный, восковой</x:v>
      </x:c>
      <x:c r="J275" s="28" t="str">
        <x:v>травяной, цветочный, танинный, иногда обжаренный</x:v>
      </x:c>
      <x:c r="K275" s="28" t="str">
        <x:v>лимонен, линалол, деканаль, октаналь, мирцен</x:v>
      </x:c>
      <x:c r="L275" s="28" t="str">
        <x:v>линалол, гераниол, иононы, катехины</x:v>
      </x:c>
      <x:c r="M275" s="28" t="str">
        <x:v>цветочный</x:v>
      </x:c>
      <x:c r="N275" s="28" t="str">
        <x:v>линалол</x:v>
      </x:c>
      <x:c r="O275" s="28" t="str">
        <x:v>общие ароматические молекулы, перекрытие ароматических семейств, вкусовой баланс</x:v>
      </x:c>
      <x:c r="P275" s="28" t="str">
        <x:v>Цитрус добавляет верхние ароматические ноты; сахар может смягчить совместную кислотность и танинную вяжущесть.</x:v>
      </x:c>
      <x:c r="Q275" s="28" t="str">
        <x:v>нет выраженного; нет выраженного</x:v>
      </x:c>
      <x:c r="R275" s="28" t="str">
        <x:v>сок водный; цедра и ликёры несут гидрофобные эфирные масла; вода извлекает полифенолы; эфирные масла лучше добавлять после заваривания</x:v>
      </x:c>
      <x:c r="S27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75"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Отварной чайот относится к группе «чай и настои» и даёт ноты «травяной, цветочный, танинный, иногда обжаренный». Наиболее правдоподобный молекулярный мост — линалол; дополнительно совпадают ароматические семейства: цветочный. Цитрус добавляет верхние ароматические ноты; сахар может смягчить совместную кислотность и танинную вяжущесть. Апельсиновый профиль строится на лимонене и альдегидах с восково-сладкой нотой. Цитрус связывается с цветочными терпенами чая и снижает ощущение вяжущей сухости при наличии сахара.</x:v>
      </x:c>
      <x:c r="U275" s="28" t="str">
        <x:v>Избыток кислоты делает вкус плоско-резким; белая часть кожуры даёт лишнюю горечь.</x:v>
      </x:c>
      <x:c r="V275" s="28" t="str">
        <x:v>мёд или цветы</x:v>
      </x:c>
      <x:c r="W275" s="28" t="str">
        <x:v>чайный кордиал, холодный чай, пунш или безалкогольный напиток</x:v>
      </x:c>
      <x:c r="X275" s="28" t="str">
        <x:v>напитки</x:v>
      </x:c>
      <x:c r="Y275" s="28" t="str">
        <x:v>Средняя</x:v>
      </x:c>
      <x:c r="Z275" s="28" t="str">
        <x:v>The Art &amp; Science of Foodpairing.pdf</x:v>
      </x:c>
      <x:c r="AA275" s="28" t="str">
        <x:v>The Art &amp; Science of Foodpairing.pdf: 42</x:v>
      </x:c>
      <x:c r="AB275" s="28" t="str">
        <x:v>Пара представлена в ароматической диаграмме Foodpairing на странице 42.</x:v>
      </x:c>
      <x:c r="AC275" s="28" t="n">
        <x:v>1</x:v>
      </x:c>
      <x:c r="AD275" s="28" t="n">
        <x:v>1</x:v>
      </x:c>
    </x:row>
    <x:row r="276" ht="58" customHeight="1">
      <x:c r="A276" s="28" t="str">
        <x:v>CIT-0275</x:v>
      </x:c>
      <x:c r="B276" s="28" t="str">
        <x:v>Десерты и выпечка</x:v>
      </x:c>
      <x:c r="C276" s="28" t="str">
        <x:v>красный апельсин Тарокко</x:v>
      </x:c>
      <x:c r="D276" s="28" t="str">
        <x:v>Tarocco blood orange</x:v>
      </x:c>
      <x:c r="E276" s="28" t="str">
        <x:v>Цитрусовые</x:v>
      </x:c>
      <x:c r="F276" s="28" t="str">
        <x:v>пюре из обжаренного фундука</x:v>
      </x:c>
      <x:c r="G276" s="28" t="str">
        <x:v>roasted hazelnut puree</x:v>
      </x:c>
      <x:c r="H276" s="28" t="str">
        <x:v>Орехи и семена</x:v>
      </x:c>
      <x:c r="I276" s="28" t="str">
        <x:v>цитрусовый, сладко-фруктовый, цветочный, восковой</x:v>
      </x:c>
      <x:c r="J276" s="28" t="str">
        <x:v>ореховый, обжаренный, жирный, зелёный</x:v>
      </x:c>
      <x:c r="K276" s="28" t="str">
        <x:v>лимонен, линалол, деканаль, октаналь, мирцен</x:v>
      </x:c>
      <x:c r="L276" s="28" t="str">
        <x:v>пиразины, альдегиды окисления жиров, бензальдегид (миндаль)</x:v>
      </x:c>
      <x:c r="M276" s="28" t="str">
        <x:v>прямое семейное перекрытие не является главным механизмом</x:v>
      </x:c>
      <x:c r="N276" s="28" t="str">
        <x:v>надёжный общий маркер не заявлен; сочетание объясняется семействами и сенсорным балансом</x:v>
      </x:c>
      <x:c r="O276" s="28" t="str">
        <x:v>вкусовой баланс, влияние матрицы/растворимости</x:v>
      </x:c>
      <x:c r="P276" s="28" t="str">
        <x:v>Кислотность и лёгкая горечь цитруса снижают ощущение жирности; соль и умами, в свою очередь, делают фруктовую часть менее резкой.</x:v>
      </x:c>
      <x:c r="Q276" s="28" t="str">
        <x:v>нет выраженного; нет выраженного</x:v>
      </x:c>
      <x:c r="R276" s="28" t="str">
        <x:v>сок водный; цедра и ликёры несут гидрофобные эфирные масла; высокая жирность растворяет терпеновые масла цитруса</x:v>
      </x:c>
      <x:c r="S276"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76"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Пюре из обжаренного фундука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U276" s="28" t="str">
        <x:v>Избыток кислоты делает вкус плоско-резким; белая часть кожуры даёт лишнюю горечь.</x:v>
      </x:c>
      <x:c r="V276" s="28" t="str">
        <x:v>мёд или шоколад</x:v>
      </x:c>
      <x:c r="W276" s="28" t="str">
        <x:v>пралине, крем, выпечка, салат или ореховый соус</x:v>
      </x:c>
      <x:c r="X276" s="28" t="str">
        <x:v>десерты</x:v>
      </x:c>
      <x:c r="Y276" s="28" t="str">
        <x:v>Средняя</x:v>
      </x:c>
      <x:c r="Z276" s="28" t="str">
        <x:v>The Art &amp; Science of Foodpairing.pdf</x:v>
      </x:c>
      <x:c r="AA276" s="28" t="str">
        <x:v>The Art &amp; Science of Foodpairing.pdf: 200</x:v>
      </x:c>
      <x:c r="AB276" s="28" t="str">
        <x:v>Пара представлена в ароматической диаграмме Foodpairing на странице 200.</x:v>
      </x:c>
      <x:c r="AC276" s="28" t="n">
        <x:v>1</x:v>
      </x:c>
      <x:c r="AD276" s="28" t="n">
        <x:v>1</x:v>
      </x:c>
    </x:row>
    <x:row r="277" ht="58" customHeight="1">
      <x:c r="A277" s="28" t="str">
        <x:v>CIT-0276</x:v>
      </x:c>
      <x:c r="B277" s="28" t="str">
        <x:v>Еда и соусы</x:v>
      </x:c>
      <x:c r="C277" s="28" t="str">
        <x:v>красный апельсин Тарокко</x:v>
      </x:c>
      <x:c r="D277" s="28" t="str">
        <x:v>Tarocco blood orange</x:v>
      </x:c>
      <x:c r="E277" s="28" t="str">
        <x:v>Цитрусовые</x:v>
      </x:c>
      <x:c r="F277" s="28" t="str">
        <x:v>томатный кетчуп</x:v>
      </x:c>
      <x:c r="G277" s="28" t="str">
        <x:v>tomato ketchup</x:v>
      </x:c>
      <x:c r="H277" s="28" t="str">
        <x:v>Овощи</x:v>
      </x:c>
      <x:c r="I277" s="28" t="str">
        <x:v>цитрусовый, сладко-фруктовый, цветочный, восковой</x:v>
      </x:c>
      <x:c r="J277" s="28" t="str">
        <x:v>зелёный, землистый, растительный, иногда сернистый</x:v>
      </x:c>
      <x:c r="K277" s="28" t="str">
        <x:v>лимонен, линалол, деканаль, октаналь, мирцен</x:v>
      </x:c>
      <x:c r="L277" s="28" t="str">
        <x:v>C6-альдегиды, метоксипиразины, геосмин (землистые), сернистые соединения</x:v>
      </x:c>
      <x:c r="M277" s="28" t="str">
        <x:v>прямое семейное перекрытие не является главным механизмом</x:v>
      </x:c>
      <x:c r="N277" s="28" t="str">
        <x:v>надёжный общий маркер не заявлен; сочетание объясняется семействами и сенсорным балансом</x:v>
      </x:c>
      <x:c r="O277" s="28" t="str">
        <x:v>вкусовой баланс</x:v>
      </x:c>
      <x:c r="P277" s="28" t="str">
        <x:v>Кислота подчёркивает природную сладость овоща, сокращает землистое/сернистое послевкусие и повышает слюноотделение.</x:v>
      </x:c>
      <x:c r="Q277" s="28" t="str">
        <x:v>нет выраженного; нет выраженного</x:v>
      </x:c>
      <x:c r="R277" s="28" t="str">
        <x:v>сок водный; цедра и ликёры несут гидрофобные эфирные масла; водная/крахмальная матрица; масло помогает распределить цедру</x:v>
      </x:c>
      <x:c r="S27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77"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Томатный кетчуп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277" s="28" t="str">
        <x:v>Избыток кислоты делает вкус плоско-резким; белая часть кожуры даёт лишнюю горечь.</x:v>
      </x:c>
      <x:c r="V277" s="28" t="str">
        <x:v>оливковое масло или базилик</x:v>
      </x:c>
      <x:c r="W277" s="28" t="str">
        <x:v>винегрет, салат, пюре, запечённое блюдо или овощной соус</x:v>
      </x:c>
      <x:c r="X277" s="28" t="str">
        <x:v>еда, соусы/маринады</x:v>
      </x:c>
      <x:c r="Y277" s="28" t="str">
        <x:v>Средняя</x:v>
      </x:c>
      <x:c r="Z277" s="28" t="str">
        <x:v>The Art &amp; Science of Foodpairing.pdf</x:v>
      </x:c>
      <x:c r="AA277" s="28" t="str">
        <x:v>The Art &amp; Science of Foodpairing.pdf: 292</x:v>
      </x:c>
      <x:c r="AB277" s="28" t="str">
        <x:v>Пара представлена в ароматической диаграмме Foodpairing на странице 292.</x:v>
      </x:c>
      <x:c r="AC277" s="28" t="n">
        <x:v>1</x:v>
      </x:c>
      <x:c r="AD277" s="28" t="n">
        <x:v>1</x:v>
      </x:c>
    </x:row>
    <x:row r="278" ht="58" customHeight="1">
      <x:c r="A278" s="28" t="str">
        <x:v>CIT-0277</x:v>
      </x:c>
      <x:c r="B278" s="28" t="str">
        <x:v>Десерты и выпечка</x:v>
      </x:c>
      <x:c r="C278" s="28" t="str">
        <x:v>красный апельсин Тарокко</x:v>
      </x:c>
      <x:c r="D278" s="28" t="str">
        <x:v>Tarocco blood orange</x:v>
      </x:c>
      <x:c r="E278" s="28" t="str">
        <x:v>Цитрусовые</x:v>
      </x:c>
      <x:c r="F278" s="28" t="str">
        <x:v>фисташка</x:v>
      </x:c>
      <x:c r="G278" s="28" t="str">
        <x:v>pistachio nut</x:v>
      </x:c>
      <x:c r="H278" s="28" t="str">
        <x:v>Орехи и семена</x:v>
      </x:c>
      <x:c r="I278" s="28" t="str">
        <x:v>цитрусовый, сладко-фруктовый, цветочный, восковой</x:v>
      </x:c>
      <x:c r="J278" s="28" t="str">
        <x:v>ореховый, обжаренный, жирный, зелёный</x:v>
      </x:c>
      <x:c r="K278" s="28" t="str">
        <x:v>лимонен, линалол, деканаль, октаналь, мирцен</x:v>
      </x:c>
      <x:c r="L278" s="28" t="str">
        <x:v>пиразины, альдегиды окисления жиров, бензальдегид (миндаль)</x:v>
      </x:c>
      <x:c r="M278" s="28" t="str">
        <x:v>прямое семейное перекрытие не является главным механизмом</x:v>
      </x:c>
      <x:c r="N278" s="28" t="str">
        <x:v>надёжный общий маркер не заявлен; сочетание объясняется семействами и сенсорным балансом</x:v>
      </x:c>
      <x:c r="O278" s="28" t="str">
        <x:v>вкусовой баланс, влияние матрицы/растворимости</x:v>
      </x:c>
      <x:c r="P278" s="28" t="str">
        <x:v>Кислотность и лёгкая горечь цитруса снижают ощущение жирности; соль и умами, в свою очередь, делают фруктовую часть менее резкой.</x:v>
      </x:c>
      <x:c r="Q278" s="28" t="str">
        <x:v>нет выраженного; нет выраженного</x:v>
      </x:c>
      <x:c r="R278" s="28" t="str">
        <x:v>сок водный; цедра и ликёры несут гидрофобные эфирные масла; высокая жирность растворяет терпеновые масла цитруса</x:v>
      </x:c>
      <x:c r="S27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78"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Фисташка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U278" s="28" t="str">
        <x:v>Избыток кислоты делает вкус плоско-резким; белая часть кожуры даёт лишнюю горечь.</x:v>
      </x:c>
      <x:c r="V278" s="28" t="str">
        <x:v>мёд или шоколад</x:v>
      </x:c>
      <x:c r="W278" s="28" t="str">
        <x:v>пралине, крем, выпечка, салат или ореховый соус</x:v>
      </x:c>
      <x:c r="X278" s="28" t="str">
        <x:v>десерты</x:v>
      </x:c>
      <x:c r="Y278" s="28" t="str">
        <x:v>Средняя</x:v>
      </x:c>
      <x:c r="Z278" s="28" t="str">
        <x:v>The Art &amp; Science of Foodpairing.pdf</x:v>
      </x:c>
      <x:c r="AA278" s="28" t="str">
        <x:v>The Art &amp; Science of Foodpairing.pdf: 292</x:v>
      </x:c>
      <x:c r="AB278" s="28" t="str">
        <x:v>Пара представлена в ароматической диаграмме Foodpairing на странице 292.</x:v>
      </x:c>
      <x:c r="AC278" s="28" t="n">
        <x:v>1</x:v>
      </x:c>
      <x:c r="AD278" s="28" t="n">
        <x:v>1</x:v>
      </x:c>
    </x:row>
    <x:row r="279" ht="58" customHeight="1">
      <x:c r="A279" s="28" t="str">
        <x:v>CIT-0278</x:v>
      </x:c>
      <x:c r="B279" s="28" t="str">
        <x:v>Универсальные</x:v>
      </x:c>
      <x:c r="C279" s="28" t="str">
        <x:v>кумкват</x:v>
      </x:c>
      <x:c r="D279" s="28" t="str">
        <x:v>кумкват</x:v>
      </x:c>
      <x:c r="E279" s="28" t="str">
        <x:v>Цитрусовые</x:v>
      </x:c>
      <x:c r="F279" s="28" t="str">
        <x:v>айва</x:v>
      </x:c>
      <x:c r="G279" s="28" t="str">
        <x:v>Айва</x:v>
      </x:c>
      <x:c r="H279" s="28" t="str">
        <x:v>Прочее</x:v>
      </x:c>
      <x:c r="I279" s="28" t="str">
        <x:v>цитрусовый, фруктовый, цветочный, пряный</x:v>
      </x:c>
      <x:c r="J279" s="28" t="str">
        <x:v>нейтральный/специфический</x:v>
      </x:c>
      <x:c r="K279" s="28" t="str">
        <x:v>лимонен, гамма-терпинен, метил-N-метилантранилат, линалол</x:v>
      </x:c>
      <x:c r="L279" s="28" t="str">
        <x:v>нужен профиль конкретного продукта</x:v>
      </x:c>
      <x:c r="M279" s="28" t="str">
        <x:v>прямое семейное перекрытие не является главным механизмом</x:v>
      </x:c>
      <x:c r="N279" s="28" t="str">
        <x:v>надёжный общий маркер не заявлен; сочетание объясняется семействами и сенсорным балансом</x:v>
      </x:c>
      <x:c r="O279" s="28" t="str">
        <x:v>вкусовой баланс, тройничное восприятие</x:v>
      </x:c>
      <x:c r="P279" s="28" t="str">
        <x:v>Основной эффект определяется ароматическим контрастом и добавлением кислотной свежести; точный баланс зависит от дозировки и матрицы.</x:v>
      </x:c>
      <x:c r="Q279" s="28" t="str">
        <x:v>нет выраженного; нет данных</x:v>
      </x:c>
      <x:c r="R279" s="28" t="str">
        <x:v>сок водный; кожура богата эфирным маслом; зависит от формы продукта</x:v>
      </x:c>
      <x:c r="S27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79" s="28" t="str">
        <x:v>Кумкват формирует профиль «цитрусовый, фруктовый, цветочный, пряный»; характерные маркеры: лимонен, гамма-терпинен, метил-N-метилантранилат, линалол. Айва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279" s="28" t="str">
        <x:v>Избыток кислоты делает вкус плоско-резким; белая часть кожуры даёт лишнюю горечь.</x:v>
      </x:c>
      <x:c r="V279" s="28" t="str">
        <x:v>мёд или нейтральная жировая основа</x:v>
      </x:c>
      <x:c r="W279" s="28" t="str">
        <x:v>соус, напиток или десерт после пробной дегустации</x:v>
      </x:c>
      <x:c r="X279" s="28" t="str">
        <x:v>универсальное</x:v>
      </x:c>
      <x:c r="Y279" s="28" t="str">
        <x:v>Гипотеза / практическая</x:v>
      </x:c>
      <x:c r="Z279" s="28" t="str">
        <x:v>Таблица сочетания(1).pdf</x:v>
      </x:c>
      <x:c r="AA279" s="28" t="str">
        <x:v>Таблица сочетания(1).pdf: 18</x:v>
      </x:c>
      <x:c r="AB279" s="28" t="str">
        <x:v>Пара указана в таблице: «Айва» → колонка «Фрукты».</x:v>
      </x:c>
      <x:c r="AC279" s="28" t="n">
        <x:v>1</x:v>
      </x:c>
      <x:c r="AD279" s="28" t="n">
        <x:v>1</x:v>
      </x:c>
    </x:row>
    <x:row r="280" ht="58" customHeight="1">
      <x:c r="A280" s="28" t="str">
        <x:v>CIT-0279</x:v>
      </x:c>
      <x:c r="B280" s="28" t="str">
        <x:v>Десерты и выпечка</x:v>
      </x:c>
      <x:c r="C280" s="28" t="str">
        <x:v>кумкват</x:v>
      </x:c>
      <x:c r="D280" s="28" t="str">
        <x:v>кумкват</x:v>
      </x:c>
      <x:c r="E280" s="28" t="str">
        <x:v>Цитрусовые</x:v>
      </x:c>
      <x:c r="F280" s="28" t="str">
        <x:v>ананас</x:v>
      </x:c>
      <x:c r="G280" s="28" t="str">
        <x:v>Ананас</x:v>
      </x:c>
      <x:c r="H280" s="28" t="str">
        <x:v>Тропические фрукты</x:v>
      </x:c>
      <x:c r="I280" s="28" t="str">
        <x:v>цитрусовый, фруктовый, цветочный, пряный</x:v>
      </x:c>
      <x:c r="J280" s="28" t="str">
        <x:v>фруктовый, тропический, цветочный, сливочный</x:v>
      </x:c>
      <x:c r="K280" s="28" t="str">
        <x:v>лимонен, гамма-терпинен, метил-N-метилантранилат, линалол</x:v>
      </x:c>
      <x:c r="L280" s="28" t="str">
        <x:v>этилбутират, гексилацетат, лактоны, сернистые тиолы (у части фруктов)</x:v>
      </x:c>
      <x:c r="M280" s="28" t="str">
        <x:v>фруктовый, цветочный</x:v>
      </x:c>
      <x:c r="N280" s="28" t="str">
        <x:v>надёжный общий маркер не заявлен; сочетание объясняется семействами и сенсорным балансом</x:v>
      </x:c>
      <x:c r="O280" s="28" t="str">
        <x:v>перекрытие ароматических семейств, вкусовой баланс</x:v>
      </x:c>
      <x:c r="P280" s="28" t="str">
        <x:v>Общая фруктовая сладость и летучие эфиры создают непрерывный ароматический профиль, а цитрусовая кислота повышает контраст и свежесть.</x:v>
      </x:c>
      <x:c r="Q280" s="28" t="str">
        <x:v>нет выраженного; нет выраженного</x:v>
      </x:c>
      <x:c r="R280" s="28" t="str">
        <x:v>сок водный; кожура богата эфирным маслом; сочная или кремовая фруктовая матрица</x:v>
      </x:c>
      <x:c r="S28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80" s="28" t="str">
        <x:v>Кумкват формирует профиль «цитрусовый, фруктовый, цветочный, пряный»; характерные маркеры: лимонен, гамма-терпинен, метил-N-метилантранилат, линалол.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U280" s="28" t="str">
        <x:v>Избыток кислоты делает вкус плоско-резким; белая часть кожуры даёт лишнюю горечь.</x:v>
      </x:c>
      <x:c r="V280" s="28" t="str">
        <x:v>кокос или имбирь</x:v>
      </x:c>
      <x:c r="W280" s="28" t="str">
        <x:v>смузи, кордиал, сорбет, чатни или коктейль</x:v>
      </x:c>
      <x:c r="X280" s="28" t="str">
        <x:v>напитки, десерты</x:v>
      </x:c>
      <x:c r="Y280" s="28" t="str">
        <x:v>Гипотеза / практическая</x:v>
      </x:c>
      <x:c r="Z280" s="28" t="str">
        <x:v>Таблица сочетания(1).pdf</x:v>
      </x:c>
      <x:c r="AA280" s="28" t="str">
        <x:v>Таблица сочетания(1).pdf: 17</x:v>
      </x:c>
      <x:c r="AB280" s="28" t="str">
        <x:v>Пара указана в таблице: «Ананас» → колонка «Фрукты».</x:v>
      </x:c>
      <x:c r="AC280" s="28" t="n">
        <x:v>1</x:v>
      </x:c>
      <x:c r="AD280" s="28" t="n">
        <x:v>1</x:v>
      </x:c>
    </x:row>
    <x:row r="281" ht="58" customHeight="1">
      <x:c r="A281" s="28" t="str">
        <x:v>CIT-0280</x:v>
      </x:c>
      <x:c r="B281" s="28" t="str">
        <x:v>Универсальные</x:v>
      </x:c>
      <x:c r="C281" s="28" t="str">
        <x:v>кумкват</x:v>
      </x:c>
      <x:c r="D281" s="28" t="str">
        <x:v>Кумкват</x:v>
      </x:c>
      <x:c r="E281" s="28" t="str">
        <x:v>Цитрусовые</x:v>
      </x:c>
      <x:c r="F281" s="28" t="str">
        <x:v>анис</x:v>
      </x:c>
      <x:c r="G281" s="28" t="str">
        <x:v>анис</x:v>
      </x:c>
      <x:c r="H281" s="28" t="str">
        <x:v>Пряности/травы</x:v>
      </x:c>
      <x:c r="I281" s="28" t="str">
        <x:v>цитрусовый, фруктовый, цветочный, пряный</x:v>
      </x:c>
      <x:c r="J281" s="28" t="str">
        <x:v>анисовый, сладко-пряный, зелёный</x:v>
      </x:c>
      <x:c r="K281" s="28" t="str">
        <x:v>лимонен, гамма-терпинен, метил-N-метилантранилат, линалол</x:v>
      </x:c>
      <x:c r="L281" s="28" t="str">
        <x:v>транс-анетол, фенхон, эстрагол</x:v>
      </x:c>
      <x:c r="M281" s="28" t="str">
        <x:v>прямое семейное перекрытие не является главным механизмом</x:v>
      </x:c>
      <x:c r="N281" s="28" t="str">
        <x:v>надёжный общий маркер не заявлен; сочетание объясняется семействами и сенсорным балансом</x:v>
      </x:c>
      <x:c r="O281" s="28" t="str">
        <x:v>вкусовой баланс, тройничное восприятие</x:v>
      </x:c>
      <x:c r="P281" s="28" t="str">
        <x:v>Основной эффект определяется ароматическим контрастом и добавлением кислотной свежести; точный баланс зависит от дозировки и матрицы.</x:v>
      </x:c>
      <x:c r="Q281" s="28" t="str">
        <x:v>нет выраженного; анетол создаёт охлаждающе-сладкое впечатление</x:v>
      </x:c>
      <x:c r="R281" s="28" t="str">
        <x:v>сок водный; кожура богата эфирным маслом; анетол гидрофобен и мутнеет при разбавлении спиртовых настоев водой</x:v>
      </x:c>
      <x:c r="S28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81" s="28" t="str">
        <x:v>Кумкват формирует профиль «цитрусовый, фруктовый, цветочный, пряный»; характерные маркеры: лимонен, гамма-терпинен, метил-N-метилантранилат, линалол. Анис относится к группе «пряности/травы» и даёт ноты «анисовый, сладко-пряный,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Анисовые соединения дают сильный ароматический мост с цветочными и цитрусовыми терпенами.</x:v>
      </x:c>
      <x:c r="U281" s="28" t="str">
        <x:v>Избыток кислоты делает вкус плоско-резким; белая часть кожуры даёт лишнюю горечь.</x:v>
      </x:c>
      <x:c r="V281" s="28" t="str">
        <x:v>мёд или нейтральная жировая основа</x:v>
      </x:c>
      <x:c r="W281" s="28" t="str">
        <x:v>соус, напиток или десерт после пробной дегустации</x:v>
      </x:c>
      <x:c r="X281" s="28" t="str">
        <x:v>универсальное</x:v>
      </x:c>
      <x:c r="Y281" s="28" t="str">
        <x:v>Гипотеза / практическая</x:v>
      </x:c>
      <x:c r="Z281" s="28" t="str">
        <x:v>Таблица сочетания(1).pdf</x:v>
      </x:c>
      <x:c r="AA281" s="28" t="str">
        <x:v>Таблица сочетания(1).pdf: 10</x:v>
      </x:c>
      <x:c r="AB281" s="28" t="str">
        <x:v>Пара указана в таблице: «Кумкват» → колонка «Травы и специи».</x:v>
      </x:c>
      <x:c r="AC281" s="28" t="n">
        <x:v>1</x:v>
      </x:c>
      <x:c r="AD281" s="28" t="n">
        <x:v>1</x:v>
      </x:c>
    </x:row>
    <x:row r="282" ht="58" customHeight="1">
      <x:c r="A282" s="28" t="str">
        <x:v>CIT-0281</x:v>
      </x:c>
      <x:c r="B282" s="28" t="str">
        <x:v>Универсальные</x:v>
      </x:c>
      <x:c r="C282" s="28" t="str">
        <x:v>кумкват</x:v>
      </x:c>
      <x:c r="D282" s="28" t="str">
        <x:v>Кумкват</x:v>
      </x:c>
      <x:c r="E282" s="28" t="str">
        <x:v>Цитрусовые</x:v>
      </x:c>
      <x:c r="F282" s="28" t="str">
        <x:v>базилик</x:v>
      </x:c>
      <x:c r="G282" s="28" t="str">
        <x:v>базилик</x:v>
      </x:c>
      <x:c r="H282" s="28" t="str">
        <x:v>Травы</x:v>
      </x:c>
      <x:c r="I282" s="28" t="str">
        <x:v>цитрусовый, фруктовый, цветочный, пряный</x:v>
      </x:c>
      <x:c r="J282" s="28" t="str">
        <x:v>зелёный, анисовый, цветочный, пряный</x:v>
      </x:c>
      <x:c r="K282" s="28" t="str">
        <x:v>лимонен, гамма-терпинен, метил-N-метилантранилат, линалол</x:v>
      </x:c>
      <x:c r="L282" s="28" t="str">
        <x:v>линалол, эстрагол, эвгенол</x:v>
      </x:c>
      <x:c r="M282" s="28" t="str">
        <x:v>пряный, цветочный</x:v>
      </x:c>
      <x:c r="N282" s="28" t="str">
        <x:v>линалол</x:v>
      </x:c>
      <x:c r="O282" s="28" t="str">
        <x:v>общие ароматические молекулы, перекрытие ароматических семейств, вкусовой баланс</x:v>
      </x:c>
      <x:c r="P282" s="28" t="str">
        <x:v>Кислота усиливает слюноотделение и делает пряный аромат ярче; терпены цитруса образуют мост с эфирными маслами травы или специи.</x:v>
      </x:c>
      <x:c r="Q282" s="28" t="str">
        <x:v>нет выраженного; нет выраженного</x:v>
      </x:c>
      <x:c r="R282" s="28" t="str">
        <x:v>сок водный; кожура богата эфирным маслом; летучие масла чувствительны к длительному нагреву</x:v>
      </x:c>
      <x:c r="S28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82" s="28" t="str">
        <x:v>Кумкват формирует профиль «цитрусовый, фруктовый, цветочный, пряный»; характерные маркеры: лимонен, гамма-терпинен, метил-N-метилантранилат,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пряный, цветочный.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Базилик и эстрагон могут связать цитрус с фруктами, томатом и сливочными матрицами.</x:v>
      </x:c>
      <x:c r="U282" s="28" t="str">
        <x:v>Избыток кислоты делает вкус плоско-резким; белая часть кожуры даёт лишнюю горечь; цитрус легко подавляет деликатный аромат партнёра.</x:v>
      </x:c>
      <x:c r="V282" s="28" t="str">
        <x:v>оливковое масло или огурец</x:v>
      </x:c>
      <x:c r="W282" s="28" t="str">
        <x:v>лимонад, кордиал, салатная заправка или зелёный соус</x:v>
      </x:c>
      <x:c r="X282" s="28" t="str">
        <x:v>напитки, еда, соусы/маринады</x:v>
      </x:c>
      <x:c r="Y282" s="28" t="str">
        <x:v>Средняя</x:v>
      </x:c>
      <x:c r="Z282" s="28" t="str">
        <x:v>Таблица сочетания(1).pdf</x:v>
      </x:c>
      <x:c r="AA282" s="28" t="str">
        <x:v>Таблица сочетания(1).pdf: 10</x:v>
      </x:c>
      <x:c r="AB282" s="28" t="str">
        <x:v>Пара указана в таблице: «Кумкват» → колонка «Травы и специи».</x:v>
      </x:c>
      <x:c r="AC282" s="28" t="n">
        <x:v>1</x:v>
      </x:c>
      <x:c r="AD282" s="28" t="n">
        <x:v>1</x:v>
      </x:c>
    </x:row>
    <x:row r="283" ht="58" customHeight="1">
      <x:c r="A283" s="28" t="str">
        <x:v>CIT-0282</x:v>
      </x:c>
      <x:c r="B283" s="28" t="str">
        <x:v>Десерты и выпечка</x:v>
      </x:c>
      <x:c r="C283" s="28" t="str">
        <x:v>кумкват</x:v>
      </x:c>
      <x:c r="D283" s="28" t="str">
        <x:v>кумкват</x:v>
      </x:c>
      <x:c r="E283" s="28" t="str">
        <x:v>Цитрусовые</x:v>
      </x:c>
      <x:c r="F283" s="28" t="str">
        <x:v>банан</x:v>
      </x:c>
      <x:c r="G283" s="28" t="str">
        <x:v>Банан</x:v>
      </x:c>
      <x:c r="H283" s="28" t="str">
        <x:v>Тропические фрукты</x:v>
      </x:c>
      <x:c r="I283" s="28" t="str">
        <x:v>цитрусовый, фруктовый, цветочный, пряный</x:v>
      </x:c>
      <x:c r="J283" s="28" t="str">
        <x:v>фруктовый, тропический, цветочный, сливочный</x:v>
      </x:c>
      <x:c r="K283" s="28" t="str">
        <x:v>лимонен, гамма-терпинен, метил-N-метилантранилат, линалол</x:v>
      </x:c>
      <x:c r="L283" s="28" t="str">
        <x:v>этилбутират, гексилацетат, лактоны, сернистые тиолы (у части фруктов)</x:v>
      </x:c>
      <x:c r="M283" s="28" t="str">
        <x:v>фруктовый, цветочный</x:v>
      </x:c>
      <x:c r="N283" s="28" t="str">
        <x:v>надёжный общий маркер не заявлен; сочетание объясняется семействами и сенсорным балансом</x:v>
      </x:c>
      <x:c r="O283" s="28" t="str">
        <x:v>перекрытие ароматических семейств, вкусовой баланс</x:v>
      </x:c>
      <x:c r="P283" s="28" t="str">
        <x:v>Общая фруктовая сладость и летучие эфиры создают непрерывный ароматический профиль, а цитрусовая кислота повышает контраст и свежесть.</x:v>
      </x:c>
      <x:c r="Q283" s="28" t="str">
        <x:v>нет выраженного; нет выраженного</x:v>
      </x:c>
      <x:c r="R283" s="28" t="str">
        <x:v>сок водный; кожура богата эфирным маслом; сочная или кремовая фруктовая матрица</x:v>
      </x:c>
      <x:c r="S28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83" s="28" t="str">
        <x:v>Кумкват формирует профиль «цитрусовый, фруктовый, цветочный, пряный»; характерные маркеры: лимонен, гамма-терпинен, метил-N-метилантранилат, линалол. Банан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U283" s="28" t="str">
        <x:v>Избыток кислоты делает вкус плоско-резким; белая часть кожуры даёт лишнюю горечь.</x:v>
      </x:c>
      <x:c r="V283" s="28" t="str">
        <x:v>кокос или имбирь</x:v>
      </x:c>
      <x:c r="W283" s="28" t="str">
        <x:v>смузи, кордиал, сорбет, чатни или коктейль</x:v>
      </x:c>
      <x:c r="X283" s="28" t="str">
        <x:v>напитки, десерты</x:v>
      </x:c>
      <x:c r="Y283" s="28" t="str">
        <x:v>Гипотеза / практическая</x:v>
      </x:c>
      <x:c r="Z283" s="28" t="str">
        <x:v>Таблица сочетания(1).pdf</x:v>
      </x:c>
      <x:c r="AA283" s="28" t="str">
        <x:v>Таблица сочетания(1).pdf: 2</x:v>
      </x:c>
      <x:c r="AB283" s="28" t="str">
        <x:v>Пара указана в таблице: «Банан» → колонка «Фрукты».</x:v>
      </x:c>
      <x:c r="AC283" s="28" t="n">
        <x:v>1</x:v>
      </x:c>
      <x:c r="AD283" s="28" t="n">
        <x:v>1</x:v>
      </x:c>
    </x:row>
    <x:row r="284" ht="58" customHeight="1">
      <x:c r="A284" s="28" t="str">
        <x:v>CIT-0283</x:v>
      </x:c>
      <x:c r="B284" s="28" t="str">
        <x:v>Универсальные</x:v>
      </x:c>
      <x:c r="C284" s="28" t="str">
        <x:v>кумкват</x:v>
      </x:c>
      <x:c r="D284" s="28" t="str">
        <x:v>Кумкват</x:v>
      </x:c>
      <x:c r="E284" s="28" t="str">
        <x:v>Цитрусовые</x:v>
      </x:c>
      <x:c r="F284" s="28" t="str">
        <x:v>ваниль</x:v>
      </x:c>
      <x:c r="G284" s="28" t="str">
        <x:v>ваниль</x:v>
      </x:c>
      <x:c r="H284" s="28" t="str">
        <x:v>Пряности</x:v>
      </x:c>
      <x:c r="I284" s="28" t="str">
        <x:v>цитрусовый, фруктовый, цветочный, пряный</x:v>
      </x:c>
      <x:c r="J284" s="28" t="str">
        <x:v>ванильный, бальзамический, сладкий, древесный</x:v>
      </x:c>
      <x:c r="K284" s="28" t="str">
        <x:v>лимонен, гамма-терпинен, метил-N-метилантранилат, линалол</x:v>
      </x:c>
      <x:c r="L284" s="28" t="str">
        <x:v>ванилин, п-гидроксибензальдегид, анисовый альдегид</x:v>
      </x:c>
      <x:c r="M284" s="28" t="str">
        <x:v>прямое семейное перекрытие не является главным механизмом</x:v>
      </x:c>
      <x:c r="N284" s="28" t="str">
        <x:v>надёжный общий маркер не заявлен; сочетание объясняется семействами и сенсорным балансом</x:v>
      </x:c>
      <x:c r="O284" s="28" t="str">
        <x:v>вкусовой баланс</x:v>
      </x:c>
      <x:c r="P284" s="28" t="str">
        <x:v>Кислота усиливает слюноотделение и делает пряный аромат ярче; терпены цитруса образуют мост с эфирными маслами травы или специи.</x:v>
      </x:c>
      <x:c r="Q284" s="28" t="str">
        <x:v>нет выраженного; нет выраженного</x:v>
      </x:c>
      <x:c r="R284" s="28" t="str">
        <x:v>сок водный; кожура богата эфирным маслом; ванилин растворим в спирте и частично в воде; жир продлевает аромат</x:v>
      </x:c>
      <x:c r="S28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84" s="28" t="str">
        <x:v>Кумкват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U284" s="28" t="str">
        <x:v>Избыток кислоты делает вкус плоско-резким; белая часть кожуры даёт лишнюю горечь.</x:v>
      </x:c>
      <x:c r="V284" s="28" t="str">
        <x:v>мёд или ваниль</x:v>
      </x:c>
      <x:c r="W284" s="28" t="str">
        <x:v>сироп, кордиал, чатни, маринад или пряный десерт</x:v>
      </x:c>
      <x:c r="X284" s="28" t="str">
        <x:v>напитки, еда, соусы/маринады</x:v>
      </x:c>
      <x:c r="Y284" s="28" t="str">
        <x:v>Гипотеза / практическая</x:v>
      </x:c>
      <x:c r="Z284" s="28" t="str">
        <x:v>Таблица сочетания(1).pdf</x:v>
      </x:c>
      <x:c r="AA284" s="28" t="str">
        <x:v>Таблица сочетания(1).pdf: 10</x:v>
      </x:c>
      <x:c r="AB284" s="28" t="str">
        <x:v>Пара указана в таблице: «Кумкват» → колонка «Другое».</x:v>
      </x:c>
      <x:c r="AC284" s="28" t="n">
        <x:v>1</x:v>
      </x:c>
      <x:c r="AD284" s="28" t="n">
        <x:v>1</x:v>
      </x:c>
    </x:row>
    <x:row r="285" ht="58" customHeight="1">
      <x:c r="A285" s="28" t="str">
        <x:v>CIT-0284</x:v>
      </x:c>
      <x:c r="B285" s="28" t="str">
        <x:v>Десерты и выпечка</x:v>
      </x:c>
      <x:c r="C285" s="28" t="str">
        <x:v>кумкват</x:v>
      </x:c>
      <x:c r="D285" s="28" t="str">
        <x:v>Кумкват</x:v>
      </x:c>
      <x:c r="E285" s="28" t="str">
        <x:v>Цитрусовые</x:v>
      </x:c>
      <x:c r="F285" s="28" t="str">
        <x:v>вишня</x:v>
      </x:c>
      <x:c r="G285" s="28" t="str">
        <x:v>вишня</x:v>
      </x:c>
      <x:c r="H285" s="28" t="str">
        <x:v>Ягоды/косточковые</x:v>
      </x:c>
      <x:c r="I285" s="28" t="str">
        <x:v>цитрусовый, фруктовый, цветочный, пряный</x:v>
      </x:c>
      <x:c r="J285" s="28" t="str">
        <x:v>фруктовый, цветочный, зелёный, винный</x:v>
      </x:c>
      <x:c r="K285" s="28" t="str">
        <x:v>лимонен, гамма-терпинен, метил-N-метилантранилат, линалол</x:v>
      </x:c>
      <x:c r="L285" s="28" t="str">
        <x:v>иононы, дамасценон, эфиры, бензальдегид (для косточковых)</x:v>
      </x:c>
      <x:c r="M285" s="28" t="str">
        <x:v>фруктовый, цветочный</x:v>
      </x:c>
      <x:c r="N285" s="28" t="str">
        <x:v>надёжный общий маркер не заявлен; сочетание объясняется семействами и сенсорным балансом</x:v>
      </x:c>
      <x:c r="O285" s="28" t="str">
        <x:v>перекрытие ароматических семейств, вкусовой баланс</x:v>
      </x:c>
      <x:c r="P285" s="28" t="str">
        <x:v>Общая фруктовая сладость и летучие эфиры создают непрерывный ароматический профиль, а цитрусовая кислота повышает контраст и свежесть.</x:v>
      </x:c>
      <x:c r="Q285" s="28" t="str">
        <x:v>нет выраженного; нет выраженного</x:v>
      </x:c>
      <x:c r="R285" s="28" t="str">
        <x:v>сок водный; кожура богата эфирным маслом; водная матрица с антоцианами и полифенолами</x:v>
      </x:c>
      <x:c r="S28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85" s="28" t="str">
        <x:v>Кумкват формирует профиль «цитрусовый, фруктовый, цветочный, пряный»; характерные маркеры: лимонен, гамма-терпинен, метил-N-метилантранилат, линалол.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U285" s="28" t="str">
        <x:v>Избыток кислоты делает вкус плоско-резким; белая часть кожуры даёт лишнюю горечь.</x:v>
      </x:c>
      <x:c r="V285" s="28" t="str">
        <x:v>ваниль или миндаль</x:v>
      </x:c>
      <x:c r="W285" s="28" t="str">
        <x:v>джем, сорбет, коктейль или соус</x:v>
      </x:c>
      <x:c r="X285" s="28" t="str">
        <x:v>напитки, десерты</x:v>
      </x:c>
      <x:c r="Y285" s="28" t="str">
        <x:v>Гипотеза / практическая</x:v>
      </x:c>
      <x:c r="Z285" s="28" t="str">
        <x:v>Таблица сочетания(1).pdf</x:v>
      </x:c>
      <x:c r="AA285" s="28" t="str">
        <x:v>Таблица сочетания(1).pdf: 10</x:v>
      </x:c>
      <x:c r="AB285" s="28" t="str">
        <x:v>Пара указана в таблице: «Кумкват» → колонка «Фрукты».</x:v>
      </x:c>
      <x:c r="AC285" s="28" t="n">
        <x:v>1</x:v>
      </x:c>
      <x:c r="AD285" s="28" t="n">
        <x:v>1</x:v>
      </x:c>
    </x:row>
    <x:row r="286" ht="58" customHeight="1">
      <x:c r="A286" s="28" t="str">
        <x:v>CIT-0285</x:v>
      </x:c>
      <x:c r="B286" s="28" t="str">
        <x:v>Десерты и выпечка</x:v>
      </x:c>
      <x:c r="C286" s="28" t="str">
        <x:v>кумкват</x:v>
      </x:c>
      <x:c r="D286" s="28" t="str">
        <x:v>Кумкват</x:v>
      </x:c>
      <x:c r="E286" s="28" t="str">
        <x:v>Цитрусовые</x:v>
      </x:c>
      <x:c r="F286" s="28" t="str">
        <x:v>грецкий орех</x:v>
      </x:c>
      <x:c r="G286" s="28" t="str">
        <x:v>грецкий орех</x:v>
      </x:c>
      <x:c r="H286" s="28" t="str">
        <x:v>Орехи и семена</x:v>
      </x:c>
      <x:c r="I286" s="28" t="str">
        <x:v>цитрусовый, фруктовый, цветочный, пряный</x:v>
      </x:c>
      <x:c r="J286" s="28" t="str">
        <x:v>ореховый, обжаренный, жирный, зелёный</x:v>
      </x:c>
      <x:c r="K286" s="28" t="str">
        <x:v>лимонен, гамма-терпинен, метил-N-метилантранилат, линалол</x:v>
      </x:c>
      <x:c r="L286" s="28" t="str">
        <x:v>пиразины, альдегиды окисления жиров, бензальдегид (миндаль)</x:v>
      </x:c>
      <x:c r="M286" s="28" t="str">
        <x:v>прямое семейное перекрытие не является главным механизмом</x:v>
      </x:c>
      <x:c r="N286" s="28" t="str">
        <x:v>надёжный общий маркер не заявлен; сочетание объясняется семействами и сенсорным балансом</x:v>
      </x:c>
      <x:c r="O286" s="28" t="str">
        <x:v>вкусовой баланс, влияние матрицы/растворимости</x:v>
      </x:c>
      <x:c r="P286" s="28" t="str">
        <x:v>Кислотность и лёгкая горечь цитруса снижают ощущение жирности; соль и умами, в свою очередь, делают фруктовую часть менее резкой.</x:v>
      </x:c>
      <x:c r="Q286" s="28" t="str">
        <x:v>нет выраженного; нет выраженного</x:v>
      </x:c>
      <x:c r="R286" s="28" t="str">
        <x:v>сок водный; кожура богата эфирным маслом; высокая жирность растворяет терпеновые масла цитруса</x:v>
      </x:c>
      <x:c r="S286"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86" s="28" t="str">
        <x:v>Кумкват формирует профиль «цитрусовый, фруктовый, цветочный, пряный»; характерные маркеры: лимонен, гамма-терпинен, метил-N-метилантранилат, линалол. Грецкий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U286" s="28" t="str">
        <x:v>Избыток кислоты делает вкус плоско-резким; белая часть кожуры даёт лишнюю горечь.</x:v>
      </x:c>
      <x:c r="V286" s="28" t="str">
        <x:v>мёд или шоколад</x:v>
      </x:c>
      <x:c r="W286" s="28" t="str">
        <x:v>пралине, крем, выпечка, салат или ореховый соус</x:v>
      </x:c>
      <x:c r="X286" s="28" t="str">
        <x:v>десерты</x:v>
      </x:c>
      <x:c r="Y286" s="28" t="str">
        <x:v>Гипотеза / практическая</x:v>
      </x:c>
      <x:c r="Z286" s="28" t="str">
        <x:v>Таблица сочетания(1).pdf</x:v>
      </x:c>
      <x:c r="AA286" s="28" t="str">
        <x:v>Таблица сочетания(1).pdf: 10</x:v>
      </x:c>
      <x:c r="AB286" s="28" t="str">
        <x:v>Пара указана в таблице: «Кумкват» → колонка «Другое».</x:v>
      </x:c>
      <x:c r="AC286" s="28" t="n">
        <x:v>1</x:v>
      </x:c>
      <x:c r="AD286" s="28" t="n">
        <x:v>1</x:v>
      </x:c>
    </x:row>
    <x:row r="287" ht="58" customHeight="1">
      <x:c r="A287" s="28" t="str">
        <x:v>CIT-0286</x:v>
      </x:c>
      <x:c r="B287" s="28" t="str">
        <x:v>Напитки</x:v>
      </x:c>
      <x:c r="C287" s="28" t="str">
        <x:v>кумкват</x:v>
      </x:c>
      <x:c r="D287" s="28" t="str">
        <x:v>kumquat</x:v>
      </x:c>
      <x:c r="E287" s="28" t="str">
        <x:v>Цитрусовые</x:v>
      </x:c>
      <x:c r="F287" s="28" t="str">
        <x:v>джин</x:v>
      </x:c>
      <x:c r="G287" s="28" t="str">
        <x:v>gin</x:v>
      </x:c>
      <x:c r="H287" s="28" t="str">
        <x:v>Алкогольные напитки</x:v>
      </x:c>
      <x:c r="I287" s="28" t="str">
        <x:v>цитрусовый, фруктовый, цветочный, пряный</x:v>
      </x:c>
      <x:c r="J287" s="28" t="str">
        <x:v>зависит от основы, эфирный, древесный/пряный</x:v>
      </x:c>
      <x:c r="K287" s="28" t="str">
        <x:v>лимонен, гамма-терпинен, метил-N-метилантранилат, линалол</x:v>
      </x:c>
      <x:c r="L287" s="28" t="str">
        <x:v>этанол, эфиры, терпены/дубовые соединения</x:v>
      </x:c>
      <x:c r="M287" s="28" t="str">
        <x:v>прямое семейное перекрытие не является главным механизмом</x:v>
      </x:c>
      <x:c r="N287" s="28" t="str">
        <x:v>надёжный общий маркер не заявлен; сочетание объясняется семействами и сенсорным балансом</x:v>
      </x:c>
      <x:c r="O287" s="28" t="str">
        <x:v>вкусовой баланс, тройничное восприятие, влияние матрицы/растворимости</x:v>
      </x:c>
      <x:c r="P287" s="28" t="str">
        <x:v>Этанол усиливает летучесть терпенов и ощущение тепла; сахар и вода регулируют кислотность, горечь кожуры и спиртуозность.</x:v>
      </x:c>
      <x:c r="Q287" s="28" t="str">
        <x:v>нет выраженного; этанол усиливает тепло и летучесть аромата</x:v>
      </x:c>
      <x:c r="R287" s="28" t="str">
        <x:v>сок водный; кожура богата эфирным маслом; этанол — хороший растворитель гидрофобных эфирных масел</x:v>
      </x:c>
      <x:c r="S287"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287" s="28" t="str">
        <x:v>Кумкват формирует профиль «цитрусовый, фруктовый, цветочный, пряный»; характерные маркеры: лимонен, гамма-терпинен, метил-N-метилантранилат, линалол. Джин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U287" s="28" t="str">
        <x:v>Избыток кислоты делает вкус плоско-резким; белая часть кожуры даёт лишнюю горечь.</x:v>
      </x:c>
      <x:c r="V287" s="28" t="str">
        <x:v>сахарный сироп или биттер</x:v>
      </x:c>
      <x:c r="W287" s="28" t="str">
        <x:v>коктейль, спритц, настойка, ликёр или кордиал</x:v>
      </x:c>
      <x:c r="X287" s="28" t="str">
        <x:v>напитки</x:v>
      </x:c>
      <x:c r="Y287" s="28" t="str">
        <x:v>Средняя</x:v>
      </x:c>
      <x:c r="Z287" s="28" t="str">
        <x:v>The Art &amp; Science of Foodpairing.pdf</x:v>
      </x:c>
      <x:c r="AA287" s="28" t="str">
        <x:v>The Art &amp; Science of Foodpairing.pdf: 215</x:v>
      </x:c>
      <x:c r="AB287" s="28" t="str">
        <x:v>Пара представлена в ароматической диаграмме Foodpairing на странице 215.</x:v>
      </x:c>
      <x:c r="AC287" s="28" t="n">
        <x:v>1</x:v>
      </x:c>
      <x:c r="AD287" s="28" t="n">
        <x:v>1</x:v>
      </x:c>
    </x:row>
    <x:row r="288" ht="58" customHeight="1">
      <x:c r="A288" s="28" t="str">
        <x:v>CIT-0287</x:v>
      </x:c>
      <x:c r="B288" s="28" t="str">
        <x:v>Десерты и выпечка</x:v>
      </x:c>
      <x:c r="C288" s="28" t="str">
        <x:v>кумкват</x:v>
      </x:c>
      <x:c r="D288" s="28" t="str">
        <x:v>kumquat</x:v>
      </x:c>
      <x:c r="E288" s="28" t="str">
        <x:v>Цитрусовые</x:v>
      </x:c>
      <x:c r="F288" s="28" t="str">
        <x:v>ежевика</x:v>
      </x:c>
      <x:c r="G288" s="28" t="str">
        <x:v>blackberry</x:v>
      </x:c>
      <x:c r="H288" s="28" t="str">
        <x:v>Ягоды/косточковые</x:v>
      </x:c>
      <x:c r="I288" s="28" t="str">
        <x:v>цитрусовый, фруктовый, цветочный, пряный</x:v>
      </x:c>
      <x:c r="J288" s="28" t="str">
        <x:v>фруктовый, цветочный, зелёный, винный</x:v>
      </x:c>
      <x:c r="K288" s="28" t="str">
        <x:v>лимонен, гамма-терпинен, метил-N-метилантранилат, линалол</x:v>
      </x:c>
      <x:c r="L288" s="28" t="str">
        <x:v>иононы, дамасценон, эфиры, бензальдегид (для косточковых)</x:v>
      </x:c>
      <x:c r="M288" s="28" t="str">
        <x:v>фруктовый, цветочный</x:v>
      </x:c>
      <x:c r="N288" s="28" t="str">
        <x:v>надёжный общий маркер не заявлен; сочетание объясняется семействами и сенсорным балансом</x:v>
      </x:c>
      <x:c r="O288" s="28" t="str">
        <x:v>перекрытие ароматических семейств, вкусовой баланс</x:v>
      </x:c>
      <x:c r="P288" s="28" t="str">
        <x:v>Общая фруктовая сладость и летучие эфиры создают непрерывный ароматический профиль, а цитрусовая кислота повышает контраст и свежесть.</x:v>
      </x:c>
      <x:c r="Q288" s="28" t="str">
        <x:v>нет выраженного; нет выраженного</x:v>
      </x:c>
      <x:c r="R288" s="28" t="str">
        <x:v>сок водный; кожура богата эфирным маслом; водная матрица с антоцианами и полифенолами</x:v>
      </x:c>
      <x:c r="S28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88" s="28" t="str">
        <x:v>Кумкват формирует профиль «цитрусовый, фруктовый, цветочный, пряный»; характерные маркеры: лимонен, гамма-терпинен, метил-N-метилантранилат, линалол. Ежевика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U288" s="28" t="str">
        <x:v>Избыток кислоты делает вкус плоско-резким; белая часть кожуры даёт лишнюю горечь.</x:v>
      </x:c>
      <x:c r="V288" s="28" t="str">
        <x:v>ваниль или миндаль</x:v>
      </x:c>
      <x:c r="W288" s="28" t="str">
        <x:v>джем, сорбет, коктейль или соус</x:v>
      </x:c>
      <x:c r="X288" s="28" t="str">
        <x:v>напитки, десерты</x:v>
      </x:c>
      <x:c r="Y288" s="28" t="str">
        <x:v>Средняя</x:v>
      </x:c>
      <x:c r="Z288" s="28" t="str">
        <x:v>The Art &amp; Science of Foodpairing.pdf</x:v>
      </x:c>
      <x:c r="AA288" s="28" t="str">
        <x:v>The Art &amp; Science of Foodpairing.pdf: 215</x:v>
      </x:c>
      <x:c r="AB288" s="28" t="str">
        <x:v>Пара представлена в ароматической диаграмме Foodpairing на странице 215.</x:v>
      </x:c>
      <x:c r="AC288" s="28" t="n">
        <x:v>1</x:v>
      </x:c>
      <x:c r="AD288" s="28" t="n">
        <x:v>1</x:v>
      </x:c>
    </x:row>
    <x:row r="289" ht="58" customHeight="1">
      <x:c r="A289" s="28" t="str">
        <x:v>CIT-0288</x:v>
      </x:c>
      <x:c r="B289" s="28" t="str">
        <x:v>Еда и соусы</x:v>
      </x:c>
      <x:c r="C289" s="28" t="str">
        <x:v>кумкват</x:v>
      </x:c>
      <x:c r="D289" s="28" t="str">
        <x:v>kumquat</x:v>
      </x:c>
      <x:c r="E289" s="28" t="str">
        <x:v>Цитрусовые</x:v>
      </x:c>
      <x:c r="F289" s="28" t="str">
        <x:v>зелёная чечевица</x:v>
      </x:c>
      <x:c r="G289" s="28" t="str">
        <x:v>green lentils</x:v>
      </x:c>
      <x:c r="H289" s="28" t="str">
        <x:v>Овощи</x:v>
      </x:c>
      <x:c r="I289" s="28" t="str">
        <x:v>цитрусовый, фруктовый, цветочный, пряный</x:v>
      </x:c>
      <x:c r="J289" s="28" t="str">
        <x:v>зелёный, землистый, растительный, иногда сернистый</x:v>
      </x:c>
      <x:c r="K289" s="28" t="str">
        <x:v>лимонен, гамма-терпинен, метил-N-метилантранилат, линалол</x:v>
      </x:c>
      <x:c r="L289" s="28" t="str">
        <x:v>C6-альдегиды, метоксипиразины, геосмин (землистые), сернистые соединения</x:v>
      </x:c>
      <x:c r="M289" s="28" t="str">
        <x:v>прямое семейное перекрытие не является главным механизмом</x:v>
      </x:c>
      <x:c r="N289" s="28" t="str">
        <x:v>надёжный общий маркер не заявлен; сочетание объясняется семействами и сенсорным балансом</x:v>
      </x:c>
      <x:c r="O289" s="28" t="str">
        <x:v>вкусовой баланс</x:v>
      </x:c>
      <x:c r="P289" s="28" t="str">
        <x:v>Кислота подчёркивает природную сладость овоща, сокращает землистое/сернистое послевкусие и повышает слюноотделение.</x:v>
      </x:c>
      <x:c r="Q289" s="28" t="str">
        <x:v>нет выраженного; нет выраженного</x:v>
      </x:c>
      <x:c r="R289" s="28" t="str">
        <x:v>сок водный; кожура богата эфирным маслом; водная/крахмальная матрица; масло помогает распределить цедру</x:v>
      </x:c>
      <x:c r="S28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89" s="28" t="str">
        <x:v>Кумкват формирует профиль «цитрусовый, фруктовый, цветочный, пряный»; характерные маркеры: лимонен, гамма-терпинен, метил-N-метилантранилат, линалол. Зелёная чечевица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U289" s="28" t="str">
        <x:v>Избыток кислоты делает вкус плоско-резким; белая часть кожуры даёт лишнюю горечь.</x:v>
      </x:c>
      <x:c r="V289" s="28" t="str">
        <x:v>оливковое масло или базилик</x:v>
      </x:c>
      <x:c r="W289" s="28" t="str">
        <x:v>винегрет, салат, пюре, запечённое блюдо или овощной соус</x:v>
      </x:c>
      <x:c r="X289" s="28" t="str">
        <x:v>еда, соусы/маринады</x:v>
      </x:c>
      <x:c r="Y289" s="28" t="str">
        <x:v>Средняя</x:v>
      </x:c>
      <x:c r="Z289" s="28" t="str">
        <x:v>The Art &amp; Science of Foodpairing.pdf</x:v>
      </x:c>
      <x:c r="AA289" s="28" t="str">
        <x:v>The Art &amp; Science of Foodpairing.pdf: 215</x:v>
      </x:c>
      <x:c r="AB289" s="28" t="str">
        <x:v>Пара представлена в ароматической диаграмме Foodpairing на странице 215.</x:v>
      </x:c>
      <x:c r="AC289" s="28" t="n">
        <x:v>1</x:v>
      </x:c>
      <x:c r="AD289" s="28" t="n">
        <x:v>1</x:v>
      </x:c>
    </x:row>
    <x:row r="290" ht="58" customHeight="1">
      <x:c r="A290" s="28" t="str">
        <x:v>CIT-0289</x:v>
      </x:c>
      <x:c r="B290" s="28" t="str">
        <x:v>Универсальные</x:v>
      </x:c>
      <x:c r="C290" s="28" t="str">
        <x:v>кумкват</x:v>
      </x:c>
      <x:c r="D290" s="28" t="str">
        <x:v>Кумкват</x:v>
      </x:c>
      <x:c r="E290" s="28" t="str">
        <x:v>Цитрусовые</x:v>
      </x:c>
      <x:c r="F290" s="28" t="str">
        <x:v>имбирь</x:v>
      </x:c>
      <x:c r="G290" s="28" t="str">
        <x:v>имбирь</x:v>
      </x:c>
      <x:c r="H290" s="28" t="str">
        <x:v>Пряности</x:v>
      </x:c>
      <x:c r="I290" s="28" t="str">
        <x:v>цитрусовый, фруктовый, цветочный, пряный</x:v>
      </x:c>
      <x:c r="J290" s="28" t="str">
        <x:v>цитрусовый, пряный, древесный, тёплый</x:v>
      </x:c>
      <x:c r="K290" s="28" t="str">
        <x:v>лимонен, гамма-терпинен, метил-N-метилантранилат, линалол</x:v>
      </x:c>
      <x:c r="L290" s="28" t="str">
        <x:v>зингиберен, цитраль, гераниол, гингеролы/шогаолы</x:v>
      </x:c>
      <x:c r="M290" s="28" t="str">
        <x:v>пряный, цитрусовый</x:v>
      </x:c>
      <x:c r="N290" s="28" t="str">
        <x:v>надёжный общий маркер не заявлен; сочетание объясняется семействами и сенсорным балансом</x:v>
      </x:c>
      <x:c r="O290" s="28" t="str">
        <x:v>перекрытие ароматических семейств, вкусовой баланс, тройничное восприятие</x:v>
      </x:c>
      <x:c r="P290" s="28" t="str">
        <x:v>Кислота усиливает слюноотделение и делает пряный аромат ярче; терпены цитруса образуют мост с эфирными маслами травы или специи.</x:v>
      </x:c>
      <x:c r="Q290" s="28" t="str">
        <x:v>нет выраженного; гингеролы и шогаолы активируют TRPV1 и дают тепло</x:v>
      </x:c>
      <x:c r="R290" s="28" t="str">
        <x:v>сок водный; кожура богата эфирным маслом; ароматические терпены лучше извлекаются этанолом и жиром</x:v>
      </x:c>
      <x:c r="S29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90" s="28" t="str">
        <x:v>Кумкват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U290" s="28" t="str">
        <x:v>Избыток кислоты делает вкус плоско-резким; белая часть кожуры даёт лишнюю горечь.</x:v>
      </x:c>
      <x:c r="V290" s="28" t="str">
        <x:v>мёд или ваниль</x:v>
      </x:c>
      <x:c r="W290" s="28" t="str">
        <x:v>сироп, кордиал, чатни, маринад или пряный десерт</x:v>
      </x:c>
      <x:c r="X290" s="28" t="str">
        <x:v>напитки, еда, соусы/маринады</x:v>
      </x:c>
      <x:c r="Y290" s="28" t="str">
        <x:v>Гипотеза / практическая</x:v>
      </x:c>
      <x:c r="Z290" s="28" t="str">
        <x:v>Таблица сочетания(1).pdf</x:v>
      </x:c>
      <x:c r="AA290" s="28" t="str">
        <x:v>Таблица сочетания(1).pdf: 10</x:v>
      </x:c>
      <x:c r="AB290" s="28" t="str">
        <x:v>Пара указана в таблице: «Кумкват» → колонка «Травы и специи».</x:v>
      </x:c>
      <x:c r="AC290" s="28" t="n">
        <x:v>1</x:v>
      </x:c>
      <x:c r="AD290" s="28" t="n">
        <x:v>1</x:v>
      </x:c>
    </x:row>
    <x:row r="291" ht="58" customHeight="1">
      <x:c r="A291" s="28" t="str">
        <x:v>CIT-0290</x:v>
      </x:c>
      <x:c r="B291" s="28" t="str">
        <x:v>Десерты и выпечка</x:v>
      </x:c>
      <x:c r="C291" s="28" t="str">
        <x:v>кумкват</x:v>
      </x:c>
      <x:c r="D291" s="28" t="str">
        <x:v>кумкват</x:v>
      </x:c>
      <x:c r="E291" s="28" t="str">
        <x:v>Цитрусовые</x:v>
      </x:c>
      <x:c r="F291" s="28" t="str">
        <x:v>клубника</x:v>
      </x:c>
      <x:c r="G291" s="28" t="str">
        <x:v>Клубника</x:v>
      </x:c>
      <x:c r="H291" s="28" t="str">
        <x:v>Ягоды</x:v>
      </x:c>
      <x:c r="I291" s="28" t="str">
        <x:v>цитрусовый, фруктовый, цветочный, пряный</x:v>
      </x:c>
      <x:c r="J291" s="28" t="str">
        <x:v>фруктовый, цветочный, карамельный</x:v>
      </x:c>
      <x:c r="K291" s="28" t="str">
        <x:v>лимонен, гамма-терпинен, метил-N-метилантранилат, линалол</x:v>
      </x:c>
      <x:c r="L291" s="28" t="str">
        <x:v>фуранеол, этилбутират, метилбутират, линалоол</x:v>
      </x:c>
      <x:c r="M291" s="28" t="str">
        <x:v>фруктовый, цветочный</x:v>
      </x:c>
      <x:c r="N291" s="28" t="str">
        <x:v>надёжный общий маркер не заявлен; сочетание объясняется семействами и сенсорным балансом</x:v>
      </x:c>
      <x:c r="O291" s="28" t="str">
        <x:v>перекрытие ароматических семейств, вкусовой баланс</x:v>
      </x:c>
      <x:c r="P291" s="28" t="str">
        <x:v>Общая фруктовая сладость и летучие эфиры создают непрерывный ароматический профиль, а цитрусовая кислота повышает контраст и свежесть.</x:v>
      </x:c>
      <x:c r="Q291" s="28" t="str">
        <x:v>нет выраженного; нет выраженного</x:v>
      </x:c>
      <x:c r="R291" s="28" t="str">
        <x:v>сок водный; кожура богата эфирным маслом; сочная матрица; аромат быстро теряется при нагреве</x:v>
      </x:c>
      <x:c r="S29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91" s="28" t="str">
        <x:v>Кумкват формирует профиль «цитрусовый, фруктовый, цветочный, пряный»; характерные маркеры: лимонен, гамма-терпинен, метил-N-метилантранилат, линалол. Клубника относится к группе «ягоды» и даёт ноты «фруктовый, цветочный, карамельный».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Фуранеол даёт карамельно-ананасовый оттенок, цитрус подчёркивает свежие эфиры.</x:v>
      </x:c>
      <x:c r="U291" s="28" t="str">
        <x:v>Избыток кислоты делает вкус плоско-резким; белая часть кожуры даёт лишнюю горечь.</x:v>
      </x:c>
      <x:c r="V291" s="28" t="str">
        <x:v>мята или ваниль</x:v>
      </x:c>
      <x:c r="W291" s="28" t="str">
        <x:v>морс, кордиал, джем, сорбет или коктейль</x:v>
      </x:c>
      <x:c r="X291" s="28" t="str">
        <x:v>напитки, десерты</x:v>
      </x:c>
      <x:c r="Y291" s="28" t="str">
        <x:v>Гипотеза / практическая</x:v>
      </x:c>
      <x:c r="Z291" s="28" t="str">
        <x:v>Таблица сочетания(1).pdf</x:v>
      </x:c>
      <x:c r="AA291" s="28" t="str">
        <x:v>Таблица сочетания(1).pdf: 20</x:v>
      </x:c>
      <x:c r="AB291" s="28" t="str">
        <x:v>Пара указана в таблице: «Клубника» → колонка «Фрукты».</x:v>
      </x:c>
      <x:c r="AC291" s="28" t="n">
        <x:v>1</x:v>
      </x:c>
      <x:c r="AD291" s="28" t="n">
        <x:v>1</x:v>
      </x:c>
    </x:row>
    <x:row r="292" ht="58" customHeight="1">
      <x:c r="A292" s="28" t="str">
        <x:v>CIT-0291</x:v>
      </x:c>
      <x:c r="B292" s="28" t="str">
        <x:v>Универсальные</x:v>
      </x:c>
      <x:c r="C292" s="28" t="str">
        <x:v>кумкват</x:v>
      </x:c>
      <x:c r="D292" s="28" t="str">
        <x:v>Кумкват</x:v>
      </x:c>
      <x:c r="E292" s="28" t="str">
        <x:v>Цитрусовые</x:v>
      </x:c>
      <x:c r="F292" s="28" t="str">
        <x:v>корица</x:v>
      </x:c>
      <x:c r="G292" s="28" t="str">
        <x:v>корица</x:v>
      </x:c>
      <x:c r="H292" s="28" t="str">
        <x:v>Пряности</x:v>
      </x:c>
      <x:c r="I292" s="28" t="str">
        <x:v>цитрусовый, фруктовый, цветочный, пряный</x:v>
      </x:c>
      <x:c r="J292" s="28" t="str">
        <x:v>сладко-пряный, древесный, тёплый</x:v>
      </x:c>
      <x:c r="K292" s="28" t="str">
        <x:v>лимонен, гамма-терпинен, метил-N-метилантранилат, линалол</x:v>
      </x:c>
      <x:c r="L292" s="28" t="str">
        <x:v>коричный альдегид, эвгенол, кумарин</x:v>
      </x:c>
      <x:c r="M292" s="28" t="str">
        <x:v>прямое семейное перекрытие не является главным механизмом</x:v>
      </x:c>
      <x:c r="N292" s="28" t="str">
        <x:v>надёжный общий маркер не заявлен; сочетание объясняется семействами и сенсорным балансом</x:v>
      </x:c>
      <x:c r="O292" s="28" t="str">
        <x:v>вкусовой баланс, тройничное восприятие</x:v>
      </x:c>
      <x:c r="P292" s="28" t="str">
        <x:v>Кислота усиливает слюноотделение и делает пряный аромат ярче; терпены цитруса образуют мост с эфирными маслами травы или специи.</x:v>
      </x:c>
      <x:c r="Q292" s="28" t="str">
        <x:v>нет выраженного; коричный альдегид активирует TRPA1 и создаёт тепло</x:v>
      </x:c>
      <x:c r="R292" s="28" t="str">
        <x:v>сок водный; кожура богата эфирным маслом; лучше раскрывается в жире, сахаре и спирте</x:v>
      </x:c>
      <x:c r="S29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92" s="28" t="str">
        <x:v>Кумкват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U292" s="28" t="str">
        <x:v>Избыток кислоты делает вкус плоско-резким; белая часть кожуры даёт лишнюю горечь.</x:v>
      </x:c>
      <x:c r="V292" s="28" t="str">
        <x:v>мёд или ваниль</x:v>
      </x:c>
      <x:c r="W292" s="28" t="str">
        <x:v>сироп, кордиал, чатни, маринад или пряный десерт</x:v>
      </x:c>
      <x:c r="X292" s="28" t="str">
        <x:v>напитки, еда, соусы/маринады</x:v>
      </x:c>
      <x:c r="Y292" s="28" t="str">
        <x:v>Гипотеза / практическая</x:v>
      </x:c>
      <x:c r="Z292" s="28" t="str">
        <x:v>Таблица сочетания(1).pdf</x:v>
      </x:c>
      <x:c r="AA292" s="28" t="str">
        <x:v>Таблица сочетания(1).pdf: 10</x:v>
      </x:c>
      <x:c r="AB292" s="28" t="str">
        <x:v>Пара указана в таблице: «Кумкват» → колонка «Травы и специи».</x:v>
      </x:c>
      <x:c r="AC292" s="28" t="n">
        <x:v>1</x:v>
      </x:c>
      <x:c r="AD292" s="28" t="n">
        <x:v>1</x:v>
      </x:c>
    </x:row>
    <x:row r="293" ht="58" customHeight="1">
      <x:c r="A293" s="28" t="str">
        <x:v>CIT-0292</x:v>
      </x:c>
      <x:c r="B293" s="28" t="str">
        <x:v>Десерты и выпечка</x:v>
      </x:c>
      <x:c r="C293" s="28" t="str">
        <x:v>кумкват</x:v>
      </x:c>
      <x:c r="D293" s="28" t="str">
        <x:v>Кумкват</x:v>
      </x:c>
      <x:c r="E293" s="28" t="str">
        <x:v>Цитрусовые</x:v>
      </x:c>
      <x:c r="F293" s="28" t="str">
        <x:v>кофе</x:v>
      </x:c>
      <x:c r="G293" s="28" t="str">
        <x:v>кофе</x:v>
      </x:c>
      <x:c r="H293" s="28" t="str">
        <x:v>Кофе/обжаренное</x:v>
      </x:c>
      <x:c r="I293" s="28" t="str">
        <x:v>цитрусовый, фруктовый, цветочный, пряный</x:v>
      </x:c>
      <x:c r="J293" s="28" t="str">
        <x:v>обжаренный, карамельный, ореховый, сернистый</x:v>
      </x:c>
      <x:c r="K293" s="28" t="str">
        <x:v>лимонен, гамма-терпинен, метил-N-метилантранилат, линалол</x:v>
      </x:c>
      <x:c r="L293" s="28" t="str">
        <x:v>фурантиолы, пиразины, фураны, гуаякол</x:v>
      </x:c>
      <x:c r="M293" s="28" t="str">
        <x:v>прямое семейное перекрытие не является главным механизмом</x:v>
      </x:c>
      <x:c r="N293" s="28" t="str">
        <x:v>надёжный общий маркер не заявлен; сочетание объясняется семействами и сенсорным балансом</x:v>
      </x:c>
      <x:c r="O293" s="28" t="str">
        <x:v>вкусовой баланс</x:v>
      </x:c>
      <x:c r="P293" s="28" t="str">
        <x:v>Высокая кисло-ароматическая нота контрастирует с жареными, горькими и карамельными оттенками; сахар или жир связывает два регистра.</x:v>
      </x:c>
      <x:c r="Q293" s="28" t="str">
        <x:v>нет выраженного; нет выраженного</x:v>
      </x:c>
      <x:c r="R293" s="28" t="str">
        <x:v>сок водный; кожура богата эфирным маслом; водная или молочная матрица; масла кофе удерживают аромат</x:v>
      </x:c>
      <x:c r="S29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93" s="28" t="str">
        <x:v>Кумкват формирует профиль «цитрусовый, фруктовый, цветочный, пряный»; характерные маркеры: лимонен, гамма-терпинен, метил-N-метилантранилат, линалол. Кофе относится к группе «кофе/обжаренное» и даёт ноты «обжаренный, карамельный, ореховый,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может подчеркнуть естественную кислотность и связаться с фруктовыми нотами кофе.</x:v>
      </x:c>
      <x:c r="U293" s="28" t="str">
        <x:v>Избыток кислоты делает вкус плоско-резким; белая часть кожуры даёт лишнюю горечь.</x:v>
      </x:c>
      <x:c r="V293" s="28" t="str">
        <x:v>шоколад или кардамон</x:v>
      </x:c>
      <x:c r="W293" s="28" t="str">
        <x:v>кофейный напиток, тирамису, ликёр или десертный соус</x:v>
      </x:c>
      <x:c r="X293" s="28" t="str">
        <x:v>десерты</x:v>
      </x:c>
      <x:c r="Y293" s="28" t="str">
        <x:v>Гипотеза / практическая</x:v>
      </x:c>
      <x:c r="Z293" s="28" t="str">
        <x:v>Таблица сочетания(1).pdf</x:v>
      </x:c>
      <x:c r="AA293" s="28" t="str">
        <x:v>Таблица сочетания(1).pdf: 10</x:v>
      </x:c>
      <x:c r="AB293" s="28" t="str">
        <x:v>Пара указана в таблице: «Кумкват» → колонка «Другое».</x:v>
      </x:c>
      <x:c r="AC293" s="28" t="n">
        <x:v>1</x:v>
      </x:c>
      <x:c r="AD293" s="28" t="n">
        <x:v>1</x:v>
      </x:c>
    </x:row>
    <x:row r="294" ht="58" customHeight="1">
      <x:c r="A294" s="28" t="str">
        <x:v>CIT-0293</x:v>
      </x:c>
      <x:c r="B294" s="28" t="str">
        <x:v>Универсальные</x:v>
      </x:c>
      <x:c r="C294" s="28" t="str">
        <x:v>кумкват</x:v>
      </x:c>
      <x:c r="D294" s="28" t="str">
        <x:v>Кумкват | кумкват</x:v>
      </x:c>
      <x:c r="E294" s="28" t="str">
        <x:v>Цитрусовые</x:v>
      </x:c>
      <x:c r="F294" s="28" t="str">
        <x:v>лайм</x:v>
      </x:c>
      <x:c r="G294" s="28" t="str">
        <x:v>Лайм | лайм</x:v>
      </x:c>
      <x:c r="H294" s="28" t="str">
        <x:v>Цитрусовые</x:v>
      </x:c>
      <x:c r="I294" s="28" t="str">
        <x:v>цитрусовый, фруктовый, цветочный, пряный</x:v>
      </x:c>
      <x:c r="J294" s="28" t="str">
        <x:v>цитрусовый, зелёный, травяной, камфорный</x:v>
      </x:c>
      <x:c r="K294" s="28" t="str">
        <x:v>лимонен, гамма-терпинен, метил-N-метилантранилат, линалол</x:v>
      </x:c>
      <x:c r="L294" s="28" t="str">
        <x:v>лимонен, гамма-терпинен, цитраль, бета-пинен, линалол</x:v>
      </x:c>
      <x:c r="M294" s="28" t="str">
        <x:v>цитрусовый</x:v>
      </x:c>
      <x:c r="N294" s="28" t="str">
        <x:v>гамма-терпинен, лимонен, линалол</x:v>
      </x:c>
      <x:c r="O294" s="28" t="str">
        <x:v>общие ароматические молекулы, перекрытие ароматических семейств, вкусовой баланс, тройничное восприятие</x:v>
      </x:c>
      <x:c r="P294" s="28" t="str">
        <x:v>Сочетание строится на близком терпеновом профиле; различия в кислотности, горечи и цветочно-зелёных оттенках создают объём.</x:v>
      </x:c>
      <x:c r="Q294" s="28" t="str">
        <x:v>нет выраженного; кислота усиливает слюноотделение; зелёные терпены создают ощущение прохлады</x:v>
      </x:c>
      <x:c r="R294" s="28" t="str">
        <x:v>сок водный; кожура богата эфирным маслом; сок — водная кислая фаза; цедра — масляная терпеновая</x:v>
      </x:c>
      <x:c r="S29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94" s="28" t="str">
        <x:v>Кумкват формирует профиль «цитрусовый, фруктовый, цветочный, пряный»; характерные маркеры: лимонен, гамма-терпинен, метил-N-метилантранилат, линалол. Лайм относится к группе «цитрусовые» и даёт ноты «цитрусовый, зелёный, травяной, камфорный». Наиболее правдоподобный молекулярный мост — гамма-терпинен,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Лаймовые цитрусы дают более зелёный и камфорный профиль, чем сладкий апельсин.</x:v>
      </x:c>
      <x:c r="U294" s="28" t="str">
        <x:v>Избыток кислоты делает вкус плоско-резким; белая часть кожуры даёт лишнюю горечь.</x:v>
      </x:c>
      <x:c r="V294" s="28" t="str">
        <x:v>мёд или цветочная вода</x:v>
      </x:c>
      <x:c r="W294" s="28" t="str">
        <x:v>цитрусовый кордиал, мармелад, сорбет, салат или купаж соков</x:v>
      </x:c>
      <x:c r="X294" s="28" t="str">
        <x:v>напитки, десерты</x:v>
      </x:c>
      <x:c r="Y294" s="28" t="str">
        <x:v>Средняя</x:v>
      </x:c>
      <x:c r="Z294" s="28" t="str">
        <x:v>Таблица сочетания(1).pdf</x:v>
      </x:c>
      <x:c r="AA294" s="28" t="str">
        <x:v>Таблица сочетания(1).pdf: 10, 12</x:v>
      </x:c>
      <x:c r="AB294" s="28" t="str">
        <x:v>Пара указана в таблице: «Кумкват» → колонка «Фрукты».</x:v>
      </x:c>
      <x:c r="AC294" s="28" t="n">
        <x:v>1</x:v>
      </x:c>
      <x:c r="AD294" s="28" t="n">
        <x:v>2</x:v>
      </x:c>
    </x:row>
    <x:row r="295" ht="58" customHeight="1">
      <x:c r="A295" s="28" t="str">
        <x:v>CIT-0294</x:v>
      </x:c>
      <x:c r="B295" s="28" t="str">
        <x:v>Универсальные</x:v>
      </x:c>
      <x:c r="C295" s="28" t="str">
        <x:v>кумкват</x:v>
      </x:c>
      <x:c r="D295" s="28" t="str">
        <x:v>Кумкват | кумкват</x:v>
      </x:c>
      <x:c r="E295" s="28" t="str">
        <x:v>Цитрусовые</x:v>
      </x:c>
      <x:c r="F295" s="28" t="str">
        <x:v>лимон</x:v>
      </x:c>
      <x:c r="G295" s="28" t="str">
        <x:v>Лимон | лимон</x:v>
      </x:c>
      <x:c r="H295" s="28" t="str">
        <x:v>Цитрусовые</x:v>
      </x:c>
      <x:c r="I295" s="28" t="str">
        <x:v>цитрусовый, фруктовый, цветочный, пряный</x:v>
      </x:c>
      <x:c r="J295" s="28" t="str">
        <x:v>цитрусовый, свежий, цветочный, древесный</x:v>
      </x:c>
      <x:c r="K295" s="28" t="str">
        <x:v>лимонен, гамма-терпинен, метил-N-метилантранилат, линалол</x:v>
      </x:c>
      <x:c r="L295" s="28" t="str">
        <x:v>цитраль (гераниаль + нераль), лимонен, гамма-терпинен, бета-пинен</x:v>
      </x:c>
      <x:c r="M295" s="28" t="str">
        <x:v>цветочный, цитрусовый</x:v>
      </x:c>
      <x:c r="N295" s="28" t="str">
        <x:v>гамма-терпинен, лимонен</x:v>
      </x:c>
      <x:c r="O295" s="28" t="str">
        <x:v>общие ароматические молекулы, перекрытие ароматических семейств, вкусовой баланс, тройничное восприятие</x:v>
      </x:c>
      <x:c r="P295" s="28" t="str">
        <x:v>Сочетание строится на близком терпеновом профиле; различия в кислотности, горечи и цветочно-зелёных оттенках создают объём.</x:v>
      </x:c>
      <x:c r="Q295" s="28" t="str">
        <x:v>нет выраженного; кислота усиливает слюноотделение</x:v>
      </x:c>
      <x:c r="R295" s="28" t="str">
        <x:v>сок водный; кожура богата эфирным маслом; сок — водная кислая фаза; цедра — гидрофобное эфирное масло</x:v>
      </x:c>
      <x:c r="S29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95" s="28" t="str">
        <x:v>Кумкват формирует профиль «цитрусовый, фруктовый, цветочный, пряный»; характерные маркеры: лимонен, гамма-терпинен, метил-N-метилантранилат, линалол. Лимон относится к группе «цитрусовые» и даёт ноты «цитрусовый, свежий, цветочный, древесный».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Сок определяется цитралем и кислотностью, цедра — лимоненом и терпенами.</x:v>
      </x:c>
      <x:c r="U295" s="28" t="str">
        <x:v>Избыток кислоты делает вкус плоско-резким; белая часть кожуры даёт лишнюю горечь.</x:v>
      </x:c>
      <x:c r="V295" s="28" t="str">
        <x:v>мёд или цветочная вода</x:v>
      </x:c>
      <x:c r="W295" s="28" t="str">
        <x:v>цитрусовый кордиал, мармелад, сорбет, салат или купаж соков</x:v>
      </x:c>
      <x:c r="X295" s="28" t="str">
        <x:v>напитки, десерты</x:v>
      </x:c>
      <x:c r="Y295" s="28" t="str">
        <x:v>Средняя</x:v>
      </x:c>
      <x:c r="Z295" s="28" t="str">
        <x:v>Таблица сочетания(1).pdf</x:v>
      </x:c>
      <x:c r="AA295" s="28" t="str">
        <x:v>Таблица сочетания(1).pdf: 11</x:v>
      </x:c>
      <x:c r="AB295" s="28" t="str">
        <x:v>Пара указана в таблице: «Кумкват» → колонка «Фрукты».</x:v>
      </x:c>
      <x:c r="AC295" s="28" t="n">
        <x:v>1</x:v>
      </x:c>
      <x:c r="AD295" s="28" t="n">
        <x:v>2</x:v>
      </x:c>
    </x:row>
    <x:row r="296" ht="58" customHeight="1">
      <x:c r="A296" s="28" t="str">
        <x:v>CIT-0295</x:v>
      </x:c>
      <x:c r="B296" s="28" t="str">
        <x:v>Десерты и выпечка</x:v>
      </x:c>
      <x:c r="C296" s="28" t="str">
        <x:v>кумкват</x:v>
      </x:c>
      <x:c r="D296" s="28" t="str">
        <x:v>кумкват</x:v>
      </x:c>
      <x:c r="E296" s="28" t="str">
        <x:v>Цитрусовые</x:v>
      </x:c>
      <x:c r="F296" s="28" t="str">
        <x:v>манго</x:v>
      </x:c>
      <x:c r="G296" s="28" t="str">
        <x:v>Манго</x:v>
      </x:c>
      <x:c r="H296" s="28" t="str">
        <x:v>Тропические фрукты</x:v>
      </x:c>
      <x:c r="I296" s="28" t="str">
        <x:v>цитрусовый, фруктовый, цветочный, пряный</x:v>
      </x:c>
      <x:c r="J296" s="28" t="str">
        <x:v>фруктовый, тропический, цветочный, сливочный</x:v>
      </x:c>
      <x:c r="K296" s="28" t="str">
        <x:v>лимонен, гамма-терпинен, метил-N-метилантранилат, линалол</x:v>
      </x:c>
      <x:c r="L296" s="28" t="str">
        <x:v>этилбутират, гексилацетат, лактоны, сернистые тиолы (у части фруктов)</x:v>
      </x:c>
      <x:c r="M296" s="28" t="str">
        <x:v>фруктовый, цветочный</x:v>
      </x:c>
      <x:c r="N296" s="28" t="str">
        <x:v>надёжный общий маркер не заявлен; сочетание объясняется семействами и сенсорным балансом</x:v>
      </x:c>
      <x:c r="O296" s="28" t="str">
        <x:v>перекрытие ароматических семейств, вкусовой баланс</x:v>
      </x:c>
      <x:c r="P296" s="28" t="str">
        <x:v>Общая фруктовая сладость и летучие эфиры создают непрерывный ароматический профиль, а цитрусовая кислота повышает контраст и свежесть.</x:v>
      </x:c>
      <x:c r="Q296" s="28" t="str">
        <x:v>нет выраженного; нет выраженного</x:v>
      </x:c>
      <x:c r="R296" s="28" t="str">
        <x:v>сок водный; кожура богата эфирным маслом; сочная или кремовая фруктовая матрица</x:v>
      </x:c>
      <x:c r="S29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296" s="28" t="str">
        <x:v>Кумкват формирует профиль «цитрусовый, фруктовый, цветочный, пряный»; характерные маркеры: лимонен, гамма-терпинен, метил-N-метилантранилат, линалол.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U296" s="28" t="str">
        <x:v>Избыток кислоты делает вкус плоско-резким; белая часть кожуры даёт лишнюю горечь.</x:v>
      </x:c>
      <x:c r="V296" s="28" t="str">
        <x:v>кокос или имбирь</x:v>
      </x:c>
      <x:c r="W296" s="28" t="str">
        <x:v>смузи, кордиал, сорбет, чатни или коктейль</x:v>
      </x:c>
      <x:c r="X296" s="28" t="str">
        <x:v>напитки, десерты</x:v>
      </x:c>
      <x:c r="Y296" s="28" t="str">
        <x:v>Гипотеза / практическая</x:v>
      </x:c>
      <x:c r="Z296" s="28" t="str">
        <x:v>Таблица сочетания(1).pdf</x:v>
      </x:c>
      <x:c r="AA296" s="28" t="str">
        <x:v>Таблица сочетания(1).pdf: 13</x:v>
      </x:c>
      <x:c r="AB296" s="28" t="str">
        <x:v>Пара указана в таблице: «Манго» → колонка «Фрукты».</x:v>
      </x:c>
      <x:c r="AC296" s="28" t="n">
        <x:v>1</x:v>
      </x:c>
      <x:c r="AD296" s="28" t="n">
        <x:v>1</x:v>
      </x:c>
    </x:row>
    <x:row r="297" ht="58" customHeight="1">
      <x:c r="A297" s="28" t="str">
        <x:v>CIT-0296</x:v>
      </x:c>
      <x:c r="B297" s="28" t="str">
        <x:v>Десерты и выпечка</x:v>
      </x:c>
      <x:c r="C297" s="28" t="str">
        <x:v>кумкват</x:v>
      </x:c>
      <x:c r="D297" s="28" t="str">
        <x:v>Кумкват</x:v>
      </x:c>
      <x:c r="E297" s="28" t="str">
        <x:v>Цитрусовые</x:v>
      </x:c>
      <x:c r="F297" s="28" t="str">
        <x:v>мёд</x:v>
      </x:c>
      <x:c r="G297" s="28" t="str">
        <x:v>мёд</x:v>
      </x:c>
      <x:c r="H297" s="28" t="str">
        <x:v>Подсластители</x:v>
      </x:c>
      <x:c r="I297" s="28" t="str">
        <x:v>цитрусовый, фруктовый, цветочный, пряный</x:v>
      </x:c>
      <x:c r="J297" s="28" t="str">
        <x:v>медовый, цветочный, карамельный</x:v>
      </x:c>
      <x:c r="K297" s="28" t="str">
        <x:v>лимонен, гамма-терпинен, метил-N-метилантранилат, линалол</x:v>
      </x:c>
      <x:c r="L297" s="28" t="str">
        <x:v>фенилуксусные соединения, фураны, норизопреноиды</x:v>
      </x:c>
      <x:c r="M297" s="28" t="str">
        <x:v>цветочный</x:v>
      </x:c>
      <x:c r="N297" s="28" t="str">
        <x:v>надёжный общий маркер не заявлен; сочетание объясняется семействами и сенсорным балансом</x:v>
      </x:c>
      <x:c r="O297" s="28" t="str">
        <x:v>перекрытие ароматических семейств, вкусовой баланс</x:v>
      </x:c>
      <x:c r="P297" s="28" t="str">
        <x:v>Сладость подавляет воспринимаемую кислотность и горечь кожуры, а кислота не даёт сочетанию стать приторным.</x:v>
      </x:c>
      <x:c r="Q297" s="28" t="str">
        <x:v>нет выраженного; нет выраженного</x:v>
      </x:c>
      <x:c r="R297" s="28" t="str">
        <x:v>сок водный; кожура богата эфирным маслом; сахар повышает вязкость и снижает воспринимаемую кислотность</x:v>
      </x:c>
      <x:c r="S29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297" s="28" t="str">
        <x:v>Кумкват формирует профиль «цитрусовый, фруктовый, цветочный, пряный»; характерные маркеры: лимонен, гамма-терпинен, метил-N-метилантранилат, линалол.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U297" s="28" t="str">
        <x:v>Избыток кислоты делает вкус плоско-резким; белая часть кожуры даёт лишнюю горечь.</x:v>
      </x:c>
      <x:c r="V297" s="28" t="str">
        <x:v>имбирь или ваниль</x:v>
      </x:c>
      <x:c r="W297" s="28" t="str">
        <x:v>сироп, мармелад, крем, глазурь или лимонад</x:v>
      </x:c>
      <x:c r="X297" s="28" t="str">
        <x:v>напитки, десерты</x:v>
      </x:c>
      <x:c r="Y297" s="28" t="str">
        <x:v>Гипотеза / практическая</x:v>
      </x:c>
      <x:c r="Z297" s="28" t="str">
        <x:v>Таблица сочетания(1).pdf</x:v>
      </x:c>
      <x:c r="AA297" s="28" t="str">
        <x:v>Таблица сочетания(1).pdf: 10</x:v>
      </x:c>
      <x:c r="AB297" s="28" t="str">
        <x:v>Пара указана в таблице: «Кумкват» → колонка «Другое».</x:v>
      </x:c>
      <x:c r="AC297" s="28" t="n">
        <x:v>1</x:v>
      </x:c>
      <x:c r="AD297" s="28" t="n">
        <x:v>1</x:v>
      </x:c>
    </x:row>
    <x:row r="298" ht="58" customHeight="1">
      <x:c r="A298" s="28" t="str">
        <x:v>CIT-0297</x:v>
      </x:c>
      <x:c r="B298" s="28" t="str">
        <x:v>Десерты и выпечка</x:v>
      </x:c>
      <x:c r="C298" s="28" t="str">
        <x:v>кумкват</x:v>
      </x:c>
      <x:c r="D298" s="28" t="str">
        <x:v>Кумкват</x:v>
      </x:c>
      <x:c r="E298" s="28" t="str">
        <x:v>Цитрусовые</x:v>
      </x:c>
      <x:c r="F298" s="28" t="str">
        <x:v>мускатный орех</x:v>
      </x:c>
      <x:c r="G298" s="28" t="str">
        <x:v>мускатный орех</x:v>
      </x:c>
      <x:c r="H298" s="28" t="str">
        <x:v>Орехи и семена</x:v>
      </x:c>
      <x:c r="I298" s="28" t="str">
        <x:v>цитрусовый, фруктовый, цветочный, пряный</x:v>
      </x:c>
      <x:c r="J298" s="28" t="str">
        <x:v>ореховый, обжаренный, жирный, зелёный</x:v>
      </x:c>
      <x:c r="K298" s="28" t="str">
        <x:v>лимонен, гамма-терпинен, метил-N-метилантранилат, линалол</x:v>
      </x:c>
      <x:c r="L298" s="28" t="str">
        <x:v>пиразины, альдегиды окисления жиров, бензальдегид (миндаль)</x:v>
      </x:c>
      <x:c r="M298" s="28" t="str">
        <x:v>прямое семейное перекрытие не является главным механизмом</x:v>
      </x:c>
      <x:c r="N298" s="28" t="str">
        <x:v>надёжный общий маркер не заявлен; сочетание объясняется семействами и сенсорным балансом</x:v>
      </x:c>
      <x:c r="O298" s="28" t="str">
        <x:v>вкусовой баланс, влияние матрицы/растворимости</x:v>
      </x:c>
      <x:c r="P298" s="28" t="str">
        <x:v>Кислотность и лёгкая горечь цитруса снижают ощущение жирности; соль и умами, в свою очередь, делают фруктовую часть менее резкой.</x:v>
      </x:c>
      <x:c r="Q298" s="28" t="str">
        <x:v>нет выраженного; нет выраженного</x:v>
      </x:c>
      <x:c r="R298" s="28" t="str">
        <x:v>сок водный; кожура богата эфирным маслом; высокая жирность растворяет терпеновые масла цитруса</x:v>
      </x:c>
      <x:c r="S29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298" s="28" t="str">
        <x:v>Кумкват формирует профиль «цитрусовый, фруктовый, цветочный, пряный»; характерные маркеры: лимонен, гамма-терпинен, метил-N-метилантранилат, линалол. Мускатный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U298" s="28" t="str">
        <x:v>Избыток кислоты делает вкус плоско-резким; белая часть кожуры даёт лишнюю горечь.</x:v>
      </x:c>
      <x:c r="V298" s="28" t="str">
        <x:v>мёд или шоколад</x:v>
      </x:c>
      <x:c r="W298" s="28" t="str">
        <x:v>пралине, крем, выпечка, салат или ореховый соус</x:v>
      </x:c>
      <x:c r="X298" s="28" t="str">
        <x:v>десерты</x:v>
      </x:c>
      <x:c r="Y298" s="28" t="str">
        <x:v>Гипотеза / практическая</x:v>
      </x:c>
      <x:c r="Z298" s="28" t="str">
        <x:v>Таблица сочетания(1).pdf</x:v>
      </x:c>
      <x:c r="AA298" s="28" t="str">
        <x:v>Таблица сочетания(1).pdf: 10</x:v>
      </x:c>
      <x:c r="AB298" s="28" t="str">
        <x:v>Пара указана в таблице: «Кумкват» → колонка «Травы и специи».</x:v>
      </x:c>
      <x:c r="AC298" s="28" t="n">
        <x:v>1</x:v>
      </x:c>
      <x:c r="AD298" s="28" t="n">
        <x:v>1</x:v>
      </x:c>
    </x:row>
    <x:row r="299" ht="58" customHeight="1">
      <x:c r="A299" s="28" t="str">
        <x:v>CIT-0298</x:v>
      </x:c>
      <x:c r="B299" s="28" t="str">
        <x:v>Универсальные</x:v>
      </x:c>
      <x:c r="C299" s="28" t="str">
        <x:v>кумкват</x:v>
      </x:c>
      <x:c r="D299" s="28" t="str">
        <x:v>Кумкват</x:v>
      </x:c>
      <x:c r="E299" s="28" t="str">
        <x:v>Цитрусовые</x:v>
      </x:c>
      <x:c r="F299" s="28" t="str">
        <x:v>мята</x:v>
      </x:c>
      <x:c r="G299" s="28" t="str">
        <x:v>мята</x:v>
      </x:c>
      <x:c r="H299" s="28" t="str">
        <x:v>Травы</x:v>
      </x:c>
      <x:c r="I299" s="28" t="str">
        <x:v>цитрусовый, фруктовый, цветочный, пряный</x:v>
      </x:c>
      <x:c r="J299" s="28" t="str">
        <x:v>мятный, зелёный, свежий</x:v>
      </x:c>
      <x:c r="K299" s="28" t="str">
        <x:v>лимонен, гамма-терпинен, метил-N-метилантранилат, линалол</x:v>
      </x:c>
      <x:c r="L299" s="28" t="str">
        <x:v>ментол, ментон, 1,8-цинеол</x:v>
      </x:c>
      <x:c r="M299" s="28" t="str">
        <x:v>прямое семейное перекрытие не является главным механизмом</x:v>
      </x:c>
      <x:c r="N299" s="28" t="str">
        <x:v>надёжный общий маркер не заявлен; сочетание объясняется семействами и сенсорным балансом</x:v>
      </x:c>
      <x:c r="O299" s="28" t="str">
        <x:v>вкусовой баланс, тройничное восприятие</x:v>
      </x:c>
      <x:c r="P299" s="28" t="str">
        <x:v>Кислота усиливает слюноотделение и делает пряный аромат ярче; терпены цитруса образуют мост с эфирными маслами травы или специи.</x:v>
      </x:c>
      <x:c r="Q299" s="28" t="str">
        <x:v>нет выраженного; ментол активирует TRPM8 и создаёт охлаждение</x:v>
      </x:c>
      <x:c r="R299" s="28" t="str">
        <x:v>сок водный; кожура богата эфирным маслом; эфирные масла извлекаются спиртом; длительный нагрев снижает свежесть</x:v>
      </x:c>
      <x:c r="S29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299" s="28" t="str">
        <x:v>Кумкват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U299" s="28" t="str">
        <x:v>Избыток кислоты делает вкус плоско-резким; белая часть кожуры даёт лишнюю горечь; цитрус легко подавляет деликатный аромат партнёра.</x:v>
      </x:c>
      <x:c r="V299" s="28" t="str">
        <x:v>оливковое масло или огурец</x:v>
      </x:c>
      <x:c r="W299" s="28" t="str">
        <x:v>лимонад, кордиал, салатная заправка или зелёный соус</x:v>
      </x:c>
      <x:c r="X299" s="28" t="str">
        <x:v>напитки, еда, соусы/маринады</x:v>
      </x:c>
      <x:c r="Y299" s="28" t="str">
        <x:v>Гипотеза / практическая</x:v>
      </x:c>
      <x:c r="Z299" s="28" t="str">
        <x:v>Таблица сочетания(1).pdf</x:v>
      </x:c>
      <x:c r="AA299" s="28" t="str">
        <x:v>Таблица сочетания(1).pdf: 10</x:v>
      </x:c>
      <x:c r="AB299" s="28" t="str">
        <x:v>Пара указана в таблице: «Кумкват» → колонка «Травы и специи».</x:v>
      </x:c>
      <x:c r="AC299" s="28" t="n">
        <x:v>1</x:v>
      </x:c>
      <x:c r="AD299" s="28" t="n">
        <x:v>1</x:v>
      </x:c>
    </x:row>
    <x:row r="300" ht="58" customHeight="1">
      <x:c r="A300" s="28" t="str">
        <x:v>CIT-0299</x:v>
      </x:c>
      <x:c r="B300" s="28" t="str">
        <x:v>Десерты и выпечка</x:v>
      </x:c>
      <x:c r="C300" s="28" t="str">
        <x:v>кумкват</x:v>
      </x:c>
      <x:c r="D300" s="28" t="str">
        <x:v>Кумкват | кумкват</x:v>
      </x:c>
      <x:c r="E300" s="28" t="str">
        <x:v>Цитрусовые</x:v>
      </x:c>
      <x:c r="F300" s="28" t="str">
        <x:v>папайя</x:v>
      </x:c>
      <x:c r="G300" s="28" t="str">
        <x:v>Папайя | папайя</x:v>
      </x:c>
      <x:c r="H300" s="28" t="str">
        <x:v>Тропические фрукты</x:v>
      </x:c>
      <x:c r="I300" s="28" t="str">
        <x:v>цитрусовый, фруктовый, цветочный, пряный</x:v>
      </x:c>
      <x:c r="J300" s="28" t="str">
        <x:v>фруктовый, тропический, цветочный, сливочный</x:v>
      </x:c>
      <x:c r="K300" s="28" t="str">
        <x:v>лимонен, гамма-терпинен, метил-N-метилантранилат, линалол</x:v>
      </x:c>
      <x:c r="L300" s="28" t="str">
        <x:v>этилбутират, гексилацетат, лактоны, сернистые тиолы (у части фруктов)</x:v>
      </x:c>
      <x:c r="M300" s="28" t="str">
        <x:v>фруктовый, цветочный</x:v>
      </x:c>
      <x:c r="N300" s="28" t="str">
        <x:v>надёжный общий маркер не заявлен; сочетание объясняется семействами и сенсорным балансом</x:v>
      </x:c>
      <x:c r="O300" s="28" t="str">
        <x:v>перекрытие ароматических семейств, вкусовой баланс</x:v>
      </x:c>
      <x:c r="P300" s="28" t="str">
        <x:v>Общая фруктовая сладость и летучие эфиры создают непрерывный ароматический профиль, а цитрусовая кислота повышает контраст и свежесть.</x:v>
      </x:c>
      <x:c r="Q300" s="28" t="str">
        <x:v>нет выраженного; нет выраженного</x:v>
      </x:c>
      <x:c r="R300" s="28" t="str">
        <x:v>сок водный; кожура богата эфирным маслом; сочная или кремовая фруктовая матрица</x:v>
      </x:c>
      <x:c r="S30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00" s="28" t="str">
        <x:v>Кумкват формирует профиль «цитрусовый, фруктовый, цветочный, пряный»; характерные маркеры: лимонен, гамма-терпинен, метил-N-метилантранилат, линалол. Папайя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U300" s="28" t="str">
        <x:v>Избыток кислоты делает вкус плоско-резким; белая часть кожуры даёт лишнюю горечь.</x:v>
      </x:c>
      <x:c r="V300" s="28" t="str">
        <x:v>кокос или имбирь</x:v>
      </x:c>
      <x:c r="W300" s="28" t="str">
        <x:v>смузи, кордиал, сорбет, чатни или коктейль</x:v>
      </x:c>
      <x:c r="X300" s="28" t="str">
        <x:v>напитки, десерты</x:v>
      </x:c>
      <x:c r="Y300" s="28" t="str">
        <x:v>Гипотеза / практическая</x:v>
      </x:c>
      <x:c r="Z300" s="28" t="str">
        <x:v>Таблица сочетания(1).pdf</x:v>
      </x:c>
      <x:c r="AA300" s="28" t="str">
        <x:v>Таблица сочетания(1).pdf: 10, 15</x:v>
      </x:c>
      <x:c r="AB300" s="28" t="str">
        <x:v>Пара указана в таблице: «Кумкват» → колонка «Фрукты».</x:v>
      </x:c>
      <x:c r="AC300" s="28" t="n">
        <x:v>1</x:v>
      </x:c>
      <x:c r="AD300" s="28" t="n">
        <x:v>2</x:v>
      </x:c>
    </x:row>
    <x:row r="301" ht="58" customHeight="1">
      <x:c r="A301" s="28" t="str">
        <x:v>CIT-0300</x:v>
      </x:c>
      <x:c r="B301" s="28" t="str">
        <x:v>Напитки</x:v>
      </x:c>
      <x:c r="C301" s="28" t="str">
        <x:v>кумкват</x:v>
      </x:c>
      <x:c r="D301" s="28" t="str">
        <x:v>kumquat</x:v>
      </x:c>
      <x:c r="E301" s="28" t="str">
        <x:v>Цитрусовые</x:v>
      </x:c>
      <x:c r="F301" s="28" t="str">
        <x:v>плимутский джин</x:v>
      </x:c>
      <x:c r="G301" s="28" t="str">
        <x:v>Plymouth gin</x:v>
      </x:c>
      <x:c r="H301" s="28" t="str">
        <x:v>Алкогольные напитки</x:v>
      </x:c>
      <x:c r="I301" s="28" t="str">
        <x:v>цитрусовый, фруктовый, цветочный, пряный</x:v>
      </x:c>
      <x:c r="J301" s="28" t="str">
        <x:v>зависит от основы, эфирный, древесный/пряный</x:v>
      </x:c>
      <x:c r="K301" s="28" t="str">
        <x:v>лимонен, гамма-терпинен, метил-N-метилантранилат, линалол</x:v>
      </x:c>
      <x:c r="L301" s="28" t="str">
        <x:v>этанол, эфиры, терпены/дубовые соединения</x:v>
      </x:c>
      <x:c r="M301" s="28" t="str">
        <x:v>прямое семейное перекрытие не является главным механизмом</x:v>
      </x:c>
      <x:c r="N301" s="28" t="str">
        <x:v>надёжный общий маркер не заявлен; сочетание объясняется семействами и сенсорным балансом</x:v>
      </x:c>
      <x:c r="O301" s="28" t="str">
        <x:v>вкусовой баланс, тройничное восприятие, влияние матрицы/растворимости</x:v>
      </x:c>
      <x:c r="P301" s="28" t="str">
        <x:v>Этанол усиливает летучесть терпенов и ощущение тепла; сахар и вода регулируют кислотность, горечь кожуры и спиртуозность.</x:v>
      </x:c>
      <x:c r="Q301" s="28" t="str">
        <x:v>нет выраженного; этанол усиливает тепло и летучесть аромата</x:v>
      </x:c>
      <x:c r="R301" s="28" t="str">
        <x:v>сок водный; кожура богата эфирным маслом; этанол — хороший растворитель гидрофобных эфирных масел</x:v>
      </x:c>
      <x:c r="S301"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301" s="28" t="str">
        <x:v>Кумкват формирует профиль «цитрусовый, фруктовый, цветочный, пряный»; характерные маркеры: лимонен, гамма-терпинен, метил-N-метилантранилат, линалол. Плимутский джин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U301" s="28" t="str">
        <x:v>Избыток кислоты делает вкус плоско-резким; белая часть кожуры даёт лишнюю горечь.</x:v>
      </x:c>
      <x:c r="V301" s="28" t="str">
        <x:v>сахарный сироп или биттер</x:v>
      </x:c>
      <x:c r="W301" s="28" t="str">
        <x:v>коктейль, спритц, настойка, ликёр или кордиал</x:v>
      </x:c>
      <x:c r="X301" s="28" t="str">
        <x:v>напитки</x:v>
      </x:c>
      <x:c r="Y301" s="28" t="str">
        <x:v>Средняя</x:v>
      </x:c>
      <x:c r="Z301" s="28" t="str">
        <x:v>The Art &amp; Science of Foodpairing.pdf</x:v>
      </x:c>
      <x:c r="AA301" s="28" t="str">
        <x:v>The Art &amp; Science of Foodpairing.pdf: 215</x:v>
      </x:c>
      <x:c r="AB301" s="28" t="str">
        <x:v>Пара представлена в ароматической диаграмме Foodpairing на странице 215.</x:v>
      </x:c>
      <x:c r="AC301" s="28" t="n">
        <x:v>1</x:v>
      </x:c>
      <x:c r="AD301" s="28" t="n">
        <x:v>1</x:v>
      </x:c>
    </x:row>
    <x:row r="302" ht="58" customHeight="1">
      <x:c r="A302" s="28" t="str">
        <x:v>CIT-0301</x:v>
      </x:c>
      <x:c r="B302" s="28" t="str">
        <x:v>Универсальные</x:v>
      </x:c>
      <x:c r="C302" s="28" t="str">
        <x:v>кумкват</x:v>
      </x:c>
      <x:c r="D302" s="28" t="str">
        <x:v>kumquat</x:v>
      </x:c>
      <x:c r="E302" s="28" t="str">
        <x:v>Цитрусовые</x:v>
      </x:c>
      <x:c r="F302" s="28" t="str">
        <x:v>розмарин</x:v>
      </x:c>
      <x:c r="G302" s="28" t="str">
        <x:v>rosemary</x:v>
      </x:c>
      <x:c r="H302" s="28" t="str">
        <x:v>Травы</x:v>
      </x:c>
      <x:c r="I302" s="28" t="str">
        <x:v>цитрусовый, фруктовый, цветочный, пряный</x:v>
      </x:c>
      <x:c r="J302" s="28" t="str">
        <x:v>травяной, хвойный, камфорный, древесный</x:v>
      </x:c>
      <x:c r="K302" s="28" t="str">
        <x:v>лимонен, гамма-терпинен, метил-N-метилантранилат, линалол</x:v>
      </x:c>
      <x:c r="L302" s="28" t="str">
        <x:v>1,8-цинеол, камфора, тимол/карвакрол, альфа-пинен</x:v>
      </x:c>
      <x:c r="M302" s="28" t="str">
        <x:v>прямое семейное перекрытие не является главным механизмом</x:v>
      </x:c>
      <x:c r="N302" s="28" t="str">
        <x:v>надёжный общий маркер не заявлен; сочетание объясняется семействами и сенсорным балансом</x:v>
      </x:c>
      <x:c r="O302" s="28" t="str">
        <x:v>вкусовой баланс, тройничное восприятие</x:v>
      </x:c>
      <x:c r="P302" s="28" t="str">
        <x:v>Кислота усиливает слюноотделение и делает пряный аромат ярче; терпены цитруса образуют мост с эфирными маслами травы или специи.</x:v>
      </x:c>
      <x:c r="Q302" s="28" t="str">
        <x:v>нет выраженного; камфора и цинеол дают прохладно-камфорное ощущение</x:v>
      </x:c>
      <x:c r="R302" s="28" t="str">
        <x:v>сок водный; кожура богата эфирным маслом; эфирные масла лучше раскрываются в жире и спирте</x:v>
      </x:c>
      <x:c r="S30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02" s="28" t="str">
        <x:v>Кумкват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U302" s="28" t="str">
        <x:v>Избыток кислоты делает вкус плоско-резким; белая часть кожуры даёт лишнюю горечь; цитрус легко подавляет деликатный аромат партнёра.</x:v>
      </x:c>
      <x:c r="V302" s="28" t="str">
        <x:v>оливковое масло или огурец</x:v>
      </x:c>
      <x:c r="W302" s="28" t="str">
        <x:v>лимонад, кордиал, салатная заправка или зелёный соус</x:v>
      </x:c>
      <x:c r="X302" s="28" t="str">
        <x:v>напитки, еда, соусы/маринады</x:v>
      </x:c>
      <x:c r="Y302" s="28" t="str">
        <x:v>Средняя</x:v>
      </x:c>
      <x:c r="Z302" s="28" t="str">
        <x:v>The Art &amp; Science of Foodpairing.pdf</x:v>
      </x:c>
      <x:c r="AA302" s="28" t="str">
        <x:v>The Art &amp; Science of Foodpairing.pdf: 113</x:v>
      </x:c>
      <x:c r="AB302" s="28" t="str">
        <x:v>Пара представлена в ароматической диаграмме Foodpairing на странице 113.</x:v>
      </x:c>
      <x:c r="AC302" s="28" t="n">
        <x:v>1</x:v>
      </x:c>
      <x:c r="AD302" s="28" t="n">
        <x:v>1</x:v>
      </x:c>
    </x:row>
    <x:row r="303" ht="58" customHeight="1">
      <x:c r="A303" s="28" t="str">
        <x:v>CIT-0302</x:v>
      </x:c>
      <x:c r="B303" s="28" t="str">
        <x:v>Универсальные</x:v>
      </x:c>
      <x:c r="C303" s="28" t="str">
        <x:v>кумкват</x:v>
      </x:c>
      <x:c r="D303" s="28" t="str">
        <x:v>kumquat</x:v>
      </x:c>
      <x:c r="E303" s="28" t="str">
        <x:v>Цитрусовые</x:v>
      </x:c>
      <x:c r="F303" s="28" t="str">
        <x:v>свежий корень имбиря</x:v>
      </x:c>
      <x:c r="G303" s="28" t="str">
        <x:v>fresh root ginger</x:v>
      </x:c>
      <x:c r="H303" s="28" t="str">
        <x:v>Пряности</x:v>
      </x:c>
      <x:c r="I303" s="28" t="str">
        <x:v>цитрусовый, фруктовый, цветочный, пряный</x:v>
      </x:c>
      <x:c r="J303" s="28" t="str">
        <x:v>цитрусовый, пряный, древесный, тёплый</x:v>
      </x:c>
      <x:c r="K303" s="28" t="str">
        <x:v>лимонен, гамма-терпинен, метил-N-метилантранилат, линалол</x:v>
      </x:c>
      <x:c r="L303" s="28" t="str">
        <x:v>зингиберен, цитраль, гераниол, гингеролы/шогаолы</x:v>
      </x:c>
      <x:c r="M303" s="28" t="str">
        <x:v>пряный, цитрусовый</x:v>
      </x:c>
      <x:c r="N303" s="28" t="str">
        <x:v>надёжный общий маркер не заявлен; сочетание объясняется семействами и сенсорным балансом</x:v>
      </x:c>
      <x:c r="O303" s="28" t="str">
        <x:v>перекрытие ароматических семейств, вкусовой баланс, тройничное восприятие</x:v>
      </x:c>
      <x:c r="P303" s="28" t="str">
        <x:v>Кислота усиливает слюноотделение и делает пряный аромат ярче; терпены цитруса образуют мост с эфирными маслами травы или специи.</x:v>
      </x:c>
      <x:c r="Q303" s="28" t="str">
        <x:v>нет выраженного; гингеролы и шогаолы активируют TRPV1 и дают тепло</x:v>
      </x:c>
      <x:c r="R303" s="28" t="str">
        <x:v>сок водный; кожура богата эфирным маслом; ароматические терпены лучше извлекаются этанолом и жиром</x:v>
      </x:c>
      <x:c r="S30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03" s="28" t="str">
        <x:v>Кумкват формирует профиль «цитрусовый, фруктовый, цветочный, пряный»; характерные маркеры: лимонен, гамма-терпинен, метил-N-метилантранилат, линалол. Свежий корень имбиря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U303" s="28" t="str">
        <x:v>Избыток кислоты делает вкус плоско-резким; белая часть кожуры даёт лишнюю горечь.</x:v>
      </x:c>
      <x:c r="V303" s="28" t="str">
        <x:v>мёд или ваниль</x:v>
      </x:c>
      <x:c r="W303" s="28" t="str">
        <x:v>сироп, кордиал, чатни, маринад или пряный десерт</x:v>
      </x:c>
      <x:c r="X303" s="28" t="str">
        <x:v>напитки, еда, соусы/маринады</x:v>
      </x:c>
      <x:c r="Y303" s="28" t="str">
        <x:v>Средняя</x:v>
      </x:c>
      <x:c r="Z303" s="28" t="str">
        <x:v>The Art &amp; Science of Foodpairing.pdf</x:v>
      </x:c>
      <x:c r="AA303" s="28" t="str">
        <x:v>The Art &amp; Science of Foodpairing.pdf: 215</x:v>
      </x:c>
      <x:c r="AB303" s="28" t="str">
        <x:v>Пара представлена в ароматической диаграмме Foodpairing на странице 215.</x:v>
      </x:c>
      <x:c r="AC303" s="28" t="n">
        <x:v>1</x:v>
      </x:c>
      <x:c r="AD303" s="28" t="n">
        <x:v>1</x:v>
      </x:c>
    </x:row>
    <x:row r="304" ht="58" customHeight="1">
      <x:c r="A304" s="28" t="str">
        <x:v>CIT-0303</x:v>
      </x:c>
      <x:c r="B304" s="28" t="str">
        <x:v>Универсальные</x:v>
      </x:c>
      <x:c r="C304" s="28" t="str">
        <x:v>кумкват</x:v>
      </x:c>
      <x:c r="D304" s="28" t="str">
        <x:v>kumquat</x:v>
      </x:c>
      <x:c r="E304" s="28" t="str">
        <x:v>Цитрусовые</x:v>
      </x:c>
      <x:c r="F304" s="28" t="str">
        <x:v>семена кардамона</x:v>
      </x:c>
      <x:c r="G304" s="28" t="str">
        <x:v>cardamom seeds</x:v>
      </x:c>
      <x:c r="H304" s="28" t="str">
        <x:v>Пряности</x:v>
      </x:c>
      <x:c r="I304" s="28" t="str">
        <x:v>цитрусовый, фруктовый, цветочный, пряный</x:v>
      </x:c>
      <x:c r="J304" s="28" t="str">
        <x:v>цитрусовый, камфорный, цветочный, эвкалиптовый</x:v>
      </x:c>
      <x:c r="K304" s="28" t="str">
        <x:v>лимонен, гамма-терпинен, метил-N-метилантранилат, линалол</x:v>
      </x:c>
      <x:c r="L304" s="28" t="str">
        <x:v>1,8-цинеол, альфа-терпинилацетат, линалол, лимонен</x:v>
      </x:c>
      <x:c r="M304" s="28" t="str">
        <x:v>цветочный, цитрусовый</x:v>
      </x:c>
      <x:c r="N304" s="28" t="str">
        <x:v>лимонен, линалол</x:v>
      </x:c>
      <x:c r="O304" s="28" t="str">
        <x:v>общие ароматические молекулы, перекрытие ароматических семейств, вкусовой баланс, тройничное восприятие</x:v>
      </x:c>
      <x:c r="P304" s="28" t="str">
        <x:v>Кислота усиливает слюноотделение и делает пряный аромат ярче; терпены цитруса образуют мост с эфирными маслами травы или специи.</x:v>
      </x:c>
      <x:c r="Q304" s="28" t="str">
        <x:v>нет выраженного; 1,8-цинеол создаёт прохладно-камфорное ощущение</x:v>
      </x:c>
      <x:c r="R304" s="28" t="str">
        <x:v>сок водный; кожура богата эфирным маслом; эфирные масла гидрофобны, хорошо переходят в жир и спирт</x:v>
      </x:c>
      <x:c r="S30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04" s="28" t="str">
        <x:v>Кумкват формирует профиль «цитрусовый, фруктовый, цветочный, пряный»; характерные маркеры: лимонен, гамма-терпинен, метил-N-метилантранилат, линалол. Семена кардамона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Кардамон часто служит мостом между цитрусом, цветами и древесными нотами.</x:v>
      </x:c>
      <x:c r="U304" s="28" t="str">
        <x:v>Избыток кислоты делает вкус плоско-резким; белая часть кожуры даёт лишнюю горечь.</x:v>
      </x:c>
      <x:c r="V304" s="28" t="str">
        <x:v>мёд или ваниль</x:v>
      </x:c>
      <x:c r="W304" s="28" t="str">
        <x:v>сироп, кордиал, чатни, маринад или пряный десерт</x:v>
      </x:c>
      <x:c r="X304" s="28" t="str">
        <x:v>напитки, еда, соусы/маринады</x:v>
      </x:c>
      <x:c r="Y304" s="28" t="str">
        <x:v>Средняя</x:v>
      </x:c>
      <x:c r="Z304" s="28" t="str">
        <x:v>The Art &amp; Science of Foodpairing.pdf</x:v>
      </x:c>
      <x:c r="AA304" s="28" t="str">
        <x:v>The Art &amp; Science of Foodpairing.pdf: 215</x:v>
      </x:c>
      <x:c r="AB304" s="28" t="str">
        <x:v>Пара представлена в ароматической диаграмме Foodpairing на странице 215.</x:v>
      </x:c>
      <x:c r="AC304" s="28" t="n">
        <x:v>1</x:v>
      </x:c>
      <x:c r="AD304" s="28" t="n">
        <x:v>1</x:v>
      </x:c>
    </x:row>
    <x:row r="305" ht="58" customHeight="1">
      <x:c r="A305" s="28" t="str">
        <x:v>CIT-0304</x:v>
      </x:c>
      <x:c r="B305" s="28" t="str">
        <x:v>Десерты и выпечка</x:v>
      </x:c>
      <x:c r="C305" s="28" t="str">
        <x:v>кумкват</x:v>
      </x:c>
      <x:c r="D305" s="28" t="str">
        <x:v>Кумкват | кумкват</x:v>
      </x:c>
      <x:c r="E305" s="28" t="str">
        <x:v>Цитрусовые</x:v>
      </x:c>
      <x:c r="F305" s="28" t="str">
        <x:v>слива</x:v>
      </x:c>
      <x:c r="G305" s="28" t="str">
        <x:v>Слива | слива</x:v>
      </x:c>
      <x:c r="H305" s="28" t="str">
        <x:v>Косточковые фрукты</x:v>
      </x:c>
      <x:c r="I305" s="28" t="str">
        <x:v>цитрусовый, фруктовый, цветочный, пряный</x:v>
      </x:c>
      <x:c r="J305" s="28" t="str">
        <x:v>фруктовый, цветочный, сливочный, миндальный</x:v>
      </x:c>
      <x:c r="K305" s="28" t="str">
        <x:v>лимонен, гамма-терпинен, метил-N-метилантранилат, линалол</x:v>
      </x:c>
      <x:c r="L305" s="28" t="str">
        <x:v>гамма- и дельта-лактоны, бензальдегид, дамасценон</x:v>
      </x:c>
      <x:c r="M305" s="28" t="str">
        <x:v>фруктовый, цветочный</x:v>
      </x:c>
      <x:c r="N305" s="28" t="str">
        <x:v>надёжный общий маркер не заявлен; сочетание объясняется семействами и сенсорным балансом</x:v>
      </x:c>
      <x:c r="O305" s="28" t="str">
        <x:v>перекрытие ароматических семейств, вкусовой баланс</x:v>
      </x:c>
      <x:c r="P305" s="28" t="str">
        <x:v>Общая фруктовая сладость и летучие эфиры создают непрерывный ароматический профиль, а цитрусовая кислота повышает контраст и свежесть.</x:v>
      </x:c>
      <x:c r="Q305" s="28" t="str">
        <x:v>нет выраженного; нет выраженного</x:v>
      </x:c>
      <x:c r="R305" s="28" t="str">
        <x:v>сок водный; кожура богата эфирным маслом; сочная матрица; лактоны лучше ощущаются в жирной/сливочной среде</x:v>
      </x:c>
      <x:c r="S30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05" s="28" t="str">
        <x:v>Кумкват формирует профиль «цитрусовый, фруктовый, цветочный, пряный»; характерные маркеры: лимонен, гамма-терпинен, метил-N-метилантранилат, линалол. Слива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добавляет кислотность, а лактоны смягчают его резкость.</x:v>
      </x:c>
      <x:c r="U305" s="28" t="str">
        <x:v>Избыток кислоты делает вкус плоско-резким; белая часть кожуры даёт лишнюю горечь.</x:v>
      </x:c>
      <x:c r="V305" s="28" t="str">
        <x:v>миндаль или ваниль</x:v>
      </x:c>
      <x:c r="W305" s="28" t="str">
        <x:v>тарт, сорбет, джем или фруктовый соус</x:v>
      </x:c>
      <x:c r="X305" s="28" t="str">
        <x:v>десерты</x:v>
      </x:c>
      <x:c r="Y305" s="28" t="str">
        <x:v>Гипотеза / практическая</x:v>
      </x:c>
      <x:c r="Z305" s="28" t="str">
        <x:v>Таблица сочетания(1).pdf</x:v>
      </x:c>
      <x:c r="AA305" s="28" t="str">
        <x:v>Таблица сочетания(1).pdf: 10, 17</x:v>
      </x:c>
      <x:c r="AB305" s="28" t="str">
        <x:v>Пара указана в таблице: «Кумкват» → колонка «Фрукты».</x:v>
      </x:c>
      <x:c r="AC305" s="28" t="n">
        <x:v>1</x:v>
      </x:c>
      <x:c r="AD305" s="28" t="n">
        <x:v>2</x:v>
      </x:c>
    </x:row>
    <x:row r="306" ht="58" customHeight="1">
      <x:c r="A306" s="28" t="str">
        <x:v>CIT-0305</x:v>
      </x:c>
      <x:c r="B306" s="28" t="str">
        <x:v>Универсальные</x:v>
      </x:c>
      <x:c r="C306" s="28" t="str">
        <x:v>кумкват</x:v>
      </x:c>
      <x:c r="D306" s="28" t="str">
        <x:v>kumquat</x:v>
      </x:c>
      <x:c r="E306" s="28" t="str">
        <x:v>Цитрусовые</x:v>
      </x:c>
      <x:c r="F306" s="28" t="str">
        <x:v>сумах</x:v>
      </x:c>
      <x:c r="G306" s="28" t="str">
        <x:v>sumac</x:v>
      </x:c>
      <x:c r="H306" s="28" t="str">
        <x:v>Прочее</x:v>
      </x:c>
      <x:c r="I306" s="28" t="str">
        <x:v>цитрусовый, фруктовый, цветочный, пряный</x:v>
      </x:c>
      <x:c r="J306" s="28" t="str">
        <x:v>нейтральный/специфический</x:v>
      </x:c>
      <x:c r="K306" s="28" t="str">
        <x:v>лимонен, гамма-терпинен, метил-N-метилантранилат, линалол</x:v>
      </x:c>
      <x:c r="L306" s="28" t="str">
        <x:v>нужен профиль конкретного продукта</x:v>
      </x:c>
      <x:c r="M306" s="28" t="str">
        <x:v>прямое семейное перекрытие не является главным механизмом</x:v>
      </x:c>
      <x:c r="N306" s="28" t="str">
        <x:v>надёжный общий маркер не заявлен; сочетание объясняется семействами и сенсорным балансом</x:v>
      </x:c>
      <x:c r="O306" s="28" t="str">
        <x:v>вкусовой баланс, тройничное восприятие</x:v>
      </x:c>
      <x:c r="P306" s="28" t="str">
        <x:v>Основной эффект определяется ароматическим контрастом и добавлением кислотной свежести; точный баланс зависит от дозировки и матрицы.</x:v>
      </x:c>
      <x:c r="Q306" s="28" t="str">
        <x:v>нет выраженного; нет данных</x:v>
      </x:c>
      <x:c r="R306" s="28" t="str">
        <x:v>сок водный; кожура богата эфирным маслом; зависит от формы продукта</x:v>
      </x:c>
      <x:c r="S30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06" s="28" t="str">
        <x:v>Кумкват формирует профиль «цитрусовый, фруктовый, цветочный, пряный»; характерные маркеры: лимонен, гамма-терпинен, метил-N-метилантранилат, линалол. Сумах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306" s="28" t="str">
        <x:v>Избыток кислоты делает вкус плоско-резким; белая часть кожуры даёт лишнюю горечь.</x:v>
      </x:c>
      <x:c r="V306" s="28" t="str">
        <x:v>мёд или нейтральная жировая основа</x:v>
      </x:c>
      <x:c r="W306" s="28" t="str">
        <x:v>соус, напиток или десерт после пробной дегустации</x:v>
      </x:c>
      <x:c r="X306" s="28" t="str">
        <x:v>универсальное</x:v>
      </x:c>
      <x:c r="Y306" s="28" t="str">
        <x:v>Средняя</x:v>
      </x:c>
      <x:c r="Z306" s="28" t="str">
        <x:v>The Art &amp; Science of Foodpairing.pdf</x:v>
      </x:c>
      <x:c r="AA306" s="28" t="str">
        <x:v>The Art &amp; Science of Foodpairing.pdf: 215</x:v>
      </x:c>
      <x:c r="AB306" s="28" t="str">
        <x:v>Пара представлена в ароматической диаграмме Foodpairing на странице 215.</x:v>
      </x:c>
      <x:c r="AC306" s="28" t="n">
        <x:v>1</x:v>
      </x:c>
      <x:c r="AD306" s="28" t="n">
        <x:v>1</x:v>
      </x:c>
    </x:row>
    <x:row r="307" ht="58" customHeight="1">
      <x:c r="A307" s="28" t="str">
        <x:v>CIT-0306</x:v>
      </x:c>
      <x:c r="B307" s="28" t="str">
        <x:v>Универсальные</x:v>
      </x:c>
      <x:c r="C307" s="28" t="str">
        <x:v>кумкват</x:v>
      </x:c>
      <x:c r="D307" s="28" t="str">
        <x:v>kumquat</x:v>
      </x:c>
      <x:c r="E307" s="28" t="str">
        <x:v>Цитрусовые</x:v>
      </x:c>
      <x:c r="F307" s="28" t="str">
        <x:v>сушёный лист макрут-лайма</x:v>
      </x:c>
      <x:c r="G307" s="28" t="str">
        <x:v>dried makrut lime leaf</x:v>
      </x:c>
      <x:c r="H307" s="28" t="str">
        <x:v>Цитрусовые</x:v>
      </x:c>
      <x:c r="I307" s="28" t="str">
        <x:v>цитрусовый, фруктовый, цветочный, пряный</x:v>
      </x:c>
      <x:c r="J307" s="28" t="str">
        <x:v>цитрусовый, зелёный, травяной, камфорный</x:v>
      </x:c>
      <x:c r="K307" s="28" t="str">
        <x:v>лимонен, гамма-терпинен, метил-N-метилантранилат, линалол</x:v>
      </x:c>
      <x:c r="L307" s="28" t="str">
        <x:v>лимонен, гамма-терпинен, цитраль, бета-пинен, линалол</x:v>
      </x:c>
      <x:c r="M307" s="28" t="str">
        <x:v>цитрусовый</x:v>
      </x:c>
      <x:c r="N307" s="28" t="str">
        <x:v>гамма-терпинен, лимонен, линалол</x:v>
      </x:c>
      <x:c r="O307" s="28" t="str">
        <x:v>общие ароматические молекулы, перекрытие ароматических семейств, вкусовой баланс, тройничное восприятие</x:v>
      </x:c>
      <x:c r="P307" s="28" t="str">
        <x:v>Сочетание строится на близком терпеновом профиле; различия в кислотности, горечи и цветочно-зелёных оттенках создают объём.</x:v>
      </x:c>
      <x:c r="Q307" s="28" t="str">
        <x:v>нет выраженного; кислота усиливает слюноотделение; зелёные терпены создают ощущение прохлады</x:v>
      </x:c>
      <x:c r="R307" s="28" t="str">
        <x:v>сок водный; кожура богата эфирным маслом; сок — водная кислая фаза; цедра — масляная терпеновая</x:v>
      </x:c>
      <x:c r="S30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07" s="28" t="str">
        <x:v>Кумкват формирует профиль «цитрусовый, фруктовый, цветочный, пряный»; характерные маркеры: лимонен, гамма-терпинен, метил-N-метилантранилат, линалол. Сушёный лист макрут-лайма относится к группе «цитрусовые» и даёт ноты «цитрусовый, зелёный, травяной, камфорный». Наиболее правдоподобный молекулярный мост — гамма-терпинен,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Лаймовые цитрусы дают более зелёный и камфорный профиль, чем сладкий апельсин.</x:v>
      </x:c>
      <x:c r="U307" s="28" t="str">
        <x:v>Избыток кислоты делает вкус плоско-резким; белая часть кожуры даёт лишнюю горечь.</x:v>
      </x:c>
      <x:c r="V307" s="28" t="str">
        <x:v>мёд или цветочная вода</x:v>
      </x:c>
      <x:c r="W307" s="28" t="str">
        <x:v>цитрусовый кордиал, мармелад, сорбет, салат или купаж соков</x:v>
      </x:c>
      <x:c r="X307" s="28" t="str">
        <x:v>напитки, десерты</x:v>
      </x:c>
      <x:c r="Y307" s="28" t="str">
        <x:v>Средняя</x:v>
      </x:c>
      <x:c r="Z307" s="28" t="str">
        <x:v>The Art &amp; Science of Foodpairing.pdf</x:v>
      </x:c>
      <x:c r="AA307" s="28" t="str">
        <x:v>The Art &amp; Science of Foodpairing.pdf: 215</x:v>
      </x:c>
      <x:c r="AB307" s="28" t="str">
        <x:v>Пара представлена в ароматической диаграмме Foodpairing на странице 215.</x:v>
      </x:c>
      <x:c r="AC307" s="28" t="n">
        <x:v>1</x:v>
      </x:c>
      <x:c r="AD307" s="28" t="n">
        <x:v>1</x:v>
      </x:c>
    </x:row>
    <x:row r="308" ht="58" customHeight="1">
      <x:c r="A308" s="28" t="str">
        <x:v>CIT-0307</x:v>
      </x:c>
      <x:c r="B308" s="28" t="str">
        <x:v>Еда и соусы</x:v>
      </x:c>
      <x:c r="C308" s="28" t="str">
        <x:v>кумкват</x:v>
      </x:c>
      <x:c r="D308" s="28" t="str">
        <x:v>Кумкват</x:v>
      </x:c>
      <x:c r="E308" s="28" t="str">
        <x:v>Цитрусовые</x:v>
      </x:c>
      <x:c r="F308" s="28" t="str">
        <x:v>тыква</x:v>
      </x:c>
      <x:c r="G308" s="28" t="str">
        <x:v>тыква</x:v>
      </x:c>
      <x:c r="H308" s="28" t="str">
        <x:v>Овощи</x:v>
      </x:c>
      <x:c r="I308" s="28" t="str">
        <x:v>цитрусовый, фруктовый, цветочный, пряный</x:v>
      </x:c>
      <x:c r="J308" s="28" t="str">
        <x:v>зелёный, землистый, растительный, иногда сернистый</x:v>
      </x:c>
      <x:c r="K308" s="28" t="str">
        <x:v>лимонен, гамма-терпинен, метил-N-метилантранилат, линалол</x:v>
      </x:c>
      <x:c r="L308" s="28" t="str">
        <x:v>C6-альдегиды, метоксипиразины, геосмин (землистые), сернистые соединения</x:v>
      </x:c>
      <x:c r="M308" s="28" t="str">
        <x:v>прямое семейное перекрытие не является главным механизмом</x:v>
      </x:c>
      <x:c r="N308" s="28" t="str">
        <x:v>надёжный общий маркер не заявлен; сочетание объясняется семействами и сенсорным балансом</x:v>
      </x:c>
      <x:c r="O308" s="28" t="str">
        <x:v>вкусовой баланс</x:v>
      </x:c>
      <x:c r="P308" s="28" t="str">
        <x:v>Кислота подчёркивает природную сладость овоща, сокращает землистое/сернистое послевкусие и повышает слюноотделение.</x:v>
      </x:c>
      <x:c r="Q308" s="28" t="str">
        <x:v>нет выраженного; нет выраженного</x:v>
      </x:c>
      <x:c r="R308" s="28" t="str">
        <x:v>сок водный; кожура богата эфирным маслом; водная/крахмальная матрица; масло помогает распределить цедру</x:v>
      </x:c>
      <x:c r="S30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08" s="28" t="str">
        <x:v>Кумкват формирует профиль «цитрусовый, фруктовый, цветочный, пряный»; характерные маркеры: лимонен, гамма-терпинен, метил-N-метилантранилат, линалол.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U308" s="28" t="str">
        <x:v>Избыток кислоты делает вкус плоско-резким; белая часть кожуры даёт лишнюю горечь.</x:v>
      </x:c>
      <x:c r="V308" s="28" t="str">
        <x:v>оливковое масло или базилик</x:v>
      </x:c>
      <x:c r="W308" s="28" t="str">
        <x:v>винегрет, салат, пюре, запечённое блюдо или овощной соус</x:v>
      </x:c>
      <x:c r="X308" s="28" t="str">
        <x:v>еда, соусы/маринады</x:v>
      </x:c>
      <x:c r="Y308" s="28" t="str">
        <x:v>Гипотеза / практическая</x:v>
      </x:c>
      <x:c r="Z308" s="28" t="str">
        <x:v>Таблица сочетания(1).pdf</x:v>
      </x:c>
      <x:c r="AA308" s="28" t="str">
        <x:v>Таблица сочетания(1).pdf: 11</x:v>
      </x:c>
      <x:c r="AB308" s="28" t="str">
        <x:v>Пара указана в таблице: «Кумкват» → колонка «Фрукты».</x:v>
      </x:c>
      <x:c r="AC308" s="28" t="n">
        <x:v>1</x:v>
      </x:c>
      <x:c r="AD308" s="28" t="n">
        <x:v>1</x:v>
      </x:c>
    </x:row>
    <x:row r="309" ht="58" customHeight="1">
      <x:c r="A309" s="28" t="str">
        <x:v>CIT-0308</x:v>
      </x:c>
      <x:c r="B309" s="28" t="str">
        <x:v>Универсальные</x:v>
      </x:c>
      <x:c r="C309" s="28" t="str">
        <x:v>кумкват</x:v>
      </x:c>
      <x:c r="D309" s="28" t="str">
        <x:v>кумкват</x:v>
      </x:c>
      <x:c r="E309" s="28" t="str">
        <x:v>Цитрусовые</x:v>
      </x:c>
      <x:c r="F309" s="28" t="str">
        <x:v>хурма</x:v>
      </x:c>
      <x:c r="G309" s="28" t="str">
        <x:v>Хурма</x:v>
      </x:c>
      <x:c r="H309" s="28" t="str">
        <x:v>Прочее</x:v>
      </x:c>
      <x:c r="I309" s="28" t="str">
        <x:v>цитрусовый, фруктовый, цветочный, пряный</x:v>
      </x:c>
      <x:c r="J309" s="28" t="str">
        <x:v>нейтральный/специфический</x:v>
      </x:c>
      <x:c r="K309" s="28" t="str">
        <x:v>лимонен, гамма-терпинен, метил-N-метилантранилат, линалол</x:v>
      </x:c>
      <x:c r="L309" s="28" t="str">
        <x:v>нужен профиль конкретного продукта</x:v>
      </x:c>
      <x:c r="M309" s="28" t="str">
        <x:v>прямое семейное перекрытие не является главным механизмом</x:v>
      </x:c>
      <x:c r="N309" s="28" t="str">
        <x:v>надёжный общий маркер не заявлен; сочетание объясняется семействами и сенсорным балансом</x:v>
      </x:c>
      <x:c r="O309" s="28" t="str">
        <x:v>вкусовой баланс, тройничное восприятие</x:v>
      </x:c>
      <x:c r="P309" s="28" t="str">
        <x:v>Основной эффект определяется ароматическим контрастом и добавлением кислотной свежести; точный баланс зависит от дозировки и матрицы.</x:v>
      </x:c>
      <x:c r="Q309" s="28" t="str">
        <x:v>нет выраженного; нет данных</x:v>
      </x:c>
      <x:c r="R309" s="28" t="str">
        <x:v>сок водный; кожура богата эфирным маслом; зависит от формы продукта</x:v>
      </x:c>
      <x:c r="S30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09" s="28" t="str">
        <x:v>Кумкват формирует профиль «цитрусовый, фруктовый, цветочный, пряный»; характерные маркеры: лимонен, гамма-терпинен, метил-N-метилантранилат, линалол. Хурма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309" s="28" t="str">
        <x:v>Избыток кислоты делает вкус плоско-резким; белая часть кожуры даёт лишнюю горечь.</x:v>
      </x:c>
      <x:c r="V309" s="28" t="str">
        <x:v>мёд или нейтральная жировая основа</x:v>
      </x:c>
      <x:c r="W309" s="28" t="str">
        <x:v>соус, напиток или десерт после пробной дегустации</x:v>
      </x:c>
      <x:c r="X309" s="28" t="str">
        <x:v>универсальное</x:v>
      </x:c>
      <x:c r="Y309" s="28" t="str">
        <x:v>Гипотеза / практическая</x:v>
      </x:c>
      <x:c r="Z309" s="28" t="str">
        <x:v>Таблица сочетания(1).pdf</x:v>
      </x:c>
      <x:c r="AA309" s="28" t="str">
        <x:v>Таблица сочетания(1).pdf: 16</x:v>
      </x:c>
      <x:c r="AB309" s="28" t="str">
        <x:v>Пара указана в таблице: «Хурма» → колонка «Фрукты».</x:v>
      </x:c>
      <x:c r="AC309" s="28" t="n">
        <x:v>1</x:v>
      </x:c>
      <x:c r="AD309" s="28" t="n">
        <x:v>1</x:v>
      </x:c>
    </x:row>
    <x:row r="310" ht="58" customHeight="1">
      <x:c r="A310" s="28" t="str">
        <x:v>CIT-0309</x:v>
      </x:c>
      <x:c r="B310" s="28" t="str">
        <x:v>Универсальные</x:v>
      </x:c>
      <x:c r="C310" s="28" t="str">
        <x:v>кумкват</x:v>
      </x:c>
      <x:c r="D310" s="28" t="str">
        <x:v>kumquat</x:v>
      </x:c>
      <x:c r="E310" s="28" t="str">
        <x:v>Цитрусовые</x:v>
      </x:c>
      <x:c r="F310" s="28" t="str">
        <x:v>цукаты из дягиля</x:v>
      </x:c>
      <x:c r="G310" s="28" t="str">
        <x:v>candied angelica</x:v>
      </x:c>
      <x:c r="H310" s="28" t="str">
        <x:v>Прочее</x:v>
      </x:c>
      <x:c r="I310" s="28" t="str">
        <x:v>цитрусовый, фруктовый, цветочный, пряный</x:v>
      </x:c>
      <x:c r="J310" s="28" t="str">
        <x:v>нейтральный/специфический</x:v>
      </x:c>
      <x:c r="K310" s="28" t="str">
        <x:v>лимонен, гамма-терпинен, метил-N-метилантранилат, линалол</x:v>
      </x:c>
      <x:c r="L310" s="28" t="str">
        <x:v>нужен профиль конкретного продукта</x:v>
      </x:c>
      <x:c r="M310" s="28" t="str">
        <x:v>прямое семейное перекрытие не является главным механизмом</x:v>
      </x:c>
      <x:c r="N310" s="28" t="str">
        <x:v>надёжный общий маркер не заявлен; сочетание объясняется семействами и сенсорным балансом</x:v>
      </x:c>
      <x:c r="O310" s="28" t="str">
        <x:v>вкусовой баланс, тройничное восприятие</x:v>
      </x:c>
      <x:c r="P310" s="28" t="str">
        <x:v>Основной эффект определяется ароматическим контрастом и добавлением кислотной свежести; точный баланс зависит от дозировки и матрицы.</x:v>
      </x:c>
      <x:c r="Q310" s="28" t="str">
        <x:v>нет выраженного; нет данных</x:v>
      </x:c>
      <x:c r="R310" s="28" t="str">
        <x:v>сок водный; кожура богата эфирным маслом; зависит от формы продукта</x:v>
      </x:c>
      <x:c r="S31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10" s="28" t="str">
        <x:v>Кумкват формирует профиль «цитрусовый, фруктовый, цветочный, пряный»; характерные маркеры: лимонен, гамма-терпинен, метил-N-метилантранилат, линалол. Цукаты из дягиля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310" s="28" t="str">
        <x:v>Избыток кислоты делает вкус плоско-резким; белая часть кожуры даёт лишнюю горечь.</x:v>
      </x:c>
      <x:c r="V310" s="28" t="str">
        <x:v>мёд или нейтральная жировая основа</x:v>
      </x:c>
      <x:c r="W310" s="28" t="str">
        <x:v>соус, напиток или десерт после пробной дегустации</x:v>
      </x:c>
      <x:c r="X310" s="28" t="str">
        <x:v>универсальное</x:v>
      </x:c>
      <x:c r="Y310" s="28" t="str">
        <x:v>Средняя</x:v>
      </x:c>
      <x:c r="Z310" s="28" t="str">
        <x:v>The Art &amp; Science of Foodpairing.pdf</x:v>
      </x:c>
      <x:c r="AA310" s="28" t="str">
        <x:v>The Art &amp; Science of Foodpairing.pdf: 215</x:v>
      </x:c>
      <x:c r="AB310" s="28" t="str">
        <x:v>Пара представлена в ароматической диаграмме Foodpairing на странице 215.</x:v>
      </x:c>
      <x:c r="AC310" s="28" t="n">
        <x:v>1</x:v>
      </x:c>
      <x:c r="AD310" s="28" t="n">
        <x:v>1</x:v>
      </x:c>
    </x:row>
    <x:row r="311" ht="58" customHeight="1">
      <x:c r="A311" s="28" t="str">
        <x:v>CIT-0310</x:v>
      </x:c>
      <x:c r="B311" s="28" t="str">
        <x:v>Универсальные</x:v>
      </x:c>
      <x:c r="C311" s="28" t="str">
        <x:v>кумкват</x:v>
      </x:c>
      <x:c r="D311" s="28" t="str">
        <x:v>kumquat</x:v>
      </x:c>
      <x:c r="E311" s="28" t="str">
        <x:v>Цитрусовые</x:v>
      </x:c>
      <x:c r="F311" s="28" t="str">
        <x:v>чёрный перец</x:v>
      </x:c>
      <x:c r="G311" s="28" t="str">
        <x:v>black peppercorn</x:v>
      </x:c>
      <x:c r="H311" s="28" t="str">
        <x:v>Пряности</x:v>
      </x:c>
      <x:c r="I311" s="28" t="str">
        <x:v>цитрусовый, фруктовый, цветочный, пряный</x:v>
      </x:c>
      <x:c r="J311" s="28" t="str">
        <x:v>пряный, древесный, цитрусовый</x:v>
      </x:c>
      <x:c r="K311" s="28" t="str">
        <x:v>лимонен, гамма-терпинен, метил-N-метилантранилат, линалол</x:v>
      </x:c>
      <x:c r="L311" s="28" t="str">
        <x:v>пиперин, лимонен, сабинен, бета-кариофиллен</x:v>
      </x:c>
      <x:c r="M311" s="28" t="str">
        <x:v>пряный, цитрусовый</x:v>
      </x:c>
      <x:c r="N311" s="28" t="str">
        <x:v>лимонен</x:v>
      </x:c>
      <x:c r="O311" s="28" t="str">
        <x:v>общие ароматические молекулы, перекрытие ароматических семейств, вкусовой баланс, тройничное восприятие</x:v>
      </x:c>
      <x:c r="P311" s="28" t="str">
        <x:v>Кислота усиливает слюноотделение и делает пряный аромат ярче; терпены цитруса образуют мост с эфирными маслами травы или специи.</x:v>
      </x:c>
      <x:c r="Q311" s="28" t="str">
        <x:v>нет выраженного; пиперин создаёт длительное тепло; сычуаньский перец — покалывание</x:v>
      </x:c>
      <x:c r="R311" s="28" t="str">
        <x:v>сок водный; кожура богата эфирным маслом; ароматические масла и пиперин лучше раскрываются в жире/спирте</x:v>
      </x:c>
      <x:c r="S31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11" s="28" t="str">
        <x:v>Кумкват формирует профиль «цитрусовый, фруктовый, цветочный, пряный»; характерные маркеры: лимонен, гамма-терпинен, метил-N-метилантранилат, линалол.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U311" s="28" t="str">
        <x:v>Избыток кислоты делает вкус плоско-резким; белая часть кожуры даёт лишнюю горечь.</x:v>
      </x:c>
      <x:c r="V311" s="28" t="str">
        <x:v>мёд или ваниль</x:v>
      </x:c>
      <x:c r="W311" s="28" t="str">
        <x:v>сироп, кордиал, чатни, маринад или пряный десерт</x:v>
      </x:c>
      <x:c r="X311" s="28" t="str">
        <x:v>напитки, еда, соусы/маринады</x:v>
      </x:c>
      <x:c r="Y311" s="28" t="str">
        <x:v>Средняя</x:v>
      </x:c>
      <x:c r="Z311" s="28" t="str">
        <x:v>The Art &amp; Science of Foodpairing.pdf</x:v>
      </x:c>
      <x:c r="AA311" s="28" t="str">
        <x:v>The Art &amp; Science of Foodpairing.pdf: 215</x:v>
      </x:c>
      <x:c r="AB311" s="28" t="str">
        <x:v>Пара представлена в ароматической диаграмме Foodpairing на странице 215.</x:v>
      </x:c>
      <x:c r="AC311" s="28" t="n">
        <x:v>1</x:v>
      </x:c>
      <x:c r="AD311" s="28" t="n">
        <x:v>1</x:v>
      </x:c>
    </x:row>
    <x:row r="312" ht="58" customHeight="1">
      <x:c r="A312" s="28" t="str">
        <x:v>CIT-0311</x:v>
      </x:c>
      <x:c r="B312" s="28" t="str">
        <x:v>Десерты и выпечка</x:v>
      </x:c>
      <x:c r="C312" s="28" t="str">
        <x:v>кумкват</x:v>
      </x:c>
      <x:c r="D312" s="28" t="str">
        <x:v>Кумкват</x:v>
      </x:c>
      <x:c r="E312" s="28" t="str">
        <x:v>Цитрусовые</x:v>
      </x:c>
      <x:c r="F312" s="28" t="str">
        <x:v>яблоко</x:v>
      </x:c>
      <x:c r="G312" s="28" t="str">
        <x:v>яблоко</x:v>
      </x:c>
      <x:c r="H312" s="28" t="str">
        <x:v>Фрукты</x:v>
      </x:c>
      <x:c r="I312" s="28" t="str">
        <x:v>цитрусовый, фруктовый, цветочный, пряный</x:v>
      </x:c>
      <x:c r="J312" s="28" t="str">
        <x:v>фруктовый, зелёный, цветочный</x:v>
      </x:c>
      <x:c r="K312" s="28" t="str">
        <x:v>лимонен, гамма-терпинен, метил-N-метилантранилат, линалол</x:v>
      </x:c>
      <x:c r="L312" s="28" t="str">
        <x:v>гексилацетат, гексаналь, транс-2-гексеналь, бета-дамасценон</x:v>
      </x:c>
      <x:c r="M312" s="28" t="str">
        <x:v>фруктовый, цветочный</x:v>
      </x:c>
      <x:c r="N312" s="28" t="str">
        <x:v>надёжный общий маркер не заявлен; сочетание объясняется семействами и сенсорным балансом</x:v>
      </x:c>
      <x:c r="O312" s="28" t="str">
        <x:v>перекрытие ароматических семейств, вкусовой баланс</x:v>
      </x:c>
      <x:c r="P312" s="28" t="str">
        <x:v>Общая фруктовая сладость и летучие эфиры создают непрерывный ароматический профиль, а цитрусовая кислота повышает контраст и свежесть.</x:v>
      </x:c>
      <x:c r="Q312" s="28" t="str">
        <x:v>нет выраженного; нет выраженного</x:v>
      </x:c>
      <x:c r="R312" s="28" t="str">
        <x:v>сок водный; кожура богата эфирным маслом; водная сочная матрица; пектин повышает вязкость</x:v>
      </x:c>
      <x:c r="S31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12" s="28" t="str">
        <x:v>Кумкват формирует профиль «цитрусовый, фруктовый, цветочный, пряный»; характерные маркеры: лимонен, гамма-терпинен, метил-N-метилантранилат, линалол.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Яблочные эфиры и зелёные альдегиды хорошо поддерживают свежий цитрус.</x:v>
      </x:c>
      <x:c r="U312" s="28" t="str">
        <x:v>Избыток кислоты делает вкус плоско-резким; белая часть кожуры даёт лишнюю горечь.</x:v>
      </x:c>
      <x:c r="V312" s="28" t="str">
        <x:v>мята или имбирь</x:v>
      </x:c>
      <x:c r="W312" s="28" t="str">
        <x:v>лимонад, сорбет, компот, салат или фруктовый кордиал</x:v>
      </x:c>
      <x:c r="X312" s="28" t="str">
        <x:v>напитки, десерты</x:v>
      </x:c>
      <x:c r="Y312" s="28" t="str">
        <x:v>Гипотеза / практическая</x:v>
      </x:c>
      <x:c r="Z312" s="28" t="str">
        <x:v>Таблица сочетания(1).pdf</x:v>
      </x:c>
      <x:c r="AA312" s="28" t="str">
        <x:v>Таблица сочетания(1).pdf: 10</x:v>
      </x:c>
      <x:c r="AB312" s="28" t="str">
        <x:v>Пара указана в таблице: «Кумкват» → колонка «Фрукты».</x:v>
      </x:c>
      <x:c r="AC312" s="28" t="n">
        <x:v>1</x:v>
      </x:c>
      <x:c r="AD312" s="28" t="n">
        <x:v>1</x:v>
      </x:c>
    </x:row>
    <x:row r="313" ht="58" customHeight="1">
      <x:c r="A313" s="28" t="str">
        <x:v>CIT-0312</x:v>
      </x:c>
      <x:c r="B313" s="28" t="str">
        <x:v>Десерты и выпечка</x:v>
      </x:c>
      <x:c r="C313" s="28" t="str">
        <x:v>кумкват</x:v>
      </x:c>
      <x:c r="D313" s="28" t="str">
        <x:v>Кумкват</x:v>
      </x:c>
      <x:c r="E313" s="28" t="str">
        <x:v>Цитрусовые</x:v>
      </x:c>
      <x:c r="F313" s="28" t="str">
        <x:v>ягоды</x:v>
      </x:c>
      <x:c r="G313" s="28" t="str">
        <x:v>ягоды</x:v>
      </x:c>
      <x:c r="H313" s="28" t="str">
        <x:v>Ягоды/косточковые</x:v>
      </x:c>
      <x:c r="I313" s="28" t="str">
        <x:v>цитрусовый, фруктовый, цветочный, пряный</x:v>
      </x:c>
      <x:c r="J313" s="28" t="str">
        <x:v>фруктовый, цветочный, зелёный, винный</x:v>
      </x:c>
      <x:c r="K313" s="28" t="str">
        <x:v>лимонен, гамма-терпинен, метил-N-метилантранилат, линалол</x:v>
      </x:c>
      <x:c r="L313" s="28" t="str">
        <x:v>иононы, дамасценон, эфиры, бензальдегид (для косточковых)</x:v>
      </x:c>
      <x:c r="M313" s="28" t="str">
        <x:v>фруктовый, цветочный</x:v>
      </x:c>
      <x:c r="N313" s="28" t="str">
        <x:v>надёжный общий маркер не заявлен; сочетание объясняется семействами и сенсорным балансом</x:v>
      </x:c>
      <x:c r="O313" s="28" t="str">
        <x:v>перекрытие ароматических семейств, вкусовой баланс</x:v>
      </x:c>
      <x:c r="P313" s="28" t="str">
        <x:v>Общая фруктовая сладость и летучие эфиры создают непрерывный ароматический профиль, а цитрусовая кислота повышает контраст и свежесть.</x:v>
      </x:c>
      <x:c r="Q313" s="28" t="str">
        <x:v>нет выраженного; нет выраженного</x:v>
      </x:c>
      <x:c r="R313" s="28" t="str">
        <x:v>сок водный; кожура богата эфирным маслом; водная матрица с антоцианами и полифенолами</x:v>
      </x:c>
      <x:c r="S31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13" s="28" t="str">
        <x:v>Кумкват формирует профиль «цитрусовый, фруктовый, цветочный, пряный»; характерные маркеры: лимонен, гамма-терпинен, метил-N-метилантранилат, линалол.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U313" s="28" t="str">
        <x:v>Избыток кислоты делает вкус плоско-резким; белая часть кожуры даёт лишнюю горечь.</x:v>
      </x:c>
      <x:c r="V313" s="28" t="str">
        <x:v>ваниль или миндаль</x:v>
      </x:c>
      <x:c r="W313" s="28" t="str">
        <x:v>джем, сорбет, коктейль или соус</x:v>
      </x:c>
      <x:c r="X313" s="28" t="str">
        <x:v>напитки, десерты</x:v>
      </x:c>
      <x:c r="Y313" s="28" t="str">
        <x:v>Гипотеза / практическая</x:v>
      </x:c>
      <x:c r="Z313" s="28" t="str">
        <x:v>Таблица сочетания(1).pdf</x:v>
      </x:c>
      <x:c r="AA313" s="28" t="str">
        <x:v>Таблица сочетания(1).pdf: 10</x:v>
      </x:c>
      <x:c r="AB313" s="28" t="str">
        <x:v>Пара указана в таблице: «Кумкват» → колонка «Фрукты».</x:v>
      </x:c>
      <x:c r="AC313" s="28" t="n">
        <x:v>1</x:v>
      </x:c>
      <x:c r="AD313" s="28" t="n">
        <x:v>1</x:v>
      </x:c>
    </x:row>
    <x:row r="314" ht="58" customHeight="1">
      <x:c r="A314" s="28" t="str">
        <x:v>CIT-0313</x:v>
      </x:c>
      <x:c r="B314" s="28" t="str">
        <x:v>Десерты и выпечка</x:v>
      </x:c>
      <x:c r="C314" s="28" t="str">
        <x:v>лайм</x:v>
      </x:c>
      <x:c r="D314" s="28" t="str">
        <x:v>Лайм</x:v>
      </x:c>
      <x:c r="E314" s="28" t="str">
        <x:v>Цитрусовые</x:v>
      </x:c>
      <x:c r="F314" s="28" t="str">
        <x:v>абрикос</x:v>
      </x:c>
      <x:c r="G314" s="28" t="str">
        <x:v>абрикос</x:v>
      </x:c>
      <x:c r="H314" s="28" t="str">
        <x:v>Косточковые фрукты</x:v>
      </x:c>
      <x:c r="I314" s="28" t="str">
        <x:v>цитрусовый, зелёный, травяной, камфорный</x:v>
      </x:c>
      <x:c r="J314" s="28" t="str">
        <x:v>фруктовый, цветочный, сливочный, миндальный</x:v>
      </x:c>
      <x:c r="K314" s="28" t="str">
        <x:v>лимонен, гамма-терпинен, цитраль, бета-пинен, линалол</x:v>
      </x:c>
      <x:c r="L314" s="28" t="str">
        <x:v>гамма- и дельта-лактоны, бензальдегид, дамасценон</x:v>
      </x:c>
      <x:c r="M314" s="28" t="str">
        <x:v>прямое семейное перекрытие не является главным механизмом</x:v>
      </x:c>
      <x:c r="N314" s="28" t="str">
        <x:v>надёжный общий маркер не заявлен; сочетание объясняется семействами и сенсорным балансом</x:v>
      </x:c>
      <x:c r="O314" s="28" t="str">
        <x:v>вкусовой баланс</x:v>
      </x:c>
      <x:c r="P314" s="28" t="str">
        <x:v>Общая фруктовая сладость и летучие эфиры создают непрерывный ароматический профиль, а цитрусовая кислота повышает контраст и свежесть.</x:v>
      </x:c>
      <x:c r="Q314" s="28" t="str">
        <x:v>кислота усиливает слюноотделение; зелёные терпены создают ощущение прохлады; нет выраженного</x:v>
      </x:c>
      <x:c r="R314" s="28" t="str">
        <x:v>сок — водная кислая фаза; цедра — масляная терпеновая; сочная матрица; лактоны лучше ощущаются в жирной/сливочной среде</x:v>
      </x:c>
      <x:c r="S31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14" s="28" t="str">
        <x:v>Лайм формирует профиль «цитрусовый, зелёный, травяной, камфорный»; характерные маркеры: лимонен, гамма-терпинен, цитраль, бета-пинен, линалол. Абрикос относится к группе «косточковые фрукты» и даёт ноты «фруктовый, цветочный, сливочный, миндальный».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добавляет кислотность, а лактоны смягчают его резкость.</x:v>
      </x:c>
      <x:c r="U314" s="28" t="str">
        <x:v>Избыток кислоты делает вкус плоско-резким; белая часть кожуры даёт лишнюю горечь.</x:v>
      </x:c>
      <x:c r="V314" s="28" t="str">
        <x:v>миндаль или ваниль</x:v>
      </x:c>
      <x:c r="W314" s="28" t="str">
        <x:v>тарт, сорбет, джем или фруктовый соус</x:v>
      </x:c>
      <x:c r="X314" s="28" t="str">
        <x:v>десерты</x:v>
      </x:c>
      <x:c r="Y314" s="28" t="str">
        <x:v>Гипотеза / практическая</x:v>
      </x:c>
      <x:c r="Z314" s="28" t="str">
        <x:v>Таблица сочетания(1).pdf</x:v>
      </x:c>
      <x:c r="AA314" s="28" t="str">
        <x:v>Таблица сочетания(1).pdf: 11</x:v>
      </x:c>
      <x:c r="AB314" s="28" t="str">
        <x:v>Пара указана в таблице: «Лайм» → колонка «Фрукты».</x:v>
      </x:c>
      <x:c r="AC314" s="28" t="n">
        <x:v>1</x:v>
      </x:c>
      <x:c r="AD314" s="28" t="n">
        <x:v>1</x:v>
      </x:c>
    </x:row>
    <x:row r="315" ht="58" customHeight="1">
      <x:c r="A315" s="28" t="str">
        <x:v>CIT-0314</x:v>
      </x:c>
      <x:c r="B315" s="28" t="str">
        <x:v>Универсальные</x:v>
      </x:c>
      <x:c r="C315" s="28" t="str">
        <x:v>лайм</x:v>
      </x:c>
      <x:c r="D315" s="28" t="str">
        <x:v>Лайм | лайм</x:v>
      </x:c>
      <x:c r="E315" s="28" t="str">
        <x:v>Цитрусовые</x:v>
      </x:c>
      <x:c r="F315" s="28" t="str">
        <x:v>авокадо</x:v>
      </x:c>
      <x:c r="G315" s="28" t="str">
        <x:v>Авокадо | авокадо</x:v>
      </x:c>
      <x:c r="H315" s="28" t="str">
        <x:v>Прочее</x:v>
      </x:c>
      <x:c r="I315" s="28" t="str">
        <x:v>цитрусовый, зелёный, травяной, камфорный</x:v>
      </x:c>
      <x:c r="J315" s="28" t="str">
        <x:v>нейтральный/специфический</x:v>
      </x:c>
      <x:c r="K315" s="28" t="str">
        <x:v>лимонен, гамма-терпинен, цитраль, бета-пинен, линалол</x:v>
      </x:c>
      <x:c r="L315" s="28" t="str">
        <x:v>нужен профиль конкретного продукта</x:v>
      </x:c>
      <x:c r="M315" s="28" t="str">
        <x:v>прямое семейное перекрытие не является главным механизмом</x:v>
      </x:c>
      <x:c r="N315" s="28" t="str">
        <x:v>надёжный общий маркер не заявлен; сочетание объясняется семействами и сенсорным балансом</x:v>
      </x:c>
      <x:c r="O315" s="28" t="str">
        <x:v>вкусовой баланс, тройничное восприятие</x:v>
      </x:c>
      <x:c r="P315" s="28" t="str">
        <x:v>Основной эффект определяется ароматическим контрастом и добавлением кислотной свежести; точный баланс зависит от дозировки и матрицы.</x:v>
      </x:c>
      <x:c r="Q315" s="28" t="str">
        <x:v>кислота усиливает слюноотделение; зелёные терпены создают ощущение прохлады; нет данных</x:v>
      </x:c>
      <x:c r="R315" s="28" t="str">
        <x:v>сок — водная кислая фаза; цедра — масляная терпеновая; зависит от формы продукта</x:v>
      </x:c>
      <x:c r="S31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15" s="28" t="str">
        <x:v>Лайм формирует профиль «цитрусовый, зелёный, травяной, камфорный»; характерные маркеры: лимонен, гамма-терпинен, цитраль, бета-пинен, линалол. Авокадо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15" s="28" t="str">
        <x:v>Избыток кислоты делает вкус плоско-резким; белая часть кожуры даёт лишнюю горечь.</x:v>
      </x:c>
      <x:c r="V315" s="28" t="str">
        <x:v>мёд или нейтральная жировая основа</x:v>
      </x:c>
      <x:c r="W315" s="28" t="str">
        <x:v>соус, напиток или десерт после пробной дегустации</x:v>
      </x:c>
      <x:c r="X315" s="28" t="str">
        <x:v>универсальное</x:v>
      </x:c>
      <x:c r="Y315" s="28" t="str">
        <x:v>Высокая</x:v>
      </x:c>
      <x:c r="Z315" s="28" t="str">
        <x:v>Таблица сочетания(1).pdf | Тезариус вкусов (Ники Сегнит)(1).pdf</x:v>
      </x:c>
      <x:c r="AA315" s="28" t="str">
        <x:v>Таблица сочетания(1).pdf: 2 | Тезариус вкусов (Ники Сегнит)(1).pdf: 527, 791</x:v>
      </x:c>
      <x:c r="AB315" s="28" t="str">
        <x:v>Есть такая аудиозапись: Ли Хез- лвуд (Lee Hazlewood) и Нэнси Синатра (Nancy Sinatra) поют песню «Some Velvet Morning». Мне кажется, что в данном случае бархатный баритон Ли символизирует авокадо, а пронзительный голос Нэнси – лайм, который прорезает гладкую музыкальную ткань, когда слушателю становится слишком комфортно. Они прекрасны вместе – и все-таки отчетливо разделены. Наверное, подобная ассоциация у меня появилась в значительной степени потому, что именно эту песню мы слушали снова и снов</x:v>
      </x:c>
      <x:c r="AC315" s="28" t="n">
        <x:v>2</x:v>
      </x:c>
      <x:c r="AD315" s="28" t="n">
        <x:v>3</x:v>
      </x:c>
    </x:row>
    <x:row r="316" ht="58" customHeight="1">
      <x:c r="A316" s="28" t="str">
        <x:v>CIT-0315</x:v>
      </x:c>
      <x:c r="B316" s="28" t="str">
        <x:v>Универсальные</x:v>
      </x:c>
      <x:c r="C316" s="28" t="str">
        <x:v>лайм</x:v>
      </x:c>
      <x:c r="D316" s="28" t="str">
        <x:v>лайм</x:v>
      </x:c>
      <x:c r="E316" s="28" t="str">
        <x:v>Цитрусовые</x:v>
      </x:c>
      <x:c r="F316" s="28" t="str">
        <x:v>агава</x:v>
      </x:c>
      <x:c r="G316" s="28" t="str">
        <x:v>Агава</x:v>
      </x:c>
      <x:c r="H316" s="28" t="str">
        <x:v>Прочее</x:v>
      </x:c>
      <x:c r="I316" s="28" t="str">
        <x:v>цитрусовый, зелёный, травяной, камфорный</x:v>
      </x:c>
      <x:c r="J316" s="28" t="str">
        <x:v>нейтральный/специфический</x:v>
      </x:c>
      <x:c r="K316" s="28" t="str">
        <x:v>лимонен, гамма-терпинен, цитраль, бета-пинен, линалол</x:v>
      </x:c>
      <x:c r="L316" s="28" t="str">
        <x:v>нужен профиль конкретного продукта</x:v>
      </x:c>
      <x:c r="M316" s="28" t="str">
        <x:v>прямое семейное перекрытие не является главным механизмом</x:v>
      </x:c>
      <x:c r="N316" s="28" t="str">
        <x:v>надёжный общий маркер не заявлен; сочетание объясняется семействами и сенсорным балансом</x:v>
      </x:c>
      <x:c r="O316" s="28" t="str">
        <x:v>вкусовой баланс, тройничное восприятие</x:v>
      </x:c>
      <x:c r="P316" s="28" t="str">
        <x:v>Основной эффект определяется ароматическим контрастом и добавлением кислотной свежести; точный баланс зависит от дозировки и матрицы.</x:v>
      </x:c>
      <x:c r="Q316" s="28" t="str">
        <x:v>кислота усиливает слюноотделение; зелёные терпены создают ощущение прохлады; нет данных</x:v>
      </x:c>
      <x:c r="R316" s="28" t="str">
        <x:v>сок — водная кислая фаза; цедра — масляная терпеновая; зависит от формы продукта</x:v>
      </x:c>
      <x:c r="S31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16" s="28" t="str">
        <x:v>Лайм формирует профиль «цитрусовый, зелёный, травяной, камфорный»; характерные маркеры: лимонен, гамма-терпинен, цитраль, бета-пинен, линалол. Агава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16" s="28" t="str">
        <x:v>Избыток кислоты делает вкус плоско-резким; белая часть кожуры даёт лишнюю горечь.</x:v>
      </x:c>
      <x:c r="V316" s="28" t="str">
        <x:v>мёд или нейтральная жировая основа</x:v>
      </x:c>
      <x:c r="W316" s="28" t="str">
        <x:v>соус, напиток или десерт после пробной дегустации</x:v>
      </x:c>
      <x:c r="X316" s="28" t="str">
        <x:v>универсальное</x:v>
      </x:c>
      <x:c r="Y316" s="28" t="str">
        <x:v>Гипотеза / практическая</x:v>
      </x:c>
      <x:c r="Z316" s="28" t="str">
        <x:v>Таблица сочетания(1).pdf</x:v>
      </x:c>
      <x:c r="AA316" s="28" t="str">
        <x:v>Таблица сочетания(1).pdf: 1</x:v>
      </x:c>
      <x:c r="AB316" s="28" t="str">
        <x:v>Пара указана в таблице: «Агава» → колонка «Фрукты».</x:v>
      </x:c>
      <x:c r="AC316" s="28" t="n">
        <x:v>1</x:v>
      </x:c>
      <x:c r="AD316" s="28" t="n">
        <x:v>1</x:v>
      </x:c>
    </x:row>
    <x:row r="317" ht="58" customHeight="1">
      <x:c r="A317" s="28" t="str">
        <x:v>CIT-0316</x:v>
      </x:c>
      <x:c r="B317" s="28" t="str">
        <x:v>Десерты и выпечка</x:v>
      </x:c>
      <x:c r="C317" s="28" t="str">
        <x:v>лайм</x:v>
      </x:c>
      <x:c r="D317" s="28" t="str">
        <x:v>лайм</x:v>
      </x:c>
      <x:c r="E317" s="28" t="str">
        <x:v>Цитрусовые</x:v>
      </x:c>
      <x:c r="F317" s="28" t="str">
        <x:v>ананас</x:v>
      </x:c>
      <x:c r="G317" s="28" t="str">
        <x:v>Ананас</x:v>
      </x:c>
      <x:c r="H317" s="28" t="str">
        <x:v>Тропические фрукты</x:v>
      </x:c>
      <x:c r="I317" s="28" t="str">
        <x:v>цитрусовый, зелёный, травяной, камфорный</x:v>
      </x:c>
      <x:c r="J317" s="28" t="str">
        <x:v>фруктовый, тропический, цветочный, сливочный</x:v>
      </x:c>
      <x:c r="K317" s="28" t="str">
        <x:v>лимонен, гамма-терпинен, цитраль, бета-пинен, линалол</x:v>
      </x:c>
      <x:c r="L317" s="28" t="str">
        <x:v>этилбутират, гексилацетат, лактоны, сернистые тиолы (у части фруктов)</x:v>
      </x:c>
      <x:c r="M317" s="28" t="str">
        <x:v>прямое семейное перекрытие не является главным механизмом</x:v>
      </x:c>
      <x:c r="N317" s="28" t="str">
        <x:v>надёжный общий маркер не заявлен; сочетание объясняется семействами и сенсорным балансом</x:v>
      </x:c>
      <x:c r="O317" s="28" t="str">
        <x:v>вкусовой баланс</x:v>
      </x:c>
      <x:c r="P317" s="28" t="str">
        <x:v>Общая фруктовая сладость и летучие эфиры создают непрерывный ароматический профиль, а цитрусовая кислота повышает контраст и свежесть.</x:v>
      </x:c>
      <x:c r="Q317" s="28" t="str">
        <x:v>кислота усиливает слюноотделение; зелёные терпены создают ощущение прохлады; нет выраженного</x:v>
      </x:c>
      <x:c r="R317" s="28" t="str">
        <x:v>сок — водная кислая фаза; цедра — масляная терпеновая; сочная или кремовая фруктовая матрица</x:v>
      </x:c>
      <x:c r="S31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17" s="28" t="str">
        <x:v>Лайм формирует профиль «цитрусовый, зелёный, травяной, камфорный»; характерные маркеры: лимонен, гамма-терпинен, цитраль, бета-пинен, линалол. Ананас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317" s="28" t="str">
        <x:v>Избыток кислоты делает вкус плоско-резким; белая часть кожуры даёт лишнюю горечь.</x:v>
      </x:c>
      <x:c r="V317" s="28" t="str">
        <x:v>кокос или имбирь</x:v>
      </x:c>
      <x:c r="W317" s="28" t="str">
        <x:v>смузи, кордиал, сорбет, чатни или коктейль</x:v>
      </x:c>
      <x:c r="X317" s="28" t="str">
        <x:v>напитки, десерты</x:v>
      </x:c>
      <x:c r="Y317" s="28" t="str">
        <x:v>Гипотеза / практическая</x:v>
      </x:c>
      <x:c r="Z317" s="28" t="str">
        <x:v>Таблица сочетания(1).pdf</x:v>
      </x:c>
      <x:c r="AA317" s="28" t="str">
        <x:v>Таблица сочетания(1).pdf: 17</x:v>
      </x:c>
      <x:c r="AB317" s="28" t="str">
        <x:v>Пара указана в таблице: «Ананас» → колонка «Фрукты».</x:v>
      </x:c>
      <x:c r="AC317" s="28" t="n">
        <x:v>1</x:v>
      </x:c>
      <x:c r="AD317" s="28" t="n">
        <x:v>1</x:v>
      </x:c>
    </x:row>
    <x:row r="318" ht="58" customHeight="1">
      <x:c r="A318" s="28" t="str">
        <x:v>CIT-0317</x:v>
      </x:c>
      <x:c r="B318" s="28" t="str">
        <x:v>Универсальные</x:v>
      </x:c>
      <x:c r="C318" s="28" t="str">
        <x:v>лайм</x:v>
      </x:c>
      <x:c r="D318" s="28" t="str">
        <x:v>Лайм</x:v>
      </x:c>
      <x:c r="E318" s="28" t="str">
        <x:v>Цитрусовые</x:v>
      </x:c>
      <x:c r="F318" s="28" t="str">
        <x:v>анис</x:v>
      </x:c>
      <x:c r="G318" s="28" t="str">
        <x:v>анис</x:v>
      </x:c>
      <x:c r="H318" s="28" t="str">
        <x:v>Пряности/травы</x:v>
      </x:c>
      <x:c r="I318" s="28" t="str">
        <x:v>цитрусовый, зелёный, травяной, камфорный</x:v>
      </x:c>
      <x:c r="J318" s="28" t="str">
        <x:v>анисовый, сладко-пряный, зелёный</x:v>
      </x:c>
      <x:c r="K318" s="28" t="str">
        <x:v>лимонен, гамма-терпинен, цитраль, бета-пинен, линалол</x:v>
      </x:c>
      <x:c r="L318" s="28" t="str">
        <x:v>транс-анетол, фенхон, эстрагол</x:v>
      </x:c>
      <x:c r="M318" s="28" t="str">
        <x:v>зелёный</x:v>
      </x:c>
      <x:c r="N318" s="28" t="str">
        <x:v>надёжный общий маркер не заявлен; сочетание объясняется семействами и сенсорным балансом</x:v>
      </x:c>
      <x:c r="O318" s="28" t="str">
        <x:v>перекрытие ароматических семейств, вкусовой баланс, тройничное восприятие</x:v>
      </x:c>
      <x:c r="P318" s="28" t="str">
        <x:v>Основной эффект определяется ароматическим контрастом и добавлением кислотной свежести; точный баланс зависит от дозировки и матрицы.</x:v>
      </x:c>
      <x:c r="Q318" s="28" t="str">
        <x:v>кислота усиливает слюноотделение; зелёные терпены создают ощущение прохлады; анетол создаёт охлаждающе-сладкое впечатление</x:v>
      </x:c>
      <x:c r="R318" s="28" t="str">
        <x:v>сок — водная кислая фаза; цедра — масляная терпеновая; анетол гидрофобен и мутнеет при разбавлении спиртовых настоев водой</x:v>
      </x:c>
      <x:c r="S3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18" s="28" t="str">
        <x:v>Лайм формирует профиль «цитрусовый, зелёный, травяной, камфорный»; характерные маркеры: лимонен, гамма-терпинен, цитраль, бета-пинен, линалол. Анис относится к группе «пряности/травы» и даёт ноты «анисовый, сладко-пряный,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Анисовые соединения дают сильный ароматический мост с цветочными и цитрусовыми терпенами.</x:v>
      </x:c>
      <x:c r="U318" s="28" t="str">
        <x:v>Избыток кислоты делает вкус плоско-резким; белая часть кожуры даёт лишнюю горечь.</x:v>
      </x:c>
      <x:c r="V318" s="28" t="str">
        <x:v>мёд или нейтральная жировая основа</x:v>
      </x:c>
      <x:c r="W318" s="28" t="str">
        <x:v>соус, напиток или десерт после пробной дегустации</x:v>
      </x:c>
      <x:c r="X318" s="28" t="str">
        <x:v>универсальное</x:v>
      </x:c>
      <x:c r="Y318" s="28" t="str">
        <x:v>Гипотеза / практическая</x:v>
      </x:c>
      <x:c r="Z318" s="28" t="str">
        <x:v>Таблица сочетания(1).pdf</x:v>
      </x:c>
      <x:c r="AA318" s="28" t="str">
        <x:v>Таблица сочетания(1).pdf: 11</x:v>
      </x:c>
      <x:c r="AB318" s="28" t="str">
        <x:v>Пара указана в таблице: «Лайм» → колонка «Травы и специи».</x:v>
      </x:c>
      <x:c r="AC318" s="28" t="n">
        <x:v>1</x:v>
      </x:c>
      <x:c r="AD318" s="28" t="n">
        <x:v>1</x:v>
      </x:c>
    </x:row>
    <x:row r="319" ht="58" customHeight="1">
      <x:c r="A319" s="28" t="str">
        <x:v>CIT-0318</x:v>
      </x:c>
      <x:c r="B319" s="28" t="str">
        <x:v>Универсальные</x:v>
      </x:c>
      <x:c r="C319" s="28" t="str">
        <x:v>лайм</x:v>
      </x:c>
      <x:c r="D319" s="28" t="str">
        <x:v>lime</x:v>
      </x:c>
      <x:c r="E319" s="28" t="str">
        <x:v>Цитрусовые</x:v>
      </x:c>
      <x:c r="F319" s="28" t="str">
        <x:v>анисовый иссоп</x:v>
      </x:c>
      <x:c r="G319" s="28" t="str">
        <x:v>anise hyssop</x:v>
      </x:c>
      <x:c r="H319" s="28" t="str">
        <x:v>Пряности/травы</x:v>
      </x:c>
      <x:c r="I319" s="28" t="str">
        <x:v>цитрусовый, зелёный, травяной, камфорный</x:v>
      </x:c>
      <x:c r="J319" s="28" t="str">
        <x:v>анисовый, сладко-пряный, зелёный</x:v>
      </x:c>
      <x:c r="K319" s="28" t="str">
        <x:v>лимонен, гамма-терпинен, цитраль, бета-пинен, линалол</x:v>
      </x:c>
      <x:c r="L319" s="28" t="str">
        <x:v>транс-анетол, фенхон, эстрагол</x:v>
      </x:c>
      <x:c r="M319" s="28" t="str">
        <x:v>зелёный</x:v>
      </x:c>
      <x:c r="N319" s="28" t="str">
        <x:v>надёжный общий маркер не заявлен; сочетание объясняется семействами и сенсорным балансом</x:v>
      </x:c>
      <x:c r="O319" s="28" t="str">
        <x:v>перекрытие ароматических семейств, вкусовой баланс, тройничное восприятие</x:v>
      </x:c>
      <x:c r="P319" s="28" t="str">
        <x:v>Основной эффект определяется ароматическим контрастом и добавлением кислотной свежести; точный баланс зависит от дозировки и матрицы.</x:v>
      </x:c>
      <x:c r="Q319" s="28" t="str">
        <x:v>кислота усиливает слюноотделение; зелёные терпены создают ощущение прохлады; анетол создаёт охлаждающе-сладкое впечатление</x:v>
      </x:c>
      <x:c r="R319" s="28" t="str">
        <x:v>сок — водная кислая фаза; цедра — масляная терпеновая; анетол гидрофобен и мутнеет при разбавлении спиртовых настоев водой</x:v>
      </x:c>
      <x:c r="S31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19" s="28" t="str">
        <x:v>Лайм формирует профиль «цитрусовый, зелёный, травяной, камфорный»; характерные маркеры: лимонен, гамма-терпинен, цитраль, бета-пинен, линалол. Анисовый иссоп относится к группе «пряности/травы» и даёт ноты «анисовый, сладко-пряный,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Анисовые соединения дают сильный ароматический мост с цветочными и цитрусовыми терпенами.</x:v>
      </x:c>
      <x:c r="U319" s="28" t="str">
        <x:v>Избыток кислоты делает вкус плоско-резким; белая часть кожуры даёт лишнюю горечь.</x:v>
      </x:c>
      <x:c r="V319" s="28" t="str">
        <x:v>мёд или нейтральная жировая основа</x:v>
      </x:c>
      <x:c r="W319" s="28" t="str">
        <x:v>соус, напиток или десерт после пробной дегустации</x:v>
      </x:c>
      <x:c r="X319" s="28" t="str">
        <x:v>универсальное</x:v>
      </x:c>
      <x:c r="Y319" s="28" t="str">
        <x:v>Средняя</x:v>
      </x:c>
      <x:c r="Z319" s="28" t="str">
        <x:v>The Art &amp; Science of Foodpairing.pdf</x:v>
      </x:c>
      <x:c r="AA319" s="28" t="str">
        <x:v>The Art &amp; Science of Foodpairing.pdf: 288</x:v>
      </x:c>
      <x:c r="AB319" s="28" t="str">
        <x:v>Пара представлена в ароматической диаграмме Foodpairing на странице 288.</x:v>
      </x:c>
      <x:c r="AC319" s="28" t="n">
        <x:v>1</x:v>
      </x:c>
      <x:c r="AD319" s="28" t="n">
        <x:v>1</x:v>
      </x:c>
    </x:row>
    <x:row r="320" ht="58" customHeight="1">
      <x:c r="A320" s="28" t="str">
        <x:v>CIT-0319</x:v>
      </x:c>
      <x:c r="B320" s="28" t="str">
        <x:v>Универсальные</x:v>
      </x:c>
      <x:c r="C320" s="28" t="str">
        <x:v>лайм</x:v>
      </x:c>
      <x:c r="D320" s="28" t="str">
        <x:v>Лайм | лайм</x:v>
      </x:c>
      <x:c r="E320" s="28" t="str">
        <x:v>Цитрусовые</x:v>
      </x:c>
      <x:c r="F320" s="28" t="str">
        <x:v>анчоусы</x:v>
      </x:c>
      <x:c r="G320" s="28" t="str">
        <x:v>Анчоусы | анчоусы</x:v>
      </x:c>
      <x:c r="H320" s="28" t="str">
        <x:v>Прочее</x:v>
      </x:c>
      <x:c r="I320" s="28" t="str">
        <x:v>цитрусовый, зелёный, травяной, камфорный</x:v>
      </x:c>
      <x:c r="J320" s="28" t="str">
        <x:v>нейтральный/специфический</x:v>
      </x:c>
      <x:c r="K320" s="28" t="str">
        <x:v>лимонен, гамма-терпинен, цитраль, бета-пинен, линалол</x:v>
      </x:c>
      <x:c r="L320" s="28" t="str">
        <x:v>нужен профиль конкретного продукта</x:v>
      </x:c>
      <x:c r="M320" s="28" t="str">
        <x:v>прямое семейное перекрытие не является главным механизмом</x:v>
      </x:c>
      <x:c r="N320" s="28" t="str">
        <x:v>надёжный общий маркер не заявлен; сочетание объясняется семействами и сенсорным балансом</x:v>
      </x:c>
      <x:c r="O320" s="28" t="str">
        <x:v>вкусовой баланс, тройничное восприятие</x:v>
      </x:c>
      <x:c r="P320" s="28" t="str">
        <x:v>Основной эффект определяется ароматическим контрастом и добавлением кислотной свежести; точный баланс зависит от дозировки и матрицы.</x:v>
      </x:c>
      <x:c r="Q320" s="28" t="str">
        <x:v>кислота усиливает слюноотделение; зелёные терпены создают ощущение прохлады; нет данных</x:v>
      </x:c>
      <x:c r="R320" s="28" t="str">
        <x:v>сок — водная кислая фаза; цедра — масляная терпеновая; зависит от формы продукта</x:v>
      </x:c>
      <x:c r="S32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20" s="28" t="str">
        <x:v>Лайм формирует профиль «цитрусовый, зелёный, травяной, камфорный»; характерные маркеры: лимонен, гамма-терпинен, цитраль, бета-пинен, линалол. Анчоусы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20" s="28" t="str">
        <x:v>Избыток кислоты делает вкус плоско-резким; белая часть кожуры даёт лишнюю горечь.</x:v>
      </x:c>
      <x:c r="V320" s="28" t="str">
        <x:v>мёд или нейтральная жировая основа</x:v>
      </x:c>
      <x:c r="W320" s="28" t="str">
        <x:v>соус, напиток или десерт после пробной дегустации</x:v>
      </x:c>
      <x:c r="X320" s="28" t="str">
        <x:v>универсальное</x:v>
      </x:c>
      <x:c r="Y320" s="28" t="str">
        <x:v>Высокая</x:v>
      </x:c>
      <x:c r="Z320" s="28" t="str">
        <x:v>Тезариус вкусов (Ники Сегнит)(1).pdf</x:v>
      </x:c>
      <x:c r="AA320" s="28" t="str">
        <x:v>Тезариус вкусов (Ники Сегнит)(1).pdf: 428, 791</x:v>
      </x:c>
      <x:c r="AB320" s="28" t="str">
        <x:v>Это сочетание встречается в тай- ской салатной заправке из сока лайма и рыбного соуса и в ныок тям (nuoc cham), вьетнамском соусе для макания, который подают к роллам весной и летом. Эти продукты объединяют все любимые вами свойства рыбы и цитрусовых и возводят их в куб. При этом даже в компании легкого рыбного соуса лайм всегда будет играть подчиненную роль, одновременно пытаясь сделать темные мысли рыбного соуса более светлыми и исправить неказистый вид продукта. В каких долях смешивать сок ла</x:v>
      </x:c>
      <x:c r="AC320" s="28" t="n">
        <x:v>1</x:v>
      </x:c>
      <x:c r="AD320" s="28" t="n">
        <x:v>2</x:v>
      </x:c>
    </x:row>
    <x:row r="321" ht="58" customHeight="1">
      <x:c r="A321" s="28" t="str">
        <x:v>CIT-0320</x:v>
      </x:c>
      <x:c r="B321" s="28" t="str">
        <x:v>Десерты и выпечка</x:v>
      </x:c>
      <x:c r="C321" s="28" t="str">
        <x:v>лайм</x:v>
      </x:c>
      <x:c r="D321" s="28" t="str">
        <x:v>Лайм | лайм</x:v>
      </x:c>
      <x:c r="E321" s="28" t="str">
        <x:v>Цитрусовые</x:v>
      </x:c>
      <x:c r="F321" s="28" t="str">
        <x:v>арахис</x:v>
      </x:c>
      <x:c r="G321" s="28" t="str">
        <x:v>Арахис | арахис</x:v>
      </x:c>
      <x:c r="H321" s="28" t="str">
        <x:v>Орехи и семена</x:v>
      </x:c>
      <x:c r="I321" s="28" t="str">
        <x:v>цитрусовый, зелёный, травяной, камфорный</x:v>
      </x:c>
      <x:c r="J321" s="28" t="str">
        <x:v>ореховый, обжаренный, жирный, зелёный</x:v>
      </x:c>
      <x:c r="K321" s="28" t="str">
        <x:v>лимонен, гамма-терпинен, цитраль, бета-пинен, линалол</x:v>
      </x:c>
      <x:c r="L321" s="28" t="str">
        <x:v>пиразины, альдегиды окисления жиров, бензальдегид (миндаль)</x:v>
      </x:c>
      <x:c r="M321" s="28" t="str">
        <x:v>зелёный</x:v>
      </x:c>
      <x:c r="N321" s="28" t="str">
        <x:v>надёжный общий маркер не заявлен; сочетание объясняется семействами и сенсорным балансом</x:v>
      </x:c>
      <x:c r="O321" s="28" t="str">
        <x:v>перекрытие ароматических семейств, вкусовой баланс, влияние матрицы/растворимости</x:v>
      </x:c>
      <x:c r="P321" s="28" t="str">
        <x:v>Кислотность и лёгкая горечь цитруса снижают ощущение жирности; соль и умами, в свою очередь, делают фруктовую часть менее резкой.</x:v>
      </x:c>
      <x:c r="Q321" s="28" t="str">
        <x:v>кислота усиливает слюноотделение; зелёные терпены создают ощущение прохлады; нет выраженного</x:v>
      </x:c>
      <x:c r="R321" s="28" t="str">
        <x:v>сок — водная кислая фаза; цедра — масляная терпеновая; высокая жирность растворяет терпеновые масла цитруса</x:v>
      </x:c>
      <x:c r="S32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321" s="28" t="str">
        <x:v>Лайм формирует профиль «цитрусовый, зелёный, травяной, камфорный»; характерные маркеры: лимонен, гамма-терпинен, цитраль, бета-пинен, линалол. Арахис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U321" s="28" t="str">
        <x:v>Избыток кислоты делает вкус плоско-резким; белая часть кожуры даёт лишнюю горечь.</x:v>
      </x:c>
      <x:c r="V321" s="28" t="str">
        <x:v>мёд или шоколад</x:v>
      </x:c>
      <x:c r="W321" s="28" t="str">
        <x:v>пралине, крем, выпечка, салат или ореховый соус</x:v>
      </x:c>
      <x:c r="X321" s="28" t="str">
        <x:v>десерты</x:v>
      </x:c>
      <x:c r="Y321" s="28" t="str">
        <x:v>Высокая</x:v>
      </x:c>
      <x:c r="Z321" s="28" t="str">
        <x:v>Тезариус вкусов (Ники Сегнит)(1).pdf</x:v>
      </x:c>
      <x:c r="AA321" s="28" t="str">
        <x:v>Тезариус вкусов (Ники Сегнит)(1).pdf: 54, 792</x:v>
      </x:c>
      <x:c r="AB321" s="28" t="str">
        <x:v>Кулечки с арахисом с ароматом лайма или лайма и чили очень популярны в Мексике. Здесь вы можете купить этот фастфуд с пылу с жару у уличного продавца, который обычно обжаривает неочищенный арахис в свином жире, выкладывает еще горячий продукт в чашку и поливает его выжатым соком лайма. Пара арахис – лайм очень распространена в Таиланде и Вьетнаме, где подается в качестве гарнира к блюдам из лапши, супам и салатам. Подобно уксусу в салате «Радужная комната» от Найджелы Лоусон (Nigella Lawson), вя</x:v>
      </x:c>
      <x:c r="AC321" s="28" t="n">
        <x:v>1</x:v>
      </x:c>
      <x:c r="AD321" s="28" t="n">
        <x:v>2</x:v>
      </x:c>
    </x:row>
    <x:row r="322" ht="58" customHeight="1">
      <x:c r="A322" s="28" t="str">
        <x:v>CIT-0321</x:v>
      </x:c>
      <x:c r="B322" s="28" t="str">
        <x:v>Десерты и выпечка</x:v>
      </x:c>
      <x:c r="C322" s="28" t="str">
        <x:v>лайм</x:v>
      </x:c>
      <x:c r="D322" s="28" t="str">
        <x:v>Лайм | лайм</x:v>
      </x:c>
      <x:c r="E322" s="28" t="str">
        <x:v>Цитрусовые</x:v>
      </x:c>
      <x:c r="F322" s="28" t="str">
        <x:v>арбуз</x:v>
      </x:c>
      <x:c r="G322" s="28" t="str">
        <x:v>Арбуз | арбуз</x:v>
      </x:c>
      <x:c r="H322" s="28" t="str">
        <x:v>Бахчевые</x:v>
      </x:c>
      <x:c r="I322" s="28" t="str">
        <x:v>цитрусовый, зелёный, травяной, камфорный</x:v>
      </x:c>
      <x:c r="J322" s="28" t="str">
        <x:v>свежий, зелёный, водянистый, фруктовый</x:v>
      </x:c>
      <x:c r="K322" s="28" t="str">
        <x:v>лимонен, гамма-терпинен, цитраль, бета-пинен, линалол</x:v>
      </x:c>
      <x:c r="L322" s="28" t="str">
        <x:v>C6/C9-альдегиды, эфиры, нонадиеналь</x:v>
      </x:c>
      <x:c r="M322" s="28" t="str">
        <x:v>зелёный</x:v>
      </x:c>
      <x:c r="N322" s="28" t="str">
        <x:v>надёжный общий маркер не заявлен; сочетание объясняется семействами и сенсорным балансом</x:v>
      </x:c>
      <x:c r="O322" s="28" t="str">
        <x:v>перекрытие ароматических семейств, вкусовой баланс</x:v>
      </x:c>
      <x:c r="P322" s="28" t="str">
        <x:v>Общая фруктовая сладость и летучие эфиры создают непрерывный ароматический профиль, а цитрусовая кислота повышает контраст и свежесть.</x:v>
      </x:c>
      <x:c r="Q322" s="28" t="str">
        <x:v>кислота усиливает слюноотделение; зелёные терпены создают ощущение прохлады; нет выраженного</x:v>
      </x:c>
      <x:c r="R322" s="28" t="str">
        <x:v>сок — водная кислая фаза; цедра — масляная терпеновая; очень водная матрица с деликатным ароматом</x:v>
      </x:c>
      <x:c r="S32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22" s="28" t="str">
        <x:v>Лайм формирует профиль «цитрусовый, зелёный, травяной, камфорный»; характерные маркеры: лимонен, гамма-терпинен, цитраль, бета-пинен, линалол. Арбуз относится к группе «бахчевые» и даёт ноты «свежий, зелёный, водянистый, фруктовый».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придаёт структуру, но легко подавляет тонкий аромат дыни.</x:v>
      </x:c>
      <x:c r="U322" s="28" t="str">
        <x:v>Избыток кислоты делает вкус плоско-резким; белая часть кожуры даёт лишнюю горечь; цитрус легко подавляет деликатный аромат партнёра.</x:v>
      </x:c>
      <x:c r="V322" s="28" t="str">
        <x:v>мята или огурец</x:v>
      </x:c>
      <x:c r="W322" s="28" t="str">
        <x:v>холодный напиток, гранита, салат или сорбет</x:v>
      </x:c>
      <x:c r="X322" s="28" t="str">
        <x:v>десерты</x:v>
      </x:c>
      <x:c r="Y322" s="28" t="str">
        <x:v>Высокая</x:v>
      </x:c>
      <x:c r="Z322" s="28" t="str">
        <x:v>Таблица сочетания(1).pdf | Тезариус вкусов (Ники Сегнит)(1).pdf</x:v>
      </x:c>
      <x:c r="AA322" s="28" t="str">
        <x:v>Таблица сочетания(1).pdf: 22 | Тезариус вкусов (Ники Сегнит)(1).pdf: 659, 792</x:v>
      </x:c>
      <x:c r="AB322" s="28" t="str">
        <x:v>Подайте ломтики арбуза с цедрой и соком лайма; при необходимости подкорректируйте вкус сахаром. Можно также объединить их в освежающем лонг-дринке, как это делают в Мексике. Свежая мякоть арбуза особенно хорошо держит холод, а хруст нарезаемого арбуза напоминает хруст снега под ногами.</x:v>
      </x:c>
      <x:c r="AC322" s="28" t="n">
        <x:v>2</x:v>
      </x:c>
      <x:c r="AD322" s="28" t="n">
        <x:v>3</x:v>
      </x:c>
    </x:row>
    <x:row r="323" ht="58" customHeight="1">
      <x:c r="A323" s="28" t="str">
        <x:v>CIT-0322</x:v>
      </x:c>
      <x:c r="B323" s="28" t="str">
        <x:v>Напитки</x:v>
      </x:c>
      <x:c r="C323" s="28" t="str">
        <x:v>лайм</x:v>
      </x:c>
      <x:c r="D323" s="28" t="str">
        <x:v>lime</x:v>
      </x:c>
      <x:c r="E323" s="28" t="str">
        <x:v>Цитрусовые</x:v>
      </x:c>
      <x:c r="F323" s="28" t="str">
        <x:v>аррак</x:v>
      </x:c>
      <x:c r="G323" s="28" t="str">
        <x:v>arrack</x:v>
      </x:c>
      <x:c r="H323" s="28" t="str">
        <x:v>Алкогольные напитки</x:v>
      </x:c>
      <x:c r="I323" s="28" t="str">
        <x:v>цитрусовый, зелёный, травяной, камфорный</x:v>
      </x:c>
      <x:c r="J323" s="28" t="str">
        <x:v>зависит от основы, эфирный, древесный/пряный</x:v>
      </x:c>
      <x:c r="K323" s="28" t="str">
        <x:v>лимонен, гамма-терпинен, цитраль, бета-пинен, линалол</x:v>
      </x:c>
      <x:c r="L323" s="28" t="str">
        <x:v>этанол, эфиры, терпены/дубовые соединения</x:v>
      </x:c>
      <x:c r="M323" s="28" t="str">
        <x:v>прямое семейное перекрытие не является главным механизмом</x:v>
      </x:c>
      <x:c r="N323" s="28" t="str">
        <x:v>надёжный общий маркер не заявлен; сочетание объясняется семействами и сенсорным балансом</x:v>
      </x:c>
      <x:c r="O323" s="28" t="str">
        <x:v>вкусовой баланс, тройничное восприятие, влияние матрицы/растворимости</x:v>
      </x:c>
      <x:c r="P323" s="28" t="str">
        <x:v>Этанол усиливает летучесть терпенов и ощущение тепла; сахар и вода регулируют кислотность, горечь кожуры и спиртуозность.</x:v>
      </x:c>
      <x:c r="Q323" s="28" t="str">
        <x:v>кислота усиливает слюноотделение; зелёные терпены создают ощущение прохлады; этанол усиливает тепло и летучесть аромата</x:v>
      </x:c>
      <x:c r="R323" s="28" t="str">
        <x:v>сок — водная кислая фаза; цедра — масляная терпеновая; этанол — хороший растворитель гидрофобных эфирных масел</x:v>
      </x:c>
      <x:c r="S323"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323" s="28" t="str">
        <x:v>Лайм формирует профиль «цитрусовый, зелёный, травяной, камфорный»; характерные маркеры: лимонен, гамма-терпинен, цитраль, бета-пинен, линалол. Аррак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Лаймовые цитрусы дают более зелёный и камфорный профиль, чем сладкий апельсин. Спирт извлекает цедру и усиливает ретроназальный выход терпенов; сахар и разбавление меняют баланс.</x:v>
      </x:c>
      <x:c r="U323" s="28" t="str">
        <x:v>Избыток кислоты делает вкус плоско-резким; белая часть кожуры даёт лишнюю горечь.</x:v>
      </x:c>
      <x:c r="V323" s="28" t="str">
        <x:v>сахарный сироп или биттер</x:v>
      </x:c>
      <x:c r="W323" s="28" t="str">
        <x:v>коктейль, спритц, настойка, ликёр или кордиал</x:v>
      </x:c>
      <x:c r="X323" s="28" t="str">
        <x:v>напитки</x:v>
      </x:c>
      <x:c r="Y323" s="28" t="str">
        <x:v>Средняя</x:v>
      </x:c>
      <x:c r="Z323" s="28" t="str">
        <x:v>The Art &amp; Science of Foodpairing.pdf</x:v>
      </x:c>
      <x:c r="AA323" s="28" t="str">
        <x:v>The Art &amp; Science of Foodpairing.pdf: 88</x:v>
      </x:c>
      <x:c r="AB323" s="28" t="str">
        <x:v>Пара представлена в ароматической диаграмме Foodpairing на странице 88.</x:v>
      </x:c>
      <x:c r="AC323" s="28" t="n">
        <x:v>1</x:v>
      </x:c>
      <x:c r="AD323" s="28" t="n">
        <x:v>1</x:v>
      </x:c>
    </x:row>
    <x:row r="324" ht="58" customHeight="1">
      <x:c r="A324" s="28" t="str">
        <x:v>CIT-0323</x:v>
      </x:c>
      <x:c r="B324" s="28" t="str">
        <x:v>Универсальные</x:v>
      </x:c>
      <x:c r="C324" s="28" t="str">
        <x:v>лайм</x:v>
      </x:c>
      <x:c r="D324" s="28" t="str">
        <x:v>лайм</x:v>
      </x:c>
      <x:c r="E324" s="28" t="str">
        <x:v>Цитрусовые</x:v>
      </x:c>
      <x:c r="F324" s="28" t="str">
        <x:v>бадьян</x:v>
      </x:c>
      <x:c r="G324" s="28" t="str">
        <x:v>Бадьян</x:v>
      </x:c>
      <x:c r="H324" s="28" t="str">
        <x:v>Прочее</x:v>
      </x:c>
      <x:c r="I324" s="28" t="str">
        <x:v>цитрусовый, зелёный, травяной, камфорный</x:v>
      </x:c>
      <x:c r="J324" s="28" t="str">
        <x:v>нейтральный/специфический</x:v>
      </x:c>
      <x:c r="K324" s="28" t="str">
        <x:v>лимонен, гамма-терпинен, цитраль, бета-пинен, линалол</x:v>
      </x:c>
      <x:c r="L324" s="28" t="str">
        <x:v>нужен профиль конкретного продукта</x:v>
      </x:c>
      <x:c r="M324" s="28" t="str">
        <x:v>прямое семейное перекрытие не является главным механизмом</x:v>
      </x:c>
      <x:c r="N324" s="28" t="str">
        <x:v>надёжный общий маркер не заявлен; сочетание объясняется семействами и сенсорным балансом</x:v>
      </x:c>
      <x:c r="O324" s="28" t="str">
        <x:v>вкусовой баланс, тройничное восприятие</x:v>
      </x:c>
      <x:c r="P324" s="28" t="str">
        <x:v>Основной эффект определяется ароматическим контрастом и добавлением кислотной свежести; точный баланс зависит от дозировки и матрицы.</x:v>
      </x:c>
      <x:c r="Q324" s="28" t="str">
        <x:v>кислота усиливает слюноотделение; зелёные терпены создают ощущение прохлады; нет данных</x:v>
      </x:c>
      <x:c r="R324" s="28" t="str">
        <x:v>сок — водная кислая фаза; цедра — масляная терпеновая; зависит от формы продукта</x:v>
      </x:c>
      <x:c r="S32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24" s="28" t="str">
        <x:v>Лайм формирует профиль «цитрусовый, зелёный, травяной, камфорный»; характерные маркеры: лимонен, гамма-терпинен, цитраль, бета-пинен, линалол. Бадьян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24" s="28" t="str">
        <x:v>Избыток кислоты делает вкус плоско-резким; белая часть кожуры даёт лишнюю горечь.</x:v>
      </x:c>
      <x:c r="V324" s="28" t="str">
        <x:v>мёд или нейтральная жировая основа</x:v>
      </x:c>
      <x:c r="W324" s="28" t="str">
        <x:v>соус, напиток или десерт после пробной дегустации</x:v>
      </x:c>
      <x:c r="X324" s="28" t="str">
        <x:v>универсальное</x:v>
      </x:c>
      <x:c r="Y324" s="28" t="str">
        <x:v>Гипотеза / практическая</x:v>
      </x:c>
      <x:c r="Z324" s="28" t="str">
        <x:v>Таблица сочетания(1).pdf</x:v>
      </x:c>
      <x:c r="AA324" s="28" t="str">
        <x:v>Таблица сочетания(1).pdf: 20</x:v>
      </x:c>
      <x:c r="AB324" s="28" t="str">
        <x:v>Пара указана в таблице: «Бадьян» → колонка «Фрукты».</x:v>
      </x:c>
      <x:c r="AC324" s="28" t="n">
        <x:v>1</x:v>
      </x:c>
      <x:c r="AD324" s="28" t="n">
        <x:v>1</x:v>
      </x:c>
    </x:row>
    <x:row r="325" ht="58" customHeight="1">
      <x:c r="A325" s="28" t="str">
        <x:v>CIT-0324</x:v>
      </x:c>
      <x:c r="B325" s="28" t="str">
        <x:v>Универсальные</x:v>
      </x:c>
      <x:c r="C325" s="28" t="str">
        <x:v>лайм</x:v>
      </x:c>
      <x:c r="D325" s="28" t="str">
        <x:v>Лайм | лайм</x:v>
      </x:c>
      <x:c r="E325" s="28" t="str">
        <x:v>Цитрусовые</x:v>
      </x:c>
      <x:c r="F325" s="28" t="str">
        <x:v>базилик</x:v>
      </x:c>
      <x:c r="G325" s="28" t="str">
        <x:v>Базилик | базилик</x:v>
      </x:c>
      <x:c r="H325" s="28" t="str">
        <x:v>Травы</x:v>
      </x:c>
      <x:c r="I325" s="28" t="str">
        <x:v>цитрусовый, зелёный, травяной, камфорный</x:v>
      </x:c>
      <x:c r="J325" s="28" t="str">
        <x:v>зелёный, анисовый, цветочный, пряный</x:v>
      </x:c>
      <x:c r="K325" s="28" t="str">
        <x:v>лимонен, гамма-терпинен, цитраль, бета-пинен, линалол</x:v>
      </x:c>
      <x:c r="L325" s="28" t="str">
        <x:v>линалол, эстрагол, эвгенол</x:v>
      </x:c>
      <x:c r="M325" s="28" t="str">
        <x:v>зелёный</x:v>
      </x:c>
      <x:c r="N325" s="28" t="str">
        <x:v>линалол</x:v>
      </x:c>
      <x:c r="O325" s="28" t="str">
        <x:v>общие ароматические молекулы, перекрытие ароматических семейств, вкусовой баланс</x:v>
      </x:c>
      <x:c r="P325" s="28" t="str">
        <x:v>Кислота усиливает слюноотделение и делает пряный аромат ярче; терпены цитруса образуют мост с эфирными маслами травы или специи.</x:v>
      </x:c>
      <x:c r="Q325" s="28" t="str">
        <x:v>кислота усиливает слюноотделение; зелёные терпены создают ощущение прохлады; нет выраженного</x:v>
      </x:c>
      <x:c r="R325" s="28" t="str">
        <x:v>сок — водная кислая фаза; цедра — масляная терпеновая; летучие масла чувствительны к длительному нагреву</x:v>
      </x:c>
      <x:c r="S32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25" s="28" t="str">
        <x:v>Лайм формирует профиль «цитрусовый, зелёный, травяной, камфорный»; характерные маркеры: лимонен, гамма-терпинен, цитраль, бета-пинен,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зелёный.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Базилик и эстрагон могут связать цитрус с фруктами, томатом и сливочными матрицами.</x:v>
      </x:c>
      <x:c r="U325" s="28" t="str">
        <x:v>Избыток кислоты делает вкус плоско-резким; белая часть кожуры даёт лишнюю горечь; цитрус легко подавляет деликатный аромат партнёра.</x:v>
      </x:c>
      <x:c r="V325" s="28" t="str">
        <x:v>оливковое масло или огурец</x:v>
      </x:c>
      <x:c r="W325" s="28" t="str">
        <x:v>лимонад, кордиал, салатная заправка или зелёный соус</x:v>
      </x:c>
      <x:c r="X325" s="28" t="str">
        <x:v>напитки, еда, соусы/маринады</x:v>
      </x:c>
      <x:c r="Y325" s="28" t="str">
        <x:v>Высокая</x:v>
      </x:c>
      <x:c r="Z325" s="28" t="str">
        <x:v>Тезариус вкусов (Ники Сегнит)(1).pdf</x:v>
      </x:c>
      <x:c r="AA325" s="28" t="str">
        <x:v>Тезариус вкусов (Ники Сегнит)(1).pdf: 567, 792</x:v>
      </x:c>
      <x:c r="AB325" s="28" t="str">
        <x:v>Вы можете «сконструировать» эту комбинацию самостоятельно, если найдете семена лаймового базилика – сейчас они весьма доступны. В Таиланде, где имеется великое множество сортов базилика, лаймовый базилик чаще всего используется в рыбных блюдах.</x:v>
      </x:c>
      <x:c r="AC325" s="28" t="n">
        <x:v>1</x:v>
      </x:c>
      <x:c r="AD325" s="28" t="n">
        <x:v>2</x:v>
      </x:c>
    </x:row>
    <x:row r="326" ht="58" customHeight="1">
      <x:c r="A326" s="28" t="str">
        <x:v>CIT-0325</x:v>
      </x:c>
      <x:c r="B326" s="28" t="str">
        <x:v>Десерты и выпечка</x:v>
      </x:c>
      <x:c r="C326" s="28" t="str">
        <x:v>лайм</x:v>
      </x:c>
      <x:c r="D326" s="28" t="str">
        <x:v>Лайм | лайм</x:v>
      </x:c>
      <x:c r="E326" s="28" t="str">
        <x:v>Цитрусовые</x:v>
      </x:c>
      <x:c r="F326" s="28" t="str">
        <x:v>банан</x:v>
      </x:c>
      <x:c r="G326" s="28" t="str">
        <x:v>Банан | банан</x:v>
      </x:c>
      <x:c r="H326" s="28" t="str">
        <x:v>Тропические фрукты</x:v>
      </x:c>
      <x:c r="I326" s="28" t="str">
        <x:v>цитрусовый, зелёный, травяной, камфорный</x:v>
      </x:c>
      <x:c r="J326" s="28" t="str">
        <x:v>фруктовый, тропический, цветочный, сливочный</x:v>
      </x:c>
      <x:c r="K326" s="28" t="str">
        <x:v>лимонен, гамма-терпинен, цитраль, бета-пинен, линалол</x:v>
      </x:c>
      <x:c r="L326" s="28" t="str">
        <x:v>этилбутират, гексилацетат, лактоны, сернистые тиолы (у части фруктов)</x:v>
      </x:c>
      <x:c r="M326" s="28" t="str">
        <x:v>прямое семейное перекрытие не является главным механизмом</x:v>
      </x:c>
      <x:c r="N326" s="28" t="str">
        <x:v>надёжный общий маркер не заявлен; сочетание объясняется семействами и сенсорным балансом</x:v>
      </x:c>
      <x:c r="O326" s="28" t="str">
        <x:v>вкусовой баланс</x:v>
      </x:c>
      <x:c r="P326" s="28" t="str">
        <x:v>Общая фруктовая сладость и летучие эфиры создают непрерывный ароматический профиль, а цитрусовая кислота повышает контраст и свежесть.</x:v>
      </x:c>
      <x:c r="Q326" s="28" t="str">
        <x:v>кислота усиливает слюноотделение; зелёные терпены создают ощущение прохлады; нет выраженного</x:v>
      </x:c>
      <x:c r="R326" s="28" t="str">
        <x:v>сок — водная кислая фаза; цедра — масляная терпеновая; сочная или кремовая фруктовая матрица</x:v>
      </x:c>
      <x:c r="S32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26" s="28" t="str">
        <x:v>Лайм формирует профиль «цитрусовый, зелёный, травяной, камфорный»; характерные маркеры: лимонен, гамма-терпинен, цитраль, бета-пинен, линалол. Банан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326" s="28" t="str">
        <x:v>Избыток кислоты делает вкус плоско-резким; белая часть кожуры даёт лишнюю горечь.</x:v>
      </x:c>
      <x:c r="V326" s="28" t="str">
        <x:v>кокос или имбирь</x:v>
      </x:c>
      <x:c r="W326" s="28" t="str">
        <x:v>смузи, кордиал, сорбет, чатни или коктейль</x:v>
      </x:c>
      <x:c r="X326" s="28" t="str">
        <x:v>напитки, десерты</x:v>
      </x:c>
      <x:c r="Y326" s="28" t="str">
        <x:v>Гипотеза / практическая</x:v>
      </x:c>
      <x:c r="Z326" s="28" t="str">
        <x:v>Таблица сочетания(1).pdf</x:v>
      </x:c>
      <x:c r="AA326" s="28" t="str">
        <x:v>Таблица сочетания(1).pdf: 2, 11</x:v>
      </x:c>
      <x:c r="AB326" s="28" t="str">
        <x:v>Пара указана в таблице: «Банан» → колонка «Фрукты».</x:v>
      </x:c>
      <x:c r="AC326" s="28" t="n">
        <x:v>1</x:v>
      </x:c>
      <x:c r="AD326" s="28" t="n">
        <x:v>2</x:v>
      </x:c>
    </x:row>
    <x:row r="327" ht="58" customHeight="1">
      <x:c r="A327" s="28" t="str">
        <x:v>CIT-0326</x:v>
      </x:c>
      <x:c r="B327" s="28" t="str">
        <x:v>Десерты и выпечка</x:v>
      </x:c>
      <x:c r="C327" s="28" t="str">
        <x:v>лайм</x:v>
      </x:c>
      <x:c r="D327" s="28" t="str">
        <x:v>lime</x:v>
      </x:c>
      <x:c r="E327" s="28" t="str">
        <x:v>Цитрусовые</x:v>
      </x:c>
      <x:c r="F327" s="28" t="str">
        <x:v>банановый ликёр</x:v>
      </x:c>
      <x:c r="G327" s="28" t="str">
        <x:v>creme de bananes</x:v>
      </x:c>
      <x:c r="H327" s="28" t="str">
        <x:v>Тропические фрукты</x:v>
      </x:c>
      <x:c r="I327" s="28" t="str">
        <x:v>цитрусовый, зелёный, травяной, камфорный</x:v>
      </x:c>
      <x:c r="J327" s="28" t="str">
        <x:v>фруктовый, тропический, цветочный, сливочный</x:v>
      </x:c>
      <x:c r="K327" s="28" t="str">
        <x:v>лимонен, гамма-терпинен, цитраль, бета-пинен, линалол</x:v>
      </x:c>
      <x:c r="L327" s="28" t="str">
        <x:v>этилбутират, гексилацетат, лактоны, сернистые тиолы (у части фруктов)</x:v>
      </x:c>
      <x:c r="M327" s="28" t="str">
        <x:v>прямое семейное перекрытие не является главным механизмом</x:v>
      </x:c>
      <x:c r="N327" s="28" t="str">
        <x:v>надёжный общий маркер не заявлен; сочетание объясняется семействами и сенсорным балансом</x:v>
      </x:c>
      <x:c r="O327" s="28" t="str">
        <x:v>вкусовой баланс</x:v>
      </x:c>
      <x:c r="P327" s="28" t="str">
        <x:v>Общая фруктовая сладость и летучие эфиры создают непрерывный ароматический профиль, а цитрусовая кислота повышает контраст и свежесть.</x:v>
      </x:c>
      <x:c r="Q327" s="28" t="str">
        <x:v>кислота усиливает слюноотделение; зелёные терпены создают ощущение прохлады; нет выраженного</x:v>
      </x:c>
      <x:c r="R327" s="28" t="str">
        <x:v>сок — водная кислая фаза; цедра — масляная терпеновая; сочная или кремовая фруктовая матрица</x:v>
      </x:c>
      <x:c r="S32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27" s="28" t="str">
        <x:v>Лайм формирует профиль «цитрусовый, зелёный, травяной, камфорный»; характерные маркеры: лимонен, гамма-терпинен, цитраль, бета-пинен, линалол. Банановый ликёр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327" s="28" t="str">
        <x:v>Избыток кислоты делает вкус плоско-резким; белая часть кожуры даёт лишнюю горечь.</x:v>
      </x:c>
      <x:c r="V327" s="28" t="str">
        <x:v>кокос или имбирь</x:v>
      </x:c>
      <x:c r="W327" s="28" t="str">
        <x:v>смузи, кордиал, сорбет, чатни или коктейль</x:v>
      </x:c>
      <x:c r="X327" s="28" t="str">
        <x:v>напитки, десерты</x:v>
      </x:c>
      <x:c r="Y327" s="28" t="str">
        <x:v>Средняя</x:v>
      </x:c>
      <x:c r="Z327" s="28" t="str">
        <x:v>The Art &amp; Science of Foodpairing.pdf</x:v>
      </x:c>
      <x:c r="AA327" s="28" t="str">
        <x:v>The Art &amp; Science of Foodpairing.pdf: 88</x:v>
      </x:c>
      <x:c r="AB327" s="28" t="str">
        <x:v>Пара представлена в ароматической диаграмме Foodpairing на странице 88.</x:v>
      </x:c>
      <x:c r="AC327" s="28" t="n">
        <x:v>1</x:v>
      </x:c>
      <x:c r="AD327" s="28" t="n">
        <x:v>1</x:v>
      </x:c>
    </x:row>
    <x:row r="328" ht="58" customHeight="1">
      <x:c r="A328" s="28" t="str">
        <x:v>CIT-0327</x:v>
      </x:c>
      <x:c r="B328" s="28" t="str">
        <x:v>Еда и соусы</x:v>
      </x:c>
      <x:c r="C328" s="28" t="str">
        <x:v>лайм</x:v>
      </x:c>
      <x:c r="D328" s="28" t="str">
        <x:v>Лайм | лайм</x:v>
      </x:c>
      <x:c r="E328" s="28" t="str">
        <x:v>Цитрусовые</x:v>
      </x:c>
      <x:c r="F328" s="28" t="str">
        <x:v>белая рыба</x:v>
      </x:c>
      <x:c r="G328" s="28" t="str">
        <x:v>Белая рыба | белая рыба</x:v>
      </x:c>
      <x:c r="H328" s="28" t="str">
        <x:v>Рыба и морепродукты</x:v>
      </x:c>
      <x:c r="I328" s="28" t="str">
        <x:v>цитрусовый, зелёный, травяной, камфорный</x:v>
      </x:c>
      <x:c r="J328" s="28" t="str">
        <x:v>морской, йодистый, зелёный, жирный</x:v>
      </x:c>
      <x:c r="K328" s="28" t="str">
        <x:v>лимонен, гамма-терпинен, цитраль, бета-пинен, линалол</x:v>
      </x:c>
      <x:c r="L328" s="28" t="str">
        <x:v>альдегиды окисления липидов, бромфенолы, диметилсульфид, умами-соединения</x:v>
      </x:c>
      <x:c r="M328" s="28" t="str">
        <x:v>зелёный</x:v>
      </x:c>
      <x:c r="N328" s="28" t="str">
        <x:v>надёжный общий маркер не заявлен; сочетание объясняется семействами и сенсорным балансом</x:v>
      </x:c>
      <x:c r="O328" s="28" t="str">
        <x:v>перекрытие ароматических семейств, вкусовой баланс, влияние матрицы/растворимости</x:v>
      </x:c>
      <x:c r="P328" s="28" t="str">
        <x:v>Кислотность и лёгкая горечь цитруса снижают ощущение жирности; соль и умами, в свою очередь, делают фруктовую часть менее резкой.</x:v>
      </x:c>
      <x:c r="Q328" s="28" t="str">
        <x:v>кислота усиливает слюноотделение; зелёные терпены создают ощущение прохлады; нет выраженного</x:v>
      </x:c>
      <x:c r="R328" s="28" t="str">
        <x:v>сок — водная кислая фаза; цедра — масляная терпеновая; кислота может денатурировать поверхностные белки; жир рыбы удерживает терпены</x:v>
      </x:c>
      <x:c r="S32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328" s="28" t="str">
        <x:v>Лайм формирует профиль «цитрусовый, зелёный, травяной, камфорный»; характерные маркеры: лимонен, гамма-терпинен, цитраль, бета-пинен, линалол. Белая рыба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U328" s="28" t="str">
        <x:v>Избыток кислоты делает вкус плоско-резким; белая часть кожуры даёт лишнюю горечь; слишком долгая маринация ухудшает текстуру.</x:v>
      </x:c>
      <x:c r="V328" s="28" t="str">
        <x:v>кинза или фенхель</x:v>
      </x:c>
      <x:c r="W328" s="28" t="str">
        <x:v>севиче, маринад, beurre blanc, тартар или салат</x:v>
      </x:c>
      <x:c r="X328" s="28" t="str">
        <x:v>еда, соусы/маринады</x:v>
      </x:c>
      <x:c r="Y328" s="28" t="str">
        <x:v>Высокая</x:v>
      </x:c>
      <x:c r="Z328" s="28" t="str">
        <x:v>Тезариус вкусов (Ники Сегнит)(1).pdf</x:v>
      </x:c>
      <x:c r="AA328" s="28" t="str">
        <x:v>Тезариус вкусов (Ники Сегнит)(1).pdf: 386, 792</x:v>
      </x:c>
      <x:c r="AB328" s="28" t="str">
        <x:v>Ничто не говорит лучше о ва- шем умении обращаться с рыбой, чем правильно приготовленное севиче (ceviche). Обычно полоски сырой рыбы погружают в сок лайма (или лимонный сок) и смешивают с мелко нарезанным луком, болгарским перцем, перцем чили и кориандром. После того как рыба замаринуется в соке лайма, для получения кремовой текстуры можно добавить к смеси кокосовое молоко. В Эквадоре севиче часто подают к столу с запеченными початками кукурузы или попкорном; для Перу типичен гарнир из сладкого </x:v>
      </x:c>
      <x:c r="AC328" s="28" t="n">
        <x:v>1</x:v>
      </x:c>
      <x:c r="AD328" s="28" t="n">
        <x:v>2</x:v>
      </x:c>
    </x:row>
    <x:row r="329" ht="58" customHeight="1">
      <x:c r="A329" s="28" t="str">
        <x:v>CIT-0328</x:v>
      </x:c>
      <x:c r="B329" s="28" t="str">
        <x:v>Универсальные</x:v>
      </x:c>
      <x:c r="C329" s="28" t="str">
        <x:v>лайм</x:v>
      </x:c>
      <x:c r="D329" s="28" t="str">
        <x:v>lime</x:v>
      </x:c>
      <x:c r="E329" s="28" t="str">
        <x:v>Цитрусовые</x:v>
      </x:c>
      <x:c r="F329" s="28" t="str">
        <x:v>галангал</x:v>
      </x:c>
      <x:c r="G329" s="28" t="str">
        <x:v>galangal</x:v>
      </x:c>
      <x:c r="H329" s="28" t="str">
        <x:v>Пряности</x:v>
      </x:c>
      <x:c r="I329" s="28" t="str">
        <x:v>цитрусовый, зелёный, травяной, камфорный</x:v>
      </x:c>
      <x:c r="J329" s="28" t="str">
        <x:v>цитрусовый, пряный, древесный, тёплый</x:v>
      </x:c>
      <x:c r="K329" s="28" t="str">
        <x:v>лимонен, гамма-терпинен, цитраль, бета-пинен, линалол</x:v>
      </x:c>
      <x:c r="L329" s="28" t="str">
        <x:v>зингиберен, цитраль, гераниол, гингеролы/шогаолы</x:v>
      </x:c>
      <x:c r="M329" s="28" t="str">
        <x:v>цитрусовый</x:v>
      </x:c>
      <x:c r="N329" s="28" t="str">
        <x:v>цитраль</x:v>
      </x:c>
      <x:c r="O329" s="28" t="str">
        <x:v>общие ароматические молекулы, перекрытие ароматических семейств, вкусовой баланс, тройничное восприятие</x:v>
      </x:c>
      <x:c r="P329" s="28" t="str">
        <x:v>Кислота усиливает слюноотделение и делает пряный аромат ярче; терпены цитруса образуют мост с эфирными маслами травы или специи.</x:v>
      </x:c>
      <x:c r="Q329" s="28" t="str">
        <x:v>кислота усиливает слюноотделение; зелёные терпены создают ощущение прохлады; гингеролы и шогаолы активируют TRPV1 и дают тепло</x:v>
      </x:c>
      <x:c r="R329" s="28" t="str">
        <x:v>сок — водная кислая фаза; цедра — масляная терпеновая; ароматические терпены лучше извлекаются этанолом и жиром</x:v>
      </x:c>
      <x:c r="S32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29" s="28" t="str">
        <x:v>Лайм формирует профиль «цитрусовый, зелёный, травяной, камфорный»; характерные маркеры: лимонен, гамма-терпинен, цитраль, бета-пинен, линалол.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U329" s="28" t="str">
        <x:v>Избыток кислоты делает вкус плоско-резким; белая часть кожуры даёт лишнюю горечь.</x:v>
      </x:c>
      <x:c r="V329" s="28" t="str">
        <x:v>мёд или ваниль</x:v>
      </x:c>
      <x:c r="W329" s="28" t="str">
        <x:v>сироп, кордиал, чатни, маринад или пряный десерт</x:v>
      </x:c>
      <x:c r="X329" s="28" t="str">
        <x:v>напитки, еда, соусы/маринады</x:v>
      </x:c>
      <x:c r="Y329" s="28" t="str">
        <x:v>Средняя</x:v>
      </x:c>
      <x:c r="Z329" s="28" t="str">
        <x:v>The Art &amp; Science of Foodpairing.pdf</x:v>
      </x:c>
      <x:c r="AA329" s="28" t="str">
        <x:v>The Art &amp; Science of Foodpairing.pdf: 87</x:v>
      </x:c>
      <x:c r="AB329" s="28" t="str">
        <x:v>Пара представлена в ароматической диаграмме Foodpairing на странице 87.</x:v>
      </x:c>
      <x:c r="AC329" s="28" t="n">
        <x:v>1</x:v>
      </x:c>
      <x:c r="AD329" s="28" t="n">
        <x:v>1</x:v>
      </x:c>
    </x:row>
    <x:row r="330" ht="58" customHeight="1">
      <x:c r="A330" s="28" t="str">
        <x:v>CIT-0329</x:v>
      </x:c>
      <x:c r="B330" s="28" t="str">
        <x:v>Универсальные</x:v>
      </x:c>
      <x:c r="C330" s="28" t="str">
        <x:v>лайм</x:v>
      </x:c>
      <x:c r="D330" s="28" t="str">
        <x:v>лайм</x:v>
      </x:c>
      <x:c r="E330" s="28" t="str">
        <x:v>Цитрусовые</x:v>
      </x:c>
      <x:c r="F330" s="28" t="str">
        <x:v>гвоздика</x:v>
      </x:c>
      <x:c r="G330" s="28" t="str">
        <x:v>Гвоздика</x:v>
      </x:c>
      <x:c r="H330" s="28" t="str">
        <x:v>Пряности</x:v>
      </x:c>
      <x:c r="I330" s="28" t="str">
        <x:v>цитрусовый, зелёный, травяной, камфорный</x:v>
      </x:c>
      <x:c r="J330" s="28" t="str">
        <x:v>пряный, фенольный, древесный</x:v>
      </x:c>
      <x:c r="K330" s="28" t="str">
        <x:v>лимонен, гамма-терпинен, цитраль, бета-пинен, линалол</x:v>
      </x:c>
      <x:c r="L330" s="28" t="str">
        <x:v>эвгенол, эвгенилацетат, бета-кариофиллен</x:v>
      </x:c>
      <x:c r="M330" s="28" t="str">
        <x:v>прямое семейное перекрытие не является главным механизмом</x:v>
      </x:c>
      <x:c r="N330" s="28" t="str">
        <x:v>надёжный общий маркер не заявлен; сочетание объясняется семействами и сенсорным балансом</x:v>
      </x:c>
      <x:c r="O330" s="28" t="str">
        <x:v>вкусовой баланс, тройничное восприятие</x:v>
      </x:c>
      <x:c r="P330" s="28" t="str">
        <x:v>Кислота усиливает слюноотделение и делает пряный аромат ярче; терпены цитруса образуют мост с эфирными маслами травы или специи.</x:v>
      </x:c>
      <x:c r="Q330" s="28" t="str">
        <x:v>кислота усиливает слюноотделение; зелёные терпены создают ощущение прохлады; эвгенол даёт теплоту и лёгкое онемение</x:v>
      </x:c>
      <x:c r="R330" s="28" t="str">
        <x:v>сок — водная кислая фаза; цедра — масляная терпеновая; эфирное масло хорошо растворяется в спирте и жире</x:v>
      </x:c>
      <x:c r="S33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30" s="28" t="str">
        <x:v>Лайм формирует профиль «цитрусовый, зелёный, травяной, камфорный»; характерные маркеры: лимонен, гамма-терпинен, цитраль, бета-пинен, линалол.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Гвоздика очень интенсивна и легко доминирует.</x:v>
      </x:c>
      <x:c r="U330" s="28" t="str">
        <x:v>Избыток кислоты делает вкус плоско-резким; белая часть кожуры даёт лишнюю горечь.</x:v>
      </x:c>
      <x:c r="V330" s="28" t="str">
        <x:v>мёд или ваниль</x:v>
      </x:c>
      <x:c r="W330" s="28" t="str">
        <x:v>сироп, кордиал, чатни, маринад или пряный десерт</x:v>
      </x:c>
      <x:c r="X330" s="28" t="str">
        <x:v>напитки, еда, соусы/маринады</x:v>
      </x:c>
      <x:c r="Y330" s="28" t="str">
        <x:v>Гипотеза / практическая</x:v>
      </x:c>
      <x:c r="Z330" s="28" t="str">
        <x:v>Таблица сочетания(1).pdf</x:v>
      </x:c>
      <x:c r="AA330" s="28" t="str">
        <x:v>Таблица сочетания(1).pdf: 5</x:v>
      </x:c>
      <x:c r="AB330" s="28" t="str">
        <x:v>Пара указана в таблице: «Гвоздика» → колонка «Фрукты».</x:v>
      </x:c>
      <x:c r="AC330" s="28" t="n">
        <x:v>1</x:v>
      </x:c>
      <x:c r="AD330" s="28" t="n">
        <x:v>1</x:v>
      </x:c>
    </x:row>
    <x:row r="331" ht="58" customHeight="1">
      <x:c r="A331" s="28" t="str">
        <x:v>CIT-0330</x:v>
      </x:c>
      <x:c r="B331" s="28" t="str">
        <x:v>Еда и соусы</x:v>
      </x:c>
      <x:c r="C331" s="28" t="str">
        <x:v>лайм</x:v>
      </x:c>
      <x:c r="D331" s="28" t="str">
        <x:v>Лайм | лайм</x:v>
      </x:c>
      <x:c r="E331" s="28" t="str">
        <x:v>Цитрусовые</x:v>
      </x:c>
      <x:c r="F331" s="28" t="str">
        <x:v>говядина</x:v>
      </x:c>
      <x:c r="G331" s="28" t="str">
        <x:v>Говядина | говядина</x:v>
      </x:c>
      <x:c r="H331" s="28" t="str">
        <x:v>Мясо и птица</x:v>
      </x:c>
      <x:c r="I331" s="28" t="str">
        <x:v>цитрусовый, зелёный, травяной, камфорный</x:v>
      </x:c>
      <x:c r="J331" s="28" t="str">
        <x:v>жареный, мясной, сернистый, жирный</x:v>
      </x:c>
      <x:c r="K331" s="28" t="str">
        <x:v>лимонен, гамма-терпинен, цитраль, бета-пинен, линалол</x:v>
      </x:c>
      <x:c r="L331" s="28" t="str">
        <x:v>пиразины, тиазолы, альдегиды жиров, сернистые соединения</x:v>
      </x:c>
      <x:c r="M331" s="28" t="str">
        <x:v>прямое семейное перекрытие не является главным механизмом</x:v>
      </x:c>
      <x:c r="N331" s="28" t="str">
        <x:v>надёжный общий маркер не заявлен; сочетание объясняется семействами и сенсорным балансом</x:v>
      </x:c>
      <x:c r="O331" s="28" t="str">
        <x:v>вкусовой баланс, влияние матрицы/растворимости</x:v>
      </x:c>
      <x:c r="P331" s="28" t="str">
        <x:v>Кислотность и лёгкая горечь цитруса снижают ощущение жирности; соль и умами, в свою очередь, делают фруктовую часть менее резкой.</x:v>
      </x:c>
      <x:c r="Q331" s="28" t="str">
        <x:v>кислота усиливает слюноотделение; зелёные терпены создают ощущение прохлады; нет выраженного</x:v>
      </x:c>
      <x:c r="R331" s="28" t="str">
        <x:v>сок — водная кислая фаза; цедра — масляная терпеновая; жир удерживает терпеновые масла; кислота снижает ощущение жирности</x:v>
      </x:c>
      <x:c r="S33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331" s="28" t="str">
        <x:v>Лайм формирует профиль «цитрусовый, зелёный, травяной, камфорный»; характерные маркеры: лимонен, гамма-терпинен, цитраль, бета-пинен, линалол. Говядина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U331" s="28" t="str">
        <x:v>Избыток кислоты делает вкус плоско-резким; белая часть кожуры даёт лишнюю горечь; слишком долгая маринация ухудшает текстуру.</x:v>
      </x:c>
      <x:c r="V331" s="28" t="str">
        <x:v>розмарин или чёрный перец</x:v>
      </x:c>
      <x:c r="W331" s="28" t="str">
        <x:v>маринад, глазурь, соус, жаркое или салат</x:v>
      </x:c>
      <x:c r="X331" s="28" t="str">
        <x:v>еда, соусы/маринады</x:v>
      </x:c>
      <x:c r="Y331" s="28" t="str">
        <x:v>Высокая</x:v>
      </x:c>
      <x:c r="Z331" s="28" t="str">
        <x:v>Тезариус вкусов (Ники Сегнит)(1).pdf</x:v>
      </x:c>
      <x:c r="AA331" s="28" t="str">
        <x:v>Тезариус вкусов (Ники Сегнит)(1).pdf: 113, 793</x:v>
      </x:c>
      <x:c r="AB331" s="28" t="str">
        <x:v>Одновременно кислый, сладкий и горьковатый лайм в некоторых культурах используют вместо соли, но прежде всего он интересен для поваров своим интенсивным вкусом с сильными нотами тропических фруктов. Говядина, добравшаяся до тарелки, отвечает на кислоту лайма собственным металлическим привкусом. Дрессинг, о котором шла речь выше (см. Лайм и анчоусы), часто подают к обжаренной говядине, покоящейся на листьях салата, посыпанных большим количеством перца (это блюдо называют «Плачущий тигр»). Во Вьет</x:v>
      </x:c>
      <x:c r="AC331" s="28" t="n">
        <x:v>1</x:v>
      </x:c>
      <x:c r="AD331" s="28" t="n">
        <x:v>2</x:v>
      </x:c>
    </x:row>
    <x:row r="332" ht="58" customHeight="1">
      <x:c r="A332" s="28" t="str">
        <x:v>CIT-0331</x:v>
      </x:c>
      <x:c r="B332" s="28" t="str">
        <x:v>Универсальные</x:v>
      </x:c>
      <x:c r="C332" s="28" t="str">
        <x:v>лайм</x:v>
      </x:c>
      <x:c r="D332" s="28" t="str">
        <x:v>lime</x:v>
      </x:c>
      <x:c r="E332" s="28" t="str">
        <x:v>Цитрусовые</x:v>
      </x:c>
      <x:c r="F332" s="28" t="str">
        <x:v>горчица</x:v>
      </x:c>
      <x:c r="G332" s="28" t="str">
        <x:v>mustard</x:v>
      </x:c>
      <x:c r="H332" s="28" t="str">
        <x:v>Прочее</x:v>
      </x:c>
      <x:c r="I332" s="28" t="str">
        <x:v>цитрусовый, зелёный, травяной, камфорный</x:v>
      </x:c>
      <x:c r="J332" s="28" t="str">
        <x:v>нейтральный/специфический</x:v>
      </x:c>
      <x:c r="K332" s="28" t="str">
        <x:v>лимонен, гамма-терпинен, цитраль, бета-пинен, линалол</x:v>
      </x:c>
      <x:c r="L332" s="28" t="str">
        <x:v>нужен профиль конкретного продукта</x:v>
      </x:c>
      <x:c r="M332" s="28" t="str">
        <x:v>прямое семейное перекрытие не является главным механизмом</x:v>
      </x:c>
      <x:c r="N332" s="28" t="str">
        <x:v>надёжный общий маркер не заявлен; сочетание объясняется семействами и сенсорным балансом</x:v>
      </x:c>
      <x:c r="O332" s="28" t="str">
        <x:v>вкусовой баланс, тройничное восприятие</x:v>
      </x:c>
      <x:c r="P332" s="28" t="str">
        <x:v>Основной эффект определяется ароматическим контрастом и добавлением кислотной свежести; точный баланс зависит от дозировки и матрицы.</x:v>
      </x:c>
      <x:c r="Q332" s="28" t="str">
        <x:v>кислота усиливает слюноотделение; зелёные терпены создают ощущение прохлады; нет данных</x:v>
      </x:c>
      <x:c r="R332" s="28" t="str">
        <x:v>сок — водная кислая фаза; цедра — масляная терпеновая; зависит от формы продукта</x:v>
      </x:c>
      <x:c r="S33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32" s="28" t="str">
        <x:v>Лайм формирует профиль «цитрусовый, зелёный, травяной, камфорный»; характерные маркеры: лимонен, гамма-терпинен, цитраль, бета-пинен, линалол. Горчица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32" s="28" t="str">
        <x:v>Избыток кислоты делает вкус плоско-резким; белая часть кожуры даёт лишнюю горечь.</x:v>
      </x:c>
      <x:c r="V332" s="28" t="str">
        <x:v>мёд или нейтральная жировая основа</x:v>
      </x:c>
      <x:c r="W332" s="28" t="str">
        <x:v>соус, напиток или десерт после пробной дегустации</x:v>
      </x:c>
      <x:c r="X332" s="28" t="str">
        <x:v>универсальное</x:v>
      </x:c>
      <x:c r="Y332" s="28" t="str">
        <x:v>Средняя</x:v>
      </x:c>
      <x:c r="Z332" s="28" t="str">
        <x:v>The Art &amp; Science of Foodpairing.pdf</x:v>
      </x:c>
      <x:c r="AA332" s="28" t="str">
        <x:v>The Art &amp; Science of Foodpairing.pdf: 88</x:v>
      </x:c>
      <x:c r="AB332" s="28" t="str">
        <x:v>Пара представлена в ароматической диаграмме Foodpairing на странице 88.</x:v>
      </x:c>
      <x:c r="AC332" s="28" t="n">
        <x:v>1</x:v>
      </x:c>
      <x:c r="AD332" s="28" t="n">
        <x:v>1</x:v>
      </x:c>
    </x:row>
    <x:row r="333" ht="58" customHeight="1">
      <x:c r="A333" s="28" t="str">
        <x:v>CIT-0332</x:v>
      </x:c>
      <x:c r="B333" s="28" t="str">
        <x:v>Десерты и выпечка</x:v>
      </x:c>
      <x:c r="C333" s="28" t="str">
        <x:v>лайм</x:v>
      </x:c>
      <x:c r="D333" s="28" t="str">
        <x:v>Лайм | лайм</x:v>
      </x:c>
      <x:c r="E333" s="28" t="str">
        <x:v>Цитрусовые</x:v>
      </x:c>
      <x:c r="F333" s="28" t="str">
        <x:v>гуава</x:v>
      </x:c>
      <x:c r="G333" s="28" t="str">
        <x:v>Гуава | гуава</x:v>
      </x:c>
      <x:c r="H333" s="28" t="str">
        <x:v>Тропические фрукты</x:v>
      </x:c>
      <x:c r="I333" s="28" t="str">
        <x:v>цитрусовый, зелёный, травяной, камфорный</x:v>
      </x:c>
      <x:c r="J333" s="28" t="str">
        <x:v>фруктовый, тропический, цветочный, сливочный</x:v>
      </x:c>
      <x:c r="K333" s="28" t="str">
        <x:v>лимонен, гамма-терпинен, цитраль, бета-пинен, линалол</x:v>
      </x:c>
      <x:c r="L333" s="28" t="str">
        <x:v>этилбутират, гексилацетат, лактоны, сернистые тиолы (у части фруктов)</x:v>
      </x:c>
      <x:c r="M333" s="28" t="str">
        <x:v>прямое семейное перекрытие не является главным механизмом</x:v>
      </x:c>
      <x:c r="N333" s="28" t="str">
        <x:v>надёжный общий маркер не заявлен; сочетание объясняется семействами и сенсорным балансом</x:v>
      </x:c>
      <x:c r="O333" s="28" t="str">
        <x:v>вкусовой баланс</x:v>
      </x:c>
      <x:c r="P333" s="28" t="str">
        <x:v>Общая фруктовая сладость и летучие эфиры создают непрерывный ароматический профиль, а цитрусовая кислота повышает контраст и свежесть.</x:v>
      </x:c>
      <x:c r="Q333" s="28" t="str">
        <x:v>кислота усиливает слюноотделение; зелёные терпены создают ощущение прохлады; нет выраженного</x:v>
      </x:c>
      <x:c r="R333" s="28" t="str">
        <x:v>сок — водная кислая фаза; цедра — масляная терпеновая; сочная или кремовая фруктовая матрица</x:v>
      </x:c>
      <x:c r="S33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33" s="28" t="str">
        <x:v>Лайм формирует профиль «цитрусовый, зелёный, травяной, камфорный»; характерные маркеры: лимонен, гамма-терпинен, цитраль, бета-пинен, линалол. Гуава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333" s="28" t="str">
        <x:v>Избыток кислоты делает вкус плоско-резким; белая часть кожуры даёт лишнюю горечь.</x:v>
      </x:c>
      <x:c r="V333" s="28" t="str">
        <x:v>кокос или имбирь</x:v>
      </x:c>
      <x:c r="W333" s="28" t="str">
        <x:v>смузи, кордиал, сорбет, чатни или коктейль</x:v>
      </x:c>
      <x:c r="X333" s="28" t="str">
        <x:v>напитки, десерты</x:v>
      </x:c>
      <x:c r="Y333" s="28" t="str">
        <x:v>Гипотеза / практическая</x:v>
      </x:c>
      <x:c r="Z333" s="28" t="str">
        <x:v>Таблица сочетания(1).pdf</x:v>
      </x:c>
      <x:c r="AA333" s="28" t="str">
        <x:v>Таблица сочетания(1).pdf: 9, 12</x:v>
      </x:c>
      <x:c r="AB333" s="28" t="str">
        <x:v>Пара указана в таблице: «Гуава» → колонка «Фрукты».</x:v>
      </x:c>
      <x:c r="AC333" s="28" t="n">
        <x:v>1</x:v>
      </x:c>
      <x:c r="AD333" s="28" t="n">
        <x:v>2</x:v>
      </x:c>
    </x:row>
    <x:row r="334" ht="58" customHeight="1">
      <x:c r="A334" s="28" t="str">
        <x:v>CIT-0333</x:v>
      </x:c>
      <x:c r="B334" s="28" t="str">
        <x:v>Десерты и выпечка</x:v>
      </x:c>
      <x:c r="C334" s="28" t="str">
        <x:v>лайм</x:v>
      </x:c>
      <x:c r="D334" s="28" t="str">
        <x:v>лайм</x:v>
      </x:c>
      <x:c r="E334" s="28" t="str">
        <x:v>Цитрусовые</x:v>
      </x:c>
      <x:c r="F334" s="28" t="str">
        <x:v>дуриан</x:v>
      </x:c>
      <x:c r="G334" s="28" t="str">
        <x:v>Дуриан</x:v>
      </x:c>
      <x:c r="H334" s="28" t="str">
        <x:v>Тропические фрукты</x:v>
      </x:c>
      <x:c r="I334" s="28" t="str">
        <x:v>цитрусовый, зелёный, травяной, камфорный</x:v>
      </x:c>
      <x:c r="J334" s="28" t="str">
        <x:v>фруктовый, тропический, цветочный, сливочный</x:v>
      </x:c>
      <x:c r="K334" s="28" t="str">
        <x:v>лимонен, гамма-терпинен, цитраль, бета-пинен, линалол</x:v>
      </x:c>
      <x:c r="L334" s="28" t="str">
        <x:v>этилбутират, гексилацетат, лактоны, сернистые тиолы (у части фруктов)</x:v>
      </x:c>
      <x:c r="M334" s="28" t="str">
        <x:v>прямое семейное перекрытие не является главным механизмом</x:v>
      </x:c>
      <x:c r="N334" s="28" t="str">
        <x:v>надёжный общий маркер не заявлен; сочетание объясняется семействами и сенсорным балансом</x:v>
      </x:c>
      <x:c r="O334" s="28" t="str">
        <x:v>вкусовой баланс</x:v>
      </x:c>
      <x:c r="P334" s="28" t="str">
        <x:v>Общая фруктовая сладость и летучие эфиры создают непрерывный ароматический профиль, а цитрусовая кислота повышает контраст и свежесть.</x:v>
      </x:c>
      <x:c r="Q334" s="28" t="str">
        <x:v>кислота усиливает слюноотделение; зелёные терпены создают ощущение прохлады; нет выраженного</x:v>
      </x:c>
      <x:c r="R334" s="28" t="str">
        <x:v>сок — водная кислая фаза; цедра — масляная терпеновая; сочная или кремовая фруктовая матрица</x:v>
      </x:c>
      <x:c r="S33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34" s="28" t="str">
        <x:v>Лайм формирует профиль «цитрусовый, зелёный, травяной, камфорный»; характерные маркеры: лимонен, гамма-терпинен, цитраль, бета-пинен, линалол. Дуриан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334" s="28" t="str">
        <x:v>Избыток кислоты делает вкус плоско-резким; белая часть кожуры даёт лишнюю горечь.</x:v>
      </x:c>
      <x:c r="V334" s="28" t="str">
        <x:v>кокос или имбирь</x:v>
      </x:c>
      <x:c r="W334" s="28" t="str">
        <x:v>смузи, кордиал, сорбет, чатни или коктейль</x:v>
      </x:c>
      <x:c r="X334" s="28" t="str">
        <x:v>напитки, десерты</x:v>
      </x:c>
      <x:c r="Y334" s="28" t="str">
        <x:v>Гипотеза / практическая</x:v>
      </x:c>
      <x:c r="Z334" s="28" t="str">
        <x:v>Таблица сочетания(1).pdf</x:v>
      </x:c>
      <x:c r="AA334" s="28" t="str">
        <x:v>Таблица сочетания(1).pdf: 7</x:v>
      </x:c>
      <x:c r="AB334" s="28" t="str">
        <x:v>Пара указана в таблице: «Дуриан» → колонка «Фрукты».</x:v>
      </x:c>
      <x:c r="AC334" s="28" t="n">
        <x:v>1</x:v>
      </x:c>
      <x:c r="AD334" s="28" t="n">
        <x:v>1</x:v>
      </x:c>
    </x:row>
    <x:row r="335" ht="58" customHeight="1">
      <x:c r="A335" s="28" t="str">
        <x:v>CIT-0334</x:v>
      </x:c>
      <x:c r="B335" s="28" t="str">
        <x:v>Еда и соусы</x:v>
      </x:c>
      <x:c r="C335" s="28" t="str">
        <x:v>лайм</x:v>
      </x:c>
      <x:c r="D335" s="28" t="str">
        <x:v>Лайм | лайм</x:v>
      </x:c>
      <x:c r="E335" s="28" t="str">
        <x:v>Цитрусовые</x:v>
      </x:c>
      <x:c r="F335" s="28" t="str">
        <x:v>жирная рыба</x:v>
      </x:c>
      <x:c r="G335" s="28" t="str">
        <x:v>Жирная рыба | жирная рыба</x:v>
      </x:c>
      <x:c r="H335" s="28" t="str">
        <x:v>Рыба и морепродукты</x:v>
      </x:c>
      <x:c r="I335" s="28" t="str">
        <x:v>цитрусовый, зелёный, травяной, камфорный</x:v>
      </x:c>
      <x:c r="J335" s="28" t="str">
        <x:v>морской, йодистый, зелёный, жирный</x:v>
      </x:c>
      <x:c r="K335" s="28" t="str">
        <x:v>лимонен, гамма-терпинен, цитраль, бета-пинен, линалол</x:v>
      </x:c>
      <x:c r="L335" s="28" t="str">
        <x:v>альдегиды окисления липидов, бромфенолы, диметилсульфид, умами-соединения</x:v>
      </x:c>
      <x:c r="M335" s="28" t="str">
        <x:v>зелёный</x:v>
      </x:c>
      <x:c r="N335" s="28" t="str">
        <x:v>надёжный общий маркер не заявлен; сочетание объясняется семействами и сенсорным балансом</x:v>
      </x:c>
      <x:c r="O335" s="28" t="str">
        <x:v>перекрытие ароматических семейств, вкусовой баланс, влияние матрицы/растворимости</x:v>
      </x:c>
      <x:c r="P335" s="28" t="str">
        <x:v>Кислотность и лёгкая горечь цитруса снижают ощущение жирности; соль и умами, в свою очередь, делают фруктовую часть менее резкой.</x:v>
      </x:c>
      <x:c r="Q335" s="28" t="str">
        <x:v>кислота усиливает слюноотделение; зелёные терпены создают ощущение прохлады; нет выраженного</x:v>
      </x:c>
      <x:c r="R335" s="28" t="str">
        <x:v>сок — водная кислая фаза; цедра — масляная терпеновая; кислота может денатурировать поверхностные белки; жир рыбы удерживает терпены</x:v>
      </x:c>
      <x:c r="S33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335" s="28" t="str">
        <x:v>Лайм формирует профиль «цитрусовый, зелёный, травяной, камфорный»; характерные маркеры: лимонен, гамма-терпинен, цитраль, бета-пинен, линалол. Жирная рыба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U335" s="28" t="str">
        <x:v>Избыток кислоты делает вкус плоско-резким; белая часть кожуры даёт лишнюю горечь; слишком долгая маринация ухудшает текстуру.</x:v>
      </x:c>
      <x:c r="V335" s="28" t="str">
        <x:v>кинза или фенхель</x:v>
      </x:c>
      <x:c r="W335" s="28" t="str">
        <x:v>севиче, маринад, beurre blanc, тартар или салат</x:v>
      </x:c>
      <x:c r="X335" s="28" t="str">
        <x:v>еда, соусы/маринады</x:v>
      </x:c>
      <x:c r="Y335" s="28" t="str">
        <x:v>Высокая</x:v>
      </x:c>
      <x:c r="Z335" s="28" t="str">
        <x:v>Тезариус вкусов (Ники Сегнит)(1).pdf</x:v>
      </x:c>
      <x:c r="AA335" s="28" t="str">
        <x:v>Тезариус вкусов (Ники Сегнит)(1).pdf: 413, 794</x:v>
      </x:c>
      <x:c r="AB335" s="28" t="str">
        <x:v>Лайм, как и лимон, отлично нейтрализует маслянистость жирной рыбы, но в отличие от лимона обладает пряным вкусом, что дает ему определенные преимущества, особенно заметные у высших сортов этого фрукта. Просто быстро сожмите разрезанный лайм над рыбой – этого будет достаточно, чтобы оттенить дразнящую сладость жареной макрели или барбекю из сардин. Для того чтобы придать блюду особо интенсивный вкус, разрежьте лаймы пополам и разместите их на гриле разрезом вниз, чтобы они сначала немного карамел</x:v>
      </x:c>
      <x:c r="AC335" s="28" t="n">
        <x:v>1</x:v>
      </x:c>
      <x:c r="AD335" s="28" t="n">
        <x:v>2</x:v>
      </x:c>
    </x:row>
    <x:row r="336" ht="58" customHeight="1">
      <x:c r="A336" s="28" t="str">
        <x:v>CIT-0335</x:v>
      </x:c>
      <x:c r="B336" s="28" t="str">
        <x:v>Универсальные</x:v>
      </x:c>
      <x:c r="C336" s="28" t="str">
        <x:v>лайм</x:v>
      </x:c>
      <x:c r="D336" s="28" t="str">
        <x:v>Лайм | лайм</x:v>
      </x:c>
      <x:c r="E336" s="28" t="str">
        <x:v>Цитрусовые</x:v>
      </x:c>
      <x:c r="F336" s="28" t="str">
        <x:v>зира</x:v>
      </x:c>
      <x:c r="G336" s="28" t="str">
        <x:v>Зира | зира</x:v>
      </x:c>
      <x:c r="H336" s="28" t="str">
        <x:v>Прочее</x:v>
      </x:c>
      <x:c r="I336" s="28" t="str">
        <x:v>цитрусовый, зелёный, травяной, камфорный</x:v>
      </x:c>
      <x:c r="J336" s="28" t="str">
        <x:v>нейтральный/специфический</x:v>
      </x:c>
      <x:c r="K336" s="28" t="str">
        <x:v>лимонен, гамма-терпинен, цитраль, бета-пинен, линалол</x:v>
      </x:c>
      <x:c r="L336" s="28" t="str">
        <x:v>нужен профиль конкретного продукта</x:v>
      </x:c>
      <x:c r="M336" s="28" t="str">
        <x:v>прямое семейное перекрытие не является главным механизмом</x:v>
      </x:c>
      <x:c r="N336" s="28" t="str">
        <x:v>надёжный общий маркер не заявлен; сочетание объясняется семействами и сенсорным балансом</x:v>
      </x:c>
      <x:c r="O336" s="28" t="str">
        <x:v>вкусовой баланс, тройничное восприятие</x:v>
      </x:c>
      <x:c r="P336" s="28" t="str">
        <x:v>Основной эффект определяется ароматическим контрастом и добавлением кислотной свежести; точный баланс зависит от дозировки и матрицы.</x:v>
      </x:c>
      <x:c r="Q336" s="28" t="str">
        <x:v>кислота усиливает слюноотделение; зелёные терпены создают ощущение прохлады; нет данных</x:v>
      </x:c>
      <x:c r="R336" s="28" t="str">
        <x:v>сок — водная кислая фаза; цедра — масляная терпеновая; зависит от формы продукта</x:v>
      </x:c>
      <x:c r="S33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36" s="28" t="str">
        <x:v>Лайм формирует профиль «цитрусовый, зелёный, травяной, камфорный»; характерные маркеры: лимонен, гамма-терпинен, цитраль, бета-пинен, линалол. Зира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36" s="28" t="str">
        <x:v>Избыток кислоты делает вкус плоско-резким; белая часть кожуры даёт лишнюю горечь.</x:v>
      </x:c>
      <x:c r="V336" s="28" t="str">
        <x:v>мёд или нейтральная жировая основа</x:v>
      </x:c>
      <x:c r="W336" s="28" t="str">
        <x:v>соус, напиток или десерт после пробной дегустации</x:v>
      </x:c>
      <x:c r="X336" s="28" t="str">
        <x:v>универсальное</x:v>
      </x:c>
      <x:c r="Y336" s="28" t="str">
        <x:v>Высокая</x:v>
      </x:c>
      <x:c r="Z336" s="28" t="str">
        <x:v>Тезариус вкусов (Ники Сегнит)(1).pdf</x:v>
      </x:c>
      <x:c r="AA336" s="28" t="str">
        <x:v>Тезариус вкусов (Ники Сегнит)(1).pdf: 216, 794</x:v>
      </x:c>
      <x:c r="AB336" s="28" t="str">
        <x:v>Эта парочка ведет ожесточенную борьбу за власть. Дайте им побороться в барбекю из мяса, обжаренной кукурузе или томатной сальсе. Или добавьте к этой паре мяту и используйте их при приготовлении популярного индийского прохладительного напитка джал джира (jal jeera), который делают из молотой обжаренной зиры, толченой мяты, соли, сока лайма и воды.</x:v>
      </x:c>
      <x:c r="AC336" s="28" t="n">
        <x:v>1</x:v>
      </x:c>
      <x:c r="AD336" s="28" t="n">
        <x:v>2</x:v>
      </x:c>
    </x:row>
    <x:row r="337" ht="58" customHeight="1">
      <x:c r="A337" s="28" t="str">
        <x:v>CIT-0336</x:v>
      </x:c>
      <x:c r="B337" s="28" t="str">
        <x:v>Универсальные</x:v>
      </x:c>
      <x:c r="C337" s="28" t="str">
        <x:v>лайм</x:v>
      </x:c>
      <x:c r="D337" s="28" t="str">
        <x:v>Лайм | лайм</x:v>
      </x:c>
      <x:c r="E337" s="28" t="str">
        <x:v>Цитрусовые</x:v>
      </x:c>
      <x:c r="F337" s="28" t="str">
        <x:v>имбирь</x:v>
      </x:c>
      <x:c r="G337" s="28" t="str">
        <x:v>Имбирь | имбирь</x:v>
      </x:c>
      <x:c r="H337" s="28" t="str">
        <x:v>Пряности</x:v>
      </x:c>
      <x:c r="I337" s="28" t="str">
        <x:v>цитрусовый, зелёный, травяной, камфорный</x:v>
      </x:c>
      <x:c r="J337" s="28" t="str">
        <x:v>цитрусовый, пряный, древесный, тёплый</x:v>
      </x:c>
      <x:c r="K337" s="28" t="str">
        <x:v>лимонен, гамма-терпинен, цитраль, бета-пинен, линалол</x:v>
      </x:c>
      <x:c r="L337" s="28" t="str">
        <x:v>зингиберен, цитраль, гераниол, гингеролы/шогаолы</x:v>
      </x:c>
      <x:c r="M337" s="28" t="str">
        <x:v>цитрусовый</x:v>
      </x:c>
      <x:c r="N337" s="28" t="str">
        <x:v>цитраль</x:v>
      </x:c>
      <x:c r="O337" s="28" t="str">
        <x:v>общие ароматические молекулы, перекрытие ароматических семейств, вкусовой баланс, тройничное восприятие</x:v>
      </x:c>
      <x:c r="P337" s="28" t="str">
        <x:v>Кислота усиливает слюноотделение и делает пряный аромат ярче; терпены цитруса образуют мост с эфирными маслами травы или специи.</x:v>
      </x:c>
      <x:c r="Q337" s="28" t="str">
        <x:v>кислота усиливает слюноотделение; зелёные терпены создают ощущение прохлады; гингеролы и шогаолы активируют TRPV1 и дают тепло</x:v>
      </x:c>
      <x:c r="R337" s="28" t="str">
        <x:v>сок — водная кислая фаза; цедра — масляная терпеновая; ароматические терпены лучше извлекаются этанолом и жиром</x:v>
      </x:c>
      <x:c r="S33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37" s="28" t="str">
        <x:v>Лайм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U337" s="28" t="str">
        <x:v>Избыток кислоты делает вкус плоско-резким; белая часть кожуры даёт лишнюю горечь.</x:v>
      </x:c>
      <x:c r="V337" s="28" t="str">
        <x:v>мёд или ваниль</x:v>
      </x:c>
      <x:c r="W337" s="28" t="str">
        <x:v>сироп, кордиал, чатни, маринад или пряный десерт</x:v>
      </x:c>
      <x:c r="X337" s="28" t="str">
        <x:v>напитки, еда, соусы/маринады</x:v>
      </x:c>
      <x:c r="Y337" s="28" t="str">
        <x:v>Высокая</x:v>
      </x:c>
      <x:c r="Z337" s="28" t="str">
        <x:v>Таблица сочетания(1).pdf | Тезариус вкусов (Ники Сегнит)(1).pdf</x:v>
      </x:c>
      <x:c r="AA337" s="28" t="str">
        <x:v>Таблица сочетания(1).pdf: 8, 11 | Тезариус вкусов (Ники Сегнит)(1).pdf: 794, 817</x:v>
      </x:c>
      <x:c r="AB337" s="28" t="str">
        <x:v>«Лягающийся» коктейль «Москов- ский мул» (Moscow Mule) – это водка, лайм и имбирное пиво (наверное, вариант с имбирным элем можно отождествить с хромым ослом). Добавьте к нему несколько капель «Ангостуры» (Angostura) – это привнесет в его кумулятивный удар металлическую горечь. Имбирное пиво имеет полный, теплый, «пасмурный» вкус, а имбирный эль – чистый янтарный цвет и более тонкий вкус, который хорошо сочетается с тем- ным алкоголем, например с ромом и виски (но только с теми, которые пишутся </x:v>
      </x:c>
      <x:c r="AC337" s="28" t="n">
        <x:v>2</x:v>
      </x:c>
      <x:c r="AD337" s="28" t="n">
        <x:v>4</x:v>
      </x:c>
    </x:row>
    <x:row r="338" ht="58" customHeight="1">
      <x:c r="A338" s="28" t="str">
        <x:v>CIT-0337</x:v>
      </x:c>
      <x:c r="B338" s="28" t="str">
        <x:v>Универсальные</x:v>
      </x:c>
      <x:c r="C338" s="28" t="str">
        <x:v>лайм</x:v>
      </x:c>
      <x:c r="D338" s="28" t="str">
        <x:v>Лайм</x:v>
      </x:c>
      <x:c r="E338" s="28" t="str">
        <x:v>Цитрусовые</x:v>
      </x:c>
      <x:c r="F338" s="28" t="str">
        <x:v>инжир</x:v>
      </x:c>
      <x:c r="G338" s="28" t="str">
        <x:v>инжир</x:v>
      </x:c>
      <x:c r="H338" s="28" t="str">
        <x:v>Прочее</x:v>
      </x:c>
      <x:c r="I338" s="28" t="str">
        <x:v>цитрусовый, зелёный, травяной, камфорный</x:v>
      </x:c>
      <x:c r="J338" s="28" t="str">
        <x:v>нейтральный/специфический</x:v>
      </x:c>
      <x:c r="K338" s="28" t="str">
        <x:v>лимонен, гамма-терпинен, цитраль, бета-пинен, линалол</x:v>
      </x:c>
      <x:c r="L338" s="28" t="str">
        <x:v>нужен профиль конкретного продукта</x:v>
      </x:c>
      <x:c r="M338" s="28" t="str">
        <x:v>прямое семейное перекрытие не является главным механизмом</x:v>
      </x:c>
      <x:c r="N338" s="28" t="str">
        <x:v>надёжный общий маркер не заявлен; сочетание объясняется семействами и сенсорным балансом</x:v>
      </x:c>
      <x:c r="O338" s="28" t="str">
        <x:v>вкусовой баланс, тройничное восприятие</x:v>
      </x:c>
      <x:c r="P338" s="28" t="str">
        <x:v>Основной эффект определяется ароматическим контрастом и добавлением кислотной свежести; точный баланс зависит от дозировки и матрицы.</x:v>
      </x:c>
      <x:c r="Q338" s="28" t="str">
        <x:v>кислота усиливает слюноотделение; зелёные терпены создают ощущение прохлады; нет данных</x:v>
      </x:c>
      <x:c r="R338" s="28" t="str">
        <x:v>сок — водная кислая фаза; цедра — масляная терпеновая; зависит от формы продукта</x:v>
      </x:c>
      <x:c r="S33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38" s="28" t="str">
        <x:v>Лайм формирует профиль «цитрусовый, зелёный, травяной, камфорный»; характерные маркеры: лимонен, гамма-терпинен, цитраль, бета-пинен, линалол. Инжир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38" s="28" t="str">
        <x:v>Избыток кислоты делает вкус плоско-резким; белая часть кожуры даёт лишнюю горечь.</x:v>
      </x:c>
      <x:c r="V338" s="28" t="str">
        <x:v>мёд или нейтральная жировая основа</x:v>
      </x:c>
      <x:c r="W338" s="28" t="str">
        <x:v>соус, напиток или десерт после пробной дегустации</x:v>
      </x:c>
      <x:c r="X338" s="28" t="str">
        <x:v>универсальное</x:v>
      </x:c>
      <x:c r="Y338" s="28" t="str">
        <x:v>Гипотеза / практическая</x:v>
      </x:c>
      <x:c r="Z338" s="28" t="str">
        <x:v>Таблица сочетания(1).pdf</x:v>
      </x:c>
      <x:c r="AA338" s="28" t="str">
        <x:v>Таблица сочетания(1).pdf: 11</x:v>
      </x:c>
      <x:c r="AB338" s="28" t="str">
        <x:v>Пара указана в таблице: «Лайм» → колонка «Фрукты».</x:v>
      </x:c>
      <x:c r="AC338" s="28" t="n">
        <x:v>1</x:v>
      </x:c>
      <x:c r="AD338" s="28" t="n">
        <x:v>1</x:v>
      </x:c>
    </x:row>
    <x:row r="339" ht="58" customHeight="1">
      <x:c r="A339" s="28" t="str">
        <x:v>CIT-0338</x:v>
      </x:c>
      <x:c r="B339" s="28" t="str">
        <x:v>Универсальные</x:v>
      </x:c>
      <x:c r="C339" s="28" t="str">
        <x:v>лайм</x:v>
      </x:c>
      <x:c r="D339" s="28" t="str">
        <x:v>лайм</x:v>
      </x:c>
      <x:c r="E339" s="28" t="str">
        <x:v>Цитрусовые</x:v>
      </x:c>
      <x:c r="F339" s="28" t="str">
        <x:v>канталупа</x:v>
      </x:c>
      <x:c r="G339" s="28" t="str">
        <x:v>Канталупа</x:v>
      </x:c>
      <x:c r="H339" s="28" t="str">
        <x:v>Прочее</x:v>
      </x:c>
      <x:c r="I339" s="28" t="str">
        <x:v>цитрусовый, зелёный, травяной, камфорный</x:v>
      </x:c>
      <x:c r="J339" s="28" t="str">
        <x:v>нейтральный/специфический</x:v>
      </x:c>
      <x:c r="K339" s="28" t="str">
        <x:v>лимонен, гамма-терпинен, цитраль, бета-пинен, линалол</x:v>
      </x:c>
      <x:c r="L339" s="28" t="str">
        <x:v>нужен профиль конкретного продукта</x:v>
      </x:c>
      <x:c r="M339" s="28" t="str">
        <x:v>прямое семейное перекрытие не является главным механизмом</x:v>
      </x:c>
      <x:c r="N339" s="28" t="str">
        <x:v>надёжный общий маркер не заявлен; сочетание объясняется семействами и сенсорным балансом</x:v>
      </x:c>
      <x:c r="O339" s="28" t="str">
        <x:v>вкусовой баланс, тройничное восприятие</x:v>
      </x:c>
      <x:c r="P339" s="28" t="str">
        <x:v>Основной эффект определяется ароматическим контрастом и добавлением кислотной свежести; точный баланс зависит от дозировки и матрицы.</x:v>
      </x:c>
      <x:c r="Q339" s="28" t="str">
        <x:v>кислота усиливает слюноотделение; зелёные терпены создают ощущение прохлады; нет данных</x:v>
      </x:c>
      <x:c r="R339" s="28" t="str">
        <x:v>сок — водная кислая фаза; цедра — масляная терпеновая; зависит от формы продукта</x:v>
      </x:c>
      <x:c r="S33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39" s="28" t="str">
        <x:v>Лайм формирует профиль «цитрусовый, зелёный, травяной, камфорный»; характерные маркеры: лимонен, гамма-терпинен, цитраль, бета-пинен, линалол. Канталупа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39" s="28" t="str">
        <x:v>Избыток кислоты делает вкус плоско-резким; белая часть кожуры даёт лишнюю горечь.</x:v>
      </x:c>
      <x:c r="V339" s="28" t="str">
        <x:v>мёд или нейтральная жировая основа</x:v>
      </x:c>
      <x:c r="W339" s="28" t="str">
        <x:v>соус, напиток или десерт после пробной дегустации</x:v>
      </x:c>
      <x:c r="X339" s="28" t="str">
        <x:v>универсальное</x:v>
      </x:c>
      <x:c r="Y339" s="28" t="str">
        <x:v>Гипотеза / практическая</x:v>
      </x:c>
      <x:c r="Z339" s="28" t="str">
        <x:v>Таблица сочетания(1).pdf</x:v>
      </x:c>
      <x:c r="AA339" s="28" t="str">
        <x:v>Таблица сочетания(1).pdf: 3</x:v>
      </x:c>
      <x:c r="AB339" s="28" t="str">
        <x:v>Пара указана в таблице: «Канталупа» → колонка «Фрукты».</x:v>
      </x:c>
      <x:c r="AC339" s="28" t="n">
        <x:v>1</x:v>
      </x:c>
      <x:c r="AD339" s="28" t="n">
        <x:v>1</x:v>
      </x:c>
    </x:row>
    <x:row r="340" ht="58" customHeight="1">
      <x:c r="A340" s="28" t="str">
        <x:v>CIT-0339</x:v>
      </x:c>
      <x:c r="B340" s="28" t="str">
        <x:v>Универсальные</x:v>
      </x:c>
      <x:c r="C340" s="28" t="str">
        <x:v>лайм</x:v>
      </x:c>
      <x:c r="D340" s="28" t="str">
        <x:v>лайм</x:v>
      </x:c>
      <x:c r="E340" s="28" t="str">
        <x:v>Цитрусовые</x:v>
      </x:c>
      <x:c r="F340" s="28" t="str">
        <x:v>карамбола (star fruit)</x:v>
      </x:c>
      <x:c r="G340" s="28" t="str">
        <x:v>Карамбола (star fruit)</x:v>
      </x:c>
      <x:c r="H340" s="28" t="str">
        <x:v>Прочее</x:v>
      </x:c>
      <x:c r="I340" s="28" t="str">
        <x:v>цитрусовый, зелёный, травяной, камфорный</x:v>
      </x:c>
      <x:c r="J340" s="28" t="str">
        <x:v>нейтральный/специфический</x:v>
      </x:c>
      <x:c r="K340" s="28" t="str">
        <x:v>лимонен, гамма-терпинен, цитраль, бета-пинен, линалол</x:v>
      </x:c>
      <x:c r="L340" s="28" t="str">
        <x:v>нужен профиль конкретного продукта</x:v>
      </x:c>
      <x:c r="M340" s="28" t="str">
        <x:v>прямое семейное перекрытие не является главным механизмом</x:v>
      </x:c>
      <x:c r="N340" s="28" t="str">
        <x:v>надёжный общий маркер не заявлен; сочетание объясняется семействами и сенсорным балансом</x:v>
      </x:c>
      <x:c r="O340" s="28" t="str">
        <x:v>вкусовой баланс, тройничное восприятие</x:v>
      </x:c>
      <x:c r="P340" s="28" t="str">
        <x:v>Основной эффект определяется ароматическим контрастом и добавлением кислотной свежести; точный баланс зависит от дозировки и матрицы.</x:v>
      </x:c>
      <x:c r="Q340" s="28" t="str">
        <x:v>кислота усиливает слюноотделение; зелёные терпены создают ощущение прохлады; нет данных</x:v>
      </x:c>
      <x:c r="R340" s="28" t="str">
        <x:v>сок — водная кислая фаза; цедра — масляная терпеновая; зависит от формы продукта</x:v>
      </x:c>
      <x:c r="S34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40" s="28" t="str">
        <x:v>Лайм формирует профиль «цитрусовый, зелёный, травяной, камфорный»; характерные маркеры: лимонен, гамма-терпинен, цитраль, бета-пинен, линалол. Карамбола (star fruit)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40" s="28" t="str">
        <x:v>Избыток кислоты делает вкус плоско-резким; белая часть кожуры даёт лишнюю горечь.</x:v>
      </x:c>
      <x:c r="V340" s="28" t="str">
        <x:v>мёд или нейтральная жировая основа</x:v>
      </x:c>
      <x:c r="W340" s="28" t="str">
        <x:v>соус, напиток или десерт после пробной дегустации</x:v>
      </x:c>
      <x:c r="X340" s="28" t="str">
        <x:v>универсальное</x:v>
      </x:c>
      <x:c r="Y340" s="28" t="str">
        <x:v>Гипотеза / практическая</x:v>
      </x:c>
      <x:c r="Z340" s="28" t="str">
        <x:v>Таблица сочетания(1).pdf</x:v>
      </x:c>
      <x:c r="AA340" s="28" t="str">
        <x:v>Таблица сочетания(1).pdf: 20</x:v>
      </x:c>
      <x:c r="AB340" s="28" t="str">
        <x:v>Пара указана в таблице: «Карамбола (star fruit)» → колонка «Фрукты».</x:v>
      </x:c>
      <x:c r="AC340" s="28" t="n">
        <x:v>1</x:v>
      </x:c>
      <x:c r="AD340" s="28" t="n">
        <x:v>1</x:v>
      </x:c>
    </x:row>
    <x:row r="341" ht="58" customHeight="1">
      <x:c r="A341" s="28" t="str">
        <x:v>CIT-0340</x:v>
      </x:c>
      <x:c r="B341" s="28" t="str">
        <x:v>Универсальные</x:v>
      </x:c>
      <x:c r="C341" s="28" t="str">
        <x:v>лайм</x:v>
      </x:c>
      <x:c r="D341" s="28" t="str">
        <x:v>Лайм | лайм</x:v>
      </x:c>
      <x:c r="E341" s="28" t="str">
        <x:v>Цитрусовые</x:v>
      </x:c>
      <x:c r="F341" s="28" t="str">
        <x:v>кардамон</x:v>
      </x:c>
      <x:c r="G341" s="28" t="str">
        <x:v>Кардамон | кардамон</x:v>
      </x:c>
      <x:c r="H341" s="28" t="str">
        <x:v>Пряности</x:v>
      </x:c>
      <x:c r="I341" s="28" t="str">
        <x:v>цитрусовый, зелёный, травяной, камфорный</x:v>
      </x:c>
      <x:c r="J341" s="28" t="str">
        <x:v>цитрусовый, камфорный, цветочный, эвкалиптовый</x:v>
      </x:c>
      <x:c r="K341" s="28" t="str">
        <x:v>лимонен, гамма-терпинен, цитраль, бета-пинен, линалол</x:v>
      </x:c>
      <x:c r="L341" s="28" t="str">
        <x:v>1,8-цинеол, альфа-терпинилацетат, линалол, лимонен</x:v>
      </x:c>
      <x:c r="M341" s="28" t="str">
        <x:v>камфорный, цитрусовый</x:v>
      </x:c>
      <x:c r="N341" s="28" t="str">
        <x:v>лимонен, линалол</x:v>
      </x:c>
      <x:c r="O341" s="28" t="str">
        <x:v>общие ароматические молекулы, перекрытие ароматических семейств, вкусовой баланс, тройничное восприятие</x:v>
      </x:c>
      <x:c r="P341" s="28" t="str">
        <x:v>Кислота усиливает слюноотделение и делает пряный аромат ярче; терпены цитруса образуют мост с эфирными маслами травы или специи.</x:v>
      </x:c>
      <x:c r="Q341" s="28" t="str">
        <x:v>кислота усиливает слюноотделение; зелёные терпены создают ощущение прохлады; 1,8-цинеол создаёт прохладно-камфорное ощущение</x:v>
      </x:c>
      <x:c r="R341" s="28" t="str">
        <x:v>сок — водная кислая фаза; цедра — масляная терпеновая; эфирные масла гидрофобны, хорошо переходят в жир и спирт</x:v>
      </x:c>
      <x:c r="S34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41" s="28" t="str">
        <x:v>Лайм формирует профиль «цитрусовый, зелёный, травяной, камфорный»; характерные маркеры: лимонен, гамма-терпинен, цитраль, бета-пинен, линалол.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камфорный,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Кардамон часто служит мостом между цитрусом, цветами и древесными нотами.</x:v>
      </x:c>
      <x:c r="U341" s="28" t="str">
        <x:v>Избыток кислоты делает вкус плоско-резким; белая часть кожуры даёт лишнюю горечь.</x:v>
      </x:c>
      <x:c r="V341" s="28" t="str">
        <x:v>мёд или ваниль</x:v>
      </x:c>
      <x:c r="W341" s="28" t="str">
        <x:v>сироп, кордиал, чатни, маринад или пряный десерт</x:v>
      </x:c>
      <x:c r="X341" s="28" t="str">
        <x:v>напитки, еда, соусы/маринады</x:v>
      </x:c>
      <x:c r="Y341" s="28" t="str">
        <x:v>Средняя</x:v>
      </x:c>
      <x:c r="Z341" s="28" t="str">
        <x:v>Таблица сочетания(1).pdf</x:v>
      </x:c>
      <x:c r="AA341" s="28" t="str">
        <x:v>Таблица сочетания(1).pdf: 3, 11</x:v>
      </x:c>
      <x:c r="AB341" s="28" t="str">
        <x:v>Пара указана в таблице: «Лайм» → колонка «Травы и специи».</x:v>
      </x:c>
      <x:c r="AC341" s="28" t="n">
        <x:v>1</x:v>
      </x:c>
      <x:c r="AD341" s="28" t="n">
        <x:v>2</x:v>
      </x:c>
    </x:row>
    <x:row r="342" ht="58" customHeight="1">
      <x:c r="A342" s="28" t="str">
        <x:v>CIT-0341</x:v>
      </x:c>
      <x:c r="B342" s="28" t="str">
        <x:v>Напитки</x:v>
      </x:c>
      <x:c r="C342" s="28" t="str">
        <x:v>лайм</x:v>
      </x:c>
      <x:c r="D342" s="28" t="str">
        <x:v>lime</x:v>
      </x:c>
      <x:c r="E342" s="28" t="str">
        <x:v>Цитрусовые</x:v>
      </x:c>
      <x:c r="F342" s="28" t="str">
        <x:v>кашаса</x:v>
      </x:c>
      <x:c r="G342" s="28" t="str">
        <x:v>cachaça</x:v>
      </x:c>
      <x:c r="H342" s="28" t="str">
        <x:v>Алкогольные напитки</x:v>
      </x:c>
      <x:c r="I342" s="28" t="str">
        <x:v>цитрусовый, зелёный, травяной, камфорный</x:v>
      </x:c>
      <x:c r="J342" s="28" t="str">
        <x:v>зависит от основы, эфирный, древесный/пряный</x:v>
      </x:c>
      <x:c r="K342" s="28" t="str">
        <x:v>лимонен, гамма-терпинен, цитраль, бета-пинен, линалол</x:v>
      </x:c>
      <x:c r="L342" s="28" t="str">
        <x:v>этанол, эфиры, терпены/дубовые соединения</x:v>
      </x:c>
      <x:c r="M342" s="28" t="str">
        <x:v>прямое семейное перекрытие не является главным механизмом</x:v>
      </x:c>
      <x:c r="N342" s="28" t="str">
        <x:v>надёжный общий маркер не заявлен; сочетание объясняется семействами и сенсорным балансом</x:v>
      </x:c>
      <x:c r="O342" s="28" t="str">
        <x:v>вкусовой баланс, тройничное восприятие, влияние матрицы/растворимости</x:v>
      </x:c>
      <x:c r="P342" s="28" t="str">
        <x:v>Этанол усиливает летучесть терпенов и ощущение тепла; сахар и вода регулируют кислотность, горечь кожуры и спиртуозность.</x:v>
      </x:c>
      <x:c r="Q342" s="28" t="str">
        <x:v>кислота усиливает слюноотделение; зелёные терпены создают ощущение прохлады; этанол усиливает тепло и летучесть аромата</x:v>
      </x:c>
      <x:c r="R342" s="28" t="str">
        <x:v>сок — водная кислая фаза; цедра — масляная терпеновая; этанол — хороший растворитель гидрофобных эфирных масел</x:v>
      </x:c>
      <x:c r="S342"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342" s="28" t="str">
        <x:v>Лайм формирует профиль «цитрусовый, зелёный, травяной, камфорный»; характерные маркеры: лимонен, гамма-терпинен, цитраль, бета-пинен, линалол. Кашаса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Лаймовые цитрусы дают более зелёный и камфорный профиль, чем сладкий апельсин. Спирт извлекает цедру и усиливает ретроназальный выход терпенов; сахар и разбавление меняют баланс.</x:v>
      </x:c>
      <x:c r="U342" s="28" t="str">
        <x:v>Избыток кислоты делает вкус плоско-резким; белая часть кожуры даёт лишнюю горечь.</x:v>
      </x:c>
      <x:c r="V342" s="28" t="str">
        <x:v>сахарный сироп или биттер</x:v>
      </x:c>
      <x:c r="W342" s="28" t="str">
        <x:v>коктейль, спритц, настойка, ликёр или кордиал</x:v>
      </x:c>
      <x:c r="X342" s="28" t="str">
        <x:v>напитки</x:v>
      </x:c>
      <x:c r="Y342" s="28" t="str">
        <x:v>Средняя</x:v>
      </x:c>
      <x:c r="Z342" s="28" t="str">
        <x:v>The Art &amp; Science of Foodpairing.pdf</x:v>
      </x:c>
      <x:c r="AA342" s="28" t="str">
        <x:v>The Art &amp; Science of Foodpairing.pdf: 87</x:v>
      </x:c>
      <x:c r="AB342" s="28" t="str">
        <x:v>Пара представлена в ароматической диаграмме Foodpairing на странице 87.</x:v>
      </x:c>
      <x:c r="AC342" s="28" t="n">
        <x:v>1</x:v>
      </x:c>
      <x:c r="AD342" s="28" t="n">
        <x:v>1</x:v>
      </x:c>
    </x:row>
    <x:row r="343" ht="58" customHeight="1">
      <x:c r="A343" s="28" t="str">
        <x:v>CIT-0342</x:v>
      </x:c>
      <x:c r="B343" s="28" t="str">
        <x:v>Универсальные</x:v>
      </x:c>
      <x:c r="C343" s="28" t="str">
        <x:v>лайм</x:v>
      </x:c>
      <x:c r="D343" s="28" t="str">
        <x:v>лайм</x:v>
      </x:c>
      <x:c r="E343" s="28" t="str">
        <x:v>Цитрусовые</x:v>
      </x:c>
      <x:c r="F343" s="28" t="str">
        <x:v>клюква</x:v>
      </x:c>
      <x:c r="G343" s="28" t="str">
        <x:v>Клюква</x:v>
      </x:c>
      <x:c r="H343" s="28" t="str">
        <x:v>Прочее</x:v>
      </x:c>
      <x:c r="I343" s="28" t="str">
        <x:v>цитрусовый, зелёный, травяной, камфорный</x:v>
      </x:c>
      <x:c r="J343" s="28" t="str">
        <x:v>нейтральный/специфический</x:v>
      </x:c>
      <x:c r="K343" s="28" t="str">
        <x:v>лимонен, гамма-терпинен, цитраль, бета-пинен, линалол</x:v>
      </x:c>
      <x:c r="L343" s="28" t="str">
        <x:v>нужен профиль конкретного продукта</x:v>
      </x:c>
      <x:c r="M343" s="28" t="str">
        <x:v>прямое семейное перекрытие не является главным механизмом</x:v>
      </x:c>
      <x:c r="N343" s="28" t="str">
        <x:v>надёжный общий маркер не заявлен; сочетание объясняется семействами и сенсорным балансом</x:v>
      </x:c>
      <x:c r="O343" s="28" t="str">
        <x:v>вкусовой баланс, тройничное восприятие</x:v>
      </x:c>
      <x:c r="P343" s="28" t="str">
        <x:v>Основной эффект определяется ароматическим контрастом и добавлением кислотной свежести; точный баланс зависит от дозировки и матрицы.</x:v>
      </x:c>
      <x:c r="Q343" s="28" t="str">
        <x:v>кислота усиливает слюноотделение; зелёные терпены создают ощущение прохлады; нет данных</x:v>
      </x:c>
      <x:c r="R343" s="28" t="str">
        <x:v>сок — водная кислая фаза; цедра — масляная терпеновая; зависит от формы продукта</x:v>
      </x:c>
      <x:c r="S34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43" s="28" t="str">
        <x:v>Лайм формирует профиль «цитрусовый, зелёный, травяной, камфорный»; характерные маркеры: лимонен, гамма-терпинен, цитраль, бета-пинен, линалол. Клюква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43" s="28" t="str">
        <x:v>Избыток кислоты делает вкус плоско-резким; белая часть кожуры даёт лишнюю горечь.</x:v>
      </x:c>
      <x:c r="V343" s="28" t="str">
        <x:v>мёд или нейтральная жировая основа</x:v>
      </x:c>
      <x:c r="W343" s="28" t="str">
        <x:v>соус, напиток или десерт после пробной дегустации</x:v>
      </x:c>
      <x:c r="X343" s="28" t="str">
        <x:v>универсальное</x:v>
      </x:c>
      <x:c r="Y343" s="28" t="str">
        <x:v>Гипотеза / практическая</x:v>
      </x:c>
      <x:c r="Z343" s="28" t="str">
        <x:v>Таблица сочетания(1).pdf</x:v>
      </x:c>
      <x:c r="AA343" s="28" t="str">
        <x:v>Таблица сочетания(1).pdf: 6</x:v>
      </x:c>
      <x:c r="AB343" s="28" t="str">
        <x:v>Пара указана в таблице: «Клюква» → колонка «Фрукты».</x:v>
      </x:c>
      <x:c r="AC343" s="28" t="n">
        <x:v>1</x:v>
      </x:c>
      <x:c r="AD343" s="28" t="n">
        <x:v>1</x:v>
      </x:c>
    </x:row>
    <x:row r="344" ht="58" customHeight="1">
      <x:c r="A344" s="28" t="str">
        <x:v>CIT-0343</x:v>
      </x:c>
      <x:c r="B344" s="28" t="str">
        <x:v>Десерты и выпечка</x:v>
      </x:c>
      <x:c r="C344" s="28" t="str">
        <x:v>лайм</x:v>
      </x:c>
      <x:c r="D344" s="28" t="str">
        <x:v>Лайм | лайм</x:v>
      </x:c>
      <x:c r="E344" s="28" t="str">
        <x:v>Цитрусовые</x:v>
      </x:c>
      <x:c r="F344" s="28" t="str">
        <x:v>кокос</x:v>
      </x:c>
      <x:c r="G344" s="28" t="str">
        <x:v>Кокос | кокос</x:v>
      </x:c>
      <x:c r="H344" s="28" t="str">
        <x:v>Тропические плоды</x:v>
      </x:c>
      <x:c r="I344" s="28" t="str">
        <x:v>цитрусовый, зелёный, травяной, камфорный</x:v>
      </x:c>
      <x:c r="J344" s="28" t="str">
        <x:v>сливочный, кокосовый, восковой, ореховый</x:v>
      </x:c>
      <x:c r="K344" s="28" t="str">
        <x:v>лимонен, гамма-терпинен, цитраль, бета-пинен, линалол</x:v>
      </x:c>
      <x:c r="L344" s="28" t="str">
        <x:v>гамма-ноналактон, дельта-декалактон, жирные кислоты</x:v>
      </x:c>
      <x:c r="M344" s="28" t="str">
        <x:v>прямое семейное перекрытие не является главным механизмом</x:v>
      </x:c>
      <x:c r="N344" s="28" t="str">
        <x:v>надёжный общий маркер не заявлен; сочетание объясняется семействами и сенсорным балансом</x:v>
      </x:c>
      <x:c r="O344" s="28" t="str">
        <x:v>вкусовой баланс</x:v>
      </x:c>
      <x:c r="P344" s="28" t="str">
        <x:v>Общая фруктовая сладость и летучие эфиры создают непрерывный ароматический профиль, а цитрусовая кислота повышает контраст и свежесть.</x:v>
      </x:c>
      <x:c r="Q344" s="28" t="str">
        <x:v>кислота усиливает слюноотделение; зелёные терпены создают ощущение прохлады; нет выраженного</x:v>
      </x:c>
      <x:c r="R344" s="28" t="str">
        <x:v>сок — водная кислая фаза; цедра — масляная терпеновая; жирная эмульсионная матрица хорошо удерживает терпены</x:v>
      </x:c>
      <x:c r="S34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44" s="28" t="str">
        <x:v>Лайм формирует профиль «цитрусовый, зелёный, травяной, камфорный»; характерные маркеры: лимонен, гамма-терпинен, цитраль, бета-пинен, линалол. Кокос относится к группе «тропические плоды» и даёт ноты «сливочный, кокосовый, восковой, ореховый».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Кокос округляет кислотность и продлевает цитрусовый аромат.</x:v>
      </x:c>
      <x:c r="U344" s="28" t="str">
        <x:v>Избыток кислоты делает вкус плоско-резким; белая часть кожуры даёт лишнюю горечь.</x:v>
      </x:c>
      <x:c r="V344" s="28" t="str">
        <x:v>имбирь или мята</x:v>
      </x:c>
      <x:c r="W344" s="28" t="str">
        <x:v>коктейль, крем, сорбет или соус</x:v>
      </x:c>
      <x:c r="X344" s="28" t="str">
        <x:v>напитки, десерты</x:v>
      </x:c>
      <x:c r="Y344" s="28" t="str">
        <x:v>Высокая</x:v>
      </x:c>
      <x:c r="Z344" s="28" t="str">
        <x:v>Тезариус вкусов (Ники Сегнит)(1).pdf</x:v>
      </x:c>
      <x:c r="AA344" s="28" t="str">
        <x:v>Тезариус вкусов (Ники Сегнит)(1).pdf: 757, 794</x:v>
      </x:c>
      <x:c r="AB344" s="28" t="str">
        <x:v>На фоне тропической сонливости ко- коса лайм призван давать тонкий намек на то, что пора бы уже вылезти из гамака и как-то напрячься. Так, глазурь из лайма на кокосовом торте нужна для того, чтобы своей острой резкостью оттенить сонную сладость. Натрите свежий кокос, выжмите сок из лайма – и можете сделать ананас слаще и сочнее. Эту процедуру можно проделать и с рыбой, причем как с приготовленной, так и со свежей – недаром такая пара встречается в популярном севиче (ceviche; см. Лайм и белая рыб</x:v>
      </x:c>
      <x:c r="AC344" s="28" t="n">
        <x:v>1</x:v>
      </x:c>
      <x:c r="AD344" s="28" t="n">
        <x:v>2</x:v>
      </x:c>
    </x:row>
    <x:row r="345" ht="58" customHeight="1">
      <x:c r="A345" s="28" t="str">
        <x:v>CIT-0344</x:v>
      </x:c>
      <x:c r="B345" s="28" t="str">
        <x:v>Универсальные</x:v>
      </x:c>
      <x:c r="C345" s="28" t="str">
        <x:v>лайм</x:v>
      </x:c>
      <x:c r="D345" s="28" t="str">
        <x:v>лайм</x:v>
      </x:c>
      <x:c r="E345" s="28" t="str">
        <x:v>Цитрусовые</x:v>
      </x:c>
      <x:c r="F345" s="28" t="str">
        <x:v>кориандр</x:v>
      </x:c>
      <x:c r="G345" s="28" t="str">
        <x:v>Кориандр</x:v>
      </x:c>
      <x:c r="H345" s="28" t="str">
        <x:v>Травы/пряности</x:v>
      </x:c>
      <x:c r="I345" s="28" t="str">
        <x:v>цитрусовый, зелёный, травяной, камфорный</x:v>
      </x:c>
      <x:c r="J345" s="28" t="str">
        <x:v>цитрусовый, зелёный, цветочный</x:v>
      </x:c>
      <x:c r="K345" s="28" t="str">
        <x:v>лимонен, гамма-терпинен, цитраль, бета-пинен, линалол</x:v>
      </x:c>
      <x:c r="L345" s="28" t="str">
        <x:v>линалол, деканаль, додеканаль</x:v>
      </x:c>
      <x:c r="M345" s="28" t="str">
        <x:v>зелёный, цитрусовый</x:v>
      </x:c>
      <x:c r="N345" s="28" t="str">
        <x:v>линалол</x:v>
      </x:c>
      <x:c r="O345" s="28" t="str">
        <x:v>общие ароматические молекулы, перекрытие ароматических семейств, вкусовой баланс</x:v>
      </x:c>
      <x:c r="P345" s="28" t="str">
        <x:v>Кислота усиливает слюноотделение и делает пряный аромат ярче; терпены цитруса образуют мост с эфирными маслами травы или специи.</x:v>
      </x:c>
      <x:c r="Q345" s="28" t="str">
        <x:v>кислота усиливает слюноотделение; зелёные терпены создают ощущение прохлады; нет выраженного</x:v>
      </x:c>
      <x:c r="R345" s="28" t="str">
        <x:v>сок — водная кислая фаза; цедра — масляная терпеновая; листья чувствительны к нагреву; семена устойчивее и слаще</x:v>
      </x:c>
      <x:c r="S34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45" s="28" t="str">
        <x:v>Лайм формирует профиль «цитрусовый, зелёный, травяной, камфорный»; характерные маркеры: лимонен, гамма-терпинен, цитраль, бета-пинен, линалол. Кориандр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U345" s="28" t="str">
        <x:v>Избыток кислоты делает вкус плоско-резким; белая часть кожуры даёт лишнюю горечь; цитрус легко подавляет деликатный аромат партнёра.</x:v>
      </x:c>
      <x:c r="V345" s="28" t="str">
        <x:v>мёд или зелёная трава</x:v>
      </x:c>
      <x:c r="W345" s="28" t="str">
        <x:v>лимонад, кордиал, маринад или пряный соус</x:v>
      </x:c>
      <x:c r="X345" s="28" t="str">
        <x:v>напитки, еда, соусы/маринады</x:v>
      </x:c>
      <x:c r="Y345" s="28" t="str">
        <x:v>Средняя</x:v>
      </x:c>
      <x:c r="Z345" s="28" t="str">
        <x:v>Таблица сочетания(1).pdf</x:v>
      </x:c>
      <x:c r="AA345" s="28" t="str">
        <x:v>Таблица сочетания(1).pdf: 6</x:v>
      </x:c>
      <x:c r="AB345" s="28" t="str">
        <x:v>Пара указана в таблице: «Кориандр» → колонка «Фрукты».</x:v>
      </x:c>
      <x:c r="AC345" s="28" t="n">
        <x:v>1</x:v>
      </x:c>
      <x:c r="AD345" s="28" t="n">
        <x:v>1</x:v>
      </x:c>
    </x:row>
    <x:row r="346" ht="58" customHeight="1">
      <x:c r="A346" s="28" t="str">
        <x:v>CIT-0345</x:v>
      </x:c>
      <x:c r="B346" s="28" t="str">
        <x:v>Универсальные</x:v>
      </x:c>
      <x:c r="C346" s="28" t="str">
        <x:v>лайм</x:v>
      </x:c>
      <x:c r="D346" s="28" t="str">
        <x:v>Лайм | лайм</x:v>
      </x:c>
      <x:c r="E346" s="28" t="str">
        <x:v>Цитрусовые</x:v>
      </x:c>
      <x:c r="F346" s="28" t="str">
        <x:v>корица</x:v>
      </x:c>
      <x:c r="G346" s="28" t="str">
        <x:v>Корица | корица</x:v>
      </x:c>
      <x:c r="H346" s="28" t="str">
        <x:v>Пряности</x:v>
      </x:c>
      <x:c r="I346" s="28" t="str">
        <x:v>цитрусовый, зелёный, травяной, камфорный</x:v>
      </x:c>
      <x:c r="J346" s="28" t="str">
        <x:v>сладко-пряный, древесный, тёплый</x:v>
      </x:c>
      <x:c r="K346" s="28" t="str">
        <x:v>лимонен, гамма-терпинен, цитраль, бета-пинен, линалол</x:v>
      </x:c>
      <x:c r="L346" s="28" t="str">
        <x:v>коричный альдегид, эвгенол, кумарин</x:v>
      </x:c>
      <x:c r="M346" s="28" t="str">
        <x:v>прямое семейное перекрытие не является главным механизмом</x:v>
      </x:c>
      <x:c r="N346" s="28" t="str">
        <x:v>надёжный общий маркер не заявлен; сочетание объясняется семействами и сенсорным балансом</x:v>
      </x:c>
      <x:c r="O346" s="28" t="str">
        <x:v>вкусовой баланс, тройничное восприятие</x:v>
      </x:c>
      <x:c r="P346" s="28" t="str">
        <x:v>Кислота усиливает слюноотделение и делает пряный аромат ярче; терпены цитруса образуют мост с эфирными маслами травы или специи.</x:v>
      </x:c>
      <x:c r="Q346" s="28" t="str">
        <x:v>кислота усиливает слюноотделение; зелёные терпены создают ощущение прохлады; коричный альдегид активирует TRPA1 и создаёт тепло</x:v>
      </x:c>
      <x:c r="R346" s="28" t="str">
        <x:v>сок — водная кислая фаза; цедра — масляная терпеновая; лучше раскрывается в жире, сахаре и спирте</x:v>
      </x:c>
      <x:c r="S34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46" s="28" t="str">
        <x:v>Лайм формирует профиль «цитрусовый, зелёный, травяной, камфорный»; характерные маркеры: лимонен, гамма-терпинен, цитраль, бета-пинен,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Корица добавляет тёплый низкий регистр и усиливает впечатление сладости.</x:v>
      </x:c>
      <x:c r="U346" s="28" t="str">
        <x:v>Избыток кислоты делает вкус плоско-резким; белая часть кожуры даёт лишнюю горечь.</x:v>
      </x:c>
      <x:c r="V346" s="28" t="str">
        <x:v>мёд или ваниль</x:v>
      </x:c>
      <x:c r="W346" s="28" t="str">
        <x:v>сироп, кордиал, чатни, маринад или пряный десерт</x:v>
      </x:c>
      <x:c r="X346" s="28" t="str">
        <x:v>напитки, еда, соусы/маринады</x:v>
      </x:c>
      <x:c r="Y346" s="28" t="str">
        <x:v>Высокая</x:v>
      </x:c>
      <x:c r="Z346" s="28" t="str">
        <x:v>Таблица сочетания(1).pdf | Тезариус вкусов (Ники Сегнит)(1).pdf</x:v>
      </x:c>
      <x:c r="AA346" s="28" t="str">
        <x:v>Таблица сочетания(1).pdf: 5, 11 | Тезариус вкусов (Ники Сегнит)(1).pdf: 577, 795</x:v>
      </x:c>
      <x:c r="AB346" s="28" t="str">
        <x:v>Основы вкуса колы. Правда, в на- питке корица заменена кассией, близкой к корице пряностью, которая обладает более жестким и ярко выраженным вкусом, но он хорошо сочетается с собственными вкусовыми качествами «драчливого» лайма. К другим типичным ингредиентам вкуса колы относятся ваниль, карамель, мускатный орех, апельсин, лимон, кориандр и экстракт листьев коки. Я совмещаю лайм и корицу в сорбе. Сделайте простой сироп, аккуратно нагрев 200 г ванильного сахара и несколько палочек кассии (или кор</x:v>
      </x:c>
      <x:c r="AC346" s="28" t="n">
        <x:v>2</x:v>
      </x:c>
      <x:c r="AD346" s="28" t="n">
        <x:v>4</x:v>
      </x:c>
    </x:row>
    <x:row r="347" ht="58" customHeight="1">
      <x:c r="A347" s="28" t="str">
        <x:v>CIT-0346</x:v>
      </x:c>
      <x:c r="B347" s="28" t="str">
        <x:v>Универсальные</x:v>
      </x:c>
      <x:c r="C347" s="28" t="str">
        <x:v>лайм</x:v>
      </x:c>
      <x:c r="D347" s="28" t="str">
        <x:v>лайм</x:v>
      </x:c>
      <x:c r="E347" s="28" t="str">
        <x:v>Цитрусовые</x:v>
      </x:c>
      <x:c r="F347" s="28" t="str">
        <x:v>крыжовник</x:v>
      </x:c>
      <x:c r="G347" s="28" t="str">
        <x:v>Крыжовник</x:v>
      </x:c>
      <x:c r="H347" s="28" t="str">
        <x:v>Прочее</x:v>
      </x:c>
      <x:c r="I347" s="28" t="str">
        <x:v>цитрусовый, зелёный, травяной, камфорный</x:v>
      </x:c>
      <x:c r="J347" s="28" t="str">
        <x:v>нейтральный/специфический</x:v>
      </x:c>
      <x:c r="K347" s="28" t="str">
        <x:v>лимонен, гамма-терпинен, цитраль, бета-пинен, линалол</x:v>
      </x:c>
      <x:c r="L347" s="28" t="str">
        <x:v>нужен профиль конкретного продукта</x:v>
      </x:c>
      <x:c r="M347" s="28" t="str">
        <x:v>прямое семейное перекрытие не является главным механизмом</x:v>
      </x:c>
      <x:c r="N347" s="28" t="str">
        <x:v>надёжный общий маркер не заявлен; сочетание объясняется семействами и сенсорным балансом</x:v>
      </x:c>
      <x:c r="O347" s="28" t="str">
        <x:v>вкусовой баланс, тройничное восприятие</x:v>
      </x:c>
      <x:c r="P347" s="28" t="str">
        <x:v>Основной эффект определяется ароматическим контрастом и добавлением кислотной свежести; точный баланс зависит от дозировки и матрицы.</x:v>
      </x:c>
      <x:c r="Q347" s="28" t="str">
        <x:v>кислота усиливает слюноотделение; зелёные терпены создают ощущение прохлады; нет данных</x:v>
      </x:c>
      <x:c r="R347" s="28" t="str">
        <x:v>сок — водная кислая фаза; цедра — масляная терпеновая; зависит от формы продукта</x:v>
      </x:c>
      <x:c r="S34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47" s="28" t="str">
        <x:v>Лайм формирует профиль «цитрусовый, зелёный, травяной, камфорный»; характерные маркеры: лимонен, гамма-терпинен, цитраль, бета-пинен, линалол. Крыжовник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47" s="28" t="str">
        <x:v>Избыток кислоты делает вкус плоско-резким; белая часть кожуры даёт лишнюю горечь.</x:v>
      </x:c>
      <x:c r="V347" s="28" t="str">
        <x:v>мёд или нейтральная жировая основа</x:v>
      </x:c>
      <x:c r="W347" s="28" t="str">
        <x:v>соус, напиток или десерт после пробной дегустации</x:v>
      </x:c>
      <x:c r="X347" s="28" t="str">
        <x:v>универсальное</x:v>
      </x:c>
      <x:c r="Y347" s="28" t="str">
        <x:v>Гипотеза / практическая</x:v>
      </x:c>
      <x:c r="Z347" s="28" t="str">
        <x:v>Таблица сочетания(1).pdf</x:v>
      </x:c>
      <x:c r="AA347" s="28" t="str">
        <x:v>Таблица сочетания(1).pdf: 8</x:v>
      </x:c>
      <x:c r="AB347" s="28" t="str">
        <x:v>Пара указана в таблице: «Крыжовник» → колонка «Фрукты».</x:v>
      </x:c>
      <x:c r="AC347" s="28" t="n">
        <x:v>1</x:v>
      </x:c>
      <x:c r="AD347" s="28" t="n">
        <x:v>1</x:v>
      </x:c>
    </x:row>
    <x:row r="348" ht="58" customHeight="1">
      <x:c r="A348" s="28" t="str">
        <x:v>CIT-0347</x:v>
      </x:c>
      <x:c r="B348" s="28" t="str">
        <x:v>Универсальные</x:v>
      </x:c>
      <x:c r="C348" s="28" t="str">
        <x:v>лайм</x:v>
      </x:c>
      <x:c r="D348" s="28" t="str">
        <x:v>лайм</x:v>
      </x:c>
      <x:c r="E348" s="28" t="str">
        <x:v>Цитрусовые</x:v>
      </x:c>
      <x:c r="F348" s="28" t="str">
        <x:v>лавровый лист</x:v>
      </x:c>
      <x:c r="G348" s="28" t="str">
        <x:v>Лавровый лист</x:v>
      </x:c>
      <x:c r="H348" s="28" t="str">
        <x:v>Прочее</x:v>
      </x:c>
      <x:c r="I348" s="28" t="str">
        <x:v>цитрусовый, зелёный, травяной, камфорный</x:v>
      </x:c>
      <x:c r="J348" s="28" t="str">
        <x:v>нейтральный/специфический</x:v>
      </x:c>
      <x:c r="K348" s="28" t="str">
        <x:v>лимонен, гамма-терпинен, цитраль, бета-пинен, линалол</x:v>
      </x:c>
      <x:c r="L348" s="28" t="str">
        <x:v>нужен профиль конкретного продукта</x:v>
      </x:c>
      <x:c r="M348" s="28" t="str">
        <x:v>прямое семейное перекрытие не является главным механизмом</x:v>
      </x:c>
      <x:c r="N348" s="28" t="str">
        <x:v>надёжный общий маркер не заявлен; сочетание объясняется семействами и сенсорным балансом</x:v>
      </x:c>
      <x:c r="O348" s="28" t="str">
        <x:v>вкусовой баланс, тройничное восприятие</x:v>
      </x:c>
      <x:c r="P348" s="28" t="str">
        <x:v>Основной эффект определяется ароматическим контрастом и добавлением кислотной свежести; точный баланс зависит от дозировки и матрицы.</x:v>
      </x:c>
      <x:c r="Q348" s="28" t="str">
        <x:v>кислота усиливает слюноотделение; зелёные терпены создают ощущение прохлады; нет данных</x:v>
      </x:c>
      <x:c r="R348" s="28" t="str">
        <x:v>сок — водная кислая фаза; цедра — масляная терпеновая; зависит от формы продукта</x:v>
      </x:c>
      <x:c r="S34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48" s="28" t="str">
        <x:v>Лайм формирует профиль «цитрусовый, зелёный, травяной, камфорный»; характерные маркеры: лимонен, гамма-терпинен, цитраль, бета-пинен, линалол. Лавровый лист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48" s="28" t="str">
        <x:v>Избыток кислоты делает вкус плоско-резким; белая часть кожуры даёт лишнюю горечь.</x:v>
      </x:c>
      <x:c r="V348" s="28" t="str">
        <x:v>мёд или нейтральная жировая основа</x:v>
      </x:c>
      <x:c r="W348" s="28" t="str">
        <x:v>соус, напиток или десерт после пробной дегустации</x:v>
      </x:c>
      <x:c r="X348" s="28" t="str">
        <x:v>универсальное</x:v>
      </x:c>
      <x:c r="Y348" s="28" t="str">
        <x:v>Гипотеза / практическая</x:v>
      </x:c>
      <x:c r="Z348" s="28" t="str">
        <x:v>Таблица сочетания(1).pdf</x:v>
      </x:c>
      <x:c r="AA348" s="28" t="str">
        <x:v>Таблица сочетания(1).pdf: 2</x:v>
      </x:c>
      <x:c r="AB348" s="28" t="str">
        <x:v>Пара указана в таблице: «Лавровый лист» → колонка «Фрукты».</x:v>
      </x:c>
      <x:c r="AC348" s="28" t="n">
        <x:v>1</x:v>
      </x:c>
      <x:c r="AD348" s="28" t="n">
        <x:v>1</x:v>
      </x:c>
    </x:row>
    <x:row r="349" ht="58" customHeight="1">
      <x:c r="A349" s="28" t="str">
        <x:v>CIT-0348</x:v>
      </x:c>
      <x:c r="B349" s="28" t="str">
        <x:v>Напитки</x:v>
      </x:c>
      <x:c r="C349" s="28" t="str">
        <x:v>лайм</x:v>
      </x:c>
      <x:c r="D349" s="28" t="str">
        <x:v>lime</x:v>
      </x:c>
      <x:c r="E349" s="28" t="str">
        <x:v>Цитрусовые</x:v>
      </x:c>
      <x:c r="F349" s="28" t="str">
        <x:v>ликёр</x:v>
      </x:c>
      <x:c r="G349" s="28" t="str">
        <x:v>liqueur</x:v>
      </x:c>
      <x:c r="H349" s="28" t="str">
        <x:v>Алкогольные напитки</x:v>
      </x:c>
      <x:c r="I349" s="28" t="str">
        <x:v>цитрусовый, зелёный, травяной, камфорный</x:v>
      </x:c>
      <x:c r="J349" s="28" t="str">
        <x:v>зависит от основы, эфирный, древесный/пряный</x:v>
      </x:c>
      <x:c r="K349" s="28" t="str">
        <x:v>лимонен, гамма-терпинен, цитраль, бета-пинен, линалол</x:v>
      </x:c>
      <x:c r="L349" s="28" t="str">
        <x:v>этанол, эфиры, терпены/дубовые соединения</x:v>
      </x:c>
      <x:c r="M349" s="28" t="str">
        <x:v>прямое семейное перекрытие не является главным механизмом</x:v>
      </x:c>
      <x:c r="N349" s="28" t="str">
        <x:v>надёжный общий маркер не заявлен; сочетание объясняется семействами и сенсорным балансом</x:v>
      </x:c>
      <x:c r="O349" s="28" t="str">
        <x:v>вкусовой баланс, тройничное восприятие, влияние матрицы/растворимости</x:v>
      </x:c>
      <x:c r="P349" s="28" t="str">
        <x:v>Этанол усиливает летучесть терпенов и ощущение тепла; сахар и вода регулируют кислотность, горечь кожуры и спиртуозность.</x:v>
      </x:c>
      <x:c r="Q349" s="28" t="str">
        <x:v>кислота усиливает слюноотделение; зелёные терпены создают ощущение прохлады; этанол усиливает тепло и летучесть аромата</x:v>
      </x:c>
      <x:c r="R349" s="28" t="str">
        <x:v>сок — водная кислая фаза; цедра — масляная терпеновая; этанол — хороший растворитель гидрофобных эфирных масел</x:v>
      </x:c>
      <x:c r="S349"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349" s="28" t="str">
        <x:v>Лайм формирует профиль «цитрусовый, зелёный, травяной, камфорный»; характерные маркеры: лимонен, гамма-терпинен, цитраль, бета-пинен, линалол. Ликёр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Лаймовые цитрусы дают более зелёный и камфорный профиль, чем сладкий апельсин. Спирт извлекает цедру и усиливает ретроназальный выход терпенов; сахар и разбавление меняют баланс.</x:v>
      </x:c>
      <x:c r="U349" s="28" t="str">
        <x:v>Избыток кислоты делает вкус плоско-резким; белая часть кожуры даёт лишнюю горечь.</x:v>
      </x:c>
      <x:c r="V349" s="28" t="str">
        <x:v>сахарный сироп или биттер</x:v>
      </x:c>
      <x:c r="W349" s="28" t="str">
        <x:v>коктейль, спритц, настойка, ликёр или кордиал</x:v>
      </x:c>
      <x:c r="X349" s="28" t="str">
        <x:v>напитки</x:v>
      </x:c>
      <x:c r="Y349" s="28" t="str">
        <x:v>Средняя</x:v>
      </x:c>
      <x:c r="Z349" s="28" t="str">
        <x:v>The Art &amp; Science of Foodpairing.pdf</x:v>
      </x:c>
      <x:c r="AA349" s="28" t="str">
        <x:v>The Art &amp; Science of Foodpairing.pdf: 123</x:v>
      </x:c>
      <x:c r="AB349" s="28" t="str">
        <x:v>Пара представлена в ароматической диаграмме Foodpairing на странице 123.</x:v>
      </x:c>
      <x:c r="AC349" s="28" t="n">
        <x:v>1</x:v>
      </x:c>
      <x:c r="AD349" s="28" t="n">
        <x:v>1</x:v>
      </x:c>
    </x:row>
    <x:row r="350" ht="58" customHeight="1">
      <x:c r="A350" s="28" t="str">
        <x:v>CIT-0349</x:v>
      </x:c>
      <x:c r="B350" s="28" t="str">
        <x:v>Универсальные</x:v>
      </x:c>
      <x:c r="C350" s="28" t="str">
        <x:v>лайм</x:v>
      </x:c>
      <x:c r="D350" s="28" t="str">
        <x:v>Лайм | лайм</x:v>
      </x:c>
      <x:c r="E350" s="28" t="str">
        <x:v>Цитрусовые</x:v>
      </x:c>
      <x:c r="F350" s="28" t="str">
        <x:v>лимон</x:v>
      </x:c>
      <x:c r="G350" s="28" t="str">
        <x:v>Лимон | лимон</x:v>
      </x:c>
      <x:c r="H350" s="28" t="str">
        <x:v>Цитрусовые</x:v>
      </x:c>
      <x:c r="I350" s="28" t="str">
        <x:v>цитрусовый, зелёный, травяной, камфорный</x:v>
      </x:c>
      <x:c r="J350" s="28" t="str">
        <x:v>цитрусовый, свежий, цветочный, древесный</x:v>
      </x:c>
      <x:c r="K350" s="28" t="str">
        <x:v>лимонен, гамма-терпинен, цитраль, бета-пинен, линалол</x:v>
      </x:c>
      <x:c r="L350" s="28" t="str">
        <x:v>цитраль (гераниаль + нераль), лимонен, гамма-терпинен, бета-пинен</x:v>
      </x:c>
      <x:c r="M350" s="28" t="str">
        <x:v>цитрусовый</x:v>
      </x:c>
      <x:c r="N350" s="28" t="str">
        <x:v>бета-пинен, гамма-терпинен, лимонен, цитраль</x:v>
      </x:c>
      <x:c r="O350" s="28" t="str">
        <x:v>общие ароматические молекулы, перекрытие ароматических семейств, вкусовой баланс, тройничное восприятие</x:v>
      </x:c>
      <x:c r="P350" s="28" t="str">
        <x:v>Сочетание строится на близком терпеновом профиле; различия в кислотности, горечи и цветочно-зелёных оттенках создают объём.</x:v>
      </x:c>
      <x:c r="Q350" s="28" t="str">
        <x:v>кислота усиливает слюноотделение; зелёные терпены создают ощущение прохлады; кислота усиливает слюноотделение</x:v>
      </x:c>
      <x:c r="R350" s="28" t="str">
        <x:v>сок — водная кислая фаза; цедра — масляная терпеновая; сок — водная кислая фаза; цедра — гидрофобное эфирное масло</x:v>
      </x:c>
      <x:c r="S35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50" s="28" t="str">
        <x:v>Лайм формирует профиль «цитрусовый, зелёный, травяной, камфорный»; характерные маркеры: лимонен, гамма-терпинен, цитраль, бета-пинен, линалол. Лимон относится к группе «цитрусовые» и даёт ноты «цитрусовый, свежий, цветочный, древесный».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Сок определяется цитралем и кислотностью, цедра — лимоненом и терпенами.</x:v>
      </x:c>
      <x:c r="U350" s="28" t="str">
        <x:v>Избыток кислоты делает вкус плоско-резким; белая часть кожуры даёт лишнюю горечь.</x:v>
      </x:c>
      <x:c r="V350" s="28" t="str">
        <x:v>мёд или цветочная вода</x:v>
      </x:c>
      <x:c r="W350" s="28" t="str">
        <x:v>цитрусовый кордиал, мармелад, сорбет, салат или купаж соков</x:v>
      </x:c>
      <x:c r="X350" s="28" t="str">
        <x:v>напитки, десерты</x:v>
      </x:c>
      <x:c r="Y350" s="28" t="str">
        <x:v>Высокая</x:v>
      </x:c>
      <x:c r="Z350" s="28" t="str">
        <x:v>Таблица сочетания(1).pdf | Тезариус вкусов (Ники Сегнит)(1).pdf</x:v>
      </x:c>
      <x:c r="AA350" s="28" t="str">
        <x:v>Таблица сочетания(1).pdf: 11, 12 | Тезариус вкусов (Ники Сегнит)(1).pdf: 795, 804</x:v>
      </x:c>
      <x:c r="AB350" s="28" t="str">
        <x:v>На сленге лондонских кокни «ли- мон» значит «преступление»: «It was the lemon of the century, mate» – «Да, братан, это была делюга века». В данном случае все так и есть: лайм, можно сказать, дубасит лимон до смерти, не давая тому и половины шанса. Конечно, лимон и лайм принадлежат к одному и тому же семейству, а их соки имеют много общих вкусовых элементов. Но вместе с тем во вкусе лайма присутствуют мощные ноты специй, сосны и сирени, а это означает, что лимонный сок можно использовать для разб</x:v>
      </x:c>
      <x:c r="AC350" s="28" t="n">
        <x:v>2</x:v>
      </x:c>
      <x:c r="AD350" s="28" t="n">
        <x:v>4</x:v>
      </x:c>
    </x:row>
    <x:row r="351" ht="58" customHeight="1">
      <x:c r="A351" s="28" t="str">
        <x:v>CIT-0350</x:v>
      </x:c>
      <x:c r="B351" s="28" t="str">
        <x:v>Универсальные</x:v>
      </x:c>
      <x:c r="C351" s="28" t="str">
        <x:v>лайм</x:v>
      </x:c>
      <x:c r="D351" s="28" t="str">
        <x:v>Лайм | лайм</x:v>
      </x:c>
      <x:c r="E351" s="28" t="str">
        <x:v>Цитрусовые</x:v>
      </x:c>
      <x:c r="F351" s="28" t="str">
        <x:v>листья кориандра</x:v>
      </x:c>
      <x:c r="G351" s="28" t="str">
        <x:v>Листья кориандра | листья кориандра</x:v>
      </x:c>
      <x:c r="H351" s="28" t="str">
        <x:v>Травы/пряности</x:v>
      </x:c>
      <x:c r="I351" s="28" t="str">
        <x:v>цитрусовый, зелёный, травяной, камфорный</x:v>
      </x:c>
      <x:c r="J351" s="28" t="str">
        <x:v>цитрусовый, зелёный, цветочный</x:v>
      </x:c>
      <x:c r="K351" s="28" t="str">
        <x:v>лимонен, гамма-терпинен, цитраль, бета-пинен, линалол</x:v>
      </x:c>
      <x:c r="L351" s="28" t="str">
        <x:v>линалол, деканаль, додеканаль</x:v>
      </x:c>
      <x:c r="M351" s="28" t="str">
        <x:v>зелёный, цитрусовый</x:v>
      </x:c>
      <x:c r="N351" s="28" t="str">
        <x:v>линалол</x:v>
      </x:c>
      <x:c r="O351" s="28" t="str">
        <x:v>общие ароматические молекулы, перекрытие ароматических семейств, вкусовой баланс</x:v>
      </x:c>
      <x:c r="P351" s="28" t="str">
        <x:v>Кислота усиливает слюноотделение и делает пряный аромат ярче; терпены цитруса образуют мост с эфирными маслами травы или специи.</x:v>
      </x:c>
      <x:c r="Q351" s="28" t="str">
        <x:v>кислота усиливает слюноотделение; зелёные терпены создают ощущение прохлады; нет выраженного</x:v>
      </x:c>
      <x:c r="R351" s="28" t="str">
        <x:v>сок — водная кислая фаза; цедра — масляная терпеновая; листья чувствительны к нагреву; семена устойчивее и слаще</x:v>
      </x:c>
      <x:c r="S35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51" s="28" t="str">
        <x:v>Лайм формирует профиль «цитрусовый, зелёный, травяной, камфорный»; характерные маркеры: лимонен, гамма-терпинен, цитраль, бета-пинен, линалол. Листья кориандра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U351" s="28" t="str">
        <x:v>Избыток кислоты делает вкус плоско-резким; белая часть кожуры даёт лишнюю горечь; цитрус легко подавляет деликатный аромат партнёра.</x:v>
      </x:c>
      <x:c r="V351" s="28" t="str">
        <x:v>мёд или зелёная трава</x:v>
      </x:c>
      <x:c r="W351" s="28" t="str">
        <x:v>лимонад, кордиал, маринад или пряный соус</x:v>
      </x:c>
      <x:c r="X351" s="28" t="str">
        <x:v>напитки, еда, соусы/маринады</x:v>
      </x:c>
      <x:c r="Y351" s="28" t="str">
        <x:v>Высокая</x:v>
      </x:c>
      <x:c r="Z351" s="28" t="str">
        <x:v>Тезариус вкусов (Ники Сегнит)(1).pdf</x:v>
      </x:c>
      <x:c r="AA351" s="28" t="str">
        <x:v>Тезариус вкусов (Ники Сегнит)(1).pdf: 521, 795</x:v>
      </x:c>
      <x:c r="AB351" s="28" t="str">
        <x:v>Когда я впервые зака- зала вьетнамский суп из говядины с лапшой и кориандром, в нем плавала долька лайма. Я отложила ее в сторону и с улыбкой смотрела, как острый говяжий бульон стекал с нее на бумажную салфетку. Я подумала, что лайм сладкий. Не забывайте, что я выросла на концентрированном соке Rose’s Lime Cordial и мармеладе с неземным вкусом этого фрукта. Мармелад действительно был прежде всего сладким, а уж потом – все остальное. Но чем плотнее я знакомилась с вьетнамской и тайской кухнями, </x:v>
      </x:c>
      <x:c r="AC351" s="28" t="n">
        <x:v>1</x:v>
      </x:c>
      <x:c r="AD351" s="28" t="n">
        <x:v>2</x:v>
      </x:c>
    </x:row>
    <x:row r="352" ht="58" customHeight="1">
      <x:c r="A352" s="28" t="str">
        <x:v>CIT-0351</x:v>
      </x:c>
      <x:c r="B352" s="28" t="str">
        <x:v>Десерты и выпечка</x:v>
      </x:c>
      <x:c r="C352" s="28" t="str">
        <x:v>лайм</x:v>
      </x:c>
      <x:c r="D352" s="28" t="str">
        <x:v>Лайм</x:v>
      </x:c>
      <x:c r="E352" s="28" t="str">
        <x:v>Цитрусовые</x:v>
      </x:c>
      <x:c r="F352" s="28" t="str">
        <x:v>личи</x:v>
      </x:c>
      <x:c r="G352" s="28" t="str">
        <x:v>личи</x:v>
      </x:c>
      <x:c r="H352" s="28" t="str">
        <x:v>Тропические фрукты</x:v>
      </x:c>
      <x:c r="I352" s="28" t="str">
        <x:v>цитрусовый, зелёный, травяной, камфорный</x:v>
      </x:c>
      <x:c r="J352" s="28" t="str">
        <x:v>фруктовый, тропический, цветочный, сливочный</x:v>
      </x:c>
      <x:c r="K352" s="28" t="str">
        <x:v>лимонен, гамма-терпинен, цитраль, бета-пинен, линалол</x:v>
      </x:c>
      <x:c r="L352" s="28" t="str">
        <x:v>этилбутират, гексилацетат, лактоны, сернистые тиолы (у части фруктов)</x:v>
      </x:c>
      <x:c r="M352" s="28" t="str">
        <x:v>прямое семейное перекрытие не является главным механизмом</x:v>
      </x:c>
      <x:c r="N352" s="28" t="str">
        <x:v>надёжный общий маркер не заявлен; сочетание объясняется семействами и сенсорным балансом</x:v>
      </x:c>
      <x:c r="O352" s="28" t="str">
        <x:v>вкусовой баланс</x:v>
      </x:c>
      <x:c r="P352" s="28" t="str">
        <x:v>Общая фруктовая сладость и летучие эфиры создают непрерывный ароматический профиль, а цитрусовая кислота повышает контраст и свежесть.</x:v>
      </x:c>
      <x:c r="Q352" s="28" t="str">
        <x:v>кислота усиливает слюноотделение; зелёные терпены создают ощущение прохлады; нет выраженного</x:v>
      </x:c>
      <x:c r="R352" s="28" t="str">
        <x:v>сок — водная кислая фаза; цедра — масляная терпеновая; сочная или кремовая фруктовая матрица</x:v>
      </x:c>
      <x:c r="S35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52" s="28" t="str">
        <x:v>Лайм формирует профиль «цитрусовый, зелёный, травяной, камфорный»; характерные маркеры: лимонен, гамма-терпинен, цитраль, бета-пинен, линалол. Личи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352" s="28" t="str">
        <x:v>Избыток кислоты делает вкус плоско-резким; белая часть кожуры даёт лишнюю горечь.</x:v>
      </x:c>
      <x:c r="V352" s="28" t="str">
        <x:v>кокос или имбирь</x:v>
      </x:c>
      <x:c r="W352" s="28" t="str">
        <x:v>смузи, кордиал, сорбет, чатни или коктейль</x:v>
      </x:c>
      <x:c r="X352" s="28" t="str">
        <x:v>напитки, десерты</x:v>
      </x:c>
      <x:c r="Y352" s="28" t="str">
        <x:v>Гипотеза / практическая</x:v>
      </x:c>
      <x:c r="Z352" s="28" t="str">
        <x:v>Таблица сочетания(1).pdf</x:v>
      </x:c>
      <x:c r="AA352" s="28" t="str">
        <x:v>Таблица сочетания(1).pdf: 12</x:v>
      </x:c>
      <x:c r="AB352" s="28" t="str">
        <x:v>Пара указана в таблице: «Лайм» → колонка «Фрукты».</x:v>
      </x:c>
      <x:c r="AC352" s="28" t="n">
        <x:v>1</x:v>
      </x:c>
      <x:c r="AD352" s="28" t="n">
        <x:v>1</x:v>
      </x:c>
    </x:row>
    <x:row r="353" ht="58" customHeight="1">
      <x:c r="A353" s="28" t="str">
        <x:v>CIT-0352</x:v>
      </x:c>
      <x:c r="B353" s="28" t="str">
        <x:v>Десерты и выпечка</x:v>
      </x:c>
      <x:c r="C353" s="28" t="str">
        <x:v>лайм</x:v>
      </x:c>
      <x:c r="D353" s="28" t="str">
        <x:v>Лайм | лайм</x:v>
      </x:c>
      <x:c r="E353" s="28" t="str">
        <x:v>Цитрусовые</x:v>
      </x:c>
      <x:c r="F353" s="28" t="str">
        <x:v>манго</x:v>
      </x:c>
      <x:c r="G353" s="28" t="str">
        <x:v>Манго | манго</x:v>
      </x:c>
      <x:c r="H353" s="28" t="str">
        <x:v>Тропические фрукты</x:v>
      </x:c>
      <x:c r="I353" s="28" t="str">
        <x:v>цитрусовый, зелёный, травяной, камфорный</x:v>
      </x:c>
      <x:c r="J353" s="28" t="str">
        <x:v>фруктовый, тропический, цветочный, сливочный</x:v>
      </x:c>
      <x:c r="K353" s="28" t="str">
        <x:v>лимонен, гамма-терпинен, цитраль, бета-пинен, линалол</x:v>
      </x:c>
      <x:c r="L353" s="28" t="str">
        <x:v>этилбутират, гексилацетат, лактоны, сернистые тиолы (у части фруктов)</x:v>
      </x:c>
      <x:c r="M353" s="28" t="str">
        <x:v>прямое семейное перекрытие не является главным механизмом</x:v>
      </x:c>
      <x:c r="N353" s="28" t="str">
        <x:v>надёжный общий маркер не заявлен; сочетание объясняется семействами и сенсорным балансом</x:v>
      </x:c>
      <x:c r="O353" s="28" t="str">
        <x:v>вкусовой баланс</x:v>
      </x:c>
      <x:c r="P353" s="28" t="str">
        <x:v>Общая фруктовая сладость и летучие эфиры создают непрерывный ароматический профиль, а цитрусовая кислота повышает контраст и свежесть.</x:v>
      </x:c>
      <x:c r="Q353" s="28" t="str">
        <x:v>кислота усиливает слюноотделение; зелёные терпены создают ощущение прохлады; нет выраженного</x:v>
      </x:c>
      <x:c r="R353" s="28" t="str">
        <x:v>сок — водная кислая фаза; цедра — масляная терпеновая; сочная или кремовая фруктовая матрица</x:v>
      </x:c>
      <x:c r="S35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53" s="28" t="str">
        <x:v>Лайм формирует профиль «цитрусовый, зелёный, травяной, камфорный»; характерные маркеры: лимонен, гамма-терпинен, цитраль, бета-пинен, линалол. Манго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353" s="28" t="str">
        <x:v>Избыток кислоты делает вкус плоско-резким; белая часть кожуры даёт лишнюю горечь.</x:v>
      </x:c>
      <x:c r="V353" s="28" t="str">
        <x:v>кокос или имбирь</x:v>
      </x:c>
      <x:c r="W353" s="28" t="str">
        <x:v>смузи, кордиал, сорбет, чатни или коктейль</x:v>
      </x:c>
      <x:c r="X353" s="28" t="str">
        <x:v>напитки, десерты</x:v>
      </x:c>
      <x:c r="Y353" s="28" t="str">
        <x:v>Высокая</x:v>
      </x:c>
      <x:c r="Z353" s="28" t="str">
        <x:v>Таблица сочетания(1).pdf | Тезариус вкусов (Ники Сегнит)(1).pdf</x:v>
      </x:c>
      <x:c r="AA353" s="28" t="str">
        <x:v>Таблица сочетания(1).pdf: 12, 13 | Тезариус вкусов (Ники Сегнит)(1).pdf: 765, 795</x:v>
      </x:c>
      <x:c r="AB353" s="28" t="str">
        <x:v>Сок свежего лайма, выжатый на спе- лое манго, – одна из величайших вкусовых пар в мире. Вкусы обоих фруктов едва ли бьются друг с другом, но в конце концов немного жесткий «медицинский» вкус лайма подчиняется вкусу манго с его цветочными нотами, которые, кстати, есть и у цитруса. Лимон, вкус которого мягче, чем у лайма, и содержит сладкие розовые и фруктовые ноты, не может поднять манго на высоты, доступные лайму.</x:v>
      </x:c>
      <x:c r="AC353" s="28" t="n">
        <x:v>2</x:v>
      </x:c>
      <x:c r="AD353" s="28" t="n">
        <x:v>4</x:v>
      </x:c>
    </x:row>
    <x:row r="354" ht="58" customHeight="1">
      <x:c r="A354" s="28" t="str">
        <x:v>CIT-0353</x:v>
      </x:c>
      <x:c r="B354" s="28" t="str">
        <x:v>Десерты и выпечка</x:v>
      </x:c>
      <x:c r="C354" s="28" t="str">
        <x:v>лайм</x:v>
      </x:c>
      <x:c r="D354" s="28" t="str">
        <x:v>lime</x:v>
      </x:c>
      <x:c r="E354" s="28" t="str">
        <x:v>Цитрусовые</x:v>
      </x:c>
      <x:c r="F354" s="28" t="str">
        <x:v>манго Альфонсо</x:v>
      </x:c>
      <x:c r="G354" s="28" t="str">
        <x:v>Alphonso mango</x:v>
      </x:c>
      <x:c r="H354" s="28" t="str">
        <x:v>Тропические фрукты</x:v>
      </x:c>
      <x:c r="I354" s="28" t="str">
        <x:v>цитрусовый, зелёный, травяной, камфорный</x:v>
      </x:c>
      <x:c r="J354" s="28" t="str">
        <x:v>фруктовый, тропический, цветочный, сливочный</x:v>
      </x:c>
      <x:c r="K354" s="28" t="str">
        <x:v>лимонен, гамма-терпинен, цитраль, бета-пинен, линалол</x:v>
      </x:c>
      <x:c r="L354" s="28" t="str">
        <x:v>этилбутират, гексилацетат, лактоны, сернистые тиолы (у части фруктов)</x:v>
      </x:c>
      <x:c r="M354" s="28" t="str">
        <x:v>прямое семейное перекрытие не является главным механизмом</x:v>
      </x:c>
      <x:c r="N354" s="28" t="str">
        <x:v>надёжный общий маркер не заявлен; сочетание объясняется семействами и сенсорным балансом</x:v>
      </x:c>
      <x:c r="O354" s="28" t="str">
        <x:v>вкусовой баланс</x:v>
      </x:c>
      <x:c r="P354" s="28" t="str">
        <x:v>Общая фруктовая сладость и летучие эфиры создают непрерывный ароматический профиль, а цитрусовая кислота повышает контраст и свежесть.</x:v>
      </x:c>
      <x:c r="Q354" s="28" t="str">
        <x:v>кислота усиливает слюноотделение; зелёные терпены создают ощущение прохлады; нет выраженного</x:v>
      </x:c>
      <x:c r="R354" s="28" t="str">
        <x:v>сок — водная кислая фаза; цедра — масляная терпеновая; сочная или кремовая фруктовая матрица</x:v>
      </x:c>
      <x:c r="S35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54" s="28" t="str">
        <x:v>Лайм формирует профиль «цитрусовый, зелёный, травяной, камфорный»; характерные маркеры: лимонен, гамма-терпинен, цитраль, бета-пинен, линалол. Манго альфонсо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354" s="28" t="str">
        <x:v>Избыток кислоты делает вкус плоско-резким; белая часть кожуры даёт лишнюю горечь.</x:v>
      </x:c>
      <x:c r="V354" s="28" t="str">
        <x:v>кокос или имбирь</x:v>
      </x:c>
      <x:c r="W354" s="28" t="str">
        <x:v>смузи, кордиал, сорбет, чатни или коктейль</x:v>
      </x:c>
      <x:c r="X354" s="28" t="str">
        <x:v>напитки, десерты</x:v>
      </x:c>
      <x:c r="Y354" s="28" t="str">
        <x:v>Средняя</x:v>
      </x:c>
      <x:c r="Z354" s="28" t="str">
        <x:v>The Art &amp; Science of Foodpairing.pdf</x:v>
      </x:c>
      <x:c r="AA354" s="28" t="str">
        <x:v>The Art &amp; Science of Foodpairing.pdf: 87</x:v>
      </x:c>
      <x:c r="AB354" s="28" t="str">
        <x:v>Пара представлена в ароматической диаграмме Foodpairing на странице 87.</x:v>
      </x:c>
      <x:c r="AC354" s="28" t="n">
        <x:v>1</x:v>
      </x:c>
      <x:c r="AD354" s="28" t="n">
        <x:v>1</x:v>
      </x:c>
    </x:row>
    <x:row r="355" ht="58" customHeight="1">
      <x:c r="A355" s="28" t="str">
        <x:v>CIT-0354</x:v>
      </x:c>
      <x:c r="B355" s="28" t="str">
        <x:v>Универсальные</x:v>
      </x:c>
      <x:c r="C355" s="28" t="str">
        <x:v>лайм</x:v>
      </x:c>
      <x:c r="D355" s="28" t="str">
        <x:v>Лайм</x:v>
      </x:c>
      <x:c r="E355" s="28" t="str">
        <x:v>Цитрусовые</x:v>
      </x:c>
      <x:c r="F355" s="28" t="str">
        <x:v>можжевельник</x:v>
      </x:c>
      <x:c r="G355" s="28" t="str">
        <x:v>можжевельник</x:v>
      </x:c>
      <x:c r="H355" s="28" t="str">
        <x:v>Прочее</x:v>
      </x:c>
      <x:c r="I355" s="28" t="str">
        <x:v>цитрусовый, зелёный, травяной, камфорный</x:v>
      </x:c>
      <x:c r="J355" s="28" t="str">
        <x:v>нейтральный/специфический</x:v>
      </x:c>
      <x:c r="K355" s="28" t="str">
        <x:v>лимонен, гамма-терпинен, цитраль, бета-пинен, линалол</x:v>
      </x:c>
      <x:c r="L355" s="28" t="str">
        <x:v>нужен профиль конкретного продукта</x:v>
      </x:c>
      <x:c r="M355" s="28" t="str">
        <x:v>прямое семейное перекрытие не является главным механизмом</x:v>
      </x:c>
      <x:c r="N355" s="28" t="str">
        <x:v>надёжный общий маркер не заявлен; сочетание объясняется семействами и сенсорным балансом</x:v>
      </x:c>
      <x:c r="O355" s="28" t="str">
        <x:v>вкусовой баланс, тройничное восприятие</x:v>
      </x:c>
      <x:c r="P355" s="28" t="str">
        <x:v>Основной эффект определяется ароматическим контрастом и добавлением кислотной свежести; точный баланс зависит от дозировки и матрицы.</x:v>
      </x:c>
      <x:c r="Q355" s="28" t="str">
        <x:v>кислота усиливает слюноотделение; зелёные терпены создают ощущение прохлады; нет данных</x:v>
      </x:c>
      <x:c r="R355" s="28" t="str">
        <x:v>сок — водная кислая фаза; цедра — масляная терпеновая; зависит от формы продукта</x:v>
      </x:c>
      <x:c r="S35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55" s="28" t="str">
        <x:v>Лайм формирует профиль «цитрусовый, зелёный, травяной, камфорный»; характерные маркеры: лимонен, гамма-терпинен, цитраль, бета-пинен, линалол. Можжевельник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55" s="28" t="str">
        <x:v>Избыток кислоты делает вкус плоско-резким; белая часть кожуры даёт лишнюю горечь.</x:v>
      </x:c>
      <x:c r="V355" s="28" t="str">
        <x:v>мёд или нейтральная жировая основа</x:v>
      </x:c>
      <x:c r="W355" s="28" t="str">
        <x:v>соус, напиток или десерт после пробной дегустации</x:v>
      </x:c>
      <x:c r="X355" s="28" t="str">
        <x:v>универсальное</x:v>
      </x:c>
      <x:c r="Y355" s="28" t="str">
        <x:v>Гипотеза / практическая</x:v>
      </x:c>
      <x:c r="Z355" s="28" t="str">
        <x:v>Таблица сочетания(1).pdf</x:v>
      </x:c>
      <x:c r="AA355" s="28" t="str">
        <x:v>Таблица сочетания(1).pdf: 11</x:v>
      </x:c>
      <x:c r="AB355" s="28" t="str">
        <x:v>Пара указана в таблице: «Лайм» → колонка «Другое».</x:v>
      </x:c>
      <x:c r="AC355" s="28" t="n">
        <x:v>1</x:v>
      </x:c>
      <x:c r="AD355" s="28" t="n">
        <x:v>1</x:v>
      </x:c>
    </x:row>
    <x:row r="356" ht="58" customHeight="1">
      <x:c r="A356" s="28" t="str">
        <x:v>CIT-0355</x:v>
      </x:c>
      <x:c r="B356" s="28" t="str">
        <x:v>Универсальные</x:v>
      </x:c>
      <x:c r="C356" s="28" t="str">
        <x:v>лайм</x:v>
      </x:c>
      <x:c r="D356" s="28" t="str">
        <x:v>Лайм | лайм</x:v>
      </x:c>
      <x:c r="E356" s="28" t="str">
        <x:v>Цитрусовые</x:v>
      </x:c>
      <x:c r="F356" s="28" t="str">
        <x:v>моллюски</x:v>
      </x:c>
      <x:c r="G356" s="28" t="str">
        <x:v>Моллюски | моллюски</x:v>
      </x:c>
      <x:c r="H356" s="28" t="str">
        <x:v>Прочее</x:v>
      </x:c>
      <x:c r="I356" s="28" t="str">
        <x:v>цитрусовый, зелёный, травяной, камфорный</x:v>
      </x:c>
      <x:c r="J356" s="28" t="str">
        <x:v>нейтральный/специфический</x:v>
      </x:c>
      <x:c r="K356" s="28" t="str">
        <x:v>лимонен, гамма-терпинен, цитраль, бета-пинен, линалол</x:v>
      </x:c>
      <x:c r="L356" s="28" t="str">
        <x:v>нужен профиль конкретного продукта</x:v>
      </x:c>
      <x:c r="M356" s="28" t="str">
        <x:v>прямое семейное перекрытие не является главным механизмом</x:v>
      </x:c>
      <x:c r="N356" s="28" t="str">
        <x:v>надёжный общий маркер не заявлен; сочетание объясняется семействами и сенсорным балансом</x:v>
      </x:c>
      <x:c r="O356" s="28" t="str">
        <x:v>вкусовой баланс, тройничное восприятие</x:v>
      </x:c>
      <x:c r="P356" s="28" t="str">
        <x:v>Основной эффект определяется ароматическим контрастом и добавлением кислотной свежести; точный баланс зависит от дозировки и матрицы.</x:v>
      </x:c>
      <x:c r="Q356" s="28" t="str">
        <x:v>кислота усиливает слюноотделение; зелёные терпены создают ощущение прохлады; нет данных</x:v>
      </x:c>
      <x:c r="R356" s="28" t="str">
        <x:v>сок — водная кислая фаза; цедра — масляная терпеновая; зависит от формы продукта</x:v>
      </x:c>
      <x:c r="S35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56" s="28" t="str">
        <x:v>Лайм формирует профиль «цитрусовый, зелёный, травяной, камфорный»; характерные маркеры: лимонен, гамма-терпинен, цитраль, бета-пинен, линалол. Моллюски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56" s="28" t="str">
        <x:v>Избыток кислоты делает вкус плоско-резким; белая часть кожуры даёт лишнюю горечь.</x:v>
      </x:c>
      <x:c r="V356" s="28" t="str">
        <x:v>мёд или нейтральная жировая основа</x:v>
      </x:c>
      <x:c r="W356" s="28" t="str">
        <x:v>соус, напиток или десерт после пробной дегустации</x:v>
      </x:c>
      <x:c r="X356" s="28" t="str">
        <x:v>универсальное</x:v>
      </x:c>
      <x:c r="Y356" s="28" t="str">
        <x:v>Высокая</x:v>
      </x:c>
      <x:c r="Z356" s="28" t="str">
        <x:v>Тезариус вкусов (Ники Сегнит)(1).pdf</x:v>
      </x:c>
      <x:c r="AA356" s="28" t="str">
        <x:v>Тезариус вкусов (Ники Сегнит)(1).pdf: 371, 795</x:v>
      </x:c>
      <x:c r="AB356" s="28" t="str">
        <x:v>Обжаренные во фритюре ви- тые моллюски особенно вкусны, когда их подают под соусом из смеси морепродуктов и сбрызгивают соком лайма. Вкус такой «завитушки» – нечто среднее между вкусами морского гребешка и двустворчатых моллюсков, тогда как по текстуре она представляет собой нечто среднее между морским гребешком и… ковриком в тренажерном зале. Можно сделать из моллюсков севиче (см. Лайм и белая рыба), но для этого придется отбить мякоть, чтобы сделать ее съедобной (по крайней мере, для человека)</x:v>
      </x:c>
      <x:c r="AC356" s="28" t="n">
        <x:v>1</x:v>
      </x:c>
      <x:c r="AD356" s="28" t="n">
        <x:v>2</x:v>
      </x:c>
    </x:row>
    <x:row r="357" ht="58" customHeight="1">
      <x:c r="A357" s="28" t="str">
        <x:v>CIT-0356</x:v>
      </x:c>
      <x:c r="B357" s="28" t="str">
        <x:v>Еда и соусы</x:v>
      </x:c>
      <x:c r="C357" s="28" t="str">
        <x:v>лайм</x:v>
      </x:c>
      <x:c r="D357" s="28" t="str">
        <x:v>лайм</x:v>
      </x:c>
      <x:c r="E357" s="28" t="str">
        <x:v>Цитрусовые</x:v>
      </x:c>
      <x:c r="F357" s="28" t="str">
        <x:v>морковь</x:v>
      </x:c>
      <x:c r="G357" s="28" t="str">
        <x:v>Морковь</x:v>
      </x:c>
      <x:c r="H357" s="28" t="str">
        <x:v>Овощи</x:v>
      </x:c>
      <x:c r="I357" s="28" t="str">
        <x:v>цитрусовый, зелёный, травяной, камфорный</x:v>
      </x:c>
      <x:c r="J357" s="28" t="str">
        <x:v>зелёный, землистый, растительный, иногда сернистый</x:v>
      </x:c>
      <x:c r="K357" s="28" t="str">
        <x:v>лимонен, гамма-терпинен, цитраль, бета-пинен, линалол</x:v>
      </x:c>
      <x:c r="L357" s="28" t="str">
        <x:v>C6-альдегиды, метоксипиразины, геосмин (землистые), сернистые соединения</x:v>
      </x:c>
      <x:c r="M357" s="28" t="str">
        <x:v>зелёный</x:v>
      </x:c>
      <x:c r="N357" s="28" t="str">
        <x:v>надёжный общий маркер не заявлен; сочетание объясняется семействами и сенсорным балансом</x:v>
      </x:c>
      <x:c r="O357" s="28" t="str">
        <x:v>перекрытие ароматических семейств, вкусовой баланс</x:v>
      </x:c>
      <x:c r="P357" s="28" t="str">
        <x:v>Кислота подчёркивает природную сладость овоща, сокращает землистое/сернистое послевкусие и повышает слюноотделение.</x:v>
      </x:c>
      <x:c r="Q357" s="28" t="str">
        <x:v>кислота усиливает слюноотделение; зелёные терпены создают ощущение прохлады; нет выраженного</x:v>
      </x:c>
      <x:c r="R357" s="28" t="str">
        <x:v>сок — водная кислая фаза; цедра — масляная терпеновая; водная/крахмальная матрица; масло помогает распределить цедру</x:v>
      </x:c>
      <x:c r="S35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57" s="28" t="str">
        <x:v>Лайм формирует профиль «цитрусовый, зелёный, травяной, камфорный»; характерные маркеры: лимонен, гамма-терпинен, цитраль, бета-пинен, линалол. Морковь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U357" s="28" t="str">
        <x:v>Избыток кислоты делает вкус плоско-резким; белая часть кожуры даёт лишнюю горечь.</x:v>
      </x:c>
      <x:c r="V357" s="28" t="str">
        <x:v>оливковое масло или базилик</x:v>
      </x:c>
      <x:c r="W357" s="28" t="str">
        <x:v>винегрет, салат, пюре, запечённое блюдо или овощной соус</x:v>
      </x:c>
      <x:c r="X357" s="28" t="str">
        <x:v>еда, соусы/маринады</x:v>
      </x:c>
      <x:c r="Y357" s="28" t="str">
        <x:v>Гипотеза / практическая</x:v>
      </x:c>
      <x:c r="Z357" s="28" t="str">
        <x:v>Таблица сочетания(1).pdf</x:v>
      </x:c>
      <x:c r="AA357" s="28" t="str">
        <x:v>Таблица сочетания(1).pdf: 4</x:v>
      </x:c>
      <x:c r="AB357" s="28" t="str">
        <x:v>Пара указана в таблице: «Морковь» → колонка «Фрукты».</x:v>
      </x:c>
      <x:c r="AC357" s="28" t="n">
        <x:v>1</x:v>
      </x:c>
      <x:c r="AD357" s="28" t="n">
        <x:v>1</x:v>
      </x:c>
    </x:row>
    <x:row r="358" ht="58" customHeight="1">
      <x:c r="A358" s="28" t="str">
        <x:v>CIT-0357</x:v>
      </x:c>
      <x:c r="B358" s="28" t="str">
        <x:v>Десерты и выпечка</x:v>
      </x:c>
      <x:c r="C358" s="28" t="str">
        <x:v>лайм</x:v>
      </x:c>
      <x:c r="D358" s="28" t="str">
        <x:v>лайм</x:v>
      </x:c>
      <x:c r="E358" s="28" t="str">
        <x:v>Цитрусовые</x:v>
      </x:c>
      <x:c r="F358" s="28" t="str">
        <x:v>мускатный орех</x:v>
      </x:c>
      <x:c r="G358" s="28" t="str">
        <x:v>Мускатный орех</x:v>
      </x:c>
      <x:c r="H358" s="28" t="str">
        <x:v>Орехи и семена</x:v>
      </x:c>
      <x:c r="I358" s="28" t="str">
        <x:v>цитрусовый, зелёный, травяной, камфорный</x:v>
      </x:c>
      <x:c r="J358" s="28" t="str">
        <x:v>ореховый, обжаренный, жирный, зелёный</x:v>
      </x:c>
      <x:c r="K358" s="28" t="str">
        <x:v>лимонен, гамма-терпинен, цитраль, бета-пинен, линалол</x:v>
      </x:c>
      <x:c r="L358" s="28" t="str">
        <x:v>пиразины, альдегиды окисления жиров, бензальдегид (миндаль)</x:v>
      </x:c>
      <x:c r="M358" s="28" t="str">
        <x:v>зелёный</x:v>
      </x:c>
      <x:c r="N358" s="28" t="str">
        <x:v>надёжный общий маркер не заявлен; сочетание объясняется семействами и сенсорным балансом</x:v>
      </x:c>
      <x:c r="O358" s="28" t="str">
        <x:v>перекрытие ароматических семейств, вкусовой баланс, влияние матрицы/растворимости</x:v>
      </x:c>
      <x:c r="P358" s="28" t="str">
        <x:v>Кислотность и лёгкая горечь цитруса снижают ощущение жирности; соль и умами, в свою очередь, делают фруктовую часть менее резкой.</x:v>
      </x:c>
      <x:c r="Q358" s="28" t="str">
        <x:v>кислота усиливает слюноотделение; зелёные терпены создают ощущение прохлады; нет выраженного</x:v>
      </x:c>
      <x:c r="R358" s="28" t="str">
        <x:v>сок — водная кислая фаза; цедра — масляная терпеновая; высокая жирность растворяет терпеновые масла цитруса</x:v>
      </x:c>
      <x:c r="S35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358" s="28" t="str">
        <x:v>Лайм формирует профиль «цитрусовый, зелёный, травяной, камфорный»; характерные маркеры: лимонен, гамма-терпинен, цитраль, бета-пинен, линалол. Мускатный орех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U358" s="28" t="str">
        <x:v>Избыток кислоты делает вкус плоско-резким; белая часть кожуры даёт лишнюю горечь.</x:v>
      </x:c>
      <x:c r="V358" s="28" t="str">
        <x:v>мёд или шоколад</x:v>
      </x:c>
      <x:c r="W358" s="28" t="str">
        <x:v>пралине, крем, выпечка, салат или ореховый соус</x:v>
      </x:c>
      <x:c r="X358" s="28" t="str">
        <x:v>десерты</x:v>
      </x:c>
      <x:c r="Y358" s="28" t="str">
        <x:v>Гипотеза / практическая</x:v>
      </x:c>
      <x:c r="Z358" s="28" t="str">
        <x:v>Таблица сочетания(1).pdf</x:v>
      </x:c>
      <x:c r="AA358" s="28" t="str">
        <x:v>Таблица сочетания(1).pdf: 14</x:v>
      </x:c>
      <x:c r="AB358" s="28" t="str">
        <x:v>Пара указана в таблице: «Мускатный орех» → колонка «Фрукты».</x:v>
      </x:c>
      <x:c r="AC358" s="28" t="n">
        <x:v>1</x:v>
      </x:c>
      <x:c r="AD358" s="28" t="n">
        <x:v>1</x:v>
      </x:c>
    </x:row>
    <x:row r="359" ht="58" customHeight="1">
      <x:c r="A359" s="28" t="str">
        <x:v>CIT-0358</x:v>
      </x:c>
      <x:c r="B359" s="28" t="str">
        <x:v>Универсальные</x:v>
      </x:c>
      <x:c r="C359" s="28" t="str">
        <x:v>лайм</x:v>
      </x:c>
      <x:c r="D359" s="28" t="str">
        <x:v>Лайм | лайм</x:v>
      </x:c>
      <x:c r="E359" s="28" t="str">
        <x:v>Цитрусовые</x:v>
      </x:c>
      <x:c r="F359" s="28" t="str">
        <x:v>мята</x:v>
      </x:c>
      <x:c r="G359" s="28" t="str">
        <x:v>Мята | мята</x:v>
      </x:c>
      <x:c r="H359" s="28" t="str">
        <x:v>Травы</x:v>
      </x:c>
      <x:c r="I359" s="28" t="str">
        <x:v>цитрусовый, зелёный, травяной, камфорный</x:v>
      </x:c>
      <x:c r="J359" s="28" t="str">
        <x:v>мятный, зелёный, свежий</x:v>
      </x:c>
      <x:c r="K359" s="28" t="str">
        <x:v>лимонен, гамма-терпинен, цитраль, бета-пинен, линалол</x:v>
      </x:c>
      <x:c r="L359" s="28" t="str">
        <x:v>ментол, ментон, 1,8-цинеол</x:v>
      </x:c>
      <x:c r="M359" s="28" t="str">
        <x:v>зелёный</x:v>
      </x:c>
      <x:c r="N359" s="28" t="str">
        <x:v>надёжный общий маркер не заявлен; сочетание объясняется семействами и сенсорным балансом</x:v>
      </x:c>
      <x:c r="O359" s="28" t="str">
        <x:v>перекрытие ароматических семейств, вкусовой баланс, тройничное восприятие</x:v>
      </x:c>
      <x:c r="P359" s="28" t="str">
        <x:v>Кислота усиливает слюноотделение и делает пряный аромат ярче; терпены цитруса образуют мост с эфирными маслами травы или специи.</x:v>
      </x:c>
      <x:c r="Q359" s="28" t="str">
        <x:v>кислота усиливает слюноотделение; зелёные терпены создают ощущение прохлады; ментол активирует TRPM8 и создаёт охлаждение</x:v>
      </x:c>
      <x:c r="R359" s="28" t="str">
        <x:v>сок — водная кислая фаза; цедра — масляная терпеновая; эфирные масла извлекаются спиртом; длительный нагрев снижает свежесть</x:v>
      </x:c>
      <x:c r="S35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59" s="28" t="str">
        <x:v>Лайм формирует профиль «цитрусовый, зелёный, травяной, камфорный»; характерные маркеры: лимонен, гамма-терпинен, цитраль, бета-пинен, линалол.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Мята усиливает воспринимаемую прохладу и кислотную свежесть.</x:v>
      </x:c>
      <x:c r="U359" s="28" t="str">
        <x:v>Избыток кислоты делает вкус плоско-резким; белая часть кожуры даёт лишнюю горечь; цитрус легко подавляет деликатный аромат партнёра.</x:v>
      </x:c>
      <x:c r="V359" s="28" t="str">
        <x:v>оливковое масло или огурец</x:v>
      </x:c>
      <x:c r="W359" s="28" t="str">
        <x:v>лимонад, кордиал, салатная заправка или зелёный соус</x:v>
      </x:c>
      <x:c r="X359" s="28" t="str">
        <x:v>напитки, еда, соусы/маринады</x:v>
      </x:c>
      <x:c r="Y359" s="28" t="str">
        <x:v>Высокая</x:v>
      </x:c>
      <x:c r="Z359" s="28" t="str">
        <x:v>Таблица сочетания(1).pdf | Тезариус вкусов (Ники Сегнит)(1).pdf</x:v>
      </x:c>
      <x:c r="AA359" s="28" t="str">
        <x:v>Таблица сочетания(1).pdf: 12, 13 | Тезариус вкусов (Ники Сегнит)(1).pdf: 795, 868</x:v>
      </x:c>
      <x:c r="AB359" s="28" t="str">
        <x:v>Кубинцы добавляют мяту и лайм в ром. Так получается «Мохито» (Mojito), самый распространенный коктейль последнего десятилетия. В чем секрет его успеха? Моя теория состоит в том, что кислый лайм и освежающая мята под ударами рома и сахара быстро создают что-то среднее между амфетамином и средством для ароматерапии. Положите 1 ст. л. сахарной пудры в хайбол, влейте 2–3 ст. л. сока лайма. Добавьте веточку мяты с листочками и залейте примерно на треть содовой. Взболтайте, чтобы растворить сахар и вы</x:v>
      </x:c>
      <x:c r="AC359" s="28" t="n">
        <x:v>2</x:v>
      </x:c>
      <x:c r="AD359" s="28" t="n">
        <x:v>4</x:v>
      </x:c>
    </x:row>
    <x:row r="360" ht="58" customHeight="1">
      <x:c r="A360" s="28" t="str">
        <x:v>CIT-0359</x:v>
      </x:c>
      <x:c r="B360" s="28" t="str">
        <x:v>Еда и соусы</x:v>
      </x:c>
      <x:c r="C360" s="28" t="str">
        <x:v>лайм</x:v>
      </x:c>
      <x:c r="D360" s="28" t="str">
        <x:v>Лайм</x:v>
      </x:c>
      <x:c r="E360" s="28" t="str">
        <x:v>Цитрусовые</x:v>
      </x:c>
      <x:c r="F360" s="28" t="str">
        <x:v>огурец</x:v>
      </x:c>
      <x:c r="G360" s="28" t="str">
        <x:v>огурец</x:v>
      </x:c>
      <x:c r="H360" s="28" t="str">
        <x:v>Овощи</x:v>
      </x:c>
      <x:c r="I360" s="28" t="str">
        <x:v>цитрусовый, зелёный, травяной, камфорный</x:v>
      </x:c>
      <x:c r="J360" s="28" t="str">
        <x:v>зелёный, землистый, растительный, иногда сернистый</x:v>
      </x:c>
      <x:c r="K360" s="28" t="str">
        <x:v>лимонен, гамма-терпинен, цитраль, бета-пинен, линалол</x:v>
      </x:c>
      <x:c r="L360" s="28" t="str">
        <x:v>C6-альдегиды, метоксипиразины, геосмин (землистые), сернистые соединения</x:v>
      </x:c>
      <x:c r="M360" s="28" t="str">
        <x:v>зелёный</x:v>
      </x:c>
      <x:c r="N360" s="28" t="str">
        <x:v>надёжный общий маркер не заявлен; сочетание объясняется семействами и сенсорным балансом</x:v>
      </x:c>
      <x:c r="O360" s="28" t="str">
        <x:v>перекрытие ароматических семейств, вкусовой баланс</x:v>
      </x:c>
      <x:c r="P360" s="28" t="str">
        <x:v>Кислота подчёркивает природную сладость овоща, сокращает землистое/сернистое послевкусие и повышает слюноотделение.</x:v>
      </x:c>
      <x:c r="Q360" s="28" t="str">
        <x:v>кислота усиливает слюноотделение; зелёные терпены создают ощущение прохлады; нет выраженного</x:v>
      </x:c>
      <x:c r="R360" s="28" t="str">
        <x:v>сок — водная кислая фаза; цедра — масляная терпеновая; водная/крахмальная матрица; масло помогает распределить цедру</x:v>
      </x:c>
      <x:c r="S36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60" s="28" t="str">
        <x:v>Лайм формирует профиль «цитрусовый, зелёный, травяной, камфорный»; характерные маркеры: лимонен, гамма-терпинен, цитраль, бета-пинен, линалол. Огурец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U360" s="28" t="str">
        <x:v>Избыток кислоты делает вкус плоско-резким; белая часть кожуры даёт лишнюю горечь.</x:v>
      </x:c>
      <x:c r="V360" s="28" t="str">
        <x:v>оливковое масло или базилик</x:v>
      </x:c>
      <x:c r="W360" s="28" t="str">
        <x:v>винегрет, салат, пюре, запечённое блюдо или овощной соус</x:v>
      </x:c>
      <x:c r="X360" s="28" t="str">
        <x:v>еда, соусы/маринады</x:v>
      </x:c>
      <x:c r="Y360" s="28" t="str">
        <x:v>Гипотеза / практическая</x:v>
      </x:c>
      <x:c r="Z360" s="28" t="str">
        <x:v>Таблица сочетания(1).pdf</x:v>
      </x:c>
      <x:c r="AA360" s="28" t="str">
        <x:v>Таблица сочетания(1).pdf: 11</x:v>
      </x:c>
      <x:c r="AB360" s="28" t="str">
        <x:v>Пара указана в таблице: «Лайм» → колонка «Другое».</x:v>
      </x:c>
      <x:c r="AC360" s="28" t="n">
        <x:v>1</x:v>
      </x:c>
      <x:c r="AD360" s="28" t="n">
        <x:v>1</x:v>
      </x:c>
    </x:row>
    <x:row r="361" ht="58" customHeight="1">
      <x:c r="A361" s="28" t="str">
        <x:v>CIT-0360</x:v>
      </x:c>
      <x:c r="B361" s="28" t="str">
        <x:v>Десерты и выпечка</x:v>
      </x:c>
      <x:c r="C361" s="28" t="str">
        <x:v>лайм</x:v>
      </x:c>
      <x:c r="D361" s="28" t="str">
        <x:v>Лайм | лайм</x:v>
      </x:c>
      <x:c r="E361" s="28" t="str">
        <x:v>Цитрусовые</x:v>
      </x:c>
      <x:c r="F361" s="28" t="str">
        <x:v>папайя</x:v>
      </x:c>
      <x:c r="G361" s="28" t="str">
        <x:v>Папайя | папайя</x:v>
      </x:c>
      <x:c r="H361" s="28" t="str">
        <x:v>Тропические фрукты</x:v>
      </x:c>
      <x:c r="I361" s="28" t="str">
        <x:v>цитрусовый, зелёный, травяной, камфорный</x:v>
      </x:c>
      <x:c r="J361" s="28" t="str">
        <x:v>фруктовый, тропический, цветочный, сливочный</x:v>
      </x:c>
      <x:c r="K361" s="28" t="str">
        <x:v>лимонен, гамма-терпинен, цитраль, бета-пинен, линалол</x:v>
      </x:c>
      <x:c r="L361" s="28" t="str">
        <x:v>этилбутират, гексилацетат, лактоны, сернистые тиолы (у части фруктов)</x:v>
      </x:c>
      <x:c r="M361" s="28" t="str">
        <x:v>прямое семейное перекрытие не является главным механизмом</x:v>
      </x:c>
      <x:c r="N361" s="28" t="str">
        <x:v>надёжный общий маркер не заявлен; сочетание объясняется семействами и сенсорным балансом</x:v>
      </x:c>
      <x:c r="O361" s="28" t="str">
        <x:v>вкусовой баланс</x:v>
      </x:c>
      <x:c r="P361" s="28" t="str">
        <x:v>Общая фруктовая сладость и летучие эфиры создают непрерывный ароматический профиль, а цитрусовая кислота повышает контраст и свежесть.</x:v>
      </x:c>
      <x:c r="Q361" s="28" t="str">
        <x:v>кислота усиливает слюноотделение; зелёные терпены создают ощущение прохлады; нет выраженного</x:v>
      </x:c>
      <x:c r="R361" s="28" t="str">
        <x:v>сок — водная кислая фаза; цедра — масляная терпеновая; сочная или кремовая фруктовая матрица</x:v>
      </x:c>
      <x:c r="S36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61" s="28" t="str">
        <x:v>Лайм формирует профиль «цитрусовый, зелёный, травяной, камфорный»; характерные маркеры: лимонен, гамма-терпинен, цитраль, бета-пинен, линалол. Папайя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361" s="28" t="str">
        <x:v>Избыток кислоты делает вкус плоско-резким; белая часть кожуры даёт лишнюю горечь.</x:v>
      </x:c>
      <x:c r="V361" s="28" t="str">
        <x:v>кокос или имбирь</x:v>
      </x:c>
      <x:c r="W361" s="28" t="str">
        <x:v>смузи, кордиал, сорбет, чатни или коктейль</x:v>
      </x:c>
      <x:c r="X361" s="28" t="str">
        <x:v>напитки, десерты</x:v>
      </x:c>
      <x:c r="Y361" s="28" t="str">
        <x:v>Гипотеза / практическая</x:v>
      </x:c>
      <x:c r="Z361" s="28" t="str">
        <x:v>Таблица сочетания(1).pdf</x:v>
      </x:c>
      <x:c r="AA361" s="28" t="str">
        <x:v>Таблица сочетания(1).pdf: 12, 15</x:v>
      </x:c>
      <x:c r="AB361" s="28" t="str">
        <x:v>Пара указана в таблице: «Папайя» → колонка «Фрукты».</x:v>
      </x:c>
      <x:c r="AC361" s="28" t="n">
        <x:v>1</x:v>
      </x:c>
      <x:c r="AD361" s="28" t="n">
        <x:v>2</x:v>
      </x:c>
    </x:row>
    <x:row r="362" ht="58" customHeight="1">
      <x:c r="A362" s="28" t="str">
        <x:v>CIT-0361</x:v>
      </x:c>
      <x:c r="B362" s="28" t="str">
        <x:v>Универсальные</x:v>
      </x:c>
      <x:c r="C362" s="28" t="str">
        <x:v>лайм</x:v>
      </x:c>
      <x:c r="D362" s="28" t="str">
        <x:v>лайм</x:v>
      </x:c>
      <x:c r="E362" s="28" t="str">
        <x:v>Цитрусовые</x:v>
      </x:c>
      <x:c r="F362" s="28" t="str">
        <x:v>перец</x:v>
      </x:c>
      <x:c r="G362" s="28" t="str">
        <x:v>Перец</x:v>
      </x:c>
      <x:c r="H362" s="28" t="str">
        <x:v>Пряности</x:v>
      </x:c>
      <x:c r="I362" s="28" t="str">
        <x:v>цитрусовый, зелёный, травяной, камфорный</x:v>
      </x:c>
      <x:c r="J362" s="28" t="str">
        <x:v>пряный, древесный, цитрусовый</x:v>
      </x:c>
      <x:c r="K362" s="28" t="str">
        <x:v>лимонен, гамма-терпинен, цитраль, бета-пинен, линалол</x:v>
      </x:c>
      <x:c r="L362" s="28" t="str">
        <x:v>пиперин, лимонен, сабинен, бета-кариофиллен</x:v>
      </x:c>
      <x:c r="M362" s="28" t="str">
        <x:v>цитрусовый</x:v>
      </x:c>
      <x:c r="N362" s="28" t="str">
        <x:v>лимонен</x:v>
      </x:c>
      <x:c r="O362" s="28" t="str">
        <x:v>общие ароматические молекулы, перекрытие ароматических семейств, вкусовой баланс, тройничное восприятие</x:v>
      </x:c>
      <x:c r="P362" s="28" t="str">
        <x:v>Кислота усиливает слюноотделение и делает пряный аромат ярче; терпены цитруса образуют мост с эфирными маслами травы или специи.</x:v>
      </x:c>
      <x:c r="Q362" s="28" t="str">
        <x:v>кислота усиливает слюноотделение; зелёные терпены создают ощущение прохлады; пиперин создаёт длительное тепло; сычуаньский перец — покалывание</x:v>
      </x:c>
      <x:c r="R362" s="28" t="str">
        <x:v>сок — водная кислая фаза; цедра — масляная терпеновая; ароматические масла и пиперин лучше раскрываются в жире/спирте</x:v>
      </x:c>
      <x:c r="S36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62" s="28" t="str">
        <x:v>Лайм формирует профиль «цитрусовый, зелёный, травяной, камфорный»; характерные маркеры: лимонен, гамма-терпинен, цитраль, бета-пинен, линалол.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Перец добавляет сухую пряность и усиливает яркость цедры.</x:v>
      </x:c>
      <x:c r="U362" s="28" t="str">
        <x:v>Избыток кислоты делает вкус плоско-резким; белая часть кожуры даёт лишнюю горечь.</x:v>
      </x:c>
      <x:c r="V362" s="28" t="str">
        <x:v>мёд или ваниль</x:v>
      </x:c>
      <x:c r="W362" s="28" t="str">
        <x:v>сироп, кордиал, чатни, маринад или пряный десерт</x:v>
      </x:c>
      <x:c r="X362" s="28" t="str">
        <x:v>напитки, еда, соусы/маринады</x:v>
      </x:c>
      <x:c r="Y362" s="28" t="str">
        <x:v>Средняя</x:v>
      </x:c>
      <x:c r="Z362" s="28" t="str">
        <x:v>Таблица сочетания(1).pdf</x:v>
      </x:c>
      <x:c r="AA362" s="28" t="str">
        <x:v>Таблица сочетания(1).pdf: 16</x:v>
      </x:c>
      <x:c r="AB362" s="28" t="str">
        <x:v>Пара указана в таблице: «Перец» → колонка «Фрукты».</x:v>
      </x:c>
      <x:c r="AC362" s="28" t="n">
        <x:v>1</x:v>
      </x:c>
      <x:c r="AD362" s="28" t="n">
        <x:v>1</x:v>
      </x:c>
    </x:row>
    <x:row r="363" ht="58" customHeight="1">
      <x:c r="A363" s="28" t="str">
        <x:v>CIT-0362</x:v>
      </x:c>
      <x:c r="B363" s="28" t="str">
        <x:v>Универсальные</x:v>
      </x:c>
      <x:c r="C363" s="28" t="str">
        <x:v>лайм</x:v>
      </x:c>
      <x:c r="D363" s="28" t="str">
        <x:v>lime | лайм</x:v>
      </x:c>
      <x:c r="E363" s="28" t="str">
        <x:v>Цитрусовые</x:v>
      </x:c>
      <x:c r="F363" s="28" t="str">
        <x:v>петрушка</x:v>
      </x:c>
      <x:c r="G363" s="28" t="str">
        <x:v>flat-leaf parsley | Петрушка</x:v>
      </x:c>
      <x:c r="H363" s="28" t="str">
        <x:v>Прочее</x:v>
      </x:c>
      <x:c r="I363" s="28" t="str">
        <x:v>цитрусовый, зелёный, травяной, камфорный</x:v>
      </x:c>
      <x:c r="J363" s="28" t="str">
        <x:v>нейтральный/специфический</x:v>
      </x:c>
      <x:c r="K363" s="28" t="str">
        <x:v>лимонен, гамма-терпинен, цитраль, бета-пинен, линалол</x:v>
      </x:c>
      <x:c r="L363" s="28" t="str">
        <x:v>нужен профиль конкретного продукта</x:v>
      </x:c>
      <x:c r="M363" s="28" t="str">
        <x:v>прямое семейное перекрытие не является главным механизмом</x:v>
      </x:c>
      <x:c r="N363" s="28" t="str">
        <x:v>надёжный общий маркер не заявлен; сочетание объясняется семействами и сенсорным балансом</x:v>
      </x:c>
      <x:c r="O363" s="28" t="str">
        <x:v>вкусовой баланс, тройничное восприятие</x:v>
      </x:c>
      <x:c r="P363" s="28" t="str">
        <x:v>Основной эффект определяется ароматическим контрастом и добавлением кислотной свежести; точный баланс зависит от дозировки и матрицы.</x:v>
      </x:c>
      <x:c r="Q363" s="28" t="str">
        <x:v>кислота усиливает слюноотделение; зелёные терпены создают ощущение прохлады; нет данных</x:v>
      </x:c>
      <x:c r="R363" s="28" t="str">
        <x:v>сок — водная кислая фаза; цедра — масляная терпеновая; зависит от формы продукта</x:v>
      </x:c>
      <x:c r="S36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63" s="28" t="str">
        <x:v>Лайм формирует профиль «цитрусовый, зелёный, травяной, камфорный»; характерные маркеры: лимонен, гамма-терпинен, цитраль, бета-пинен, линалол. Петрушка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63" s="28" t="str">
        <x:v>Избыток кислоты делает вкус плоско-резким; белая часть кожуры даёт лишнюю горечь.</x:v>
      </x:c>
      <x:c r="V363" s="28" t="str">
        <x:v>мёд или нейтральная жировая основа</x:v>
      </x:c>
      <x:c r="W363" s="28" t="str">
        <x:v>соус, напиток или десерт после пробной дегустации</x:v>
      </x:c>
      <x:c r="X363" s="28" t="str">
        <x:v>универсальное</x:v>
      </x:c>
      <x:c r="Y363" s="28" t="str">
        <x:v>Высокая</x:v>
      </x:c>
      <x:c r="Z363" s="28" t="str">
        <x:v>The Art &amp; Science of Foodpairing.pdf | Таблица сочетания(1).pdf</x:v>
      </x:c>
      <x:c r="AA363" s="28" t="str">
        <x:v>Таблица сочетания(1).pdf: 15 | The Art &amp; Science of Foodpairing.pdf: 88</x:v>
      </x:c>
      <x:c r="AB363" s="28" t="str">
        <x:v>Пара представлена в ароматической диаграмме Foodpairing на странице 88.</x:v>
      </x:c>
      <x:c r="AC363" s="28" t="n">
        <x:v>2</x:v>
      </x:c>
      <x:c r="AD363" s="28" t="n">
        <x:v>3</x:v>
      </x:c>
    </x:row>
    <x:row r="364" ht="58" customHeight="1">
      <x:c r="A364" s="28" t="str">
        <x:v>CIT-0363</x:v>
      </x:c>
      <x:c r="B364" s="28" t="str">
        <x:v>Универсальные</x:v>
      </x:c>
      <x:c r="C364" s="28" t="str">
        <x:v>лайм</x:v>
      </x:c>
      <x:c r="D364" s="28" t="str">
        <x:v>лайм</x:v>
      </x:c>
      <x:c r="E364" s="28" t="str">
        <x:v>Цитрусовые</x:v>
      </x:c>
      <x:c r="F364" s="28" t="str">
        <x:v>питахайя (dragon fruit)</x:v>
      </x:c>
      <x:c r="G364" s="28" t="str">
        <x:v>Питахайя (dragon fruit)</x:v>
      </x:c>
      <x:c r="H364" s="28" t="str">
        <x:v>Прочее</x:v>
      </x:c>
      <x:c r="I364" s="28" t="str">
        <x:v>цитрусовый, зелёный, травяной, камфорный</x:v>
      </x:c>
      <x:c r="J364" s="28" t="str">
        <x:v>нейтральный/специфический</x:v>
      </x:c>
      <x:c r="K364" s="28" t="str">
        <x:v>лимонен, гамма-терпинен, цитраль, бета-пинен, линалол</x:v>
      </x:c>
      <x:c r="L364" s="28" t="str">
        <x:v>нужен профиль конкретного продукта</x:v>
      </x:c>
      <x:c r="M364" s="28" t="str">
        <x:v>прямое семейное перекрытие не является главным механизмом</x:v>
      </x:c>
      <x:c r="N364" s="28" t="str">
        <x:v>надёжный общий маркер не заявлен; сочетание объясняется семействами и сенсорным балансом</x:v>
      </x:c>
      <x:c r="O364" s="28" t="str">
        <x:v>вкусовой баланс, тройничное восприятие</x:v>
      </x:c>
      <x:c r="P364" s="28" t="str">
        <x:v>Основной эффект определяется ароматическим контрастом и добавлением кислотной свежести; точный баланс зависит от дозировки и матрицы.</x:v>
      </x:c>
      <x:c r="Q364" s="28" t="str">
        <x:v>кислота усиливает слюноотделение; зелёные терпены создают ощущение прохлады; нет данных</x:v>
      </x:c>
      <x:c r="R364" s="28" t="str">
        <x:v>сок — водная кислая фаза; цедра — масляная терпеновая; зависит от формы продукта</x:v>
      </x:c>
      <x:c r="S36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64" s="28" t="str">
        <x:v>Лайм формирует профиль «цитрусовый, зелёный, травяной, камфорный»; характерные маркеры: лимонен, гамма-терпинен, цитраль, бета-пинен, линалол. Питахайя (dragon fruit)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64" s="28" t="str">
        <x:v>Избыток кислоты делает вкус плоско-резким; белая часть кожуры даёт лишнюю горечь.</x:v>
      </x:c>
      <x:c r="V364" s="28" t="str">
        <x:v>мёд или нейтральная жировая основа</x:v>
      </x:c>
      <x:c r="W364" s="28" t="str">
        <x:v>соус, напиток или десерт после пробной дегустации</x:v>
      </x:c>
      <x:c r="X364" s="28" t="str">
        <x:v>универсальное</x:v>
      </x:c>
      <x:c r="Y364" s="28" t="str">
        <x:v>Гипотеза / практическая</x:v>
      </x:c>
      <x:c r="Z364" s="28" t="str">
        <x:v>Таблица сочетания(1).pdf</x:v>
      </x:c>
      <x:c r="AA364" s="28" t="str">
        <x:v>Таблица сочетания(1).pdf: 7</x:v>
      </x:c>
      <x:c r="AB364" s="28" t="str">
        <x:v>Пара указана в таблице: «Питахайя (dragon fruit)» → колонка «Фрукты».</x:v>
      </x:c>
      <x:c r="AC364" s="28" t="n">
        <x:v>1</x:v>
      </x:c>
      <x:c r="AD364" s="28" t="n">
        <x:v>1</x:v>
      </x:c>
    </x:row>
    <x:row r="365" ht="58" customHeight="1">
      <x:c r="A365" s="28" t="str">
        <x:v>CIT-0364</x:v>
      </x:c>
      <x:c r="B365" s="28" t="str">
        <x:v>Универсальные</x:v>
      </x:c>
      <x:c r="C365" s="28" t="str">
        <x:v>лайм</x:v>
      </x:c>
      <x:c r="D365" s="28" t="str">
        <x:v>лайм</x:v>
      </x:c>
      <x:c r="E365" s="28" t="str">
        <x:v>Цитрусовые</x:v>
      </x:c>
      <x:c r="F365" s="28" t="str">
        <x:v>рамбутан</x:v>
      </x:c>
      <x:c r="G365" s="28" t="str">
        <x:v>Рамбутан</x:v>
      </x:c>
      <x:c r="H365" s="28" t="str">
        <x:v>Прочее</x:v>
      </x:c>
      <x:c r="I365" s="28" t="str">
        <x:v>цитрусовый, зелёный, травяной, камфорный</x:v>
      </x:c>
      <x:c r="J365" s="28" t="str">
        <x:v>нейтральный/специфический</x:v>
      </x:c>
      <x:c r="K365" s="28" t="str">
        <x:v>лимонен, гамма-терпинен, цитраль, бета-пинен, линалол</x:v>
      </x:c>
      <x:c r="L365" s="28" t="str">
        <x:v>нужен профиль конкретного продукта</x:v>
      </x:c>
      <x:c r="M365" s="28" t="str">
        <x:v>прямое семейное перекрытие не является главным механизмом</x:v>
      </x:c>
      <x:c r="N365" s="28" t="str">
        <x:v>надёжный общий маркер не заявлен; сочетание объясняется семействами и сенсорным балансом</x:v>
      </x:c>
      <x:c r="O365" s="28" t="str">
        <x:v>вкусовой баланс, тройничное восприятие</x:v>
      </x:c>
      <x:c r="P365" s="28" t="str">
        <x:v>Основной эффект определяется ароматическим контрастом и добавлением кислотной свежести; точный баланс зависит от дозировки и матрицы.</x:v>
      </x:c>
      <x:c r="Q365" s="28" t="str">
        <x:v>кислота усиливает слюноотделение; зелёные терпены создают ощущение прохлады; нет данных</x:v>
      </x:c>
      <x:c r="R365" s="28" t="str">
        <x:v>сок — водная кислая фаза; цедра — масляная терпеновая; зависит от формы продукта</x:v>
      </x:c>
      <x:c r="S36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65" s="28" t="str">
        <x:v>Лайм формирует профиль «цитрусовый, зелёный, травяной, камфорный»; характерные маркеры: лимонен, гамма-терпинен, цитраль, бета-пинен, линалол. Рамбутан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65" s="28" t="str">
        <x:v>Избыток кислоты делает вкус плоско-резким; белая часть кожуры даёт лишнюю горечь.</x:v>
      </x:c>
      <x:c r="V365" s="28" t="str">
        <x:v>мёд или нейтральная жировая основа</x:v>
      </x:c>
      <x:c r="W365" s="28" t="str">
        <x:v>соус, напиток или десерт после пробной дегустации</x:v>
      </x:c>
      <x:c r="X365" s="28" t="str">
        <x:v>универсальное</x:v>
      </x:c>
      <x:c r="Y365" s="28" t="str">
        <x:v>Гипотеза / практическая</x:v>
      </x:c>
      <x:c r="Z365" s="28" t="str">
        <x:v>Таблица сочетания(1).pdf</x:v>
      </x:c>
      <x:c r="AA365" s="28" t="str">
        <x:v>Таблица сочетания(1).pdf: 19</x:v>
      </x:c>
      <x:c r="AB365" s="28" t="str">
        <x:v>Пара указана в таблице: «Рамбутан» → колонка «Фрукты».</x:v>
      </x:c>
      <x:c r="AC365" s="28" t="n">
        <x:v>1</x:v>
      </x:c>
      <x:c r="AD365" s="28" t="n">
        <x:v>1</x:v>
      </x:c>
    </x:row>
    <x:row r="366" ht="58" customHeight="1">
      <x:c r="A366" s="28" t="str">
        <x:v>CIT-0365</x:v>
      </x:c>
      <x:c r="B366" s="28" t="str">
        <x:v>Универсальные</x:v>
      </x:c>
      <x:c r="C366" s="28" t="str">
        <x:v>лайм</x:v>
      </x:c>
      <x:c r="D366" s="28" t="str">
        <x:v>Лайм</x:v>
      </x:c>
      <x:c r="E366" s="28" t="str">
        <x:v>Цитрусовые</x:v>
      </x:c>
      <x:c r="F366" s="28" t="str">
        <x:v>ревень</x:v>
      </x:c>
      <x:c r="G366" s="28" t="str">
        <x:v>ревень</x:v>
      </x:c>
      <x:c r="H366" s="28" t="str">
        <x:v>Прочее</x:v>
      </x:c>
      <x:c r="I366" s="28" t="str">
        <x:v>цитрусовый, зелёный, травяной, камфорный</x:v>
      </x:c>
      <x:c r="J366" s="28" t="str">
        <x:v>нейтральный/специфический</x:v>
      </x:c>
      <x:c r="K366" s="28" t="str">
        <x:v>лимонен, гамма-терпинен, цитраль, бета-пинен, линалол</x:v>
      </x:c>
      <x:c r="L366" s="28" t="str">
        <x:v>нужен профиль конкретного продукта</x:v>
      </x:c>
      <x:c r="M366" s="28" t="str">
        <x:v>прямое семейное перекрытие не является главным механизмом</x:v>
      </x:c>
      <x:c r="N366" s="28" t="str">
        <x:v>надёжный общий маркер не заявлен; сочетание объясняется семействами и сенсорным балансом</x:v>
      </x:c>
      <x:c r="O366" s="28" t="str">
        <x:v>вкусовой баланс, тройничное восприятие</x:v>
      </x:c>
      <x:c r="P366" s="28" t="str">
        <x:v>Основной эффект определяется ароматическим контрастом и добавлением кислотной свежести; точный баланс зависит от дозировки и матрицы.</x:v>
      </x:c>
      <x:c r="Q366" s="28" t="str">
        <x:v>кислота усиливает слюноотделение; зелёные терпены создают ощущение прохлады; нет данных</x:v>
      </x:c>
      <x:c r="R366" s="28" t="str">
        <x:v>сок — водная кислая фаза; цедра — масляная терпеновая; зависит от формы продукта</x:v>
      </x:c>
      <x:c r="S36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66" s="28" t="str">
        <x:v>Лайм формирует профиль «цитрусовый, зелёный, травяной, камфорный»; характерные маркеры: лимонен, гамма-терпинен, цитраль, бета-пинен, линалол. Ревень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66" s="28" t="str">
        <x:v>Избыток кислоты делает вкус плоско-резким; белая часть кожуры даёт лишнюю горечь.</x:v>
      </x:c>
      <x:c r="V366" s="28" t="str">
        <x:v>мёд или нейтральная жировая основа</x:v>
      </x:c>
      <x:c r="W366" s="28" t="str">
        <x:v>соус, напиток или десерт после пробной дегустации</x:v>
      </x:c>
      <x:c r="X366" s="28" t="str">
        <x:v>универсальное</x:v>
      </x:c>
      <x:c r="Y366" s="28" t="str">
        <x:v>Гипотеза / практическая</x:v>
      </x:c>
      <x:c r="Z366" s="28" t="str">
        <x:v>Таблица сочетания(1).pdf</x:v>
      </x:c>
      <x:c r="AA366" s="28" t="str">
        <x:v>Таблица сочетания(1).pdf: 11</x:v>
      </x:c>
      <x:c r="AB366" s="28" t="str">
        <x:v>Пара указана в таблице: «Лайм» → колонка «Другое».</x:v>
      </x:c>
      <x:c r="AC366" s="28" t="n">
        <x:v>1</x:v>
      </x:c>
      <x:c r="AD366" s="28" t="n">
        <x:v>1</x:v>
      </x:c>
    </x:row>
    <x:row r="367" ht="58" customHeight="1">
      <x:c r="A367" s="28" t="str">
        <x:v>CIT-0366</x:v>
      </x:c>
      <x:c r="B367" s="28" t="str">
        <x:v>Универсальные</x:v>
      </x:c>
      <x:c r="C367" s="28" t="str">
        <x:v>лайм</x:v>
      </x:c>
      <x:c r="D367" s="28" t="str">
        <x:v>Лайм | лайм</x:v>
      </x:c>
      <x:c r="E367" s="28" t="str">
        <x:v>Цитрусовые</x:v>
      </x:c>
      <x:c r="F367" s="28" t="str">
        <x:v>розмарин</x:v>
      </x:c>
      <x:c r="G367" s="28" t="str">
        <x:v>Розмарин | розмарин</x:v>
      </x:c>
      <x:c r="H367" s="28" t="str">
        <x:v>Травы</x:v>
      </x:c>
      <x:c r="I367" s="28" t="str">
        <x:v>цитрусовый, зелёный, травяной, камфорный</x:v>
      </x:c>
      <x:c r="J367" s="28" t="str">
        <x:v>травяной, хвойный, камфорный, древесный</x:v>
      </x:c>
      <x:c r="K367" s="28" t="str">
        <x:v>лимонен, гамма-терпинен, цитраль, бета-пинен, линалол</x:v>
      </x:c>
      <x:c r="L367" s="28" t="str">
        <x:v>1,8-цинеол, камфора, тимол/карвакрол, альфа-пинен</x:v>
      </x:c>
      <x:c r="M367" s="28" t="str">
        <x:v>камфорный, травяной</x:v>
      </x:c>
      <x:c r="N367" s="28" t="str">
        <x:v>надёжный общий маркер не заявлен; сочетание объясняется семействами и сенсорным балансом</x:v>
      </x:c>
      <x:c r="O367" s="28" t="str">
        <x:v>перекрытие ароматических семейств, вкусовой баланс, тройничное восприятие</x:v>
      </x:c>
      <x:c r="P367" s="28" t="str">
        <x:v>Кислота усиливает слюноотделение и делает пряный аромат ярче; терпены цитруса образуют мост с эфирными маслами травы или специи.</x:v>
      </x:c>
      <x:c r="Q367" s="28" t="str">
        <x:v>кислота усиливает слюноотделение; зелёные терпены создают ощущение прохлады; камфора и цинеол дают прохладно-камфорное ощущение</x:v>
      </x:c>
      <x:c r="R367" s="28" t="str">
        <x:v>сок — водная кислая фаза; цедра — масляная терпеновая; эфирные масла лучше раскрываются в жире и спирте</x:v>
      </x:c>
      <x:c r="S36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67" s="28" t="str">
        <x:v>Лайм формирует профиль «цитрусовый, зелёный, травяной, камфорный»; характерные маркеры: лимонен, гамма-терпинен, цитраль, бета-пинен, линалол.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U367" s="28" t="str">
        <x:v>Избыток кислоты делает вкус плоско-резким; белая часть кожуры даёт лишнюю горечь; цитрус легко подавляет деликатный аромат партнёра.</x:v>
      </x:c>
      <x:c r="V367" s="28" t="str">
        <x:v>оливковое масло или огурец</x:v>
      </x:c>
      <x:c r="W367" s="28" t="str">
        <x:v>лимонад, кордиал, салатная заправка или зелёный соус</x:v>
      </x:c>
      <x:c r="X367" s="28" t="str">
        <x:v>напитки, еда, соусы/маринады</x:v>
      </x:c>
      <x:c r="Y367" s="28" t="str">
        <x:v>Гипотеза / практическая</x:v>
      </x:c>
      <x:c r="Z367" s="28" t="str">
        <x:v>Таблица сочетания(1).pdf</x:v>
      </x:c>
      <x:c r="AA367" s="28" t="str">
        <x:v>Таблица сочетания(1).pdf: 12, 19</x:v>
      </x:c>
      <x:c r="AB367" s="28" t="str">
        <x:v>Пара указана в таблице: «Лайм» → колонка «Травы и специи».</x:v>
      </x:c>
      <x:c r="AC367" s="28" t="n">
        <x:v>1</x:v>
      </x:c>
      <x:c r="AD367" s="28" t="n">
        <x:v>2</x:v>
      </x:c>
    </x:row>
    <x:row r="368" ht="58" customHeight="1">
      <x:c r="A368" s="28" t="str">
        <x:v>CIT-0367</x:v>
      </x:c>
      <x:c r="B368" s="28" t="str">
        <x:v>Универсальные</x:v>
      </x:c>
      <x:c r="C368" s="28" t="str">
        <x:v>лайм</x:v>
      </x:c>
      <x:c r="D368" s="28" t="str">
        <x:v>лайм</x:v>
      </x:c>
      <x:c r="E368" s="28" t="str">
        <x:v>Цитрусовые</x:v>
      </x:c>
      <x:c r="F368" s="28" t="str">
        <x:v>саусеп (soursop)</x:v>
      </x:c>
      <x:c r="G368" s="28" t="str">
        <x:v>Саусеп (soursop)</x:v>
      </x:c>
      <x:c r="H368" s="28" t="str">
        <x:v>Прочее</x:v>
      </x:c>
      <x:c r="I368" s="28" t="str">
        <x:v>цитрусовый, зелёный, травяной, камфорный</x:v>
      </x:c>
      <x:c r="J368" s="28" t="str">
        <x:v>нейтральный/специфический</x:v>
      </x:c>
      <x:c r="K368" s="28" t="str">
        <x:v>лимонен, гамма-терпинен, цитраль, бета-пинен, линалол</x:v>
      </x:c>
      <x:c r="L368" s="28" t="str">
        <x:v>нужен профиль конкретного продукта</x:v>
      </x:c>
      <x:c r="M368" s="28" t="str">
        <x:v>прямое семейное перекрытие не является главным механизмом</x:v>
      </x:c>
      <x:c r="N368" s="28" t="str">
        <x:v>надёжный общий маркер не заявлен; сочетание объясняется семействами и сенсорным балансом</x:v>
      </x:c>
      <x:c r="O368" s="28" t="str">
        <x:v>вкусовой баланс, тройничное восприятие</x:v>
      </x:c>
      <x:c r="P368" s="28" t="str">
        <x:v>Основной эффект определяется ароматическим контрастом и добавлением кислотной свежести; точный баланс зависит от дозировки и матрицы.</x:v>
      </x:c>
      <x:c r="Q368" s="28" t="str">
        <x:v>кислота усиливает слюноотделение; зелёные терпены создают ощущение прохлады; нет данных</x:v>
      </x:c>
      <x:c r="R368" s="28" t="str">
        <x:v>сок — водная кислая фаза; цедра — масляная терпеновая; зависит от формы продукта</x:v>
      </x:c>
      <x:c r="S36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68" s="28" t="str">
        <x:v>Лайм формирует профиль «цитрусовый, зелёный, травяной, камфорный»; характерные маркеры: лимонен, гамма-терпинен, цитраль, бета-пинен, линалол. Саусеп (soursop)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68" s="28" t="str">
        <x:v>Избыток кислоты делает вкус плоско-резким; белая часть кожуры даёт лишнюю горечь.</x:v>
      </x:c>
      <x:c r="V368" s="28" t="str">
        <x:v>мёд или нейтральная жировая основа</x:v>
      </x:c>
      <x:c r="W368" s="28" t="str">
        <x:v>соус, напиток или десерт после пробной дегустации</x:v>
      </x:c>
      <x:c r="X368" s="28" t="str">
        <x:v>универсальное</x:v>
      </x:c>
      <x:c r="Y368" s="28" t="str">
        <x:v>Гипотеза / практическая</x:v>
      </x:c>
      <x:c r="Z368" s="28" t="str">
        <x:v>Таблица сочетания(1).pdf</x:v>
      </x:c>
      <x:c r="AA368" s="28" t="str">
        <x:v>Таблица сочетания(1).pdf: 20</x:v>
      </x:c>
      <x:c r="AB368" s="28" t="str">
        <x:v>Пара указана в таблице: «Саусеп (soursop)» → колонка «Фрукты».</x:v>
      </x:c>
      <x:c r="AC368" s="28" t="n">
        <x:v>1</x:v>
      </x:c>
      <x:c r="AD368" s="28" t="n">
        <x:v>1</x:v>
      </x:c>
    </x:row>
    <x:row r="369" ht="58" customHeight="1">
      <x:c r="A369" s="28" t="str">
        <x:v>CIT-0368</x:v>
      </x:c>
      <x:c r="B369" s="28" t="str">
        <x:v>Универсальные</x:v>
      </x:c>
      <x:c r="C369" s="28" t="str">
        <x:v>лайм</x:v>
      </x:c>
      <x:c r="D369" s="28" t="str">
        <x:v>lime</x:v>
      </x:c>
      <x:c r="E369" s="28" t="str">
        <x:v>Цитрусовые</x:v>
      </x:c>
      <x:c r="F369" s="28" t="str">
        <x:v>сок лайма</x:v>
      </x:c>
      <x:c r="G369" s="28" t="str">
        <x:v>lime juice</x:v>
      </x:c>
      <x:c r="H369" s="28" t="str">
        <x:v>Цитрусовые</x:v>
      </x:c>
      <x:c r="I369" s="28" t="str">
        <x:v>цитрусовый, зелёный, травяной, камфорный</x:v>
      </x:c>
      <x:c r="J369" s="28" t="str">
        <x:v>цитрусовый, зелёный, травяной, камфорный</x:v>
      </x:c>
      <x:c r="K369" s="28" t="str">
        <x:v>лимонен, гамма-терпинен, цитраль, бета-пинен, линалол</x:v>
      </x:c>
      <x:c r="L369" s="28" t="str">
        <x:v>лимонен, гамма-терпинен, цитраль, бета-пинен, линалол</x:v>
      </x:c>
      <x:c r="M369" s="28" t="str">
        <x:v>зелёный, камфорный, травяной, цитрусовый</x:v>
      </x:c>
      <x:c r="N369" s="28" t="str">
        <x:v>бета-пинен, гамма-терпинен, лимонен, линалол, цитраль</x:v>
      </x:c>
      <x:c r="O369" s="28" t="str">
        <x:v>общие ароматические молекулы, перекрытие ароматических семейств, вкусовой баланс, тройничное восприятие</x:v>
      </x:c>
      <x:c r="P369" s="28" t="str">
        <x:v>Сочетание строится на близком терпеновом профиле; различия в кислотности, горечи и цветочно-зелёных оттенках создают объём.</x:v>
      </x:c>
      <x:c r="Q369" s="28" t="str">
        <x:v>кислота усиливает слюноотделение; зелёные терпены создают ощущение прохлады; кислота усиливает слюноотделение; зелёные терпены создают ощущение прохлады</x:v>
      </x:c>
      <x:c r="R369" s="28" t="str">
        <x:v>сок — водная кислая фаза; цедра — масляная терпеновая; сок — водная кислая фаза; цедра — масляная терпеновая</x:v>
      </x:c>
      <x:c r="S36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69" s="28" t="str">
        <x:v>Лайм формирует профиль «цитрусовый, зелёный, травяной, камфорный»; характерные маркеры: лимонен, гамма-терпинен, цитраль, бета-пинен, линалол. Сок лайма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линалол, цитраль; дополнительно совпадают ароматические семейства: зелёный, камфорный, травяной,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Лаймовые цитрусы дают более зелёный и камфорный профиль, чем сладкий апельсин.</x:v>
      </x:c>
      <x:c r="U369" s="28" t="str">
        <x:v>Избыток кислоты делает вкус плоско-резким; белая часть кожуры даёт лишнюю горечь.</x:v>
      </x:c>
      <x:c r="V369" s="28" t="str">
        <x:v>мёд или цветочная вода</x:v>
      </x:c>
      <x:c r="W369" s="28" t="str">
        <x:v>цитрусовый кордиал, мармелад, сорбет, салат или купаж соков</x:v>
      </x:c>
      <x:c r="X369" s="28" t="str">
        <x:v>напитки, десерты</x:v>
      </x:c>
      <x:c r="Y369" s="28" t="str">
        <x:v>Средняя</x:v>
      </x:c>
      <x:c r="Z369" s="28" t="str">
        <x:v>The Art &amp; Science of Foodpairing.pdf</x:v>
      </x:c>
      <x:c r="AA369" s="28" t="str">
        <x:v>The Art &amp; Science of Foodpairing.pdf: 87</x:v>
      </x:c>
      <x:c r="AB369" s="28" t="str">
        <x:v>Пара представлена в ароматической диаграмме Foodpairing на странице 87.</x:v>
      </x:c>
      <x:c r="AC369" s="28" t="n">
        <x:v>1</x:v>
      </x:c>
      <x:c r="AD369" s="28" t="n">
        <x:v>1</x:v>
      </x:c>
    </x:row>
    <x:row r="370" ht="58" customHeight="1">
      <x:c r="A370" s="28" t="str">
        <x:v>CIT-0369</x:v>
      </x:c>
      <x:c r="B370" s="28" t="str">
        <x:v>Универсальные</x:v>
      </x:c>
      <x:c r="C370" s="28" t="str">
        <x:v>лайм</x:v>
      </x:c>
      <x:c r="D370" s="28" t="str">
        <x:v>lime</x:v>
      </x:c>
      <x:c r="E370" s="28" t="str">
        <x:v>Цитрусовые</x:v>
      </x:c>
      <x:c r="F370" s="28" t="str">
        <x:v>сушёный орегано</x:v>
      </x:c>
      <x:c r="G370" s="28" t="str">
        <x:v>dried oregano</x:v>
      </x:c>
      <x:c r="H370" s="28" t="str">
        <x:v>Травы</x:v>
      </x:c>
      <x:c r="I370" s="28" t="str">
        <x:v>цитрусовый, зелёный, травяной, камфорный</x:v>
      </x:c>
      <x:c r="J370" s="28" t="str">
        <x:v>травяной, хвойный, камфорный, древесный</x:v>
      </x:c>
      <x:c r="K370" s="28" t="str">
        <x:v>лимонен, гамма-терпинен, цитраль, бета-пинен, линалол</x:v>
      </x:c>
      <x:c r="L370" s="28" t="str">
        <x:v>1,8-цинеол, камфора, тимол/карвакрол, альфа-пинен</x:v>
      </x:c>
      <x:c r="M370" s="28" t="str">
        <x:v>камфорный, травяной</x:v>
      </x:c>
      <x:c r="N370" s="28" t="str">
        <x:v>надёжный общий маркер не заявлен; сочетание объясняется семействами и сенсорным балансом</x:v>
      </x:c>
      <x:c r="O370" s="28" t="str">
        <x:v>перекрытие ароматических семейств, вкусовой баланс, тройничное восприятие</x:v>
      </x:c>
      <x:c r="P370" s="28" t="str">
        <x:v>Кислота усиливает слюноотделение и делает пряный аромат ярче; терпены цитруса образуют мост с эфирными маслами травы или специи.</x:v>
      </x:c>
      <x:c r="Q370" s="28" t="str">
        <x:v>кислота усиливает слюноотделение; зелёные терпены создают ощущение прохлады; камфора и цинеол дают прохладно-камфорное ощущение</x:v>
      </x:c>
      <x:c r="R370" s="28" t="str">
        <x:v>сок — водная кислая фаза; цедра — масляная терпеновая; эфирные масла лучше раскрываются в жире и спирте</x:v>
      </x:c>
      <x:c r="S37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70" s="28" t="str">
        <x:v>Лайм формирует профиль «цитрусовый, зелёный, травяной, камфорный»; характерные маркеры: лимонен, гамма-терпинен, цитраль, бета-пинен, линалол.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U370" s="28" t="str">
        <x:v>Избыток кислоты делает вкус плоско-резким; белая часть кожуры даёт лишнюю горечь; цитрус легко подавляет деликатный аромат партнёра.</x:v>
      </x:c>
      <x:c r="V370" s="28" t="str">
        <x:v>оливковое масло или огурец</x:v>
      </x:c>
      <x:c r="W370" s="28" t="str">
        <x:v>лимонад, кордиал, салатная заправка или зелёный соус</x:v>
      </x:c>
      <x:c r="X370" s="28" t="str">
        <x:v>напитки, еда, соусы/маринады</x:v>
      </x:c>
      <x:c r="Y370" s="28" t="str">
        <x:v>Средняя</x:v>
      </x:c>
      <x:c r="Z370" s="28" t="str">
        <x:v>The Art &amp; Science of Foodpairing.pdf</x:v>
      </x:c>
      <x:c r="AA370" s="28" t="str">
        <x:v>The Art &amp; Science of Foodpairing.pdf: 87</x:v>
      </x:c>
      <x:c r="AB370" s="28" t="str">
        <x:v>Пара представлена в ароматической диаграмме Foodpairing на странице 87.</x:v>
      </x:c>
      <x:c r="AC370" s="28" t="n">
        <x:v>1</x:v>
      </x:c>
      <x:c r="AD370" s="28" t="n">
        <x:v>1</x:v>
      </x:c>
    </x:row>
    <x:row r="371" ht="58" customHeight="1">
      <x:c r="A371" s="28" t="str">
        <x:v>CIT-0370</x:v>
      </x:c>
      <x:c r="B371" s="28" t="str">
        <x:v>Универсальные</x:v>
      </x:c>
      <x:c r="C371" s="28" t="str">
        <x:v>лайм</x:v>
      </x:c>
      <x:c r="D371" s="28" t="str">
        <x:v>Лайм | лайм</x:v>
      </x:c>
      <x:c r="E371" s="28" t="str">
        <x:v>Цитрусовые</x:v>
      </x:c>
      <x:c r="F371" s="28" t="str">
        <x:v>тархун</x:v>
      </x:c>
      <x:c r="G371" s="28" t="str">
        <x:v>Тархун | тархун</x:v>
      </x:c>
      <x:c r="H371" s="28" t="str">
        <x:v>Прочее</x:v>
      </x:c>
      <x:c r="I371" s="28" t="str">
        <x:v>цитрусовый, зелёный, травяной, камфорный</x:v>
      </x:c>
      <x:c r="J371" s="28" t="str">
        <x:v>нейтральный/специфический</x:v>
      </x:c>
      <x:c r="K371" s="28" t="str">
        <x:v>лимонен, гамма-терпинен, цитраль, бета-пинен, линалол</x:v>
      </x:c>
      <x:c r="L371" s="28" t="str">
        <x:v>нужен профиль конкретного продукта</x:v>
      </x:c>
      <x:c r="M371" s="28" t="str">
        <x:v>прямое семейное перекрытие не является главным механизмом</x:v>
      </x:c>
      <x:c r="N371" s="28" t="str">
        <x:v>надёжный общий маркер не заявлен; сочетание объясняется семействами и сенсорным балансом</x:v>
      </x:c>
      <x:c r="O371" s="28" t="str">
        <x:v>вкусовой баланс, тройничное восприятие</x:v>
      </x:c>
      <x:c r="P371" s="28" t="str">
        <x:v>Основной эффект определяется ароматическим контрастом и добавлением кислотной свежести; точный баланс зависит от дозировки и матрицы.</x:v>
      </x:c>
      <x:c r="Q371" s="28" t="str">
        <x:v>кислота усиливает слюноотделение; зелёные терпены создают ощущение прохлады; нет данных</x:v>
      </x:c>
      <x:c r="R371" s="28" t="str">
        <x:v>сок — водная кислая фаза; цедра — масляная терпеновая; зависит от формы продукта</x:v>
      </x:c>
      <x:c r="S37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71" s="28" t="str">
        <x:v>Лайм формирует профиль «цитрусовый, зелёный, травяной, камфорный»; характерные маркеры: лимонен, гамма-терпинен, цитраль, бета-пинен, линалол. Тархун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71" s="28" t="str">
        <x:v>Избыток кислоты делает вкус плоско-резким; белая часть кожуры даёт лишнюю горечь.</x:v>
      </x:c>
      <x:c r="V371" s="28" t="str">
        <x:v>мёд или нейтральная жировая основа</x:v>
      </x:c>
      <x:c r="W371" s="28" t="str">
        <x:v>соус, напиток или десерт после пробной дегустации</x:v>
      </x:c>
      <x:c r="X371" s="28" t="str">
        <x:v>универсальное</x:v>
      </x:c>
      <x:c r="Y371" s="28" t="str">
        <x:v>Гипотеза / практическая</x:v>
      </x:c>
      <x:c r="Z371" s="28" t="str">
        <x:v>Таблица сочетания(1).pdf</x:v>
      </x:c>
      <x:c r="AA371" s="28" t="str">
        <x:v>Таблица сочетания(1).pdf: 12, 21</x:v>
      </x:c>
      <x:c r="AB371" s="28" t="str">
        <x:v>Пара указана в таблице: «Лайм» → колонка «Травы и специи».</x:v>
      </x:c>
      <x:c r="AC371" s="28" t="n">
        <x:v>1</x:v>
      </x:c>
      <x:c r="AD371" s="28" t="n">
        <x:v>2</x:v>
      </x:c>
    </x:row>
    <x:row r="372" ht="58" customHeight="1">
      <x:c r="A372" s="28" t="str">
        <x:v>CIT-0371</x:v>
      </x:c>
      <x:c r="B372" s="28" t="str">
        <x:v>Универсальные</x:v>
      </x:c>
      <x:c r="C372" s="28" t="str">
        <x:v>лайм</x:v>
      </x:c>
      <x:c r="D372" s="28" t="str">
        <x:v>Лайм</x:v>
      </x:c>
      <x:c r="E372" s="28" t="str">
        <x:v>Цитрусовые</x:v>
      </x:c>
      <x:c r="F372" s="28" t="str">
        <x:v>тимьян</x:v>
      </x:c>
      <x:c r="G372" s="28" t="str">
        <x:v>тимьян</x:v>
      </x:c>
      <x:c r="H372" s="28" t="str">
        <x:v>Травы</x:v>
      </x:c>
      <x:c r="I372" s="28" t="str">
        <x:v>цитрусовый, зелёный, травяной, камфорный</x:v>
      </x:c>
      <x:c r="J372" s="28" t="str">
        <x:v>травяной, хвойный, камфорный, древесный</x:v>
      </x:c>
      <x:c r="K372" s="28" t="str">
        <x:v>лимонен, гамма-терпинен, цитраль, бета-пинен, линалол</x:v>
      </x:c>
      <x:c r="L372" s="28" t="str">
        <x:v>1,8-цинеол, камфора, тимол/карвакрол, альфа-пинен</x:v>
      </x:c>
      <x:c r="M372" s="28" t="str">
        <x:v>камфорный, травяной</x:v>
      </x:c>
      <x:c r="N372" s="28" t="str">
        <x:v>надёжный общий маркер не заявлен; сочетание объясняется семействами и сенсорным балансом</x:v>
      </x:c>
      <x:c r="O372" s="28" t="str">
        <x:v>перекрытие ароматических семейств, вкусовой баланс, тройничное восприятие</x:v>
      </x:c>
      <x:c r="P372" s="28" t="str">
        <x:v>Кислота усиливает слюноотделение и делает пряный аромат ярче; терпены цитруса образуют мост с эфирными маслами травы или специи.</x:v>
      </x:c>
      <x:c r="Q372" s="28" t="str">
        <x:v>кислота усиливает слюноотделение; зелёные терпены создают ощущение прохлады; камфора и цинеол дают прохладно-камфорное ощущение</x:v>
      </x:c>
      <x:c r="R372" s="28" t="str">
        <x:v>сок — водная кислая фаза; цедра — масляная терпеновая; эфирные масла лучше раскрываются в жире и спирте</x:v>
      </x:c>
      <x:c r="S37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72" s="28" t="str">
        <x:v>Лайм формирует профиль «цитрусовый, зелёный, травяной, камфорный»; характерные маркеры: лимонен, гамма-терпинен, цитраль, бета-пинен, линалол.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U372" s="28" t="str">
        <x:v>Избыток кислоты делает вкус плоско-резким; белая часть кожуры даёт лишнюю горечь; цитрус легко подавляет деликатный аромат партнёра.</x:v>
      </x:c>
      <x:c r="V372" s="28" t="str">
        <x:v>оливковое масло или огурец</x:v>
      </x:c>
      <x:c r="W372" s="28" t="str">
        <x:v>лимонад, кордиал, салатная заправка или зелёный соус</x:v>
      </x:c>
      <x:c r="X372" s="28" t="str">
        <x:v>напитки, еда, соусы/маринады</x:v>
      </x:c>
      <x:c r="Y372" s="28" t="str">
        <x:v>Гипотеза / практическая</x:v>
      </x:c>
      <x:c r="Z372" s="28" t="str">
        <x:v>Таблица сочетания(1).pdf</x:v>
      </x:c>
      <x:c r="AA372" s="28" t="str">
        <x:v>Таблица сочетания(1).pdf: 12</x:v>
      </x:c>
      <x:c r="AB372" s="28" t="str">
        <x:v>Пара указана в таблице: «Лайм» → колонка «Травы и специи».</x:v>
      </x:c>
      <x:c r="AC372" s="28" t="n">
        <x:v>1</x:v>
      </x:c>
      <x:c r="AD372" s="28" t="n">
        <x:v>1</x:v>
      </x:c>
    </x:row>
    <x:row r="373" ht="58" customHeight="1">
      <x:c r="A373" s="28" t="str">
        <x:v>CIT-0372</x:v>
      </x:c>
      <x:c r="B373" s="28" t="str">
        <x:v>Еда и соусы</x:v>
      </x:c>
      <x:c r="C373" s="28" t="str">
        <x:v>лайм</x:v>
      </x:c>
      <x:c r="D373" s="28" t="str">
        <x:v>lime</x:v>
      </x:c>
      <x:c r="E373" s="28" t="str">
        <x:v>Цитрусовые</x:v>
      </x:c>
      <x:c r="F373" s="28" t="str">
        <x:v>томатильо</x:v>
      </x:c>
      <x:c r="G373" s="28" t="str">
        <x:v>tomatillo</x:v>
      </x:c>
      <x:c r="H373" s="28" t="str">
        <x:v>Овощи</x:v>
      </x:c>
      <x:c r="I373" s="28" t="str">
        <x:v>цитрусовый, зелёный, травяной, камфорный</x:v>
      </x:c>
      <x:c r="J373" s="28" t="str">
        <x:v>зелёный, землистый, растительный, иногда сернистый</x:v>
      </x:c>
      <x:c r="K373" s="28" t="str">
        <x:v>лимонен, гамма-терпинен, цитраль, бета-пинен, линалол</x:v>
      </x:c>
      <x:c r="L373" s="28" t="str">
        <x:v>C6-альдегиды, метоксипиразины, геосмин (землистые), сернистые соединения</x:v>
      </x:c>
      <x:c r="M373" s="28" t="str">
        <x:v>зелёный</x:v>
      </x:c>
      <x:c r="N373" s="28" t="str">
        <x:v>надёжный общий маркер не заявлен; сочетание объясняется семействами и сенсорным балансом</x:v>
      </x:c>
      <x:c r="O373" s="28" t="str">
        <x:v>перекрытие ароматических семейств, вкусовой баланс</x:v>
      </x:c>
      <x:c r="P373" s="28" t="str">
        <x:v>Кислота подчёркивает природную сладость овоща, сокращает землистое/сернистое послевкусие и повышает слюноотделение.</x:v>
      </x:c>
      <x:c r="Q373" s="28" t="str">
        <x:v>кислота усиливает слюноотделение; зелёные терпены создают ощущение прохлады; нет выраженного</x:v>
      </x:c>
      <x:c r="R373" s="28" t="str">
        <x:v>сок — водная кислая фаза; цедра — масляная терпеновая; водная/крахмальная матрица; масло помогает распределить цедру</x:v>
      </x:c>
      <x:c r="S37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73" s="28" t="str">
        <x:v>Лайм формирует профиль «цитрусовый, зелёный, травяной, камфорный»; характерные маркеры: лимонен, гамма-терпинен, цитраль, бета-пинен, линалол. Томатильо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U373" s="28" t="str">
        <x:v>Избыток кислоты делает вкус плоско-резким; белая часть кожуры даёт лишнюю горечь.</x:v>
      </x:c>
      <x:c r="V373" s="28" t="str">
        <x:v>оливковое масло или базилик</x:v>
      </x:c>
      <x:c r="W373" s="28" t="str">
        <x:v>винегрет, салат, пюре, запечённое блюдо или овощной соус</x:v>
      </x:c>
      <x:c r="X373" s="28" t="str">
        <x:v>еда, соусы/маринады</x:v>
      </x:c>
      <x:c r="Y373" s="28" t="str">
        <x:v>Средняя</x:v>
      </x:c>
      <x:c r="Z373" s="28" t="str">
        <x:v>The Art &amp; Science of Foodpairing.pdf</x:v>
      </x:c>
      <x:c r="AA373" s="28" t="str">
        <x:v>The Art &amp; Science of Foodpairing.pdf: 135</x:v>
      </x:c>
      <x:c r="AB373" s="28" t="str">
        <x:v>Пара представлена в ароматической диаграмме Foodpairing на странице 135.</x:v>
      </x:c>
      <x:c r="AC373" s="28" t="n">
        <x:v>1</x:v>
      </x:c>
      <x:c r="AD373" s="28" t="n">
        <x:v>1</x:v>
      </x:c>
    </x:row>
    <x:row r="374" ht="58" customHeight="1">
      <x:c r="A374" s="28" t="str">
        <x:v>CIT-0373</x:v>
      </x:c>
      <x:c r="B374" s="28" t="str">
        <x:v>Еда и соусы</x:v>
      </x:c>
      <x:c r="C374" s="28" t="str">
        <x:v>лайм</x:v>
      </x:c>
      <x:c r="D374" s="28" t="str">
        <x:v>Лайм | лайм</x:v>
      </x:c>
      <x:c r="E374" s="28" t="str">
        <x:v>Цитрусовые</x:v>
      </x:c>
      <x:c r="F374" s="28" t="str">
        <x:v>томаты</x:v>
      </x:c>
      <x:c r="G374" s="28" t="str">
        <x:v>Томаты | томаты</x:v>
      </x:c>
      <x:c r="H374" s="28" t="str">
        <x:v>Овощи</x:v>
      </x:c>
      <x:c r="I374" s="28" t="str">
        <x:v>цитрусовый, зелёный, травяной, камфорный</x:v>
      </x:c>
      <x:c r="J374" s="28" t="str">
        <x:v>зелёный, землистый, растительный, иногда сернистый</x:v>
      </x:c>
      <x:c r="K374" s="28" t="str">
        <x:v>лимонен, гамма-терпинен, цитраль, бета-пинен, линалол</x:v>
      </x:c>
      <x:c r="L374" s="28" t="str">
        <x:v>C6-альдегиды, метоксипиразины, геосмин (землистые), сернистые соединения</x:v>
      </x:c>
      <x:c r="M374" s="28" t="str">
        <x:v>зелёный</x:v>
      </x:c>
      <x:c r="N374" s="28" t="str">
        <x:v>надёжный общий маркер не заявлен; сочетание объясняется семействами и сенсорным балансом</x:v>
      </x:c>
      <x:c r="O374" s="28" t="str">
        <x:v>перекрытие ароматических семейств, вкусовой баланс</x:v>
      </x:c>
      <x:c r="P374" s="28" t="str">
        <x:v>Кислота подчёркивает природную сладость овоща, сокращает землистое/сернистое послевкусие и повышает слюноотделение.</x:v>
      </x:c>
      <x:c r="Q374" s="28" t="str">
        <x:v>кислота усиливает слюноотделение; зелёные терпены создают ощущение прохлады; нет выраженного</x:v>
      </x:c>
      <x:c r="R374" s="28" t="str">
        <x:v>сок — водная кислая фаза; цедра — масляная терпеновая; водная/крахмальная матрица; масло помогает распределить цедру</x:v>
      </x:c>
      <x:c r="S37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74" s="28" t="str">
        <x:v>Лайм формирует профиль «цитрусовый, зелёный, травяной, камфорный»; характерные маркеры: лимонен, гамма-терпинен, цитраль, бета-пинен, линалол. Томаты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U374" s="28" t="str">
        <x:v>Избыток кислоты делает вкус плоско-резким; белая часть кожуры даёт лишнюю горечь.</x:v>
      </x:c>
      <x:c r="V374" s="28" t="str">
        <x:v>оливковое масло или базилик</x:v>
      </x:c>
      <x:c r="W374" s="28" t="str">
        <x:v>винегрет, салат, пюре, запечённое блюдо или овощной соус</x:v>
      </x:c>
      <x:c r="X374" s="28" t="str">
        <x:v>еда, соусы/маринады</x:v>
      </x:c>
      <x:c r="Y374" s="28" t="str">
        <x:v>Высокая</x:v>
      </x:c>
      <x:c r="Z374" s="28" t="str">
        <x:v>Тезариус вкусов (Ники Сегнит)(1).pdf</x:v>
      </x:c>
      <x:c r="AA374" s="28" t="str">
        <x:v>Тезариус вкусов (Ники Сегнит)(1).pdf: 686, 796</x:v>
      </x:c>
      <x:c r="AB374" s="28" t="str">
        <x:v>Популярный мексиканский напи- ток сангрита (sangrita) делается из томатов, лайма и апельсинового сока с примесью чили. Его можно потягивать вместо текилы. Некоторые убирают из рецепта апельсиновый сок, что делает сангриту жидкой формой моей любимой «базовой» сальсы. Действи- тельно, у нарезанных томатов с соком лайма хватает сложности на то, чтобы обеспечить вкус сальсы самостоятельно. Попробуйте взять половину лайма, выжать ее на два нарезанных томата и посмотреть, насколько соленой и аппетитно</x:v>
      </x:c>
      <x:c r="AC374" s="28" t="n">
        <x:v>1</x:v>
      </x:c>
      <x:c r="AD374" s="28" t="n">
        <x:v>2</x:v>
      </x:c>
    </x:row>
    <x:row r="375" ht="58" customHeight="1">
      <x:c r="A375" s="28" t="str">
        <x:v>CIT-0374</x:v>
      </x:c>
      <x:c r="B375" s="28" t="str">
        <x:v>Еда и соусы</x:v>
      </x:c>
      <x:c r="C375" s="28" t="str">
        <x:v>лайм</x:v>
      </x:c>
      <x:c r="D375" s="28" t="str">
        <x:v>Лайм | лайм</x:v>
      </x:c>
      <x:c r="E375" s="28" t="str">
        <x:v>Цитрусовые</x:v>
      </x:c>
      <x:c r="F375" s="28" t="str">
        <x:v>тыква баттернат</x:v>
      </x:c>
      <x:c r="G375" s="28" t="str">
        <x:v>Тыква баттернат | тыква баттернат</x:v>
      </x:c>
      <x:c r="H375" s="28" t="str">
        <x:v>Овощи</x:v>
      </x:c>
      <x:c r="I375" s="28" t="str">
        <x:v>цитрусовый, зелёный, травяной, камфорный</x:v>
      </x:c>
      <x:c r="J375" s="28" t="str">
        <x:v>зелёный, землистый, растительный, иногда сернистый</x:v>
      </x:c>
      <x:c r="K375" s="28" t="str">
        <x:v>лимонен, гамма-терпинен, цитраль, бета-пинен, линалол</x:v>
      </x:c>
      <x:c r="L375" s="28" t="str">
        <x:v>C6-альдегиды, метоксипиразины, геосмин (землистые), сернистые соединения</x:v>
      </x:c>
      <x:c r="M375" s="28" t="str">
        <x:v>зелёный</x:v>
      </x:c>
      <x:c r="N375" s="28" t="str">
        <x:v>надёжный общий маркер не заявлен; сочетание объясняется семействами и сенсорным балансом</x:v>
      </x:c>
      <x:c r="O375" s="28" t="str">
        <x:v>перекрытие ароматических семейств, вкусовой баланс</x:v>
      </x:c>
      <x:c r="P375" s="28" t="str">
        <x:v>Кислота подчёркивает природную сладость овоща, сокращает землистое/сернистое послевкусие и повышает слюноотделение.</x:v>
      </x:c>
      <x:c r="Q375" s="28" t="str">
        <x:v>кислота усиливает слюноотделение; зелёные терпены создают ощущение прохлады; нет выраженного</x:v>
      </x:c>
      <x:c r="R375" s="28" t="str">
        <x:v>сок — водная кислая фаза; цедра — масляная терпеновая; водная/крахмальная матрица; масло помогает распределить цедру</x:v>
      </x:c>
      <x:c r="S37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75" s="28" t="str">
        <x:v>Лайм формирует профиль «цитрусовый, зелёный, травяной, камфорный»; характерные маркеры: лимонен, гамма-терпинен, цитраль, бета-пинен, линалол. Тыква баттернат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U375" s="28" t="str">
        <x:v>Избыток кислоты делает вкус плоско-резким; белая часть кожуры даёт лишнюю горечь.</x:v>
      </x:c>
      <x:c r="V375" s="28" t="str">
        <x:v>оливковое масло или базилик</x:v>
      </x:c>
      <x:c r="W375" s="28" t="str">
        <x:v>винегрет, салат, пюре, запечённое блюдо или овощной соус</x:v>
      </x:c>
      <x:c r="X375" s="28" t="str">
        <x:v>еда, соусы/маринады</x:v>
      </x:c>
      <x:c r="Y375" s="28" t="str">
        <x:v>Высокая</x:v>
      </x:c>
      <x:c r="Z375" s="28" t="str">
        <x:v>Тезариус вкусов (Ники Сегнит)(1).pdf</x:v>
      </x:c>
      <x:c r="AA375" s="28" t="str">
        <x:v>Тезариус вкусов (Ники Сегнит)(1).pdf: 611, 797</x:v>
      </x:c>
      <x:c r="AB375" s="28" t="str">
        <x:v>Тяжелая сладость тыквы баттернат встречает определенное противодействие резкого, пряного лайма. Попробуйте сочетать их в похлебке (обжаренные куски тыквы в сочетании с оливковым маслом и соком лайма) или сделайте темпуру из тыквы с соево-лаймово-кунжутным соусом. Чтобы придать похлебке тайский «акцент», прокипятите на медленном огне кусочки тыквы или кабачка в кокосовом молоке со специями. Когда они будут готовы, добавьте смесь из сока лайма, рыбного соуса и пальмового сахара. См. также Тыква ба</x:v>
      </x:c>
      <x:c r="AC375" s="28" t="n">
        <x:v>1</x:v>
      </x:c>
      <x:c r="AD375" s="28" t="n">
        <x:v>2</x:v>
      </x:c>
    </x:row>
    <x:row r="376" ht="58" customHeight="1">
      <x:c r="A376" s="28" t="str">
        <x:v>CIT-0375</x:v>
      </x:c>
      <x:c r="B376" s="28" t="str">
        <x:v>Универсальные</x:v>
      </x:c>
      <x:c r="C376" s="28" t="str">
        <x:v>лайм</x:v>
      </x:c>
      <x:c r="D376" s="28" t="str">
        <x:v>Лайм</x:v>
      </x:c>
      <x:c r="E376" s="28" t="str">
        <x:v>Цитрусовые</x:v>
      </x:c>
      <x:c r="F376" s="28" t="str">
        <x:v>финик</x:v>
      </x:c>
      <x:c r="G376" s="28" t="str">
        <x:v>финик</x:v>
      </x:c>
      <x:c r="H376" s="28" t="str">
        <x:v>Прочее</x:v>
      </x:c>
      <x:c r="I376" s="28" t="str">
        <x:v>цитрусовый, зелёный, травяной, камфорный</x:v>
      </x:c>
      <x:c r="J376" s="28" t="str">
        <x:v>нейтральный/специфический</x:v>
      </x:c>
      <x:c r="K376" s="28" t="str">
        <x:v>лимонен, гамма-терпинен, цитраль, бета-пинен, линалол</x:v>
      </x:c>
      <x:c r="L376" s="28" t="str">
        <x:v>нужен профиль конкретного продукта</x:v>
      </x:c>
      <x:c r="M376" s="28" t="str">
        <x:v>прямое семейное перекрытие не является главным механизмом</x:v>
      </x:c>
      <x:c r="N376" s="28" t="str">
        <x:v>надёжный общий маркер не заявлен; сочетание объясняется семействами и сенсорным балансом</x:v>
      </x:c>
      <x:c r="O376" s="28" t="str">
        <x:v>вкусовой баланс, тройничное восприятие</x:v>
      </x:c>
      <x:c r="P376" s="28" t="str">
        <x:v>Основной эффект определяется ароматическим контрастом и добавлением кислотной свежести; точный баланс зависит от дозировки и матрицы.</x:v>
      </x:c>
      <x:c r="Q376" s="28" t="str">
        <x:v>кислота усиливает слюноотделение; зелёные терпены создают ощущение прохлады; нет данных</x:v>
      </x:c>
      <x:c r="R376" s="28" t="str">
        <x:v>сок — водная кислая фаза; цедра — масляная терпеновая; зависит от формы продукта</x:v>
      </x:c>
      <x:c r="S37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76" s="28" t="str">
        <x:v>Лайм формирует профиль «цитрусовый, зелёный, травяной, камфорный»; характерные маркеры: лимонен, гамма-терпинен, цитраль, бета-пинен, линалол. Финик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76" s="28" t="str">
        <x:v>Избыток кислоты делает вкус плоско-резким; белая часть кожуры даёт лишнюю горечь.</x:v>
      </x:c>
      <x:c r="V376" s="28" t="str">
        <x:v>мёд или нейтральная жировая основа</x:v>
      </x:c>
      <x:c r="W376" s="28" t="str">
        <x:v>соус, напиток или десерт после пробной дегустации</x:v>
      </x:c>
      <x:c r="X376" s="28" t="str">
        <x:v>универсальное</x:v>
      </x:c>
      <x:c r="Y376" s="28" t="str">
        <x:v>Гипотеза / практическая</x:v>
      </x:c>
      <x:c r="Z376" s="28" t="str">
        <x:v>Таблица сочетания(1).pdf</x:v>
      </x:c>
      <x:c r="AA376" s="28" t="str">
        <x:v>Таблица сочетания(1).pdf: 11</x:v>
      </x:c>
      <x:c r="AB376" s="28" t="str">
        <x:v>Пара указана в таблице: «Лайм» → колонка «Фрукты».</x:v>
      </x:c>
      <x:c r="AC376" s="28" t="n">
        <x:v>1</x:v>
      </x:c>
      <x:c r="AD376" s="28" t="n">
        <x:v>1</x:v>
      </x:c>
    </x:row>
    <x:row r="377" ht="58" customHeight="1">
      <x:c r="A377" s="28" t="str">
        <x:v>CIT-0376</x:v>
      </x:c>
      <x:c r="B377" s="28" t="str">
        <x:v>Универсальные</x:v>
      </x:c>
      <x:c r="C377" s="28" t="str">
        <x:v>лайм</x:v>
      </x:c>
      <x:c r="D377" s="28" t="str">
        <x:v>lime</x:v>
      </x:c>
      <x:c r="E377" s="28" t="str">
        <x:v>Цитрусовые</x:v>
      </x:c>
      <x:c r="F377" s="28" t="str">
        <x:v>фризе</x:v>
      </x:c>
      <x:c r="G377" s="28" t="str">
        <x:v>frisee</x:v>
      </x:c>
      <x:c r="H377" s="28" t="str">
        <x:v>Прочее</x:v>
      </x:c>
      <x:c r="I377" s="28" t="str">
        <x:v>цитрусовый, зелёный, травяной, камфорный</x:v>
      </x:c>
      <x:c r="J377" s="28" t="str">
        <x:v>нейтральный/специфический</x:v>
      </x:c>
      <x:c r="K377" s="28" t="str">
        <x:v>лимонен, гамма-терпинен, цитраль, бета-пинен, линалол</x:v>
      </x:c>
      <x:c r="L377" s="28" t="str">
        <x:v>нужен профиль конкретного продукта</x:v>
      </x:c>
      <x:c r="M377" s="28" t="str">
        <x:v>прямое семейное перекрытие не является главным механизмом</x:v>
      </x:c>
      <x:c r="N377" s="28" t="str">
        <x:v>надёжный общий маркер не заявлен; сочетание объясняется семействами и сенсорным балансом</x:v>
      </x:c>
      <x:c r="O377" s="28" t="str">
        <x:v>вкусовой баланс, тройничное восприятие</x:v>
      </x:c>
      <x:c r="P377" s="28" t="str">
        <x:v>Основной эффект определяется ароматическим контрастом и добавлением кислотной свежести; точный баланс зависит от дозировки и матрицы.</x:v>
      </x:c>
      <x:c r="Q377" s="28" t="str">
        <x:v>кислота усиливает слюноотделение; зелёные терпены создают ощущение прохлады; нет данных</x:v>
      </x:c>
      <x:c r="R377" s="28" t="str">
        <x:v>сок — водная кислая фаза; цедра — масляная терпеновая; зависит от формы продукта</x:v>
      </x:c>
      <x:c r="S37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77" s="28" t="str">
        <x:v>Лайм формирует профиль «цитрусовый, зелёный, травяной, камфорный»; характерные маркеры: лимонен, гамма-терпинен, цитраль, бета-пинен, линалол. Фризе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77" s="28" t="str">
        <x:v>Избыток кислоты делает вкус плоско-резким; белая часть кожуры даёт лишнюю горечь.</x:v>
      </x:c>
      <x:c r="V377" s="28" t="str">
        <x:v>мёд или нейтральная жировая основа</x:v>
      </x:c>
      <x:c r="W377" s="28" t="str">
        <x:v>соус, напиток или десерт после пробной дегустации</x:v>
      </x:c>
      <x:c r="X377" s="28" t="str">
        <x:v>универсальное</x:v>
      </x:c>
      <x:c r="Y377" s="28" t="str">
        <x:v>Средняя</x:v>
      </x:c>
      <x:c r="Z377" s="28" t="str">
        <x:v>The Art &amp; Science of Foodpairing.pdf</x:v>
      </x:c>
      <x:c r="AA377" s="28" t="str">
        <x:v>The Art &amp; Science of Foodpairing.pdf: 88</x:v>
      </x:c>
      <x:c r="AB377" s="28" t="str">
        <x:v>Пара представлена в ароматической диаграмме Foodpairing на странице 88.</x:v>
      </x:c>
      <x:c r="AC377" s="28" t="n">
        <x:v>1</x:v>
      </x:c>
      <x:c r="AD377" s="28" t="n">
        <x:v>1</x:v>
      </x:c>
    </x:row>
    <x:row r="378" ht="58" customHeight="1">
      <x:c r="A378" s="28" t="str">
        <x:v>CIT-0377</x:v>
      </x:c>
      <x:c r="B378" s="28" t="str">
        <x:v>Универсальные</x:v>
      </x:c>
      <x:c r="C378" s="28" t="str">
        <x:v>лайм</x:v>
      </x:c>
      <x:c r="D378" s="28" t="str">
        <x:v>lime</x:v>
      </x:c>
      <x:c r="E378" s="28" t="str">
        <x:v>Цитрусовые</x:v>
      </x:c>
      <x:c r="F378" s="28" t="str">
        <x:v>цветы липы</x:v>
      </x:c>
      <x:c r="G378" s="28" t="str">
        <x:v>lime blossom</x:v>
      </x:c>
      <x:c r="H378" s="28" t="str">
        <x:v>Прочее</x:v>
      </x:c>
      <x:c r="I378" s="28" t="str">
        <x:v>цитрусовый, зелёный, травяной, камфорный</x:v>
      </x:c>
      <x:c r="J378" s="28" t="str">
        <x:v>нейтральный/специфический</x:v>
      </x:c>
      <x:c r="K378" s="28" t="str">
        <x:v>лимонен, гамма-терпинен, цитраль, бета-пинен, линалол</x:v>
      </x:c>
      <x:c r="L378" s="28" t="str">
        <x:v>нужен профиль конкретного продукта</x:v>
      </x:c>
      <x:c r="M378" s="28" t="str">
        <x:v>прямое семейное перекрытие не является главным механизмом</x:v>
      </x:c>
      <x:c r="N378" s="28" t="str">
        <x:v>надёжный общий маркер не заявлен; сочетание объясняется семействами и сенсорным балансом</x:v>
      </x:c>
      <x:c r="O378" s="28" t="str">
        <x:v>вкусовой баланс, тройничное восприятие</x:v>
      </x:c>
      <x:c r="P378" s="28" t="str">
        <x:v>Основной эффект определяется ароматическим контрастом и добавлением кислотной свежести; точный баланс зависит от дозировки и матрицы.</x:v>
      </x:c>
      <x:c r="Q378" s="28" t="str">
        <x:v>кислота усиливает слюноотделение; зелёные терпены создают ощущение прохлады; нет данных</x:v>
      </x:c>
      <x:c r="R378" s="28" t="str">
        <x:v>сок — водная кислая фаза; цедра — масляная терпеновая; зависит от формы продукта</x:v>
      </x:c>
      <x:c r="S37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78" s="28" t="str">
        <x:v>Лайм формирует профиль «цитрусовый, зелёный, травяной, камфорный»; характерные маркеры: лимонен, гамма-терпинен, цитраль, бета-пинен, линалол. Цветы липы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78" s="28" t="str">
        <x:v>Избыток кислоты делает вкус плоско-резким; белая часть кожуры даёт лишнюю горечь.</x:v>
      </x:c>
      <x:c r="V378" s="28" t="str">
        <x:v>мёд или нейтральная жировая основа</x:v>
      </x:c>
      <x:c r="W378" s="28" t="str">
        <x:v>соус, напиток или десерт после пробной дегустации</x:v>
      </x:c>
      <x:c r="X378" s="28" t="str">
        <x:v>универсальное</x:v>
      </x:c>
      <x:c r="Y378" s="28" t="str">
        <x:v>Средняя</x:v>
      </x:c>
      <x:c r="Z378" s="28" t="str">
        <x:v>The Art &amp; Science of Foodpairing.pdf</x:v>
      </x:c>
      <x:c r="AA378" s="28" t="str">
        <x:v>The Art &amp; Science of Foodpairing.pdf: 87</x:v>
      </x:c>
      <x:c r="AB378" s="28" t="str">
        <x:v>Пара представлена в ароматической диаграмме Foodpairing на странице 87.</x:v>
      </x:c>
      <x:c r="AC378" s="28" t="n">
        <x:v>1</x:v>
      </x:c>
      <x:c r="AD378" s="28" t="n">
        <x:v>1</x:v>
      </x:c>
    </x:row>
    <x:row r="379" ht="58" customHeight="1">
      <x:c r="A379" s="28" t="str">
        <x:v>CIT-0378</x:v>
      </x:c>
      <x:c r="B379" s="28" t="str">
        <x:v>Универсальные</x:v>
      </x:c>
      <x:c r="C379" s="28" t="str">
        <x:v>лайм</x:v>
      </x:c>
      <x:c r="D379" s="28" t="str">
        <x:v>lime</x:v>
      </x:c>
      <x:c r="E379" s="28" t="str">
        <x:v>Цитрусовые</x:v>
      </x:c>
      <x:c r="F379" s="28" t="str">
        <x:v>цукаты из дягиля</x:v>
      </x:c>
      <x:c r="G379" s="28" t="str">
        <x:v>candied angelica</x:v>
      </x:c>
      <x:c r="H379" s="28" t="str">
        <x:v>Прочее</x:v>
      </x:c>
      <x:c r="I379" s="28" t="str">
        <x:v>цитрусовый, зелёный, травяной, камфорный</x:v>
      </x:c>
      <x:c r="J379" s="28" t="str">
        <x:v>нейтральный/специфический</x:v>
      </x:c>
      <x:c r="K379" s="28" t="str">
        <x:v>лимонен, гамма-терпинен, цитраль, бета-пинен, линалол</x:v>
      </x:c>
      <x:c r="L379" s="28" t="str">
        <x:v>нужен профиль конкретного продукта</x:v>
      </x:c>
      <x:c r="M379" s="28" t="str">
        <x:v>прямое семейное перекрытие не является главным механизмом</x:v>
      </x:c>
      <x:c r="N379" s="28" t="str">
        <x:v>надёжный общий маркер не заявлен; сочетание объясняется семействами и сенсорным балансом</x:v>
      </x:c>
      <x:c r="O379" s="28" t="str">
        <x:v>вкусовой баланс, тройничное восприятие</x:v>
      </x:c>
      <x:c r="P379" s="28" t="str">
        <x:v>Основной эффект определяется ароматическим контрастом и добавлением кислотной свежести; точный баланс зависит от дозировки и матрицы.</x:v>
      </x:c>
      <x:c r="Q379" s="28" t="str">
        <x:v>кислота усиливает слюноотделение; зелёные терпены создают ощущение прохлады; нет данных</x:v>
      </x:c>
      <x:c r="R379" s="28" t="str">
        <x:v>сок — водная кислая фаза; цедра — масляная терпеновая; зависит от формы продукта</x:v>
      </x:c>
      <x:c r="S37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79" s="28" t="str">
        <x:v>Лайм формирует профиль «цитрусовый, зелёный, травяной, камфорный»; характерные маркеры: лимонен, гамма-терпинен, цитраль, бета-пинен, линалол. Цукаты из дягиля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79" s="28" t="str">
        <x:v>Избыток кислоты делает вкус плоско-резким; белая часть кожуры даёт лишнюю горечь.</x:v>
      </x:c>
      <x:c r="V379" s="28" t="str">
        <x:v>мёд или нейтральная жировая основа</x:v>
      </x:c>
      <x:c r="W379" s="28" t="str">
        <x:v>соус, напиток или десерт после пробной дегустации</x:v>
      </x:c>
      <x:c r="X379" s="28" t="str">
        <x:v>универсальное</x:v>
      </x:c>
      <x:c r="Y379" s="28" t="str">
        <x:v>Средняя</x:v>
      </x:c>
      <x:c r="Z379" s="28" t="str">
        <x:v>The Art &amp; Science of Foodpairing.pdf</x:v>
      </x:c>
      <x:c r="AA379" s="28" t="str">
        <x:v>The Art &amp; Science of Foodpairing.pdf: 88</x:v>
      </x:c>
      <x:c r="AB379" s="28" t="str">
        <x:v>Пара представлена в ароматической диаграмме Foodpairing на странице 88.</x:v>
      </x:c>
      <x:c r="AC379" s="28" t="n">
        <x:v>1</x:v>
      </x:c>
      <x:c r="AD379" s="28" t="n">
        <x:v>1</x:v>
      </x:c>
    </x:row>
    <x:row r="380" ht="58" customHeight="1">
      <x:c r="A380" s="28" t="str">
        <x:v>CIT-0379</x:v>
      </x:c>
      <x:c r="B380" s="28" t="str">
        <x:v>Универсальные</x:v>
      </x:c>
      <x:c r="C380" s="28" t="str">
        <x:v>лайм</x:v>
      </x:c>
      <x:c r="D380" s="28" t="str">
        <x:v>Лайм | лайм</x:v>
      </x:c>
      <x:c r="E380" s="28" t="str">
        <x:v>Цитрусовые</x:v>
      </x:c>
      <x:c r="F380" s="28" t="str">
        <x:v>цыпленок</x:v>
      </x:c>
      <x:c r="G380" s="28" t="str">
        <x:v>Цыпленок | цыпленок</x:v>
      </x:c>
      <x:c r="H380" s="28" t="str">
        <x:v>Прочее</x:v>
      </x:c>
      <x:c r="I380" s="28" t="str">
        <x:v>цитрусовый, зелёный, травяной, камфорный</x:v>
      </x:c>
      <x:c r="J380" s="28" t="str">
        <x:v>нейтральный/специфический</x:v>
      </x:c>
      <x:c r="K380" s="28" t="str">
        <x:v>лимонен, гамма-терпинен, цитраль, бета-пинен, линалол</x:v>
      </x:c>
      <x:c r="L380" s="28" t="str">
        <x:v>нужен профиль конкретного продукта</x:v>
      </x:c>
      <x:c r="M380" s="28" t="str">
        <x:v>прямое семейное перекрытие не является главным механизмом</x:v>
      </x:c>
      <x:c r="N380" s="28" t="str">
        <x:v>надёжный общий маркер не заявлен; сочетание объясняется семействами и сенсорным балансом</x:v>
      </x:c>
      <x:c r="O380" s="28" t="str">
        <x:v>вкусовой баланс, тройничное восприятие</x:v>
      </x:c>
      <x:c r="P380" s="28" t="str">
        <x:v>Основной эффект определяется ароматическим контрастом и добавлением кислотной свежести; точный баланс зависит от дозировки и матрицы.</x:v>
      </x:c>
      <x:c r="Q380" s="28" t="str">
        <x:v>кислота усиливает слюноотделение; зелёные терпены создают ощущение прохлады; нет данных</x:v>
      </x:c>
      <x:c r="R380" s="28" t="str">
        <x:v>сок — водная кислая фаза; цедра — масляная терпеновая; зависит от формы продукта</x:v>
      </x:c>
      <x:c r="S38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80" s="28" t="str">
        <x:v>Лайм формирует профиль «цитрусовый, зелёный, травяной, камфорный»; характерные маркеры: лимонен, гамма-терпинен, цитраль, бета-пинен, линалол. Цыпленок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380" s="28" t="str">
        <x:v>Избыток кислоты делает вкус плоско-резким; белая часть кожуры даёт лишнюю горечь.</x:v>
      </x:c>
      <x:c r="V380" s="28" t="str">
        <x:v>мёд или нейтральная жировая основа</x:v>
      </x:c>
      <x:c r="W380" s="28" t="str">
        <x:v>соус, напиток или десерт после пробной дегустации</x:v>
      </x:c>
      <x:c r="X380" s="28" t="str">
        <x:v>универсальное</x:v>
      </x:c>
      <x:c r="Y380" s="28" t="str">
        <x:v>Высокая</x:v>
      </x:c>
      <x:c r="Z380" s="28" t="str">
        <x:v>Тезариус вкусов (Ники Сегнит)(1).pdf</x:v>
      </x:c>
      <x:c r="AA380" s="28" t="str">
        <x:v>Тезариус вкусов (Ники Сегнит)(1).pdf: 68, 797</x:v>
      </x:c>
      <x:c r="AB380" s="28" t="str">
        <x:v>Цитрусовые в паре с цыплен- ком присутствуют в кухнях разных стран. Я люблю привкус лайма в пряных куриных супах, например в знаменитом сопа де лима (sopa de lima), который готовят на полуострове Юкатан в Мексике. Кусочки цыпленка, перец чили и полосы лепешки тортильи пода- ются в курином бульоне с томатами, приправленном корицей, чесноком, душистым и черным перцем. На конечной стадии приготовления в суп от души выжимают лайм и кладут несколько листьев кориандра.</x:v>
      </x:c>
      <x:c r="AC380" s="28" t="n">
        <x:v>1</x:v>
      </x:c>
      <x:c r="AD380" s="28" t="n">
        <x:v>2</x:v>
      </x:c>
    </x:row>
    <x:row r="381" ht="58" customHeight="1">
      <x:c r="A381" s="28" t="str">
        <x:v>CIT-0380</x:v>
      </x:c>
      <x:c r="B381" s="28" t="str">
        <x:v>Универсальные</x:v>
      </x:c>
      <x:c r="C381" s="28" t="str">
        <x:v>лайм</x:v>
      </x:c>
      <x:c r="D381" s="28" t="str">
        <x:v>Лайм | лайм</x:v>
      </x:c>
      <x:c r="E381" s="28" t="str">
        <x:v>Цитрусовые</x:v>
      </x:c>
      <x:c r="F381" s="28" t="str">
        <x:v>чили</x:v>
      </x:c>
      <x:c r="G381" s="28" t="str">
        <x:v>Чили | чили</x:v>
      </x:c>
      <x:c r="H381" s="28" t="str">
        <x:v>Пряности</x:v>
      </x:c>
      <x:c r="I381" s="28" t="str">
        <x:v>цитрусовый, зелёный, травяной, камфорный</x:v>
      </x:c>
      <x:c r="J381" s="28" t="str">
        <x:v>зелёный, фруктовый, пряный</x:v>
      </x:c>
      <x:c r="K381" s="28" t="str">
        <x:v>лимонен, гамма-терпинен, цитраль, бета-пинен, линалол</x:v>
      </x:c>
      <x:c r="L381" s="28" t="str">
        <x:v>капсаицин, пиразины, эфиры</x:v>
      </x:c>
      <x:c r="M381" s="28" t="str">
        <x:v>зелёный</x:v>
      </x:c>
      <x:c r="N381" s="28" t="str">
        <x:v>надёжный общий маркер не заявлен; сочетание объясняется семействами и сенсорным балансом</x:v>
      </x:c>
      <x:c r="O381" s="28" t="str">
        <x:v>перекрытие ароматических семейств, вкусовой баланс, тройничное восприятие</x:v>
      </x:c>
      <x:c r="P381" s="28" t="str">
        <x:v>Кислота усиливает слюноотделение и делает пряный аромат ярче; терпены цитруса образуют мост с эфирными маслами травы или специи.</x:v>
      </x:c>
      <x:c r="Q381" s="28" t="str">
        <x:v>кислота усиливает слюноотделение; зелёные терпены создают ощущение прохлады; капсаицин активирует TRPV1 и создаёт жжение</x:v>
      </x:c>
      <x:c r="R381" s="28" t="str">
        <x:v>сок — водная кислая фаза; цедра — масляная терпеновая; капсаицин жирорастворим; кислота не нейтрализует жжение, но усиливает слюноотделение</x:v>
      </x:c>
      <x:c r="S38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81" s="28" t="str">
        <x:v>Лайм формирует профиль «цитрусовый, зелёный, травяной, камфорный»; характерные маркеры: лимонен, гамма-терпинен, цитраль, бета-пинен, линалол. Чили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U381"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V381" s="28" t="str">
        <x:v>мёд или ваниль</x:v>
      </x:c>
      <x:c r="W381" s="28" t="str">
        <x:v>сироп, кордиал, чатни, маринад или пряный десерт</x:v>
      </x:c>
      <x:c r="X381" s="28" t="str">
        <x:v>напитки, еда, соусы/маринады</x:v>
      </x:c>
      <x:c r="Y381" s="28" t="str">
        <x:v>Высокая</x:v>
      </x:c>
      <x:c r="Z381" s="28" t="str">
        <x:v>Таблица сочетания(1).pdf | Тезариус вкусов (Ники Сегнит)(1).pdf</x:v>
      </x:c>
      <x:c r="AA381" s="28" t="str">
        <x:v>Таблица сочетания(1).pdf: 11 | Тезариус вкусов (Ники Сегнит)(1).pdf: 556</x:v>
      </x:c>
      <x:c r="AB381" s="28" t="str">
        <x:v>Пара указана в таблице: «Лайм» → колонка «Другое».</x:v>
      </x:c>
      <x:c r="AC381" s="28" t="n">
        <x:v>2</x:v>
      </x:c>
      <x:c r="AD381" s="28" t="n">
        <x:v>2</x:v>
      </x:c>
    </x:row>
    <x:row r="382" ht="58" customHeight="1">
      <x:c r="A382" s="28" t="str">
        <x:v>CIT-0381</x:v>
      </x:c>
      <x:c r="B382" s="28" t="str">
        <x:v>Универсальные</x:v>
      </x:c>
      <x:c r="C382" s="28" t="str">
        <x:v>лайм</x:v>
      </x:c>
      <x:c r="D382" s="28" t="str">
        <x:v>лайм</x:v>
      </x:c>
      <x:c r="E382" s="28" t="str">
        <x:v>Цитрусовые</x:v>
      </x:c>
      <x:c r="F382" s="28" t="str">
        <x:v>чили (перцы)</x:v>
      </x:c>
      <x:c r="G382" s="28" t="str">
        <x:v>Чили (перцы)</x:v>
      </x:c>
      <x:c r="H382" s="28" t="str">
        <x:v>Пряности</x:v>
      </x:c>
      <x:c r="I382" s="28" t="str">
        <x:v>цитрусовый, зелёный, травяной, камфорный</x:v>
      </x:c>
      <x:c r="J382" s="28" t="str">
        <x:v>зелёный, фруктовый, пряный</x:v>
      </x:c>
      <x:c r="K382" s="28" t="str">
        <x:v>лимонен, гамма-терпинен, цитраль, бета-пинен, линалол</x:v>
      </x:c>
      <x:c r="L382" s="28" t="str">
        <x:v>капсаицин, пиразины, эфиры</x:v>
      </x:c>
      <x:c r="M382" s="28" t="str">
        <x:v>зелёный</x:v>
      </x:c>
      <x:c r="N382" s="28" t="str">
        <x:v>надёжный общий маркер не заявлен; сочетание объясняется семействами и сенсорным балансом</x:v>
      </x:c>
      <x:c r="O382" s="28" t="str">
        <x:v>перекрытие ароматических семейств, вкусовой баланс, тройничное восприятие</x:v>
      </x:c>
      <x:c r="P382" s="28" t="str">
        <x:v>Кислота усиливает слюноотделение и делает пряный аромат ярче; терпены цитруса образуют мост с эфирными маслами травы или специи.</x:v>
      </x:c>
      <x:c r="Q382" s="28" t="str">
        <x:v>кислота усиливает слюноотделение; зелёные терпены создают ощущение прохлады; капсаицин активирует TRPV1 и создаёт жжение</x:v>
      </x:c>
      <x:c r="R382" s="28" t="str">
        <x:v>сок — водная кислая фаза; цедра — масляная терпеновая; капсаицин жирорастворим; кислота не нейтрализует жжение, но усиливает слюноотделение</x:v>
      </x:c>
      <x:c r="S38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82" s="28" t="str">
        <x:v>Лайм формирует профиль «цитрусовый, зелёный, травяной, камфорный»; характерные маркеры: лимонен, гамма-терпинен, цитраль, бета-пинен, линалол. Чили (перцы)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U382"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V382" s="28" t="str">
        <x:v>мёд или ваниль</x:v>
      </x:c>
      <x:c r="W382" s="28" t="str">
        <x:v>сироп, кордиал, чатни, маринад или пряный десерт</x:v>
      </x:c>
      <x:c r="X382" s="28" t="str">
        <x:v>напитки, еда, соусы/маринады</x:v>
      </x:c>
      <x:c r="Y382" s="28" t="str">
        <x:v>Гипотеза / практическая</x:v>
      </x:c>
      <x:c r="Z382" s="28" t="str">
        <x:v>Таблица сочетания(1).pdf</x:v>
      </x:c>
      <x:c r="AA382" s="28" t="str">
        <x:v>Таблица сочетания(1).pdf: 5</x:v>
      </x:c>
      <x:c r="AB382" s="28" t="str">
        <x:v>Пара указана в таблице: «Чили (перцы)» → колонка «Фрукты».</x:v>
      </x:c>
      <x:c r="AC382" s="28" t="n">
        <x:v>1</x:v>
      </x:c>
      <x:c r="AD382" s="28" t="n">
        <x:v>1</x:v>
      </x:c>
    </x:row>
    <x:row r="383" ht="58" customHeight="1">
      <x:c r="A383" s="28" t="str">
        <x:v>CIT-0382</x:v>
      </x:c>
      <x:c r="B383" s="28" t="str">
        <x:v>Универсальные</x:v>
      </x:c>
      <x:c r="C383" s="28" t="str">
        <x:v>лайм</x:v>
      </x:c>
      <x:c r="D383" s="28" t="str">
        <x:v>Лайм</x:v>
      </x:c>
      <x:c r="E383" s="28" t="str">
        <x:v>Цитрусовые</x:v>
      </x:c>
      <x:c r="F383" s="28" t="str">
        <x:v>чили – это Диего Ривера и Фрида Кало</x:v>
      </x:c>
      <x:c r="G383" s="28" t="str">
        <x:v>чили – это Диего Ривера и Фрида Кало</x:v>
      </x:c>
      <x:c r="H383" s="28" t="str">
        <x:v>Пряности</x:v>
      </x:c>
      <x:c r="I383" s="28" t="str">
        <x:v>цитрусовый, зелёный, травяной, камфорный</x:v>
      </x:c>
      <x:c r="J383" s="28" t="str">
        <x:v>зелёный, фруктовый, пряный</x:v>
      </x:c>
      <x:c r="K383" s="28" t="str">
        <x:v>лимонен, гамма-терпинен, цитраль, бета-пинен, линалол</x:v>
      </x:c>
      <x:c r="L383" s="28" t="str">
        <x:v>капсаицин, пиразины, эфиры</x:v>
      </x:c>
      <x:c r="M383" s="28" t="str">
        <x:v>зелёный</x:v>
      </x:c>
      <x:c r="N383" s="28" t="str">
        <x:v>надёжный общий маркер не заявлен; сочетание объясняется семействами и сенсорным балансом</x:v>
      </x:c>
      <x:c r="O383" s="28" t="str">
        <x:v>перекрытие ароматических семейств, вкусовой баланс, тройничное восприятие</x:v>
      </x:c>
      <x:c r="P383" s="28" t="str">
        <x:v>Кислота усиливает слюноотделение и делает пряный аромат ярче; терпены цитруса образуют мост с эфирными маслами травы или специи.</x:v>
      </x:c>
      <x:c r="Q383" s="28" t="str">
        <x:v>кислота усиливает слюноотделение; зелёные терпены создают ощущение прохлады; капсаицин активирует TRPV1 и создаёт жжение</x:v>
      </x:c>
      <x:c r="R383" s="28" t="str">
        <x:v>сок — водная кислая фаза; цедра — масляная терпеновая; капсаицин жирорастворим; кислота не нейтрализует жжение, но усиливает слюноотделение</x:v>
      </x:c>
      <x:c r="S38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83" s="28" t="str">
        <x:v>Лайм формирует профиль «цитрусовый, зелёный, травяной, камфорный»; характерные маркеры: лимонен, гамма-терпинен, цитраль, бета-пинен, линалол. Чили – это диего ривера и фрида кало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U383"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V383" s="28" t="str">
        <x:v>мёд или ваниль</x:v>
      </x:c>
      <x:c r="W383" s="28" t="str">
        <x:v>сироп, кордиал, чатни, маринад или пряный десерт</x:v>
      </x:c>
      <x:c r="X383" s="28" t="str">
        <x:v>напитки, еда, соусы/маринады</x:v>
      </x:c>
      <x:c r="Y383" s="28" t="str">
        <x:v>Высокая</x:v>
      </x:c>
      <x:c r="Z383" s="28" t="str">
        <x:v>Тезариус вкусов (Ники Сегнит)(1).pdf</x:v>
      </x:c>
      <x:c r="AA383" s="28" t="str">
        <x:v>Тезариус вкусов (Ники Сегнит)(1).pdf: 797</x:v>
      </x:c>
      <x:c r="AB383" s="28" t="str">
        <x:v>Буй- ная парочка вносит свой пыл в широкий спектр мексиканских блюд, в том числе в чапулинес (chapulines) – кузнечики, обжаренные в соке лайма и порошке чили, которых едят на закуску. Тем, кто не имеет склонности к жареным кузнечикам или терпения, чтобы их ло- вить, можно посоветовать приготовить подобным образом арахис в кожуре и подать его с обжаренным подорожником, початками кукурузы, арбузом, приготовленными на гриле креветками и кукурузными чипсами Doritos. К счастью для любителей чили с ла</x:v>
      </x:c>
      <x:c r="AC383" s="28" t="n">
        <x:v>1</x:v>
      </x:c>
      <x:c r="AD383" s="28" t="n">
        <x:v>1</x:v>
      </x:c>
    </x:row>
    <x:row r="384" ht="58" customHeight="1">
      <x:c r="A384" s="28" t="str">
        <x:v>CIT-0383</x:v>
      </x:c>
      <x:c r="B384" s="28" t="str">
        <x:v>Универсальные</x:v>
      </x:c>
      <x:c r="C384" s="28" t="str">
        <x:v>лайм</x:v>
      </x:c>
      <x:c r="D384" s="28" t="str">
        <x:v>Лайм | лайм</x:v>
      </x:c>
      <x:c r="E384" s="28" t="str">
        <x:v>Цитрусовые</x:v>
      </x:c>
      <x:c r="F384" s="28" t="str">
        <x:v>шалфей</x:v>
      </x:c>
      <x:c r="G384" s="28" t="str">
        <x:v>Шалфей | шалфей</x:v>
      </x:c>
      <x:c r="H384" s="28" t="str">
        <x:v>Травы</x:v>
      </x:c>
      <x:c r="I384" s="28" t="str">
        <x:v>цитрусовый, зелёный, травяной, камфорный</x:v>
      </x:c>
      <x:c r="J384" s="28" t="str">
        <x:v>травяной, хвойный, камфорный, древесный</x:v>
      </x:c>
      <x:c r="K384" s="28" t="str">
        <x:v>лимонен, гамма-терпинен, цитраль, бета-пинен, линалол</x:v>
      </x:c>
      <x:c r="L384" s="28" t="str">
        <x:v>1,8-цинеол, камфора, тимол/карвакрол, альфа-пинен</x:v>
      </x:c>
      <x:c r="M384" s="28" t="str">
        <x:v>камфорный, травяной</x:v>
      </x:c>
      <x:c r="N384" s="28" t="str">
        <x:v>надёжный общий маркер не заявлен; сочетание объясняется семействами и сенсорным балансом</x:v>
      </x:c>
      <x:c r="O384" s="28" t="str">
        <x:v>перекрытие ароматических семейств, вкусовой баланс, тройничное восприятие</x:v>
      </x:c>
      <x:c r="P384" s="28" t="str">
        <x:v>Кислота усиливает слюноотделение и делает пряный аромат ярче; терпены цитруса образуют мост с эфирными маслами травы или специи.</x:v>
      </x:c>
      <x:c r="Q384" s="28" t="str">
        <x:v>кислота усиливает слюноотделение; зелёные терпены создают ощущение прохлады; камфора и цинеол дают прохладно-камфорное ощущение</x:v>
      </x:c>
      <x:c r="R384" s="28" t="str">
        <x:v>сок — водная кислая фаза; цедра — масляная терпеновая; эфирные масла лучше раскрываются в жире и спирте</x:v>
      </x:c>
      <x:c r="S38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84" s="28" t="str">
        <x:v>Лайм формирует профиль «цитрусовый, зелёный, травяной, камфорный»; характерные маркеры: лимонен, гамма-терпинен, цитраль, бета-пинен, линалол. Шалфей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U384" s="28" t="str">
        <x:v>Избыток кислоты делает вкус плоско-резким; белая часть кожуры даёт лишнюю горечь; цитрус легко подавляет деликатный аромат партнёра.</x:v>
      </x:c>
      <x:c r="V384" s="28" t="str">
        <x:v>оливковое масло или огурец</x:v>
      </x:c>
      <x:c r="W384" s="28" t="str">
        <x:v>лимонад, кордиал, салатная заправка или зелёный соус</x:v>
      </x:c>
      <x:c r="X384" s="28" t="str">
        <x:v>напитки, еда, соусы/маринады</x:v>
      </x:c>
      <x:c r="Y384" s="28" t="str">
        <x:v>Гипотеза / практическая</x:v>
      </x:c>
      <x:c r="Z384" s="28" t="str">
        <x:v>Таблица сочетания(1).pdf</x:v>
      </x:c>
      <x:c r="AA384" s="28" t="str">
        <x:v>Таблица сочетания(1).pdf: 12, 20</x:v>
      </x:c>
      <x:c r="AB384" s="28" t="str">
        <x:v>Пара указана в таблице: «Лайм» → колонка «Травы и специи».</x:v>
      </x:c>
      <x:c r="AC384" s="28" t="n">
        <x:v>1</x:v>
      </x:c>
      <x:c r="AD384" s="28" t="n">
        <x:v>2</x:v>
      </x:c>
    </x:row>
    <x:row r="385" ht="58" customHeight="1">
      <x:c r="A385" s="28" t="str">
        <x:v>CIT-0384</x:v>
      </x:c>
      <x:c r="B385" s="28" t="str">
        <x:v>Десерты и выпечка</x:v>
      </x:c>
      <x:c r="C385" s="28" t="str">
        <x:v>лайм</x:v>
      </x:c>
      <x:c r="D385" s="28" t="str">
        <x:v>Лайм | лайм</x:v>
      </x:c>
      <x:c r="E385" s="28" t="str">
        <x:v>Цитрусовые</x:v>
      </x:c>
      <x:c r="F385" s="28" t="str">
        <x:v>шоколад</x:v>
      </x:c>
      <x:c r="G385" s="28" t="str">
        <x:v>Шоколад | шоколад</x:v>
      </x:c>
      <x:c r="H385" s="28" t="str">
        <x:v>Шоколад/обжаренное</x:v>
      </x:c>
      <x:c r="I385" s="28" t="str">
        <x:v>цитрусовый, зелёный, травяной, камфорный</x:v>
      </x:c>
      <x:c r="J385" s="28" t="str">
        <x:v>обжаренный, какао, ореховый, карамельный</x:v>
      </x:c>
      <x:c r="K385" s="28" t="str">
        <x:v>лимонен, гамма-терпинен, цитраль, бета-пинен, линалол</x:v>
      </x:c>
      <x:c r="L385" s="28" t="str">
        <x:v>пиразины, фураны, фенилуксусная кислота, ванилин</x:v>
      </x:c>
      <x:c r="M385" s="28" t="str">
        <x:v>прямое семейное перекрытие не является главным механизмом</x:v>
      </x:c>
      <x:c r="N385" s="28" t="str">
        <x:v>надёжный общий маркер не заявлен; сочетание объясняется семействами и сенсорным балансом</x:v>
      </x:c>
      <x:c r="O385" s="28" t="str">
        <x:v>вкусовой баланс</x:v>
      </x:c>
      <x:c r="P385" s="28" t="str">
        <x:v>Высокая кисло-ароматическая нота контрастирует с жареными, горькими и карамельными оттенками; сахар или жир связывает два регистра.</x:v>
      </x:c>
      <x:c r="Q385" s="28" t="str">
        <x:v>кислота усиливает слюноотделение; зелёные терпены создают ощущение прохлады; нет выраженного</x:v>
      </x:c>
      <x:c r="R385" s="28" t="str">
        <x:v>сок — водная кислая фаза; цедра — масляная терпеновая; жир какао удерживает гидрофобные терпены</x:v>
      </x:c>
      <x:c r="S385"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385" s="28" t="str">
        <x:v>Лайм формирует профиль «цитрусовый, зелёный, травяной, камфорный»; характерные маркеры: лимонен, гамма-терпинен, цитраль, бета-пинен, линалол.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даёт высокую свежую ноту на фоне тёмных жареных соединений.</x:v>
      </x:c>
      <x:c r="U385" s="28" t="str">
        <x:v>Избыток кислоты делает вкус плоско-резким; белая часть кожуры даёт лишнюю горечь.</x:v>
      </x:c>
      <x:c r="V385" s="28" t="str">
        <x:v>ваниль или кардамон</x:v>
      </x:c>
      <x:c r="W385" s="28" t="str">
        <x:v>ганаш, тарт, конфеты, кофейный напиток или биттер</x:v>
      </x:c>
      <x:c r="X385" s="28" t="str">
        <x:v>десерты</x:v>
      </x:c>
      <x:c r="Y385" s="28" t="str">
        <x:v>Высокая</x:v>
      </x:c>
      <x:c r="Z385" s="28" t="str">
        <x:v>Тезариус вкусов (Ники Сегнит)(1).pdf</x:v>
      </x:c>
      <x:c r="AA385" s="28" t="str">
        <x:v>Тезариус вкусов (Ники Сегнит)(1).pdf: 32, 798</x:v>
      </x:c>
      <x:c r="AB385" s="28" t="str">
        <x:v>Шоколад и лайм составляют ос- нову классических британских конфет. Попадая в рот, они сбрасывают с себя несколько острых, яркого вкуса слоев лайма, обнажая сухую, рассыпчатую шоколадную основу. К сожалению, это сочетание ред- ко встречается в других продуктах, хотя мне когда-то в одном из ресторанов Теренса Конрана (Terence Conran) довелось попробовать интереснейший тарт из темного шоколада с острым сорбе из лайма.</x:v>
      </x:c>
      <x:c r="AC385" s="28" t="n">
        <x:v>1</x:v>
      </x:c>
      <x:c r="AD385" s="28" t="n">
        <x:v>2</x:v>
      </x:c>
    </x:row>
    <x:row r="386" ht="58" customHeight="1">
      <x:c r="A386" s="28" t="str">
        <x:v>CIT-0385</x:v>
      </x:c>
      <x:c r="B386" s="28" t="str">
        <x:v>Десерты и выпечка</x:v>
      </x:c>
      <x:c r="C386" s="28" t="str">
        <x:v>лайм</x:v>
      </x:c>
      <x:c r="D386" s="28" t="str">
        <x:v>Лайм</x:v>
      </x:c>
      <x:c r="E386" s="28" t="str">
        <x:v>Цитрусовые</x:v>
      </x:c>
      <x:c r="F386" s="28" t="str">
        <x:v>ягоды</x:v>
      </x:c>
      <x:c r="G386" s="28" t="str">
        <x:v>ягоды</x:v>
      </x:c>
      <x:c r="H386" s="28" t="str">
        <x:v>Ягоды/косточковые</x:v>
      </x:c>
      <x:c r="I386" s="28" t="str">
        <x:v>цитрусовый, зелёный, травяной, камфорный</x:v>
      </x:c>
      <x:c r="J386" s="28" t="str">
        <x:v>фруктовый, цветочный, зелёный, винный</x:v>
      </x:c>
      <x:c r="K386" s="28" t="str">
        <x:v>лимонен, гамма-терпинен, цитраль, бета-пинен, линалол</x:v>
      </x:c>
      <x:c r="L386" s="28" t="str">
        <x:v>иононы, дамасценон, эфиры, бензальдегид (для косточковых)</x:v>
      </x:c>
      <x:c r="M386" s="28" t="str">
        <x:v>зелёный</x:v>
      </x:c>
      <x:c r="N386" s="28" t="str">
        <x:v>надёжный общий маркер не заявлен; сочетание объясняется семействами и сенсорным балансом</x:v>
      </x:c>
      <x:c r="O386" s="28" t="str">
        <x:v>перекрытие ароматических семейств, вкусовой баланс</x:v>
      </x:c>
      <x:c r="P386" s="28" t="str">
        <x:v>Общая фруктовая сладость и летучие эфиры создают непрерывный ароматический профиль, а цитрусовая кислота повышает контраст и свежесть.</x:v>
      </x:c>
      <x:c r="Q386" s="28" t="str">
        <x:v>кислота усиливает слюноотделение; зелёные терпены создают ощущение прохлады; нет выраженного</x:v>
      </x:c>
      <x:c r="R386" s="28" t="str">
        <x:v>сок — водная кислая фаза; цедра — масляная терпеновая; водная матрица с антоцианами и полифенолами</x:v>
      </x:c>
      <x:c r="S38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86" s="28" t="str">
        <x:v>Лайм формирует профиль «цитрусовый, зелёный, травяной, камфорный»; характерные маркеры: лимонен, гамма-терпинен, цитраль, бета-пинен, линалол.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усиливает кислотный контур, а цветочные терпены поддерживают ягодный аромат.</x:v>
      </x:c>
      <x:c r="U386" s="28" t="str">
        <x:v>Избыток кислоты делает вкус плоско-резким; белая часть кожуры даёт лишнюю горечь.</x:v>
      </x:c>
      <x:c r="V386" s="28" t="str">
        <x:v>ваниль или миндаль</x:v>
      </x:c>
      <x:c r="W386" s="28" t="str">
        <x:v>джем, сорбет, коктейль или соус</x:v>
      </x:c>
      <x:c r="X386" s="28" t="str">
        <x:v>напитки, десерты</x:v>
      </x:c>
      <x:c r="Y386" s="28" t="str">
        <x:v>Гипотеза / практическая</x:v>
      </x:c>
      <x:c r="Z386" s="28" t="str">
        <x:v>Таблица сочетания(1).pdf</x:v>
      </x:c>
      <x:c r="AA386" s="28" t="str">
        <x:v>Таблица сочетания(1).pdf: 12</x:v>
      </x:c>
      <x:c r="AB386" s="28" t="str">
        <x:v>Пара указана в таблице: «Лайм» → колонка «Фрукты».</x:v>
      </x:c>
      <x:c r="AC386" s="28" t="n">
        <x:v>1</x:v>
      </x:c>
      <x:c r="AD386" s="28" t="n">
        <x:v>1</x:v>
      </x:c>
    </x:row>
    <x:row r="387" ht="58" customHeight="1">
      <x:c r="A387" s="28" t="str">
        <x:v>CIT-0386</x:v>
      </x:c>
      <x:c r="B387" s="28" t="str">
        <x:v>Универсальные</x:v>
      </x:c>
      <x:c r="C387" s="28" t="str">
        <x:v>лемонграсс</x:v>
      </x:c>
      <x:c r="D387" s="28" t="str">
        <x:v>lemong rass</x:v>
      </x:c>
      <x:c r="E387" s="28" t="str">
        <x:v>Прочее</x:v>
      </x:c>
      <x:c r="F387" s="28" t="str">
        <x:v>сушёный лавровый лист</x:v>
      </x:c>
      <x:c r="G387" s="28" t="str">
        <x:v>dried bay leaf</x:v>
      </x:c>
      <x:c r="H387" s="28" t="str">
        <x:v>Прочее</x:v>
      </x:c>
      <x:c r="I387" s="28" t="str">
        <x:v>нейтральный/специфический</x:v>
      </x:c>
      <x:c r="J387" s="28" t="str">
        <x:v>нейтральный/специфический</x:v>
      </x:c>
      <x:c r="K387" s="28" t="str">
        <x:v>нужен профиль конкретного продукта</x:v>
      </x:c>
      <x:c r="L387" s="28" t="str">
        <x:v>нужен профиль конкретного продукта</x:v>
      </x:c>
      <x:c r="M387" s="28" t="str">
        <x:v>нейтральный/специфический</x:v>
      </x:c>
      <x:c r="N387" s="28" t="str">
        <x:v>надёжный общий маркер не заявлен; сочетание объясняется семействами и сенсорным балансом</x:v>
      </x:c>
      <x:c r="O387" s="28" t="str">
        <x:v>перекрытие ароматических семейств, вкусовой баланс, тройничное восприятие</x:v>
      </x:c>
      <x:c r="P387" s="28" t="str">
        <x:v>Основной эффект определяется ароматическим контрастом и добавлением кислотной свежести; точный баланс зависит от дозировки и матрицы.</x:v>
      </x:c>
      <x:c r="Q387" s="28" t="str">
        <x:v>нет данных; нет данных</x:v>
      </x:c>
      <x:c r="R387" s="28" t="str">
        <x:v>зависит от формы продукта; зависит от формы продукта</x:v>
      </x:c>
      <x:c r="S38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87" s="28" t="str">
        <x:v>Лемонграсс формирует профиль «нейтральный/специфический»; характерные маркеры: . Сушёный лавровый лист относится к группе «прочее» и даёт ноты «нейтральный/специфический». Прямой общий ключевой одорант из доступных профилей не фиксируется, однако продукты пересекаются на уровне семейств: нейтральный/специфический. Поэтому связь лучше описывать как сочетание близких ароматических направлений, а не как действие единственной доказанной молекулы. Основной эффект определяется ароматическим контрастом и добавлением кислотной свежести; точный баланс зависит от дозировки и матрицы. Для точного молекулярного вывода нужен профиль конкретного ингредиента и способа обработки. Для точного молекулярного вывода нужен профиль конкретного ингредиента и способа обработки.</x:v>
      </x:c>
      <x:c r="U387" s="28" t="str">
        <x:v>Избыток кислоты делает вкус плоско-резким; белая часть кожуры даёт лишнюю горечь.</x:v>
      </x:c>
      <x:c r="V387" s="28" t="str">
        <x:v>мёд или нейтральная жировая основа</x:v>
      </x:c>
      <x:c r="W387" s="28" t="str">
        <x:v>соус, напиток или десерт после пробной дегустации</x:v>
      </x:c>
      <x:c r="X387" s="28" t="str">
        <x:v>универсальное</x:v>
      </x:c>
      <x:c r="Y387" s="28" t="str">
        <x:v>Средняя</x:v>
      </x:c>
      <x:c r="Z387" s="28" t="str">
        <x:v>The Art &amp; Science of Foodpairing.pdf</x:v>
      </x:c>
      <x:c r="AA387" s="28" t="str">
        <x:v>The Art &amp; Science of Foodpairing.pdf: 282</x:v>
      </x:c>
      <x:c r="AB387" s="28" t="str">
        <x:v>Пара представлена в ароматической диаграмме Foodpairing на странице 282.</x:v>
      </x:c>
      <x:c r="AC387" s="28" t="n">
        <x:v>1</x:v>
      </x:c>
      <x:c r="AD387" s="28" t="n">
        <x:v>1</x:v>
      </x:c>
    </x:row>
    <x:row r="388" ht="58" customHeight="1">
      <x:c r="A388" s="28" t="str">
        <x:v>CIT-0387</x:v>
      </x:c>
      <x:c r="B388" s="28" t="str">
        <x:v>Напитки</x:v>
      </x:c>
      <x:c r="C388" s="28" t="str">
        <x:v>ликёр Mandarine Napoléon</x:v>
      </x:c>
      <x:c r="D388" s="28" t="str">
        <x:v>Mandarine Napoleon</x:v>
      </x:c>
      <x:c r="E388" s="28" t="str">
        <x:v>Цитрусовые</x:v>
      </x:c>
      <x:c r="F388" s="28" t="str">
        <x:v>коньяк</x:v>
      </x:c>
      <x:c r="G388" s="28" t="str">
        <x:v>cognac</x:v>
      </x:c>
      <x:c r="H388" s="28" t="str">
        <x:v>Алкогольные напитки</x:v>
      </x:c>
      <x:c r="I388" s="28" t="str">
        <x:v>цитрусовый, фруктовый, цветочный, пряный</x:v>
      </x:c>
      <x:c r="J388" s="28" t="str">
        <x:v>зависит от основы, эфирный, древесный/пряный</x:v>
      </x:c>
      <x:c r="K388" s="28" t="str">
        <x:v>лимонен, гамма-терпинен, метил-N-метилантранилат, линалол</x:v>
      </x:c>
      <x:c r="L388" s="28" t="str">
        <x:v>этанол, эфиры, терпены/дубовые соединения</x:v>
      </x:c>
      <x:c r="M388" s="28" t="str">
        <x:v>прямое семейное перекрытие не является главным механизмом</x:v>
      </x:c>
      <x:c r="N388" s="28" t="str">
        <x:v>надёжный общий маркер не заявлен; сочетание объясняется семействами и сенсорным балансом</x:v>
      </x:c>
      <x:c r="O388" s="28" t="str">
        <x:v>вкусовой баланс, тройничное восприятие, влияние матрицы/растворимости</x:v>
      </x:c>
      <x:c r="P388" s="28" t="str">
        <x:v>Этанол усиливает летучесть терпенов и ощущение тепла; сахар и вода регулируют кислотность, горечь кожуры и спиртуозность.</x:v>
      </x:c>
      <x:c r="Q388" s="28" t="str">
        <x:v>нет выраженного; этанол усиливает тепло и летучесть аромата</x:v>
      </x:c>
      <x:c r="R388" s="28" t="str">
        <x:v>сок водный; кожура богата эфирным маслом; этанол — хороший растворитель гидрофобных эфирных масел</x:v>
      </x:c>
      <x:c r="S388"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388" s="28" t="str">
        <x:v>Ликёр mandarine napoléon формирует профиль «цитрусовый, фруктовый, цветочный, пряный»; характерные маркеры: лимонен, гамма-терпинен, метил-N-метилантранилат, линалол. Коньяк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U388" s="28" t="str">
        <x:v>Избыток кислоты делает вкус плоско-резким; белая часть кожуры даёт лишнюю горечь.</x:v>
      </x:c>
      <x:c r="V388" s="28" t="str">
        <x:v>сахарный сироп или биттер</x:v>
      </x:c>
      <x:c r="W388" s="28" t="str">
        <x:v>коктейль, спритц, настойка, ликёр или кордиал</x:v>
      </x:c>
      <x:c r="X388" s="28" t="str">
        <x:v>напитки</x:v>
      </x:c>
      <x:c r="Y388" s="28" t="str">
        <x:v>Средняя</x:v>
      </x:c>
      <x:c r="Z388" s="28" t="str">
        <x:v>The Art &amp; Science of Foodpairing.pdf</x:v>
      </x:c>
      <x:c r="AA388" s="28" t="str">
        <x:v>The Art &amp; Science of Foodpairing.pdf: 123</x:v>
      </x:c>
      <x:c r="AB388" s="28" t="str">
        <x:v>Пара представлена в ароматической диаграмме Foodpairing на странице 123.</x:v>
      </x:c>
      <x:c r="AC388" s="28" t="n">
        <x:v>1</x:v>
      </x:c>
      <x:c r="AD388" s="28" t="n">
        <x:v>1</x:v>
      </x:c>
    </x:row>
    <x:row r="389" ht="58" customHeight="1">
      <x:c r="A389" s="28" t="str">
        <x:v>CIT-0388</x:v>
      </x:c>
      <x:c r="B389" s="28" t="str">
        <x:v>Десерты и выпечка</x:v>
      </x:c>
      <x:c r="C389" s="28" t="str">
        <x:v>ликёр Mandarine Napoléon</x:v>
      </x:c>
      <x:c r="D389" s="28" t="str">
        <x:v>Mandarine Napoleon liqueur</x:v>
      </x:c>
      <x:c r="E389" s="28" t="str">
        <x:v>Цитрусовые</x:v>
      </x:c>
      <x:c r="F389" s="28" t="str">
        <x:v>сушёные ягоды годжи</x:v>
      </x:c>
      <x:c r="G389" s="28" t="str">
        <x:v>dried goji berry</x:v>
      </x:c>
      <x:c r="H389" s="28" t="str">
        <x:v>Ягоды/косточковые</x:v>
      </x:c>
      <x:c r="I389" s="28" t="str">
        <x:v>цитрусовый, фруктовый, цветочный, пряный</x:v>
      </x:c>
      <x:c r="J389" s="28" t="str">
        <x:v>фруктовый, цветочный, зелёный, винный</x:v>
      </x:c>
      <x:c r="K389" s="28" t="str">
        <x:v>лимонен, гамма-терпинен, метил-N-метилантранилат, линалол</x:v>
      </x:c>
      <x:c r="L389" s="28" t="str">
        <x:v>иононы, дамасценон, эфиры, бензальдегид (для косточковых)</x:v>
      </x:c>
      <x:c r="M389" s="28" t="str">
        <x:v>фруктовый, цветочный</x:v>
      </x:c>
      <x:c r="N389" s="28" t="str">
        <x:v>надёжный общий маркер не заявлен; сочетание объясняется семействами и сенсорным балансом</x:v>
      </x:c>
      <x:c r="O389" s="28" t="str">
        <x:v>перекрытие ароматических семейств, вкусовой баланс</x:v>
      </x:c>
      <x:c r="P389" s="28" t="str">
        <x:v>Общая фруктовая сладость и летучие эфиры создают непрерывный ароматический профиль, а цитрусовая кислота повышает контраст и свежесть.</x:v>
      </x:c>
      <x:c r="Q389" s="28" t="str">
        <x:v>нет выраженного; нет выраженного</x:v>
      </x:c>
      <x:c r="R389" s="28" t="str">
        <x:v>сок водный; кожура богата эфирным маслом; водная матрица с антоцианами и полифенолами</x:v>
      </x:c>
      <x:c r="S38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89" s="28" t="str">
        <x:v>Ликёр mandarine napoléon формирует профиль «цитрусовый, фруктовый, цветочный, пряный»; характерные маркеры: лимонен, гамма-терпинен, метил-N-метилантранилат, линалол. Сушёные ягоды годжи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U389" s="28" t="str">
        <x:v>Избыток кислоты делает вкус плоско-резким; белая часть кожуры даёт лишнюю горечь.</x:v>
      </x:c>
      <x:c r="V389" s="28" t="str">
        <x:v>ваниль или миндаль</x:v>
      </x:c>
      <x:c r="W389" s="28" t="str">
        <x:v>джем, сорбет, коктейль или соус</x:v>
      </x:c>
      <x:c r="X389" s="28" t="str">
        <x:v>напитки, десерты</x:v>
      </x:c>
      <x:c r="Y389" s="28" t="str">
        <x:v>Средняя</x:v>
      </x:c>
      <x:c r="Z389" s="28" t="str">
        <x:v>The Art &amp; Science of Foodpairing.pdf</x:v>
      </x:c>
      <x:c r="AA389" s="28" t="str">
        <x:v>The Art &amp; Science of Foodpairing.pdf: 370</x:v>
      </x:c>
      <x:c r="AB389" s="28" t="str">
        <x:v>Пара представлена в ароматической диаграмме Foodpairing на странице 370.</x:v>
      </x:c>
      <x:c r="AC389" s="28" t="n">
        <x:v>1</x:v>
      </x:c>
      <x:c r="AD389" s="28" t="n">
        <x:v>1</x:v>
      </x:c>
    </x:row>
    <x:row r="390" ht="58" customHeight="1">
      <x:c r="A390" s="28" t="str">
        <x:v>CIT-0389</x:v>
      </x:c>
      <x:c r="B390" s="28" t="str">
        <x:v>Десерты и выпечка</x:v>
      </x:c>
      <x:c r="C390" s="28" t="str">
        <x:v>лимон</x:v>
      </x:c>
      <x:c r="D390" s="28" t="str">
        <x:v>Лимон</x:v>
      </x:c>
      <x:c r="E390" s="28" t="str">
        <x:v>Цитрусовые</x:v>
      </x:c>
      <x:c r="F390" s="28" t="str">
        <x:v>абрикос</x:v>
      </x:c>
      <x:c r="G390" s="28" t="str">
        <x:v>абрикос</x:v>
      </x:c>
      <x:c r="H390" s="28" t="str">
        <x:v>Косточковые фрукты</x:v>
      </x:c>
      <x:c r="I390" s="28" t="str">
        <x:v>цитрусовый, свежий, цветочный, древесный</x:v>
      </x:c>
      <x:c r="J390" s="28" t="str">
        <x:v>фруктовый, цветочный, сливочный, миндальный</x:v>
      </x:c>
      <x:c r="K390" s="28" t="str">
        <x:v>цитраль (гераниаль + нераль), лимонен, гамма-терпинен, бета-пинен</x:v>
      </x:c>
      <x:c r="L390" s="28" t="str">
        <x:v>гамма- и дельта-лактоны, бензальдегид, дамасценон</x:v>
      </x:c>
      <x:c r="M390" s="28" t="str">
        <x:v>цветочный</x:v>
      </x:c>
      <x:c r="N390" s="28" t="str">
        <x:v>надёжный общий маркер не заявлен; сочетание объясняется семействами и сенсорным балансом</x:v>
      </x:c>
      <x:c r="O390" s="28" t="str">
        <x:v>перекрытие ароматических семейств, вкусовой баланс</x:v>
      </x:c>
      <x:c r="P390" s="28" t="str">
        <x:v>Общая фруктовая сладость и летучие эфиры создают непрерывный ароматический профиль, а цитрусовая кислота повышает контраст и свежесть.</x:v>
      </x:c>
      <x:c r="Q390" s="28" t="str">
        <x:v>кислота усиливает слюноотделение; нет выраженного</x:v>
      </x:c>
      <x:c r="R390" s="28" t="str">
        <x:v>сок — водная кислая фаза; цедра — гидрофобное эфирное масло; сочная матрица; лактоны лучше ощущаются в жирной/сливочной среде</x:v>
      </x:c>
      <x:c r="S39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90" s="28" t="str">
        <x:v>Лимон формирует профиль «цитрусовый, свежий, цветочный, древесный»; характерные маркеры: цитраль (гераниаль + нераль), лимонен, гамма-терпинен, бета-пинен. Абрикос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U390" s="28" t="str">
        <x:v>Избыток кислоты делает вкус плоско-резким; белая часть кожуры даёт лишнюю горечь.</x:v>
      </x:c>
      <x:c r="V390" s="28" t="str">
        <x:v>миндаль или ваниль</x:v>
      </x:c>
      <x:c r="W390" s="28" t="str">
        <x:v>тарт, сорбет, джем или фруктовый соус</x:v>
      </x:c>
      <x:c r="X390" s="28" t="str">
        <x:v>десерты</x:v>
      </x:c>
      <x:c r="Y390" s="28" t="str">
        <x:v>Гипотеза / практическая</x:v>
      </x:c>
      <x:c r="Z390" s="28" t="str">
        <x:v>Таблица сочетания(1).pdf</x:v>
      </x:c>
      <x:c r="AA390" s="28" t="str">
        <x:v>Таблица сочетания(1).pdf: 11</x:v>
      </x:c>
      <x:c r="AB390" s="28" t="str">
        <x:v>Пара указана в таблице: «Лимон» → колонка «Фрукты».</x:v>
      </x:c>
      <x:c r="AC390" s="28" t="n">
        <x:v>1</x:v>
      </x:c>
      <x:c r="AD390" s="28" t="n">
        <x:v>1</x:v>
      </x:c>
    </x:row>
    <x:row r="391" ht="58" customHeight="1">
      <x:c r="A391" s="28" t="str">
        <x:v>CIT-0390</x:v>
      </x:c>
      <x:c r="B391" s="28" t="str">
        <x:v>Универсальные</x:v>
      </x:c>
      <x:c r="C391" s="28" t="str">
        <x:v>лимон</x:v>
      </x:c>
      <x:c r="D391" s="28" t="str">
        <x:v>лимон</x:v>
      </x:c>
      <x:c r="E391" s="28" t="str">
        <x:v>Цитрусовые</x:v>
      </x:c>
      <x:c r="F391" s="28" t="str">
        <x:v>айва</x:v>
      </x:c>
      <x:c r="G391" s="28" t="str">
        <x:v>Айва</x:v>
      </x:c>
      <x:c r="H391" s="28" t="str">
        <x:v>Прочее</x:v>
      </x:c>
      <x:c r="I391" s="28" t="str">
        <x:v>цитрусовый, свежий, цветочный, древесный</x:v>
      </x:c>
      <x:c r="J391" s="28" t="str">
        <x:v>нейтральный/специфический</x:v>
      </x:c>
      <x:c r="K391" s="28" t="str">
        <x:v>цитраль (гераниаль + нераль), лимонен, гамма-терпинен, бета-пинен</x:v>
      </x:c>
      <x:c r="L391" s="28" t="str">
        <x:v>нужен профиль конкретного продукта</x:v>
      </x:c>
      <x:c r="M391" s="28" t="str">
        <x:v>прямое семейное перекрытие не является главным механизмом</x:v>
      </x:c>
      <x:c r="N391" s="28" t="str">
        <x:v>надёжный общий маркер не заявлен; сочетание объясняется семействами и сенсорным балансом</x:v>
      </x:c>
      <x:c r="O391" s="28" t="str">
        <x:v>вкусовой баланс, тройничное восприятие</x:v>
      </x:c>
      <x:c r="P391" s="28" t="str">
        <x:v>Основной эффект определяется ароматическим контрастом и добавлением кислотной свежести; точный баланс зависит от дозировки и матрицы.</x:v>
      </x:c>
      <x:c r="Q391" s="28" t="str">
        <x:v>кислота усиливает слюноотделение; нет данных</x:v>
      </x:c>
      <x:c r="R391" s="28" t="str">
        <x:v>сок — водная кислая фаза; цедра — гидрофобное эфирное масло; зависит от формы продукта</x:v>
      </x:c>
      <x:c r="S39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91" s="28" t="str">
        <x:v>Лимон формирует профиль «цитрусовый, свежий, цветочный, древесный»; характерные маркеры: цитраль (гераниаль + нераль), лимонен, гамма-терпинен, бета-пинен. Айва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391" s="28" t="str">
        <x:v>Избыток кислоты делает вкус плоско-резким; белая часть кожуры даёт лишнюю горечь.</x:v>
      </x:c>
      <x:c r="V391" s="28" t="str">
        <x:v>мёд или нейтральная жировая основа</x:v>
      </x:c>
      <x:c r="W391" s="28" t="str">
        <x:v>соус, напиток или десерт после пробной дегустации</x:v>
      </x:c>
      <x:c r="X391" s="28" t="str">
        <x:v>универсальное</x:v>
      </x:c>
      <x:c r="Y391" s="28" t="str">
        <x:v>Гипотеза / практическая</x:v>
      </x:c>
      <x:c r="Z391" s="28" t="str">
        <x:v>Таблица сочетания(1).pdf</x:v>
      </x:c>
      <x:c r="AA391" s="28" t="str">
        <x:v>Таблица сочетания(1).pdf: 18</x:v>
      </x:c>
      <x:c r="AB391" s="28" t="str">
        <x:v>Пара указана в таблице: «Айва» → колонка «Фрукты».</x:v>
      </x:c>
      <x:c r="AC391" s="28" t="n">
        <x:v>1</x:v>
      </x:c>
      <x:c r="AD391" s="28" t="n">
        <x:v>1</x:v>
      </x:c>
    </x:row>
    <x:row r="392" ht="58" customHeight="1">
      <x:c r="A392" s="28" t="str">
        <x:v>CIT-0391</x:v>
      </x:c>
      <x:c r="B392" s="28" t="str">
        <x:v>Универсальные</x:v>
      </x:c>
      <x:c r="C392" s="28" t="str">
        <x:v>лимон</x:v>
      </x:c>
      <x:c r="D392" s="28" t="str">
        <x:v>Лимон | лимон</x:v>
      </x:c>
      <x:c r="E392" s="28" t="str">
        <x:v>Цитрусовые</x:v>
      </x:c>
      <x:c r="F392" s="28" t="str">
        <x:v>анис</x:v>
      </x:c>
      <x:c r="G392" s="28" t="str">
        <x:v>Анис | анис</x:v>
      </x:c>
      <x:c r="H392" s="28" t="str">
        <x:v>Пряности/травы</x:v>
      </x:c>
      <x:c r="I392" s="28" t="str">
        <x:v>цитрусовый, свежий, цветочный, древесный</x:v>
      </x:c>
      <x:c r="J392" s="28" t="str">
        <x:v>анисовый, сладко-пряный, зелёный</x:v>
      </x:c>
      <x:c r="K392" s="28" t="str">
        <x:v>цитраль (гераниаль + нераль), лимонен, гамма-терпинен, бета-пинен</x:v>
      </x:c>
      <x:c r="L392" s="28" t="str">
        <x:v>транс-анетол, фенхон, эстрагол</x:v>
      </x:c>
      <x:c r="M392" s="28" t="str">
        <x:v>прямое семейное перекрытие не является главным механизмом</x:v>
      </x:c>
      <x:c r="N392" s="28" t="str">
        <x:v>надёжный общий маркер не заявлен; сочетание объясняется семействами и сенсорным балансом</x:v>
      </x:c>
      <x:c r="O392" s="28" t="str">
        <x:v>вкусовой баланс, тройничное восприятие</x:v>
      </x:c>
      <x:c r="P392" s="28" t="str">
        <x:v>Основной эффект определяется ароматическим контрастом и добавлением кислотной свежести; точный баланс зависит от дозировки и матрицы.</x:v>
      </x:c>
      <x:c r="Q392" s="28" t="str">
        <x:v>кислота усиливает слюноотделение; анетол создаёт охлаждающе-сладкое впечатление</x:v>
      </x:c>
      <x:c r="R392" s="28" t="str">
        <x:v>сок — водная кислая фаза; цедра — гидрофобное эфирное масло; анетол гидрофобен и мутнеет при разбавлении спиртовых настоев водой</x:v>
      </x:c>
      <x:c r="S39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92" s="28" t="str">
        <x:v>Лимон формирует профиль «цитрусовый, свежий, цветочный, древесный»; характерные маркеры: цитраль (гераниаль + нераль), лимонен, гамма-терпинен, бета-пинен. Анис относится к группе «пряности/травы» и даёт ноты «анисовый, сладко-пряный,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Анисовые соединения дают сильный ароматический мост с цветочными и цитрусовыми терпенами.</x:v>
      </x:c>
      <x:c r="U392" s="28" t="str">
        <x:v>Избыток кислоты делает вкус плоско-резким; белая часть кожуры даёт лишнюю горечь.</x:v>
      </x:c>
      <x:c r="V392" s="28" t="str">
        <x:v>мёд или нейтральная жировая основа</x:v>
      </x:c>
      <x:c r="W392" s="28" t="str">
        <x:v>соус, напиток или десерт после пробной дегустации</x:v>
      </x:c>
      <x:c r="X392" s="28" t="str">
        <x:v>универсальное</x:v>
      </x:c>
      <x:c r="Y392" s="28" t="str">
        <x:v>Высокая</x:v>
      </x:c>
      <x:c r="Z392" s="28" t="str">
        <x:v>Тезариус вкусов (Ники Сегнит)(1).pdf</x:v>
      </x:c>
      <x:c r="AA392" s="28" t="str">
        <x:v>Тезариус вкусов (Ники Сегнит)(1).pdf: 484, 800</x:v>
      </x:c>
      <x:c r="AB392" s="28" t="str">
        <x:v>Как сообщает Гарольд Макги (Harold McGee), трансанетол – химическое соединение, обеспечивающее основной вкус аниса, звездчатого аниса и фенхеля – в 13 раз слаще обычного сахара. Неудивительно, что семена аниса используются в некоторых видах печенья бискотти в качестве партнеров горького лимона, а пастис демонстрирует странное, но эффектное сочетание с лимоном в сорбе.</x:v>
      </x:c>
      <x:c r="AC392" s="28" t="n">
        <x:v>1</x:v>
      </x:c>
      <x:c r="AD392" s="28" t="n">
        <x:v>2</x:v>
      </x:c>
    </x:row>
    <x:row r="393" ht="58" customHeight="1">
      <x:c r="A393" s="28" t="str">
        <x:v>CIT-0392</x:v>
      </x:c>
      <x:c r="B393" s="28" t="str">
        <x:v>Универсальные</x:v>
      </x:c>
      <x:c r="C393" s="28" t="str">
        <x:v>лимон</x:v>
      </x:c>
      <x:c r="D393" s="28" t="str">
        <x:v>Лимон | лимон</x:v>
      </x:c>
      <x:c r="E393" s="28" t="str">
        <x:v>Цитрусовые</x:v>
      </x:c>
      <x:c r="F393" s="28" t="str">
        <x:v>анчоусы</x:v>
      </x:c>
      <x:c r="G393" s="28" t="str">
        <x:v>Анчоусы | анчоусы</x:v>
      </x:c>
      <x:c r="H393" s="28" t="str">
        <x:v>Прочее</x:v>
      </x:c>
      <x:c r="I393" s="28" t="str">
        <x:v>цитрусовый, свежий, цветочный, древесный</x:v>
      </x:c>
      <x:c r="J393" s="28" t="str">
        <x:v>нейтральный/специфический</x:v>
      </x:c>
      <x:c r="K393" s="28" t="str">
        <x:v>цитраль (гераниаль + нераль), лимонен, гамма-терпинен, бета-пинен</x:v>
      </x:c>
      <x:c r="L393" s="28" t="str">
        <x:v>нужен профиль конкретного продукта</x:v>
      </x:c>
      <x:c r="M393" s="28" t="str">
        <x:v>прямое семейное перекрытие не является главным механизмом</x:v>
      </x:c>
      <x:c r="N393" s="28" t="str">
        <x:v>надёжный общий маркер не заявлен; сочетание объясняется семействами и сенсорным балансом</x:v>
      </x:c>
      <x:c r="O393" s="28" t="str">
        <x:v>вкусовой баланс, тройничное восприятие</x:v>
      </x:c>
      <x:c r="P393" s="28" t="str">
        <x:v>Основной эффект определяется ароматическим контрастом и добавлением кислотной свежести; точный баланс зависит от дозировки и матрицы.</x:v>
      </x:c>
      <x:c r="Q393" s="28" t="str">
        <x:v>кислота усиливает слюноотделение; нет данных</x:v>
      </x:c>
      <x:c r="R393" s="28" t="str">
        <x:v>сок — водная кислая фаза; цедра — гидрофобное эфирное масло; зависит от формы продукта</x:v>
      </x:c>
      <x:c r="S39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93" s="28" t="str">
        <x:v>Лимон формирует профиль «цитрусовый, свежий, цветочный, древесный»; характерные маркеры: цитраль (гераниаль + нераль), лимонен, гамма-терпинен, бета-пинен. Анчоусы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393" s="28" t="str">
        <x:v>Избыток кислоты делает вкус плоско-резким; белая часть кожуры даёт лишнюю горечь.</x:v>
      </x:c>
      <x:c r="V393" s="28" t="str">
        <x:v>мёд или нейтральная жировая основа</x:v>
      </x:c>
      <x:c r="W393" s="28" t="str">
        <x:v>соус, напиток или десерт после пробной дегустации</x:v>
      </x:c>
      <x:c r="X393" s="28" t="str">
        <x:v>универсальное</x:v>
      </x:c>
      <x:c r="Y393" s="28" t="str">
        <x:v>Высокая</x:v>
      </x:c>
      <x:c r="Z393" s="28" t="str">
        <x:v>Тезариус вкусов (Ники Сегнит)(1).pdf</x:v>
      </x:c>
      <x:c r="AA393" s="28" t="str">
        <x:v>Тезариус вкусов (Ники Сегнит)(1).pdf: 428, 800</x:v>
      </x:c>
      <x:c r="AB393" s="28" t="str">
        <x:v>Перетрите пару анчоусов с небольшим количеством лимонного сока в однородную пасту, затем добавьте оливковое масло и приправьте по вкусу. Получится отличный дрессинг для салата из горьких листьев, например листьев рукколы или цикория. См. также Каперсы и анчоусы.</x:v>
      </x:c>
      <x:c r="AC393" s="28" t="n">
        <x:v>1</x:v>
      </x:c>
      <x:c r="AD393" s="28" t="n">
        <x:v>2</x:v>
      </x:c>
    </x:row>
    <x:row r="394" ht="58" customHeight="1">
      <x:c r="A394" s="28" t="str">
        <x:v>CIT-0393</x:v>
      </x:c>
      <x:c r="B394" s="28" t="str">
        <x:v>Десерты и выпечка</x:v>
      </x:c>
      <x:c r="C394" s="28" t="str">
        <x:v>лимон</x:v>
      </x:c>
      <x:c r="D394" s="28" t="str">
        <x:v>лимон</x:v>
      </x:c>
      <x:c r="E394" s="28" t="str">
        <x:v>Цитрусовые</x:v>
      </x:c>
      <x:c r="F394" s="28" t="str">
        <x:v>арбуз</x:v>
      </x:c>
      <x:c r="G394" s="28" t="str">
        <x:v>Арбуз</x:v>
      </x:c>
      <x:c r="H394" s="28" t="str">
        <x:v>Бахчевые</x:v>
      </x:c>
      <x:c r="I394" s="28" t="str">
        <x:v>цитрусовый, свежий, цветочный, древесный</x:v>
      </x:c>
      <x:c r="J394" s="28" t="str">
        <x:v>свежий, зелёный, водянистый, фруктовый</x:v>
      </x:c>
      <x:c r="K394" s="28" t="str">
        <x:v>цитраль (гераниаль + нераль), лимонен, гамма-терпинен, бета-пинен</x:v>
      </x:c>
      <x:c r="L394" s="28" t="str">
        <x:v>C6/C9-альдегиды, эфиры, нонадиеналь</x:v>
      </x:c>
      <x:c r="M394" s="28" t="str">
        <x:v>свежий</x:v>
      </x:c>
      <x:c r="N394" s="28" t="str">
        <x:v>надёжный общий маркер не заявлен; сочетание объясняется семействами и сенсорным балансом</x:v>
      </x:c>
      <x:c r="O394" s="28" t="str">
        <x:v>перекрытие ароматических семейств, вкусовой баланс</x:v>
      </x:c>
      <x:c r="P394" s="28" t="str">
        <x:v>Общая фруктовая сладость и летучие эфиры создают непрерывный ароматический профиль, а цитрусовая кислота повышает контраст и свежесть.</x:v>
      </x:c>
      <x:c r="Q394" s="28" t="str">
        <x:v>кислота усиливает слюноотделение; нет выраженного</x:v>
      </x:c>
      <x:c r="R394" s="28" t="str">
        <x:v>сок — водная кислая фаза; цедра — гидрофобное эфирное масло; очень водная матрица с деликатным ароматом</x:v>
      </x:c>
      <x:c r="S39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94" s="28" t="str">
        <x:v>Лимон формирует профиль «цитрусовый, свежий, цветочный, древесный»; характерные маркеры: цитраль (гераниаль + нераль), лимонен, гамма-терпинен, бета-пинен. Арбуз относится к группе «бахчевые» и даёт ноты «свежий, зелёный, водянистый, фруктовый».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придаёт структуру, но легко подавляет тонкий аромат дыни.</x:v>
      </x:c>
      <x:c r="U394" s="28" t="str">
        <x:v>Избыток кислоты делает вкус плоско-резким; белая часть кожуры даёт лишнюю горечь; цитрус легко подавляет деликатный аромат партнёра.</x:v>
      </x:c>
      <x:c r="V394" s="28" t="str">
        <x:v>мята или огурец</x:v>
      </x:c>
      <x:c r="W394" s="28" t="str">
        <x:v>холодный напиток, гранита, салат или сорбет</x:v>
      </x:c>
      <x:c r="X394" s="28" t="str">
        <x:v>десерты</x:v>
      </x:c>
      <x:c r="Y394" s="28" t="str">
        <x:v>Гипотеза / практическая</x:v>
      </x:c>
      <x:c r="Z394" s="28" t="str">
        <x:v>Таблица сочетания(1).pdf</x:v>
      </x:c>
      <x:c r="AA394" s="28" t="str">
        <x:v>Таблица сочетания(1).pdf: 22</x:v>
      </x:c>
      <x:c r="AB394" s="28" t="str">
        <x:v>Пара указана в таблице: «Арбуз» → колонка «Фрукты».</x:v>
      </x:c>
      <x:c r="AC394" s="28" t="n">
        <x:v>1</x:v>
      </x:c>
      <x:c r="AD394" s="28" t="n">
        <x:v>1</x:v>
      </x:c>
    </x:row>
    <x:row r="395" ht="58" customHeight="1">
      <x:c r="A395" s="28" t="str">
        <x:v>CIT-0394</x:v>
      </x:c>
      <x:c r="B395" s="28" t="str">
        <x:v>Напитки</x:v>
      </x:c>
      <x:c r="C395" s="28" t="str">
        <x:v>лимон</x:v>
      </x:c>
      <x:c r="D395" s="28" t="str">
        <x:v>lemon</x:v>
      </x:c>
      <x:c r="E395" s="28" t="str">
        <x:v>Цитрусовые</x:v>
      </x:c>
      <x:c r="F395" s="28" t="str">
        <x:v>аррак</x:v>
      </x:c>
      <x:c r="G395" s="28" t="str">
        <x:v>arrack</x:v>
      </x:c>
      <x:c r="H395" s="28" t="str">
        <x:v>Алкогольные напитки</x:v>
      </x:c>
      <x:c r="I395" s="28" t="str">
        <x:v>цитрусовый, свежий, цветочный, древесный</x:v>
      </x:c>
      <x:c r="J395" s="28" t="str">
        <x:v>зависит от основы, эфирный, древесный/пряный</x:v>
      </x:c>
      <x:c r="K395" s="28" t="str">
        <x:v>цитраль (гераниаль + нераль), лимонен, гамма-терпинен, бета-пинен</x:v>
      </x:c>
      <x:c r="L395" s="28" t="str">
        <x:v>этанол, эфиры, терпены/дубовые соединения</x:v>
      </x:c>
      <x:c r="M395" s="28" t="str">
        <x:v>прямое семейное перекрытие не является главным механизмом</x:v>
      </x:c>
      <x:c r="N395" s="28" t="str">
        <x:v>надёжный общий маркер не заявлен; сочетание объясняется семействами и сенсорным балансом</x:v>
      </x:c>
      <x:c r="O395" s="28" t="str">
        <x:v>вкусовой баланс, тройничное восприятие, влияние матрицы/растворимости</x:v>
      </x:c>
      <x:c r="P395" s="28" t="str">
        <x:v>Этанол усиливает летучесть терпенов и ощущение тепла; сахар и вода регулируют кислотность, горечь кожуры и спиртуозность.</x:v>
      </x:c>
      <x:c r="Q395" s="28" t="str">
        <x:v>кислота усиливает слюноотделение; этанол усиливает тепло и летучесть аромата</x:v>
      </x:c>
      <x:c r="R395" s="28" t="str">
        <x:v>сок — водная кислая фаза; цедра — гидрофобное эфирное масло; этанол — хороший растворитель гидрофобных эфирных масел</x:v>
      </x:c>
      <x:c r="S395"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395" s="28" t="str">
        <x:v>Лимон формирует профиль «цитрусовый, свежий, цветочный, древесный»; характерные маркеры: цитраль (гераниаль + нераль), лимонен, гамма-терпинен, бета-пинен. Аррак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U395" s="28" t="str">
        <x:v>Избыток кислоты делает вкус плоско-резким; белая часть кожуры даёт лишнюю горечь.</x:v>
      </x:c>
      <x:c r="V395" s="28" t="str">
        <x:v>сахарный сироп или биттер</x:v>
      </x:c>
      <x:c r="W395" s="28" t="str">
        <x:v>коктейль, спритц, настойка, ликёр или кордиал</x:v>
      </x:c>
      <x:c r="X395" s="28" t="str">
        <x:v>напитки</x:v>
      </x:c>
      <x:c r="Y395" s="28" t="str">
        <x:v>Средняя</x:v>
      </x:c>
      <x:c r="Z395" s="28" t="str">
        <x:v>The Art &amp; Science of Foodpairing.pdf</x:v>
      </x:c>
      <x:c r="AA395" s="28" t="str">
        <x:v>The Art &amp; Science of Foodpairing.pdf: 88</x:v>
      </x:c>
      <x:c r="AB395" s="28" t="str">
        <x:v>Пара представлена в ароматической диаграмме Foodpairing на странице 88.</x:v>
      </x:c>
      <x:c r="AC395" s="28" t="n">
        <x:v>1</x:v>
      </x:c>
      <x:c r="AD395" s="28" t="n">
        <x:v>2</x:v>
      </x:c>
    </x:row>
    <x:row r="396" ht="58" customHeight="1">
      <x:c r="A396" s="28" t="str">
        <x:v>CIT-0395</x:v>
      </x:c>
      <x:c r="B396" s="28" t="str">
        <x:v>Еда и соусы</x:v>
      </x:c>
      <x:c r="C396" s="28" t="str">
        <x:v>лимон</x:v>
      </x:c>
      <x:c r="D396" s="28" t="str">
        <x:v>Лимон | лимон</x:v>
      </x:c>
      <x:c r="E396" s="28" t="str">
        <x:v>Цитрусовые</x:v>
      </x:c>
      <x:c r="F396" s="28" t="str">
        <x:v>артишок</x:v>
      </x:c>
      <x:c r="G396" s="28" t="str">
        <x:v>Артишок | артишок</x:v>
      </x:c>
      <x:c r="H396" s="28" t="str">
        <x:v>Овощи</x:v>
      </x:c>
      <x:c r="I396" s="28" t="str">
        <x:v>цитрусовый, свежий, цветочный, древесный</x:v>
      </x:c>
      <x:c r="J396" s="28" t="str">
        <x:v>зелёный, землистый, растительный, иногда сернистый</x:v>
      </x:c>
      <x:c r="K396" s="28" t="str">
        <x:v>цитраль (гераниаль + нераль), лимонен, гамма-терпинен, бета-пинен</x:v>
      </x:c>
      <x:c r="L396" s="28" t="str">
        <x:v>C6-альдегиды, метоксипиразины, геосмин (землистые), сернистые соединения</x:v>
      </x:c>
      <x:c r="M396" s="28" t="str">
        <x:v>прямое семейное перекрытие не является главным механизмом</x:v>
      </x:c>
      <x:c r="N396" s="28" t="str">
        <x:v>надёжный общий маркер не заявлен; сочетание объясняется семействами и сенсорным балансом</x:v>
      </x:c>
      <x:c r="O396" s="28" t="str">
        <x:v>вкусовой баланс</x:v>
      </x:c>
      <x:c r="P396" s="28" t="str">
        <x:v>Кислота подчёркивает природную сладость овоща, сокращает землистое/сернистое послевкусие и повышает слюноотделение.</x:v>
      </x:c>
      <x:c r="Q396" s="28" t="str">
        <x:v>кислота усиливает слюноотделение; нет выраженного</x:v>
      </x:c>
      <x:c r="R396" s="28" t="str">
        <x:v>сок — водная кислая фаза; цедра — гидрофобное эфирное масло; водная/крахмальная матрица; масло помогает распределить цедру</x:v>
      </x:c>
      <x:c r="S39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396" s="28" t="str">
        <x:v>Лимон формирует профиль «цитрусовый, свежий, цветочный, древесный»; характерные маркеры: цитраль (гераниаль + нераль), лимонен, гамма-терпинен, бета-пинен. Артишок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396" s="28" t="str">
        <x:v>Избыток кислоты делает вкус плоско-резким; белая часть кожуры даёт лишнюю горечь.</x:v>
      </x:c>
      <x:c r="V396" s="28" t="str">
        <x:v>оливковое масло или базилик</x:v>
      </x:c>
      <x:c r="W396" s="28" t="str">
        <x:v>винегрет, салат, пюре, запечённое блюдо или овощной соус</x:v>
      </x:c>
      <x:c r="X396" s="28" t="str">
        <x:v>еда, соусы/маринады</x:v>
      </x:c>
      <x:c r="Y396" s="28" t="str">
        <x:v>Высокая</x:v>
      </x:c>
      <x:c r="Z396" s="28" t="str">
        <x:v>Тезариус вкусов (Ники Сегнит)(1).pdf</x:v>
      </x:c>
      <x:c r="AA396" s="28" t="str">
        <x:v>Тезариус вкусов (Ники Сегнит)(1).pdf: 339, 800</x:v>
      </x:c>
      <x:c r="AB396" s="28" t="str">
        <x:v>Будете в Риме на Пасху – купите себе бумажный пакет с carciofi alla guida – обжаренными во фритюре целыми артишоками. Достаньте из пакета дольки лимона, кучу салфеток – и вперед: сядьте под деревом и съешьте артишоки, пока они еще горячие. Сваренные в кипятке или на пару артишоки имеют достаточно жесткий вкус, чтобы сочетать их с вином, но жареные – хорошо идут со свежим, кислым, сухим просекко (Prosecco), особенно если вы не стес- няетесь сидеть под деревом с бутылкой вина и сумкой из оберточно</x:v>
      </x:c>
      <x:c r="AC396" s="28" t="n">
        <x:v>1</x:v>
      </x:c>
      <x:c r="AD396" s="28" t="n">
        <x:v>2</x:v>
      </x:c>
    </x:row>
    <x:row r="397" ht="58" customHeight="1">
      <x:c r="A397" s="28" t="str">
        <x:v>CIT-0396</x:v>
      </x:c>
      <x:c r="B397" s="28" t="str">
        <x:v>Универсальные</x:v>
      </x:c>
      <x:c r="C397" s="28" t="str">
        <x:v>лимон</x:v>
      </x:c>
      <x:c r="D397" s="28" t="str">
        <x:v>Лимон | лимон</x:v>
      </x:c>
      <x:c r="E397" s="28" t="str">
        <x:v>Цитрусовые</x:v>
      </x:c>
      <x:c r="F397" s="28" t="str">
        <x:v>базилик</x:v>
      </x:c>
      <x:c r="G397" s="28" t="str">
        <x:v>Базилик | базилик</x:v>
      </x:c>
      <x:c r="H397" s="28" t="str">
        <x:v>Травы</x:v>
      </x:c>
      <x:c r="I397" s="28" t="str">
        <x:v>цитрусовый, свежий, цветочный, древесный</x:v>
      </x:c>
      <x:c r="J397" s="28" t="str">
        <x:v>зелёный, анисовый, цветочный, пряный</x:v>
      </x:c>
      <x:c r="K397" s="28" t="str">
        <x:v>цитраль (гераниаль + нераль), лимонен, гамма-терпинен, бета-пинен</x:v>
      </x:c>
      <x:c r="L397" s="28" t="str">
        <x:v>линалол, эстрагол, эвгенол</x:v>
      </x:c>
      <x:c r="M397" s="28" t="str">
        <x:v>цветочный</x:v>
      </x:c>
      <x:c r="N397" s="28" t="str">
        <x:v>надёжный общий маркер не заявлен; сочетание объясняется семействами и сенсорным балансом</x:v>
      </x:c>
      <x:c r="O397" s="28" t="str">
        <x:v>перекрытие ароматических семейств, вкусовой баланс</x:v>
      </x:c>
      <x:c r="P397" s="28" t="str">
        <x:v>Кислота усиливает слюноотделение и делает пряный аромат ярче; терпены цитруса образуют мост с эфирными маслами травы или специи.</x:v>
      </x:c>
      <x:c r="Q397" s="28" t="str">
        <x:v>кислота усиливает слюноотделение; нет выраженного</x:v>
      </x:c>
      <x:c r="R397" s="28" t="str">
        <x:v>сок — водная кислая фаза; цедра — гидрофобное эфирное масло; летучие масла чувствительны к длительному нагреву</x:v>
      </x:c>
      <x:c r="S39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397"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Базилик относится к группе «травы» и даёт ноты «зелёный, анисовый, цветочный, пряный».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Базилик и эстрагон могут связать цитрус с фруктами, томатом и сливочными матрицами.</x:v>
      </x:c>
      <x:c r="U397" s="28" t="str">
        <x:v>Избыток кислоты делает вкус плоско-резким; белая часть кожуры даёт лишнюю горечь; цитрус легко подавляет деликатный аромат партнёра.</x:v>
      </x:c>
      <x:c r="V397" s="28" t="str">
        <x:v>оливковое масло или огурец</x:v>
      </x:c>
      <x:c r="W397" s="28" t="str">
        <x:v>лимонад, кордиал, салатная заправка или зелёный соус</x:v>
      </x:c>
      <x:c r="X397" s="28" t="str">
        <x:v>напитки, еда, соусы/маринады</x:v>
      </x:c>
      <x:c r="Y397" s="28" t="str">
        <x:v>Высокая</x:v>
      </x:c>
      <x:c r="Z397" s="28" t="str">
        <x:v>Таблица сочетания(1).pdf | Тезариус вкусов (Ники Сегнит)(1).pdf</x:v>
      </x:c>
      <x:c r="AA397" s="28" t="str">
        <x:v>Таблица сочетания(1).pdf: 11 | Тезариус вкусов (Ники Сегнит)(1).pdf: 567, 800</x:v>
      </x:c>
      <x:c r="AB397" s="28" t="str">
        <x:v>Такие же символы лета, как вед- ро и лопата. Объедините их позитивные настроения и вкусы цитрусов и солодки в простой пасте. Точнее, относительно простой пасте. Я как-то была свидетельницей того, что четверо итальянских мужчин в течение часа спорили о том, как правильно готовить это блюдо. На две порции: отварите 200 г спагетти до состояния аль денте. Тем временем на маленькой сковородке нагрейте 2 ст. л. оливкового масла и размягчите в нем мелко нарезанный лук-шалот. Добавьте 2 ст. л. белого ви</x:v>
      </x:c>
      <x:c r="AC397" s="28" t="n">
        <x:v>2</x:v>
      </x:c>
      <x:c r="AD397" s="28" t="n">
        <x:v>3</x:v>
      </x:c>
    </x:row>
    <x:row r="398" ht="58" customHeight="1">
      <x:c r="A398" s="28" t="str">
        <x:v>CIT-0397</x:v>
      </x:c>
      <x:c r="B398" s="28" t="str">
        <x:v>Десерты и выпечка</x:v>
      </x:c>
      <x:c r="C398" s="28" t="str">
        <x:v>лимон</x:v>
      </x:c>
      <x:c r="D398" s="28" t="str">
        <x:v>Лимон</x:v>
      </x:c>
      <x:c r="E398" s="28" t="str">
        <x:v>Цитрусовые</x:v>
      </x:c>
      <x:c r="F398" s="28" t="str">
        <x:v>банан</x:v>
      </x:c>
      <x:c r="G398" s="28" t="str">
        <x:v>банан</x:v>
      </x:c>
      <x:c r="H398" s="28" t="str">
        <x:v>Тропические фрукты</x:v>
      </x:c>
      <x:c r="I398" s="28" t="str">
        <x:v>цитрусовый, свежий, цветочный, древесный</x:v>
      </x:c>
      <x:c r="J398" s="28" t="str">
        <x:v>фруктовый, тропический, цветочный, сливочный</x:v>
      </x:c>
      <x:c r="K398" s="28" t="str">
        <x:v>цитраль (гераниаль + нераль), лимонен, гамма-терпинен, бета-пинен</x:v>
      </x:c>
      <x:c r="L398" s="28" t="str">
        <x:v>этилбутират, гексилацетат, лактоны, сернистые тиолы (у части фруктов)</x:v>
      </x:c>
      <x:c r="M398" s="28" t="str">
        <x:v>цветочный</x:v>
      </x:c>
      <x:c r="N398" s="28" t="str">
        <x:v>надёжный общий маркер не заявлен; сочетание объясняется семействами и сенсорным балансом</x:v>
      </x:c>
      <x:c r="O398" s="28" t="str">
        <x:v>перекрытие ароматических семейств, вкусовой баланс</x:v>
      </x:c>
      <x:c r="P398" s="28" t="str">
        <x:v>Общая фруктовая сладость и летучие эфиры создают непрерывный ароматический профиль, а цитрусовая кислота повышает контраст и свежесть.</x:v>
      </x:c>
      <x:c r="Q398" s="28" t="str">
        <x:v>кислота усиливает слюноотделение; нет выраженного</x:v>
      </x:c>
      <x:c r="R398" s="28" t="str">
        <x:v>сок — водная кислая фаза; цедра — гидрофобное эфирное масло; сочная или кремовая фруктовая матрица</x:v>
      </x:c>
      <x:c r="S39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98"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Банан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U398" s="28" t="str">
        <x:v>Избыток кислоты делает вкус плоско-резким; белая часть кожуры даёт лишнюю горечь.</x:v>
      </x:c>
      <x:c r="V398" s="28" t="str">
        <x:v>кокос или имбирь</x:v>
      </x:c>
      <x:c r="W398" s="28" t="str">
        <x:v>смузи, кордиал, сорбет, чатни или коктейль</x:v>
      </x:c>
      <x:c r="X398" s="28" t="str">
        <x:v>напитки, десерты</x:v>
      </x:c>
      <x:c r="Y398" s="28" t="str">
        <x:v>Гипотеза / практическая</x:v>
      </x:c>
      <x:c r="Z398" s="28" t="str">
        <x:v>Таблица сочетания(1).pdf</x:v>
      </x:c>
      <x:c r="AA398" s="28" t="str">
        <x:v>Таблица сочетания(1).pdf: 11</x:v>
      </x:c>
      <x:c r="AB398" s="28" t="str">
        <x:v>Пара указана в таблице: «Лимон» → колонка «Фрукты».</x:v>
      </x:c>
      <x:c r="AC398" s="28" t="n">
        <x:v>1</x:v>
      </x:c>
      <x:c r="AD398" s="28" t="n">
        <x:v>1</x:v>
      </x:c>
    </x:row>
    <x:row r="399" ht="58" customHeight="1">
      <x:c r="A399" s="28" t="str">
        <x:v>CIT-0398</x:v>
      </x:c>
      <x:c r="B399" s="28" t="str">
        <x:v>Десерты и выпечка</x:v>
      </x:c>
      <x:c r="C399" s="28" t="str">
        <x:v>лимон</x:v>
      </x:c>
      <x:c r="D399" s="28" t="str">
        <x:v>lemon</x:v>
      </x:c>
      <x:c r="E399" s="28" t="str">
        <x:v>Цитрусовые</x:v>
      </x:c>
      <x:c r="F399" s="28" t="str">
        <x:v>банановый ликёр</x:v>
      </x:c>
      <x:c r="G399" s="28" t="str">
        <x:v>creme de bananes</x:v>
      </x:c>
      <x:c r="H399" s="28" t="str">
        <x:v>Тропические фрукты</x:v>
      </x:c>
      <x:c r="I399" s="28" t="str">
        <x:v>цитрусовый, свежий, цветочный, древесный</x:v>
      </x:c>
      <x:c r="J399" s="28" t="str">
        <x:v>фруктовый, тропический, цветочный, сливочный</x:v>
      </x:c>
      <x:c r="K399" s="28" t="str">
        <x:v>цитраль (гераниаль + нераль), лимонен, гамма-терпинен, бета-пинен</x:v>
      </x:c>
      <x:c r="L399" s="28" t="str">
        <x:v>этилбутират, гексилацетат, лактоны, сернистые тиолы (у части фруктов)</x:v>
      </x:c>
      <x:c r="M399" s="28" t="str">
        <x:v>цветочный</x:v>
      </x:c>
      <x:c r="N399" s="28" t="str">
        <x:v>надёжный общий маркер не заявлен; сочетание объясняется семействами и сенсорным балансом</x:v>
      </x:c>
      <x:c r="O399" s="28" t="str">
        <x:v>перекрытие ароматических семейств, вкусовой баланс</x:v>
      </x:c>
      <x:c r="P399" s="28" t="str">
        <x:v>Общая фруктовая сладость и летучие эфиры создают непрерывный ароматический профиль, а цитрусовая кислота повышает контраст и свежесть.</x:v>
      </x:c>
      <x:c r="Q399" s="28" t="str">
        <x:v>кислота усиливает слюноотделение; нет выраженного</x:v>
      </x:c>
      <x:c r="R399" s="28" t="str">
        <x:v>сок — водная кислая фаза; цедра — гидрофобное эфирное масло; сочная или кремовая фруктовая матрица</x:v>
      </x:c>
      <x:c r="S39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399"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Банановый ликёр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U399" s="28" t="str">
        <x:v>Избыток кислоты делает вкус плоско-резким; белая часть кожуры даёт лишнюю горечь.</x:v>
      </x:c>
      <x:c r="V399" s="28" t="str">
        <x:v>кокос или имбирь</x:v>
      </x:c>
      <x:c r="W399" s="28" t="str">
        <x:v>смузи, кордиал, сорбет, чатни или коктейль</x:v>
      </x:c>
      <x:c r="X399" s="28" t="str">
        <x:v>напитки, десерты</x:v>
      </x:c>
      <x:c r="Y399" s="28" t="str">
        <x:v>Средняя</x:v>
      </x:c>
      <x:c r="Z399" s="28" t="str">
        <x:v>The Art &amp; Science of Foodpairing.pdf</x:v>
      </x:c>
      <x:c r="AA399" s="28" t="str">
        <x:v>The Art &amp; Science of Foodpairing.pdf: 88</x:v>
      </x:c>
      <x:c r="AB399" s="28" t="str">
        <x:v>Пара представлена в ароматической диаграмме Foodpairing на странице 88.</x:v>
      </x:c>
      <x:c r="AC399" s="28" t="n">
        <x:v>1</x:v>
      </x:c>
      <x:c r="AD399" s="28" t="n">
        <x:v>1</x:v>
      </x:c>
    </x:row>
    <x:row r="400" ht="58" customHeight="1">
      <x:c r="A400" s="28" t="str">
        <x:v>CIT-0399</x:v>
      </x:c>
      <x:c r="B400" s="28" t="str">
        <x:v>Еда и соусы</x:v>
      </x:c>
      <x:c r="C400" s="28" t="str">
        <x:v>лимон</x:v>
      </x:c>
      <x:c r="D400" s="28" t="str">
        <x:v>Лимон | лимон</x:v>
      </x:c>
      <x:c r="E400" s="28" t="str">
        <x:v>Цитрусовые</x:v>
      </x:c>
      <x:c r="F400" s="28" t="str">
        <x:v>баранина</x:v>
      </x:c>
      <x:c r="G400" s="28" t="str">
        <x:v>Баранина | баранина</x:v>
      </x:c>
      <x:c r="H400" s="28" t="str">
        <x:v>Мясо и птица</x:v>
      </x:c>
      <x:c r="I400" s="28" t="str">
        <x:v>цитрусовый, свежий, цветочный, древесный</x:v>
      </x:c>
      <x:c r="J400" s="28" t="str">
        <x:v>жареный, мясной, сернистый, жирный</x:v>
      </x:c>
      <x:c r="K400" s="28" t="str">
        <x:v>цитраль (гераниаль + нераль), лимонен, гамма-терпинен, бета-пинен</x:v>
      </x:c>
      <x:c r="L400" s="28" t="str">
        <x:v>пиразины, тиазолы, альдегиды жиров, сернистые соединения</x:v>
      </x:c>
      <x:c r="M400" s="28" t="str">
        <x:v>прямое семейное перекрытие не является главным механизмом</x:v>
      </x:c>
      <x:c r="N400" s="28" t="str">
        <x:v>надёжный общий маркер не заявлен; сочетание объясняется семействами и сенсорным балансом</x:v>
      </x:c>
      <x:c r="O400" s="28" t="str">
        <x:v>вкусовой баланс, влияние матрицы/растворимости</x:v>
      </x:c>
      <x:c r="P400" s="28" t="str">
        <x:v>Кислотность и лёгкая горечь цитруса снижают ощущение жирности; соль и умами, в свою очередь, делают фруктовую часть менее резкой.</x:v>
      </x:c>
      <x:c r="Q400" s="28" t="str">
        <x:v>кислота усиливает слюноотделение; нет выраженного</x:v>
      </x:c>
      <x:c r="R400" s="28" t="str">
        <x:v>сок — водная кислая фаза; цедра — гидрофобное эфирное масло; жир удерживает терпеновые масла; кислота снижает ощущение жирности</x:v>
      </x:c>
      <x:c r="S40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400"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Баранина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U400" s="28" t="str">
        <x:v>Избыток кислоты делает вкус плоско-резким; белая часть кожуры даёт лишнюю горечь; слишком долгая маринация ухудшает текстуру.</x:v>
      </x:c>
      <x:c r="V400" s="28" t="str">
        <x:v>розмарин или чёрный перец</x:v>
      </x:c>
      <x:c r="W400" s="28" t="str">
        <x:v>маринад, глазурь, соус, жаркое или салат</x:v>
      </x:c>
      <x:c r="X400" s="28" t="str">
        <x:v>еда, соусы/маринады</x:v>
      </x:c>
      <x:c r="Y400" s="28" t="str">
        <x:v>Высокая</x:v>
      </x:c>
      <x:c r="Z400" s="28" t="str">
        <x:v>Тезариус вкусов (Ники Сегнит)(1).pdf</x:v>
      </x:c>
      <x:c r="AA400" s="28" t="str">
        <x:v>Тезариус вкусов (Ники Сегнит)(1).pdf: 130, 800</x:v>
      </x:c>
      <x:c r="AB400" s="28" t="str">
        <x:v>Сочные консервированные ли- моны принято медленно тушить с бараниной в марокканском таджине. Резкие на вкус лимоны с жирной ба- раниной готовят в Греции. Обжарьте 1,5 кг мяса с костями в оливковом масле с чесноком, а затем тушите его в плотно закрытой кастрюле вместе с соком пары лимонов и небольшим количеством орегано. Если мясо начнет подсыхать, добавьте воды, но не слишком много. Цель – подать к столу баранину с лимонным привкусом, нарезанную на ломтики и дополненную концентрированным соком. </x:v>
      </x:c>
      <x:c r="AC400" s="28" t="n">
        <x:v>1</x:v>
      </x:c>
      <x:c r="AD400" s="28" t="n">
        <x:v>2</x:v>
      </x:c>
    </x:row>
    <x:row r="401" ht="58" customHeight="1">
      <x:c r="A401" s="28" t="str">
        <x:v>CIT-0400</x:v>
      </x:c>
      <x:c r="B401" s="28" t="str">
        <x:v>Еда и соусы</x:v>
      </x:c>
      <x:c r="C401" s="28" t="str">
        <x:v>лимон</x:v>
      </x:c>
      <x:c r="D401" s="28" t="str">
        <x:v>Лимон | лимон</x:v>
      </x:c>
      <x:c r="E401" s="28" t="str">
        <x:v>Цитрусовые</x:v>
      </x:c>
      <x:c r="F401" s="28" t="str">
        <x:v>белая рыба</x:v>
      </x:c>
      <x:c r="G401" s="28" t="str">
        <x:v>Белая рыба | белая рыба</x:v>
      </x:c>
      <x:c r="H401" s="28" t="str">
        <x:v>Рыба и морепродукты</x:v>
      </x:c>
      <x:c r="I401" s="28" t="str">
        <x:v>цитрусовый, свежий, цветочный, древесный</x:v>
      </x:c>
      <x:c r="J401" s="28" t="str">
        <x:v>морской, йодистый, зелёный, жирный</x:v>
      </x:c>
      <x:c r="K401" s="28" t="str">
        <x:v>цитраль (гераниаль + нераль), лимонен, гамма-терпинен, бета-пинен</x:v>
      </x:c>
      <x:c r="L401" s="28" t="str">
        <x:v>альдегиды окисления липидов, бромфенолы, диметилсульфид, умами-соединения</x:v>
      </x:c>
      <x:c r="M401" s="28" t="str">
        <x:v>прямое семейное перекрытие не является главным механизмом</x:v>
      </x:c>
      <x:c r="N401" s="28" t="str">
        <x:v>надёжный общий маркер не заявлен; сочетание объясняется семействами и сенсорным балансом</x:v>
      </x:c>
      <x:c r="O401" s="28" t="str">
        <x:v>вкусовой баланс, влияние матрицы/растворимости</x:v>
      </x:c>
      <x:c r="P401" s="28" t="str">
        <x:v>Кислотность и лёгкая горечь цитруса снижают ощущение жирности; соль и умами, в свою очередь, делают фруктовую часть менее резкой.</x:v>
      </x:c>
      <x:c r="Q401" s="28" t="str">
        <x:v>кислота усиливает слюноотделение; нет выраженного</x:v>
      </x:c>
      <x:c r="R401" s="28" t="str">
        <x:v>сок — водная кислая фаза; цедра — гидрофобное эфирное масло; кислота может денатурировать поверхностные белки; жир рыбы удерживает терпены</x:v>
      </x:c>
      <x:c r="S40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401" s="28" t="str">
        <x:v>Лимон формирует профиль «цитрусовый, свежий, цветочный, древесный»; характерные маркеры: цитраль (гераниаль + нераль), лимонен, гамма-терпинен, бета-пинен. Белая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U401" s="28" t="str">
        <x:v>Избыток кислоты делает вкус плоско-резким; белая часть кожуры даёт лишнюю горечь; слишком долгая маринация ухудшает текстуру.</x:v>
      </x:c>
      <x:c r="V401" s="28" t="str">
        <x:v>кинза или фенхель</x:v>
      </x:c>
      <x:c r="W401" s="28" t="str">
        <x:v>севиче, маринад, beurre blanc, тартар или салат</x:v>
      </x:c>
      <x:c r="X401" s="28" t="str">
        <x:v>еда, соусы/маринады</x:v>
      </x:c>
      <x:c r="Y401" s="28" t="str">
        <x:v>Высокая</x:v>
      </x:c>
      <x:c r="Z401" s="28" t="str">
        <x:v>Тезариус вкусов (Ники Сегнит)(1).pdf</x:v>
      </x:c>
      <x:c r="AA401" s="28" t="str">
        <x:v>Тезариус вкусов (Ники Сегнит)(1).pdf: 386, 801</x:v>
      </x:c>
      <x:c r="AB401" s="28" t="str">
        <x:v>Ломтик лимона так часто со- провождает белую рыбу, что без него она выглядит немного одиноко. Очевидно, кислый лимон обеспечивает контрапункт по отношению к сладкой мякоти рыбы, а также купирует сильные рыбные ароматы и нейтрализует жирность жареной рыбы. Впрочем, лучший комплимент, который вы можете сделать хорошей свежей рыбе, – это подать ее к столу целиком и без всяких украшений. Молодой красивой девушке не нужен никакой макияж.</x:v>
      </x:c>
      <x:c r="AC401" s="28" t="n">
        <x:v>1</x:v>
      </x:c>
      <x:c r="AD401" s="28" t="n">
        <x:v>2</x:v>
      </x:c>
    </x:row>
    <x:row r="402" ht="58" customHeight="1">
      <x:c r="A402" s="28" t="str">
        <x:v>CIT-0401</x:v>
      </x:c>
      <x:c r="B402" s="28" t="str">
        <x:v>Десерты и выпечка</x:v>
      </x:c>
      <x:c r="C402" s="28" t="str">
        <x:v>лимон</x:v>
      </x:c>
      <x:c r="D402" s="28" t="str">
        <x:v>Лимон | лимон</x:v>
      </x:c>
      <x:c r="E402" s="28" t="str">
        <x:v>Цитрусовые</x:v>
      </x:c>
      <x:c r="F402" s="28" t="str">
        <x:v>белый шоколад</x:v>
      </x:c>
      <x:c r="G402" s="28" t="str">
        <x:v>Белый шоколад | белый шоколад</x:v>
      </x:c>
      <x:c r="H402" s="28" t="str">
        <x:v>Шоколад/обжаренное</x:v>
      </x:c>
      <x:c r="I402" s="28" t="str">
        <x:v>цитрусовый, свежий, цветочный, древесный</x:v>
      </x:c>
      <x:c r="J402" s="28" t="str">
        <x:v>обжаренный, какао, ореховый, карамельный</x:v>
      </x:c>
      <x:c r="K402" s="28" t="str">
        <x:v>цитраль (гераниаль + нераль), лимонен, гамма-терпинен, бета-пинен</x:v>
      </x:c>
      <x:c r="L402" s="28" t="str">
        <x:v>пиразины, фураны, фенилуксусная кислота, ванилин</x:v>
      </x:c>
      <x:c r="M402" s="28" t="str">
        <x:v>прямое семейное перекрытие не является главным механизмом</x:v>
      </x:c>
      <x:c r="N402" s="28" t="str">
        <x:v>надёжный общий маркер не заявлен; сочетание объясняется семействами и сенсорным балансом</x:v>
      </x:c>
      <x:c r="O402" s="28" t="str">
        <x:v>вкусовой баланс</x:v>
      </x:c>
      <x:c r="P402" s="28" t="str">
        <x:v>Высокая кисло-ароматическая нота контрастирует с жареными, горькими и карамельными оттенками; сахар или жир связывает два регистра.</x:v>
      </x:c>
      <x:c r="Q402" s="28" t="str">
        <x:v>кислота усиливает слюноотделение; нет выраженного</x:v>
      </x:c>
      <x:c r="R402" s="28" t="str">
        <x:v>сок — водная кислая фаза; цедра — гидрофобное эфирное масло; жир какао удерживает гидрофобные терпены</x:v>
      </x:c>
      <x:c r="S402"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402" s="28" t="str">
        <x:v>Лимон формирует профиль «цитрусовый, свежий, цветочный, древесный»; характерные маркеры: цитраль (гераниаль + нераль), лимонен, гамма-терпинен, бета-пинен. Белый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Сок определяется цитралем и кислотностью, цедра — лимоненом и терпенами. Цитрус даёт высокую свежую ноту на фоне тёмных жареных соединений.</x:v>
      </x:c>
      <x:c r="U402" s="28" t="str">
        <x:v>Избыток кислоты делает вкус плоско-резким; белая часть кожуры даёт лишнюю горечь.</x:v>
      </x:c>
      <x:c r="V402" s="28" t="str">
        <x:v>ваниль или кардамон</x:v>
      </x:c>
      <x:c r="W402" s="28" t="str">
        <x:v>ганаш, тарт, конфеты, кофейный напиток или биттер</x:v>
      </x:c>
      <x:c r="X402" s="28" t="str">
        <x:v>десерты</x:v>
      </x:c>
      <x:c r="Y402" s="28" t="str">
        <x:v>Высокая</x:v>
      </x:c>
      <x:c r="Z402" s="28" t="str">
        <x:v>Тезариус вкусов (Ники Сегнит)(1).pdf</x:v>
      </x:c>
      <x:c r="AA402" s="28" t="str">
        <x:v>Тезариус вкусов (Ники Сегнит)(1).pdf: 801, 924</x:v>
      </x:c>
      <x:c r="AB402" s="28" t="str">
        <x:v>Хороший белый шоко- лад, например Pierre Marcolini или Bianco Venchi, часто имеет во вкусе естественную лимонную компоненту. Белый шоколад и лимон нередко объединяют в тортах, например в торте от Роуз Беранбаум (Rose Beranbaum). Он делается из белого шоколада с насы- щенной лимонно-творожной начинкой и покрывается белым шоколадом и сливочным лимонно-творожным кремом. Автор назвала свое произведение Woody’s Lemon Luxury Layer Cake («Роскошный лесной лимонный слоеный торт») – и от каждого слова в </x:v>
      </x:c>
      <x:c r="AC402" s="28" t="n">
        <x:v>1</x:v>
      </x:c>
      <x:c r="AD402" s="28" t="n">
        <x:v>2</x:v>
      </x:c>
    </x:row>
    <x:row r="403" ht="58" customHeight="1">
      <x:c r="A403" s="28" t="str">
        <x:v>CIT-0402</x:v>
      </x:c>
      <x:c r="B403" s="28" t="str">
        <x:v>Универсальные</x:v>
      </x:c>
      <x:c r="C403" s="28" t="str">
        <x:v>лимон</x:v>
      </x:c>
      <x:c r="D403" s="28" t="str">
        <x:v>Лимон | лимон</x:v>
      </x:c>
      <x:c r="E403" s="28" t="str">
        <x:v>Цитрусовые</x:v>
      </x:c>
      <x:c r="F403" s="28" t="str">
        <x:v>брокколи</x:v>
      </x:c>
      <x:c r="G403" s="28" t="str">
        <x:v>Брокколи | брокколи</x:v>
      </x:c>
      <x:c r="H403" s="28" t="str">
        <x:v>Прочее</x:v>
      </x:c>
      <x:c r="I403" s="28" t="str">
        <x:v>цитрусовый, свежий, цветочный, древесный</x:v>
      </x:c>
      <x:c r="J403" s="28" t="str">
        <x:v>нейтральный/специфический</x:v>
      </x:c>
      <x:c r="K403" s="28" t="str">
        <x:v>цитраль (гераниаль + нераль), лимонен, гамма-терпинен, бета-пинен</x:v>
      </x:c>
      <x:c r="L403" s="28" t="str">
        <x:v>нужен профиль конкретного продукта</x:v>
      </x:c>
      <x:c r="M403" s="28" t="str">
        <x:v>прямое семейное перекрытие не является главным механизмом</x:v>
      </x:c>
      <x:c r="N403" s="28" t="str">
        <x:v>надёжный общий маркер не заявлен; сочетание объясняется семействами и сенсорным балансом</x:v>
      </x:c>
      <x:c r="O403" s="28" t="str">
        <x:v>вкусовой баланс, тройничное восприятие</x:v>
      </x:c>
      <x:c r="P403" s="28" t="str">
        <x:v>Основной эффект определяется ароматическим контрастом и добавлением кислотной свежести; точный баланс зависит от дозировки и матрицы.</x:v>
      </x:c>
      <x:c r="Q403" s="28" t="str">
        <x:v>кислота усиливает слюноотделение; нет данных</x:v>
      </x:c>
      <x:c r="R403" s="28" t="str">
        <x:v>сок — водная кислая фаза; цедра — гидрофобное эфирное масло; зависит от формы продукта</x:v>
      </x:c>
      <x:c r="S40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03" s="28" t="str">
        <x:v>Лимон формирует профиль «цитрусовый, свежий, цветочный, древесный»; характерные маркеры: цитраль (гераниаль + нераль), лимонен, гамма-терпинен, бета-пинен. Брокколи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03" s="28" t="str">
        <x:v>Избыток кислоты делает вкус плоско-резким; белая часть кожуры даёт лишнюю горечь.</x:v>
      </x:c>
      <x:c r="V403" s="28" t="str">
        <x:v>мёд или нейтральная жировая основа</x:v>
      </x:c>
      <x:c r="W403" s="28" t="str">
        <x:v>соус, напиток или десерт после пробной дегустации</x:v>
      </x:c>
      <x:c r="X403" s="28" t="str">
        <x:v>универсальное</x:v>
      </x:c>
      <x:c r="Y403" s="28" t="str">
        <x:v>Высокая</x:v>
      </x:c>
      <x:c r="Z403" s="28" t="str">
        <x:v>Тезариус вкусов (Ники Сегнит)(1).pdf</x:v>
      </x:c>
      <x:c r="AA403" s="28" t="str">
        <x:v>Тезариус вкусов (Ники Сегнит)(1).pdf: 331, 801</x:v>
      </x:c>
      <x:c r="AB403" s="28" t="str">
        <x:v>При всех положительных свой- ствах брокколи есть у нее и минус: она очень быстро остывает после приготовления. Итальянский ресторан Orso в Лондоне нашел решение: здесь брокколи подают к столу не горячей, а теплой и выжимают на блюдо сок лимона. Если такое блюдо окажется на столе просто так, без каких-либо объяснений, то посетитель может уйти разочарованным. Однако в ресторане умеют использовать хитрые приемы нейролингвистического программирования, с помощью которых предупреждают вас, что это блю</x:v>
      </x:c>
      <x:c r="AC403" s="28" t="n">
        <x:v>1</x:v>
      </x:c>
      <x:c r="AD403" s="28" t="n">
        <x:v>2</x:v>
      </x:c>
    </x:row>
    <x:row r="404" ht="58" customHeight="1">
      <x:c r="A404" s="28" t="str">
        <x:v>CIT-0403</x:v>
      </x:c>
      <x:c r="B404" s="28" t="str">
        <x:v>Универсальные</x:v>
      </x:c>
      <x:c r="C404" s="28" t="str">
        <x:v>лимон</x:v>
      </x:c>
      <x:c r="D404" s="28" t="str">
        <x:v>лимон</x:v>
      </x:c>
      <x:c r="E404" s="28" t="str">
        <x:v>Цитрусовые</x:v>
      </x:c>
      <x:c r="F404" s="28" t="str">
        <x:v>бузина (цветки бузины)</x:v>
      </x:c>
      <x:c r="G404" s="28" t="str">
        <x:v>Бузина (цветки бузины)</x:v>
      </x:c>
      <x:c r="H404" s="28" t="str">
        <x:v>Прочее</x:v>
      </x:c>
      <x:c r="I404" s="28" t="str">
        <x:v>цитрусовый, свежий, цветочный, древесный</x:v>
      </x:c>
      <x:c r="J404" s="28" t="str">
        <x:v>нейтральный/специфический</x:v>
      </x:c>
      <x:c r="K404" s="28" t="str">
        <x:v>цитраль (гераниаль + нераль), лимонен, гамма-терпинен, бета-пинен</x:v>
      </x:c>
      <x:c r="L404" s="28" t="str">
        <x:v>нужен профиль конкретного продукта</x:v>
      </x:c>
      <x:c r="M404" s="28" t="str">
        <x:v>прямое семейное перекрытие не является главным механизмом</x:v>
      </x:c>
      <x:c r="N404" s="28" t="str">
        <x:v>надёжный общий маркер не заявлен; сочетание объясняется семействами и сенсорным балансом</x:v>
      </x:c>
      <x:c r="O404" s="28" t="str">
        <x:v>вкусовой баланс, тройничное восприятие</x:v>
      </x:c>
      <x:c r="P404" s="28" t="str">
        <x:v>Основной эффект определяется ароматическим контрастом и добавлением кислотной свежести; точный баланс зависит от дозировки и матрицы.</x:v>
      </x:c>
      <x:c r="Q404" s="28" t="str">
        <x:v>кислота усиливает слюноотделение; нет данных</x:v>
      </x:c>
      <x:c r="R404" s="28" t="str">
        <x:v>сок — водная кислая фаза; цедра — гидрофобное эфирное масло; зависит от формы продукта</x:v>
      </x:c>
      <x:c r="S40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04" s="28" t="str">
        <x:v>Лимон формирует профиль «цитрусовый, свежий, цветочный, древесный»; характерные маркеры: цитраль (гераниаль + нераль), лимонен, гамма-терпинен, бета-пинен. Бузина (цветки бузины)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04" s="28" t="str">
        <x:v>Избыток кислоты делает вкус плоско-резким; белая часть кожуры даёт лишнюю горечь.</x:v>
      </x:c>
      <x:c r="V404" s="28" t="str">
        <x:v>мёд или нейтральная жировая основа</x:v>
      </x:c>
      <x:c r="W404" s="28" t="str">
        <x:v>соус, напиток или десерт после пробной дегустации</x:v>
      </x:c>
      <x:c r="X404" s="28" t="str">
        <x:v>универсальное</x:v>
      </x:c>
      <x:c r="Y404" s="28" t="str">
        <x:v>Гипотеза / практическая</x:v>
      </x:c>
      <x:c r="Z404" s="28" t="str">
        <x:v>Таблица сочетания(1).pdf</x:v>
      </x:c>
      <x:c r="AA404" s="28" t="str">
        <x:v>Таблица сочетания(1).pdf: 7</x:v>
      </x:c>
      <x:c r="AB404" s="28" t="str">
        <x:v>Пара указана в таблице: «Бузина (цветки бузины)» → колонка «Фрукты».</x:v>
      </x:c>
      <x:c r="AC404" s="28" t="n">
        <x:v>1</x:v>
      </x:c>
      <x:c r="AD404" s="28" t="n">
        <x:v>1</x:v>
      </x:c>
    </x:row>
    <x:row r="405" ht="58" customHeight="1">
      <x:c r="A405" s="28" t="str">
        <x:v>CIT-0404</x:v>
      </x:c>
      <x:c r="B405" s="28" t="str">
        <x:v>Напитки</x:v>
      </x:c>
      <x:c r="C405" s="28" t="str">
        <x:v>лимон</x:v>
      </x:c>
      <x:c r="D405" s="28" t="str">
        <x:v>Лимон</x:v>
      </x:c>
      <x:c r="E405" s="28" t="str">
        <x:v>Цитрусовые</x:v>
      </x:c>
      <x:c r="F405" s="28" t="str">
        <x:v>виноград</x:v>
      </x:c>
      <x:c r="G405" s="28" t="str">
        <x:v>виноград</x:v>
      </x:c>
      <x:c r="H405" s="28" t="str">
        <x:v>Алкогольные напитки</x:v>
      </x:c>
      <x:c r="I405" s="28" t="str">
        <x:v>цитрусовый, свежий, цветочный, древесный</x:v>
      </x:c>
      <x:c r="J405" s="28" t="str">
        <x:v>зависит от основы, эфирный, древесный/пряный</x:v>
      </x:c>
      <x:c r="K405" s="28" t="str">
        <x:v>цитраль (гераниаль + нераль), лимонен, гамма-терпинен, бета-пинен</x:v>
      </x:c>
      <x:c r="L405" s="28" t="str">
        <x:v>этанол, эфиры, терпены/дубовые соединения</x:v>
      </x:c>
      <x:c r="M405" s="28" t="str">
        <x:v>прямое семейное перекрытие не является главным механизмом</x:v>
      </x:c>
      <x:c r="N405" s="28" t="str">
        <x:v>надёжный общий маркер не заявлен; сочетание объясняется семействами и сенсорным балансом</x:v>
      </x:c>
      <x:c r="O405" s="28" t="str">
        <x:v>вкусовой баланс, тройничное восприятие, влияние матрицы/растворимости</x:v>
      </x:c>
      <x:c r="P405" s="28" t="str">
        <x:v>Этанол усиливает летучесть терпенов и ощущение тепла; сахар и вода регулируют кислотность, горечь кожуры и спиртуозность.</x:v>
      </x:c>
      <x:c r="Q405" s="28" t="str">
        <x:v>кислота усиливает слюноотделение; этанол усиливает тепло и летучесть аромата</x:v>
      </x:c>
      <x:c r="R405" s="28" t="str">
        <x:v>сок — водная кислая фаза; цедра — гидрофобное эфирное масло; этанол — хороший растворитель гидрофобных эфирных масел</x:v>
      </x:c>
      <x:c r="S405"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405" s="28" t="str">
        <x:v>Лимон формирует профиль «цитрусовый, свежий, цветочный, древесный»; характерные маркеры: цитраль (гераниаль + нераль), лимонен, гамма-терпинен, бета-пинен. Виноград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U405" s="28" t="str">
        <x:v>Избыток кислоты делает вкус плоско-резким; белая часть кожуры даёт лишнюю горечь.</x:v>
      </x:c>
      <x:c r="V405" s="28" t="str">
        <x:v>сахарный сироп или биттер</x:v>
      </x:c>
      <x:c r="W405" s="28" t="str">
        <x:v>коктейль, спритц, настойка, ликёр или кордиал</x:v>
      </x:c>
      <x:c r="X405" s="28" t="str">
        <x:v>напитки</x:v>
      </x:c>
      <x:c r="Y405" s="28" t="str">
        <x:v>Гипотеза / практическая</x:v>
      </x:c>
      <x:c r="Z405" s="28" t="str">
        <x:v>Таблица сочетания(1).pdf</x:v>
      </x:c>
      <x:c r="AA405" s="28" t="str">
        <x:v>Таблица сочетания(1).pdf: 11</x:v>
      </x:c>
      <x:c r="AB405" s="28" t="str">
        <x:v>Пара указана в таблице: «Лимон» → колонка «Фрукты».</x:v>
      </x:c>
      <x:c r="AC405" s="28" t="n">
        <x:v>1</x:v>
      </x:c>
      <x:c r="AD405" s="28" t="n">
        <x:v>1</x:v>
      </x:c>
    </x:row>
    <x:row r="406" ht="58" customHeight="1">
      <x:c r="A406" s="28" t="str">
        <x:v>CIT-0405</x:v>
      </x:c>
      <x:c r="B406" s="28" t="str">
        <x:v>Десерты и выпечка</x:v>
      </x:c>
      <x:c r="C406" s="28" t="str">
        <x:v>лимон</x:v>
      </x:c>
      <x:c r="D406" s="28" t="str">
        <x:v>Лимон</x:v>
      </x:c>
      <x:c r="E406" s="28" t="str">
        <x:v>Цитрусовые</x:v>
      </x:c>
      <x:c r="F406" s="28" t="str">
        <x:v>вишня</x:v>
      </x:c>
      <x:c r="G406" s="28" t="str">
        <x:v>вишня</x:v>
      </x:c>
      <x:c r="H406" s="28" t="str">
        <x:v>Ягоды/косточковые</x:v>
      </x:c>
      <x:c r="I406" s="28" t="str">
        <x:v>цитрусовый, свежий, цветочный, древесный</x:v>
      </x:c>
      <x:c r="J406" s="28" t="str">
        <x:v>фруктовый, цветочный, зелёный, винный</x:v>
      </x:c>
      <x:c r="K406" s="28" t="str">
        <x:v>цитраль (гераниаль + нераль), лимонен, гамма-терпинен, бета-пинен</x:v>
      </x:c>
      <x:c r="L406" s="28" t="str">
        <x:v>иононы, дамасценон, эфиры, бензальдегид (для косточковых)</x:v>
      </x:c>
      <x:c r="M406" s="28" t="str">
        <x:v>цветочный</x:v>
      </x:c>
      <x:c r="N406" s="28" t="str">
        <x:v>надёжный общий маркер не заявлен; сочетание объясняется семействами и сенсорным балансом</x:v>
      </x:c>
      <x:c r="O406" s="28" t="str">
        <x:v>перекрытие ароматических семейств, вкусовой баланс</x:v>
      </x:c>
      <x:c r="P406" s="28" t="str">
        <x:v>Общая фруктовая сладость и летучие эфиры создают непрерывный ароматический профиль, а цитрусовая кислота повышает контраст и свежесть.</x:v>
      </x:c>
      <x:c r="Q406" s="28" t="str">
        <x:v>кислота усиливает слюноотделение; нет выраженного</x:v>
      </x:c>
      <x:c r="R406" s="28" t="str">
        <x:v>сок — водная кислая фаза; цедра — гидрофобное эфирное масло; водная матрица с антоцианами и полифенолами</x:v>
      </x:c>
      <x:c r="S40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06" s="28" t="str">
        <x:v>Лимон формирует профиль «цитрусовый, свежий, цветочный, древесный»; характерные маркеры: цитраль (гераниаль + нераль), лимонен, гамма-терпинен, бета-пинен.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406" s="28" t="str">
        <x:v>Избыток кислоты делает вкус плоско-резким; белая часть кожуры даёт лишнюю горечь.</x:v>
      </x:c>
      <x:c r="V406" s="28" t="str">
        <x:v>ваниль или миндаль</x:v>
      </x:c>
      <x:c r="W406" s="28" t="str">
        <x:v>джем, сорбет, коктейль или соус</x:v>
      </x:c>
      <x:c r="X406" s="28" t="str">
        <x:v>напитки, десерты</x:v>
      </x:c>
      <x:c r="Y406" s="28" t="str">
        <x:v>Гипотеза / практическая</x:v>
      </x:c>
      <x:c r="Z406" s="28" t="str">
        <x:v>Таблица сочетания(1).pdf</x:v>
      </x:c>
      <x:c r="AA406" s="28" t="str">
        <x:v>Таблица сочетания(1).pdf: 11</x:v>
      </x:c>
      <x:c r="AB406" s="28" t="str">
        <x:v>Пара указана в таблице: «Лимон» → колонка «Фрукты».</x:v>
      </x:c>
      <x:c r="AC406" s="28" t="n">
        <x:v>1</x:v>
      </x:c>
      <x:c r="AD406" s="28" t="n">
        <x:v>1</x:v>
      </x:c>
    </x:row>
    <x:row r="407" ht="58" customHeight="1">
      <x:c r="A407" s="28" t="str">
        <x:v>CIT-0406</x:v>
      </x:c>
      <x:c r="B407" s="28" t="str">
        <x:v>Универсальные</x:v>
      </x:c>
      <x:c r="C407" s="28" t="str">
        <x:v>лимон</x:v>
      </x:c>
      <x:c r="D407" s="28" t="str">
        <x:v>lemon</x:v>
      </x:c>
      <x:c r="E407" s="28" t="str">
        <x:v>Цитрусовые</x:v>
      </x:c>
      <x:c r="F407" s="28" t="str">
        <x:v>галангал</x:v>
      </x:c>
      <x:c r="G407" s="28" t="str">
        <x:v>galangal</x:v>
      </x:c>
      <x:c r="H407" s="28" t="str">
        <x:v>Пряности</x:v>
      </x:c>
      <x:c r="I407" s="28" t="str">
        <x:v>цитрусовый, свежий, цветочный, древесный</x:v>
      </x:c>
      <x:c r="J407" s="28" t="str">
        <x:v>цитрусовый, пряный, древесный, тёплый</x:v>
      </x:c>
      <x:c r="K407" s="28" t="str">
        <x:v>цитраль (гераниаль + нераль), лимонен, гамма-терпинен, бета-пинен</x:v>
      </x:c>
      <x:c r="L407" s="28" t="str">
        <x:v>зингиберен, цитраль, гераниол, гингеролы/шогаолы</x:v>
      </x:c>
      <x:c r="M407" s="28" t="str">
        <x:v>древесный, цитрусовый</x:v>
      </x:c>
      <x:c r="N407" s="28" t="str">
        <x:v>цитраль</x:v>
      </x:c>
      <x:c r="O407" s="28" t="str">
        <x:v>общие ароматические молекулы, перекрытие ароматических семейств, вкусовой баланс, тройничное восприятие</x:v>
      </x:c>
      <x:c r="P407" s="28" t="str">
        <x:v>Кислота усиливает слюноотделение и делает пряный аромат ярче; терпены цитруса образуют мост с эфирными маслами травы или специи.</x:v>
      </x:c>
      <x:c r="Q407" s="28" t="str">
        <x:v>кислота усиливает слюноотделение; гингеролы и шогаолы активируют TRPV1 и дают тепло</x:v>
      </x:c>
      <x:c r="R407" s="28" t="str">
        <x:v>сок — водная кислая фаза; цедра — гидрофобное эфирное масло; ароматические терпены лучше извлекаются этанолом и жиром</x:v>
      </x:c>
      <x:c r="S40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07" s="28" t="str">
        <x:v>Лимон формирует профиль «цитрусовый, свежий, цветочный, древесный»; характерные маркеры: цитраль (гераниаль + нераль), лимонен, гамма-терпинен, бета-пинен.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Свежий имбирь более цитрусовый, нагретый и сушёный — более тёплый и жгучий.</x:v>
      </x:c>
      <x:c r="U407" s="28" t="str">
        <x:v>Избыток кислоты делает вкус плоско-резким; белая часть кожуры даёт лишнюю горечь.</x:v>
      </x:c>
      <x:c r="V407" s="28" t="str">
        <x:v>мёд или ваниль</x:v>
      </x:c>
      <x:c r="W407" s="28" t="str">
        <x:v>сироп, кордиал, чатни, маринад или пряный десерт</x:v>
      </x:c>
      <x:c r="X407" s="28" t="str">
        <x:v>напитки, еда, соусы/маринады</x:v>
      </x:c>
      <x:c r="Y407" s="28" t="str">
        <x:v>Средняя</x:v>
      </x:c>
      <x:c r="Z407" s="28" t="str">
        <x:v>The Art &amp; Science of Foodpairing.pdf</x:v>
      </x:c>
      <x:c r="AA407" s="28" t="str">
        <x:v>The Art &amp; Science of Foodpairing.pdf: 87</x:v>
      </x:c>
      <x:c r="AB407" s="28" t="str">
        <x:v>Пара представлена в ароматической диаграмме Foodpairing на странице 87.</x:v>
      </x:c>
      <x:c r="AC407" s="28" t="n">
        <x:v>1</x:v>
      </x:c>
      <x:c r="AD407" s="28" t="n">
        <x:v>1</x:v>
      </x:c>
    </x:row>
    <x:row r="408" ht="58" customHeight="1">
      <x:c r="A408" s="28" t="str">
        <x:v>CIT-0407</x:v>
      </x:c>
      <x:c r="B408" s="28" t="str">
        <x:v>Еда и соусы</x:v>
      </x:c>
      <x:c r="C408" s="28" t="str">
        <x:v>лимон</x:v>
      </x:c>
      <x:c r="D408" s="28" t="str">
        <x:v>Лимон | лимон</x:v>
      </x:c>
      <x:c r="E408" s="28" t="str">
        <x:v>Цитрусовые</x:v>
      </x:c>
      <x:c r="F408" s="28" t="str">
        <x:v>говядина</x:v>
      </x:c>
      <x:c r="G408" s="28" t="str">
        <x:v>Говядина | говядина</x:v>
      </x:c>
      <x:c r="H408" s="28" t="str">
        <x:v>Мясо и птица</x:v>
      </x:c>
      <x:c r="I408" s="28" t="str">
        <x:v>цитрусовый, свежий, цветочный, древесный</x:v>
      </x:c>
      <x:c r="J408" s="28" t="str">
        <x:v>жареный, мясной, сернистый, жирный</x:v>
      </x:c>
      <x:c r="K408" s="28" t="str">
        <x:v>цитраль (гераниаль + нераль), лимонен, гамма-терпинен, бета-пинен</x:v>
      </x:c>
      <x:c r="L408" s="28" t="str">
        <x:v>пиразины, тиазолы, альдегиды жиров, сернистые соединения</x:v>
      </x:c>
      <x:c r="M408" s="28" t="str">
        <x:v>прямое семейное перекрытие не является главным механизмом</x:v>
      </x:c>
      <x:c r="N408" s="28" t="str">
        <x:v>надёжный общий маркер не заявлен; сочетание объясняется семействами и сенсорным балансом</x:v>
      </x:c>
      <x:c r="O408" s="28" t="str">
        <x:v>вкусовой баланс, влияние матрицы/растворимости</x:v>
      </x:c>
      <x:c r="P408" s="28" t="str">
        <x:v>Кислотность и лёгкая горечь цитруса снижают ощущение жирности; соль и умами, в свою очередь, делают фруктовую часть менее резкой.</x:v>
      </x:c>
      <x:c r="Q408" s="28" t="str">
        <x:v>кислота усиливает слюноотделение; нет выраженного</x:v>
      </x:c>
      <x:c r="R408" s="28" t="str">
        <x:v>сок — водная кислая фаза; цедра — гидрофобное эфирное масло; жир удерживает терпеновые масла; кислота снижает ощущение жирности</x:v>
      </x:c>
      <x:c r="S40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408" s="28" t="str">
        <x:v>Лимон формирует профиль «цитрусовый, свежий, цветочный, древесный»; характерные маркеры: цитраль (гераниаль + нераль), лимонен, гамма-терпинен, бета-пинен. Говядина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U408" s="28" t="str">
        <x:v>Избыток кислоты делает вкус плоско-резким; белая часть кожуры даёт лишнюю горечь; слишком долгая маринация ухудшает текстуру.</x:v>
      </x:c>
      <x:c r="V408" s="28" t="str">
        <x:v>розмарин или чёрный перец</x:v>
      </x:c>
      <x:c r="W408" s="28" t="str">
        <x:v>маринад, глазурь, соус, жаркое или салат</x:v>
      </x:c>
      <x:c r="X408" s="28" t="str">
        <x:v>еда, соусы/маринады</x:v>
      </x:c>
      <x:c r="Y408" s="28" t="str">
        <x:v>Высокая</x:v>
      </x:c>
      <x:c r="Z408" s="28" t="str">
        <x:v>Тезариус вкусов (Ники Сегнит)(1).pdf</x:v>
      </x:c>
      <x:c r="AA408" s="28" t="str">
        <x:v>Тезариус вкусов (Ники Сегнит)(1).pdf: 113, 801</x:v>
      </x:c>
      <x:c r="AB408" s="28" t="str">
        <x:v>Сочетание, очень популярное в Италии с ее великолепными лимонами. Их выжимают на говядину брезаола (bresaola), филе из говядины, которую посыпают солью, вялят на открытом воздухе и подают, как и пармскую ветчину, нарезанной на тончайшие ломтики. Шелковистая брезаола имеет вкус дичи – иногда с легким душком. Сырая говядина, нарезанная немного толще, чем брезаола, называется карпаччо – она также «обрабатывается» лимоном. Во Флоренции нередко подают к столу стейк пофлорентийски (bistecca alla fiore</x:v>
      </x:c>
      <x:c r="AC408" s="28" t="n">
        <x:v>1</x:v>
      </x:c>
      <x:c r="AD408" s="28" t="n">
        <x:v>2</x:v>
      </x:c>
    </x:row>
    <x:row r="409" ht="58" customHeight="1">
      <x:c r="A409" s="28" t="str">
        <x:v>CIT-0408</x:v>
      </x:c>
      <x:c r="B409" s="28" t="str">
        <x:v>Универсальные</x:v>
      </x:c>
      <x:c r="C409" s="28" t="str">
        <x:v>лимон</x:v>
      </x:c>
      <x:c r="D409" s="28" t="str">
        <x:v>лимон</x:v>
      </x:c>
      <x:c r="E409" s="28" t="str">
        <x:v>Цитрусовые</x:v>
      </x:c>
      <x:c r="F409" s="28" t="str">
        <x:v>голубика</x:v>
      </x:c>
      <x:c r="G409" s="28" t="str">
        <x:v>Голубика</x:v>
      </x:c>
      <x:c r="H409" s="28" t="str">
        <x:v>Прочее</x:v>
      </x:c>
      <x:c r="I409" s="28" t="str">
        <x:v>цитрусовый, свежий, цветочный, древесный</x:v>
      </x:c>
      <x:c r="J409" s="28" t="str">
        <x:v>нейтральный/специфический</x:v>
      </x:c>
      <x:c r="K409" s="28" t="str">
        <x:v>цитраль (гераниаль + нераль), лимонен, гамма-терпинен, бета-пинен</x:v>
      </x:c>
      <x:c r="L409" s="28" t="str">
        <x:v>нужен профиль конкретного продукта</x:v>
      </x:c>
      <x:c r="M409" s="28" t="str">
        <x:v>прямое семейное перекрытие не является главным механизмом</x:v>
      </x:c>
      <x:c r="N409" s="28" t="str">
        <x:v>надёжный общий маркер не заявлен; сочетание объясняется семействами и сенсорным балансом</x:v>
      </x:c>
      <x:c r="O409" s="28" t="str">
        <x:v>вкусовой баланс, тройничное восприятие</x:v>
      </x:c>
      <x:c r="P409" s="28" t="str">
        <x:v>Основной эффект определяется ароматическим контрастом и добавлением кислотной свежести; точный баланс зависит от дозировки и матрицы.</x:v>
      </x:c>
      <x:c r="Q409" s="28" t="str">
        <x:v>кислота усиливает слюноотделение; нет данных</x:v>
      </x:c>
      <x:c r="R409" s="28" t="str">
        <x:v>сок — водная кислая фаза; цедра — гидрофобное эфирное масло; зависит от формы продукта</x:v>
      </x:c>
      <x:c r="S40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09" s="28" t="str">
        <x:v>Лимон формирует профиль «цитрусовый, свежий, цветочный, древесный»; характерные маркеры: цитраль (гераниаль + нераль), лимонен, гамма-терпинен, бета-пинен. Голубика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09" s="28" t="str">
        <x:v>Избыток кислоты делает вкус плоско-резким; белая часть кожуры даёт лишнюю горечь.</x:v>
      </x:c>
      <x:c r="V409" s="28" t="str">
        <x:v>мёд или нейтральная жировая основа</x:v>
      </x:c>
      <x:c r="W409" s="28" t="str">
        <x:v>соус, напиток или десерт после пробной дегустации</x:v>
      </x:c>
      <x:c r="X409" s="28" t="str">
        <x:v>универсальное</x:v>
      </x:c>
      <x:c r="Y409" s="28" t="str">
        <x:v>Гипотеза / практическая</x:v>
      </x:c>
      <x:c r="Z409" s="28" t="str">
        <x:v>Таблица сочетания(1).pdf</x:v>
      </x:c>
      <x:c r="AA409" s="28" t="str">
        <x:v>Таблица сочетания(1).pdf: 3</x:v>
      </x:c>
      <x:c r="AB409" s="28" t="str">
        <x:v>Пара указана в таблице: «Голубика» → колонка «Фрукты».</x:v>
      </x:c>
      <x:c r="AC409" s="28" t="n">
        <x:v>1</x:v>
      </x:c>
      <x:c r="AD409" s="28" t="n">
        <x:v>1</x:v>
      </x:c>
    </x:row>
    <x:row r="410" ht="58" customHeight="1">
      <x:c r="A410" s="28" t="str">
        <x:v>CIT-0409</x:v>
      </x:c>
      <x:c r="B410" s="28" t="str">
        <x:v>Универсальные</x:v>
      </x:c>
      <x:c r="C410" s="28" t="str">
        <x:v>лимон</x:v>
      </x:c>
      <x:c r="D410" s="28" t="str">
        <x:v>lemon</x:v>
      </x:c>
      <x:c r="E410" s="28" t="str">
        <x:v>Цитрусовые</x:v>
      </x:c>
      <x:c r="F410" s="28" t="str">
        <x:v>горчица</x:v>
      </x:c>
      <x:c r="G410" s="28" t="str">
        <x:v>mustard</x:v>
      </x:c>
      <x:c r="H410" s="28" t="str">
        <x:v>Прочее</x:v>
      </x:c>
      <x:c r="I410" s="28" t="str">
        <x:v>цитрусовый, свежий, цветочный, древесный</x:v>
      </x:c>
      <x:c r="J410" s="28" t="str">
        <x:v>нейтральный/специфический</x:v>
      </x:c>
      <x:c r="K410" s="28" t="str">
        <x:v>цитраль (гераниаль + нераль), лимонен, гамма-терпинен, бета-пинен</x:v>
      </x:c>
      <x:c r="L410" s="28" t="str">
        <x:v>нужен профиль конкретного продукта</x:v>
      </x:c>
      <x:c r="M410" s="28" t="str">
        <x:v>прямое семейное перекрытие не является главным механизмом</x:v>
      </x:c>
      <x:c r="N410" s="28" t="str">
        <x:v>надёжный общий маркер не заявлен; сочетание объясняется семействами и сенсорным балансом</x:v>
      </x:c>
      <x:c r="O410" s="28" t="str">
        <x:v>вкусовой баланс, тройничное восприятие</x:v>
      </x:c>
      <x:c r="P410" s="28" t="str">
        <x:v>Основной эффект определяется ароматическим контрастом и добавлением кислотной свежести; точный баланс зависит от дозировки и матрицы.</x:v>
      </x:c>
      <x:c r="Q410" s="28" t="str">
        <x:v>кислота усиливает слюноотделение; нет данных</x:v>
      </x:c>
      <x:c r="R410" s="28" t="str">
        <x:v>сок — водная кислая фаза; цедра — гидрофобное эфирное масло; зависит от формы продукта</x:v>
      </x:c>
      <x:c r="S41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10" s="28" t="str">
        <x:v>Лимон формирует профиль «цитрусовый, свежий, цветочный, древесный»; характерные маркеры: цитраль (гераниаль + нераль), лимонен, гамма-терпинен, бета-пинен. Горчица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10" s="28" t="str">
        <x:v>Избыток кислоты делает вкус плоско-резким; белая часть кожуры даёт лишнюю горечь.</x:v>
      </x:c>
      <x:c r="V410" s="28" t="str">
        <x:v>мёд или нейтральная жировая основа</x:v>
      </x:c>
      <x:c r="W410" s="28" t="str">
        <x:v>соус, напиток или десерт после пробной дегустации</x:v>
      </x:c>
      <x:c r="X410" s="28" t="str">
        <x:v>универсальное</x:v>
      </x:c>
      <x:c r="Y410" s="28" t="str">
        <x:v>Средняя</x:v>
      </x:c>
      <x:c r="Z410" s="28" t="str">
        <x:v>The Art &amp; Science of Foodpairing.pdf</x:v>
      </x:c>
      <x:c r="AA410" s="28" t="str">
        <x:v>The Art &amp; Science of Foodpairing.pdf: 88</x:v>
      </x:c>
      <x:c r="AB410" s="28" t="str">
        <x:v>Пара представлена в ароматической диаграмме Foodpairing на странице 88.</x:v>
      </x:c>
      <x:c r="AC410" s="28" t="n">
        <x:v>1</x:v>
      </x:c>
      <x:c r="AD410" s="28" t="n">
        <x:v>1</x:v>
      </x:c>
    </x:row>
    <x:row r="411" ht="58" customHeight="1">
      <x:c r="A411" s="28" t="str">
        <x:v>CIT-0410</x:v>
      </x:c>
      <x:c r="B411" s="28" t="str">
        <x:v>Десерты и выпечка</x:v>
      </x:c>
      <x:c r="C411" s="28" t="str">
        <x:v>лимон</x:v>
      </x:c>
      <x:c r="D411" s="28" t="str">
        <x:v>Лимон</x:v>
      </x:c>
      <x:c r="E411" s="28" t="str">
        <x:v>Цитрусовые</x:v>
      </x:c>
      <x:c r="F411" s="28" t="str">
        <x:v>гуава</x:v>
      </x:c>
      <x:c r="G411" s="28" t="str">
        <x:v>гуава</x:v>
      </x:c>
      <x:c r="H411" s="28" t="str">
        <x:v>Тропические фрукты</x:v>
      </x:c>
      <x:c r="I411" s="28" t="str">
        <x:v>цитрусовый, свежий, цветочный, древесный</x:v>
      </x:c>
      <x:c r="J411" s="28" t="str">
        <x:v>фруктовый, тропический, цветочный, сливочный</x:v>
      </x:c>
      <x:c r="K411" s="28" t="str">
        <x:v>цитраль (гераниаль + нераль), лимонен, гамма-терпинен, бета-пинен</x:v>
      </x:c>
      <x:c r="L411" s="28" t="str">
        <x:v>этилбутират, гексилацетат, лактоны, сернистые тиолы (у части фруктов)</x:v>
      </x:c>
      <x:c r="M411" s="28" t="str">
        <x:v>цветочный</x:v>
      </x:c>
      <x:c r="N411" s="28" t="str">
        <x:v>надёжный общий маркер не заявлен; сочетание объясняется семействами и сенсорным балансом</x:v>
      </x:c>
      <x:c r="O411" s="28" t="str">
        <x:v>перекрытие ароматических семейств, вкусовой баланс</x:v>
      </x:c>
      <x:c r="P411" s="28" t="str">
        <x:v>Общая фруктовая сладость и летучие эфиры создают непрерывный ароматический профиль, а цитрусовая кислота повышает контраст и свежесть.</x:v>
      </x:c>
      <x:c r="Q411" s="28" t="str">
        <x:v>кислота усиливает слюноотделение; нет выраженного</x:v>
      </x:c>
      <x:c r="R411" s="28" t="str">
        <x:v>сок — водная кислая фаза; цедра — гидрофобное эфирное масло; сочная или кремовая фруктовая матрица</x:v>
      </x:c>
      <x:c r="S41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11" s="28" t="str">
        <x:v>Лимон формирует профиль «цитрусовый, свежий, цветочный, древесный»; характерные маркеры: цитраль (гераниаль + нераль), лимонен, гамма-терпинен, бета-пинен. Гуава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U411" s="28" t="str">
        <x:v>Избыток кислоты делает вкус плоско-резким; белая часть кожуры даёт лишнюю горечь.</x:v>
      </x:c>
      <x:c r="V411" s="28" t="str">
        <x:v>кокос или имбирь</x:v>
      </x:c>
      <x:c r="W411" s="28" t="str">
        <x:v>смузи, кордиал, сорбет, чатни или коктейль</x:v>
      </x:c>
      <x:c r="X411" s="28" t="str">
        <x:v>напитки, десерты</x:v>
      </x:c>
      <x:c r="Y411" s="28" t="str">
        <x:v>Гипотеза / практическая</x:v>
      </x:c>
      <x:c r="Z411" s="28" t="str">
        <x:v>Таблица сочетания(1).pdf</x:v>
      </x:c>
      <x:c r="AA411" s="28" t="str">
        <x:v>Таблица сочетания(1).pdf: 11</x:v>
      </x:c>
      <x:c r="AB411" s="28" t="str">
        <x:v>Пара указана в таблице: «Лимон» → колонка «Фрукты».</x:v>
      </x:c>
      <x:c r="AC411" s="28" t="n">
        <x:v>1</x:v>
      </x:c>
      <x:c r="AD411" s="28" t="n">
        <x:v>1</x:v>
      </x:c>
    </x:row>
    <x:row r="412" ht="58" customHeight="1">
      <x:c r="A412" s="28" t="str">
        <x:v>CIT-0411</x:v>
      </x:c>
      <x:c r="B412" s="28" t="str">
        <x:v>Универсальные</x:v>
      </x:c>
      <x:c r="C412" s="28" t="str">
        <x:v>лимон</x:v>
      </x:c>
      <x:c r="D412" s="28" t="str">
        <x:v>лимон</x:v>
      </x:c>
      <x:c r="E412" s="28" t="str">
        <x:v>Цитрусовые</x:v>
      </x:c>
      <x:c r="F412" s="28" t="str">
        <x:v>джекфрут</x:v>
      </x:c>
      <x:c r="G412" s="28" t="str">
        <x:v>Джекфрут</x:v>
      </x:c>
      <x:c r="H412" s="28" t="str">
        <x:v>Прочее</x:v>
      </x:c>
      <x:c r="I412" s="28" t="str">
        <x:v>цитрусовый, свежий, цветочный, древесный</x:v>
      </x:c>
      <x:c r="J412" s="28" t="str">
        <x:v>нейтральный/специфический</x:v>
      </x:c>
      <x:c r="K412" s="28" t="str">
        <x:v>цитраль (гераниаль + нераль), лимонен, гамма-терпинен, бета-пинен</x:v>
      </x:c>
      <x:c r="L412" s="28" t="str">
        <x:v>нужен профиль конкретного продукта</x:v>
      </x:c>
      <x:c r="M412" s="28" t="str">
        <x:v>прямое семейное перекрытие не является главным механизмом</x:v>
      </x:c>
      <x:c r="N412" s="28" t="str">
        <x:v>надёжный общий маркер не заявлен; сочетание объясняется семействами и сенсорным балансом</x:v>
      </x:c>
      <x:c r="O412" s="28" t="str">
        <x:v>вкусовой баланс, тройничное восприятие</x:v>
      </x:c>
      <x:c r="P412" s="28" t="str">
        <x:v>Основной эффект определяется ароматическим контрастом и добавлением кислотной свежести; точный баланс зависит от дозировки и матрицы.</x:v>
      </x:c>
      <x:c r="Q412" s="28" t="str">
        <x:v>кислота усиливает слюноотделение; нет данных</x:v>
      </x:c>
      <x:c r="R412" s="28" t="str">
        <x:v>сок — водная кислая фаза; цедра — гидрофобное эфирное масло; зависит от формы продукта</x:v>
      </x:c>
      <x:c r="S41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12" s="28" t="str">
        <x:v>Лимон формирует профиль «цитрусовый, свежий, цветочный, древесный»; характерные маркеры: цитраль (гераниаль + нераль), лимонен, гамма-терпинен, бета-пинен. Джекфрут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12" s="28" t="str">
        <x:v>Избыток кислоты делает вкус плоско-резким; белая часть кожуры даёт лишнюю горечь.</x:v>
      </x:c>
      <x:c r="V412" s="28" t="str">
        <x:v>мёд или нейтральная жировая основа</x:v>
      </x:c>
      <x:c r="W412" s="28" t="str">
        <x:v>соус, напиток или десерт после пробной дегустации</x:v>
      </x:c>
      <x:c r="X412" s="28" t="str">
        <x:v>универсальное</x:v>
      </x:c>
      <x:c r="Y412" s="28" t="str">
        <x:v>Гипотеза / практическая</x:v>
      </x:c>
      <x:c r="Z412" s="28" t="str">
        <x:v>Таблица сочетания(1).pdf</x:v>
      </x:c>
      <x:c r="AA412" s="28" t="str">
        <x:v>Таблица сочетания(1).pdf: 10</x:v>
      </x:c>
      <x:c r="AB412" s="28" t="str">
        <x:v>Пара указана в таблице: «Джекфрут» → колонка «Фрукты».</x:v>
      </x:c>
      <x:c r="AC412" s="28" t="n">
        <x:v>1</x:v>
      </x:c>
      <x:c r="AD412" s="28" t="n">
        <x:v>1</x:v>
      </x:c>
    </x:row>
    <x:row r="413" ht="58" customHeight="1">
      <x:c r="A413" s="28" t="str">
        <x:v>CIT-0412</x:v>
      </x:c>
      <x:c r="B413" s="28" t="str">
        <x:v>Универсальные</x:v>
      </x:c>
      <x:c r="C413" s="28" t="str">
        <x:v>лимон</x:v>
      </x:c>
      <x:c r="D413" s="28" t="str">
        <x:v>лимон</x:v>
      </x:c>
      <x:c r="E413" s="28" t="str">
        <x:v>Цитрусовые</x:v>
      </x:c>
      <x:c r="F413" s="28" t="str">
        <x:v>жасмин</x:v>
      </x:c>
      <x:c r="G413" s="28" t="str">
        <x:v>Жасмин</x:v>
      </x:c>
      <x:c r="H413" s="28" t="str">
        <x:v>Прочее</x:v>
      </x:c>
      <x:c r="I413" s="28" t="str">
        <x:v>цитрусовый, свежий, цветочный, древесный</x:v>
      </x:c>
      <x:c r="J413" s="28" t="str">
        <x:v>нейтральный/специфический</x:v>
      </x:c>
      <x:c r="K413" s="28" t="str">
        <x:v>цитраль (гераниаль + нераль), лимонен, гамма-терпинен, бета-пинен</x:v>
      </x:c>
      <x:c r="L413" s="28" t="str">
        <x:v>нужен профиль конкретного продукта</x:v>
      </x:c>
      <x:c r="M413" s="28" t="str">
        <x:v>прямое семейное перекрытие не является главным механизмом</x:v>
      </x:c>
      <x:c r="N413" s="28" t="str">
        <x:v>надёжный общий маркер не заявлен; сочетание объясняется семействами и сенсорным балансом</x:v>
      </x:c>
      <x:c r="O413" s="28" t="str">
        <x:v>вкусовой баланс, тройничное восприятие</x:v>
      </x:c>
      <x:c r="P413" s="28" t="str">
        <x:v>Основной эффект определяется ароматическим контрастом и добавлением кислотной свежести; точный баланс зависит от дозировки и матрицы.</x:v>
      </x:c>
      <x:c r="Q413" s="28" t="str">
        <x:v>кислота усиливает слюноотделение; нет данных</x:v>
      </x:c>
      <x:c r="R413" s="28" t="str">
        <x:v>сок — водная кислая фаза; цедра — гидрофобное эфирное масло; зависит от формы продукта</x:v>
      </x:c>
      <x:c r="S41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13" s="28" t="str">
        <x:v>Лимон формирует профиль «цитрусовый, свежий, цветочный, древесный»; характерные маркеры: цитраль (гераниаль + нераль), лимонен, гамма-терпинен, бета-пинен. Жасмин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13" s="28" t="str">
        <x:v>Избыток кислоты делает вкус плоско-резким; белая часть кожуры даёт лишнюю горечь.</x:v>
      </x:c>
      <x:c r="V413" s="28" t="str">
        <x:v>мёд или нейтральная жировая основа</x:v>
      </x:c>
      <x:c r="W413" s="28" t="str">
        <x:v>соус, напиток или десерт после пробной дегустации</x:v>
      </x:c>
      <x:c r="X413" s="28" t="str">
        <x:v>универсальное</x:v>
      </x:c>
      <x:c r="Y413" s="28" t="str">
        <x:v>Гипотеза / практическая</x:v>
      </x:c>
      <x:c r="Z413" s="28" t="str">
        <x:v>Таблица сочетания(1).pdf</x:v>
      </x:c>
      <x:c r="AA413" s="28" t="str">
        <x:v>Таблица сочетания(1).pdf: 10</x:v>
      </x:c>
      <x:c r="AB413" s="28" t="str">
        <x:v>Пара указана в таблице: «Жасмин» → колонка «Фрукты».</x:v>
      </x:c>
      <x:c r="AC413" s="28" t="n">
        <x:v>1</x:v>
      </x:c>
      <x:c r="AD413" s="28" t="n">
        <x:v>1</x:v>
      </x:c>
    </x:row>
    <x:row r="414" ht="58" customHeight="1">
      <x:c r="A414" s="28" t="str">
        <x:v>CIT-0413</x:v>
      </x:c>
      <x:c r="B414" s="28" t="str">
        <x:v>Еда и соусы</x:v>
      </x:c>
      <x:c r="C414" s="28" t="str">
        <x:v>лимон</x:v>
      </x:c>
      <x:c r="D414" s="28" t="str">
        <x:v>Лимон</x:v>
      </x:c>
      <x:c r="E414" s="28" t="str">
        <x:v>Цитрусовые</x:v>
      </x:c>
      <x:c r="F414" s="28" t="str">
        <x:v>жирная рыба</x:v>
      </x:c>
      <x:c r="G414" s="28" t="str">
        <x:v>жирная рыба</x:v>
      </x:c>
      <x:c r="H414" s="28" t="str">
        <x:v>Рыба и морепродукты</x:v>
      </x:c>
      <x:c r="I414" s="28" t="str">
        <x:v>цитрусовый, свежий, цветочный, древесный</x:v>
      </x:c>
      <x:c r="J414" s="28" t="str">
        <x:v>морской, йодистый, зелёный, жирный</x:v>
      </x:c>
      <x:c r="K414" s="28" t="str">
        <x:v>цитраль (гераниаль + нераль), лимонен, гамма-терпинен, бета-пинен</x:v>
      </x:c>
      <x:c r="L414" s="28" t="str">
        <x:v>альдегиды окисления липидов, бромфенолы, диметилсульфид, умами-соединения</x:v>
      </x:c>
      <x:c r="M414" s="28" t="str">
        <x:v>прямое семейное перекрытие не является главным механизмом</x:v>
      </x:c>
      <x:c r="N414" s="28" t="str">
        <x:v>надёжный общий маркер не заявлен; сочетание объясняется семействами и сенсорным балансом</x:v>
      </x:c>
      <x:c r="O414" s="28" t="str">
        <x:v>вкусовой баланс, влияние матрицы/растворимости</x:v>
      </x:c>
      <x:c r="P414" s="28" t="str">
        <x:v>Кислотность и лёгкая горечь цитруса снижают ощущение жирности; соль и умами, в свою очередь, делают фруктовую часть менее резкой.</x:v>
      </x:c>
      <x:c r="Q414" s="28" t="str">
        <x:v>кислота усиливает слюноотделение; нет выраженного</x:v>
      </x:c>
      <x:c r="R414" s="28" t="str">
        <x:v>сок — водная кислая фаза; цедра — гидрофобное эфирное масло; кислота может денатурировать поверхностные белки; жир рыбы удерживает терпены</x:v>
      </x:c>
      <x:c r="S41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414" s="28" t="str">
        <x:v>Лимон формирует профиль «цитрусовый, свежий, цветочный, древесный»; характерные маркеры: цитраль (гераниаль + нераль), лимонен, гамма-терпинен, бета-пинен. Жирная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U414" s="28" t="str">
        <x:v>Избыток кислоты делает вкус плоско-резким; белая часть кожуры даёт лишнюю горечь; слишком долгая маринация ухудшает текстуру.</x:v>
      </x:c>
      <x:c r="V414" s="28" t="str">
        <x:v>кинза или фенхель</x:v>
      </x:c>
      <x:c r="W414" s="28" t="str">
        <x:v>севиче, маринад, beurre blanc, тартар или салат</x:v>
      </x:c>
      <x:c r="X414" s="28" t="str">
        <x:v>еда, соусы/маринады</x:v>
      </x:c>
      <x:c r="Y414" s="28" t="str">
        <x:v>Гипотеза / практическая</x:v>
      </x:c>
      <x:c r="Z414" s="28" t="str">
        <x:v>Тезариус вкусов (Ники Сегнит)(1).pdf</x:v>
      </x:c>
      <x:c r="AA414" s="28" t="str">
        <x:v>Тезариус вкусов (Ники Сегнит)(1).pdf: 802</x:v>
      </x:c>
      <x:c r="AB414" s="28" t="str"/>
      <x:c r="AC414" s="28" t="n">
        <x:v>1</x:v>
      </x:c>
      <x:c r="AD414" s="28" t="n">
        <x:v>1</x:v>
      </x:c>
    </x:row>
    <x:row r="415" ht="58" customHeight="1">
      <x:c r="A415" s="28" t="str">
        <x:v>CIT-0414</x:v>
      </x:c>
      <x:c r="B415" s="28" t="str">
        <x:v>Универсальные</x:v>
      </x:c>
      <x:c r="C415" s="28" t="str">
        <x:v>лимон</x:v>
      </x:c>
      <x:c r="D415" s="28" t="str">
        <x:v>lemon</x:v>
      </x:c>
      <x:c r="E415" s="28" t="str">
        <x:v>Цитрусовые</x:v>
      </x:c>
      <x:c r="F415" s="28" t="str">
        <x:v>зелень фенхеля</x:v>
      </x:c>
      <x:c r="G415" s="28" t="str">
        <x:v>fennel herb</x:v>
      </x:c>
      <x:c r="H415" s="28" t="str">
        <x:v>Пряности/травы</x:v>
      </x:c>
      <x:c r="I415" s="28" t="str">
        <x:v>цитрусовый, свежий, цветочный, древесный</x:v>
      </x:c>
      <x:c r="J415" s="28" t="str">
        <x:v>анисовый, сладко-пряный, зелёный</x:v>
      </x:c>
      <x:c r="K415" s="28" t="str">
        <x:v>цитраль (гераниаль + нераль), лимонен, гамма-терпинен, бета-пинен</x:v>
      </x:c>
      <x:c r="L415" s="28" t="str">
        <x:v>транс-анетол, фенхон, эстрагол</x:v>
      </x:c>
      <x:c r="M415" s="28" t="str">
        <x:v>прямое семейное перекрытие не является главным механизмом</x:v>
      </x:c>
      <x:c r="N415" s="28" t="str">
        <x:v>надёжный общий маркер не заявлен; сочетание объясняется семействами и сенсорным балансом</x:v>
      </x:c>
      <x:c r="O415" s="28" t="str">
        <x:v>вкусовой баланс, тройничное восприятие</x:v>
      </x:c>
      <x:c r="P415" s="28" t="str">
        <x:v>Основной эффект определяется ароматическим контрастом и добавлением кислотной свежести; точный баланс зависит от дозировки и матрицы.</x:v>
      </x:c>
      <x:c r="Q415" s="28" t="str">
        <x:v>кислота усиливает слюноотделение; анетол создаёт охлаждающе-сладкое впечатление</x:v>
      </x:c>
      <x:c r="R415" s="28" t="str">
        <x:v>сок — водная кислая фаза; цедра — гидрофобное эфирное масло; анетол гидрофобен и мутнеет при разбавлении спиртовых настоев водой</x:v>
      </x:c>
      <x:c r="S41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15" s="28" t="str">
        <x:v>Лимон формирует профиль «цитрусовый, свежий, цветочный, древесный»; характерные маркеры: цитраль (гераниаль + нераль), лимонен, гамма-терпинен, бета-пинен. Зелень фенхеля относится к группе «пряности/травы» и даёт ноты «анисовый, сладко-пряный,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Анисовые соединения дают сильный ароматический мост с цветочными и цитрусовыми терпенами.</x:v>
      </x:c>
      <x:c r="U415" s="28" t="str">
        <x:v>Избыток кислоты делает вкус плоско-резким; белая часть кожуры даёт лишнюю горечь.</x:v>
      </x:c>
      <x:c r="V415" s="28" t="str">
        <x:v>мёд или нейтральная жировая основа</x:v>
      </x:c>
      <x:c r="W415" s="28" t="str">
        <x:v>соус, напиток или десерт после пробной дегустации</x:v>
      </x:c>
      <x:c r="X415" s="28" t="str">
        <x:v>универсальное</x:v>
      </x:c>
      <x:c r="Y415" s="28" t="str">
        <x:v>Средняя</x:v>
      </x:c>
      <x:c r="Z415" s="28" t="str">
        <x:v>The Art &amp; Science of Foodpairing.pdf</x:v>
      </x:c>
      <x:c r="AA415" s="28" t="str">
        <x:v>The Art &amp; Science of Foodpairing.pdf: 142</x:v>
      </x:c>
      <x:c r="AB415" s="28" t="str">
        <x:v>Пара представлена в ароматической диаграмме Foodpairing на странице 142.</x:v>
      </x:c>
      <x:c r="AC415" s="28" t="n">
        <x:v>1</x:v>
      </x:c>
      <x:c r="AD415" s="28" t="n">
        <x:v>1</x:v>
      </x:c>
    </x:row>
    <x:row r="416" ht="58" customHeight="1">
      <x:c r="A416" s="28" t="str">
        <x:v>CIT-0415</x:v>
      </x:c>
      <x:c r="B416" s="28" t="str">
        <x:v>Универсальные</x:v>
      </x:c>
      <x:c r="C416" s="28" t="str">
        <x:v>лимон</x:v>
      </x:c>
      <x:c r="D416" s="28" t="str">
        <x:v>Лимон | лимон</x:v>
      </x:c>
      <x:c r="E416" s="28" t="str">
        <x:v>Цитрусовые</x:v>
      </x:c>
      <x:c r="F416" s="28" t="str">
        <x:v>зира</x:v>
      </x:c>
      <x:c r="G416" s="28" t="str">
        <x:v>Зира | зира</x:v>
      </x:c>
      <x:c r="H416" s="28" t="str">
        <x:v>Прочее</x:v>
      </x:c>
      <x:c r="I416" s="28" t="str">
        <x:v>цитрусовый, свежий, цветочный, древесный</x:v>
      </x:c>
      <x:c r="J416" s="28" t="str">
        <x:v>нейтральный/специфический</x:v>
      </x:c>
      <x:c r="K416" s="28" t="str">
        <x:v>цитраль (гераниаль + нераль), лимонен, гамма-терпинен, бета-пинен</x:v>
      </x:c>
      <x:c r="L416" s="28" t="str">
        <x:v>нужен профиль конкретного продукта</x:v>
      </x:c>
      <x:c r="M416" s="28" t="str">
        <x:v>прямое семейное перекрытие не является главным механизмом</x:v>
      </x:c>
      <x:c r="N416" s="28" t="str">
        <x:v>надёжный общий маркер не заявлен; сочетание объясняется семействами и сенсорным балансом</x:v>
      </x:c>
      <x:c r="O416" s="28" t="str">
        <x:v>вкусовой баланс, тройничное восприятие</x:v>
      </x:c>
      <x:c r="P416" s="28" t="str">
        <x:v>Основной эффект определяется ароматическим контрастом и добавлением кислотной свежести; точный баланс зависит от дозировки и матрицы.</x:v>
      </x:c>
      <x:c r="Q416" s="28" t="str">
        <x:v>кислота усиливает слюноотделение; нет данных</x:v>
      </x:c>
      <x:c r="R416" s="28" t="str">
        <x:v>сок — водная кислая фаза; цедра — гидрофобное эфирное масло; зависит от формы продукта</x:v>
      </x:c>
      <x:c r="S41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16" s="28" t="str">
        <x:v>Лимон формирует профиль «цитрусовый, свежий, цветочный, древесный»; характерные маркеры: цитраль (гераниаль + нераль), лимонен, гамма-терпинен, бета-пинен. Зира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16" s="28" t="str">
        <x:v>Избыток кислоты делает вкус плоско-резким; белая часть кожуры даёт лишнюю горечь.</x:v>
      </x:c>
      <x:c r="V416" s="28" t="str">
        <x:v>мёд или нейтральная жировая основа</x:v>
      </x:c>
      <x:c r="W416" s="28" t="str">
        <x:v>соус, напиток или десерт после пробной дегустации</x:v>
      </x:c>
      <x:c r="X416" s="28" t="str">
        <x:v>универсальное</x:v>
      </x:c>
      <x:c r="Y416" s="28" t="str">
        <x:v>Высокая</x:v>
      </x:c>
      <x:c r="Z416" s="28" t="str">
        <x:v>Тезариус вкусов (Ники Сегнит)(1).pdf</x:v>
      </x:c>
      <x:c r="AA416" s="28" t="str">
        <x:v>Тезариус вкусов (Ники Сегнит)(1).pdf: 216, 802</x:v>
      </x:c>
      <x:c r="AB416" s="28" t="str">
        <x:v>Цитраль – ключевое соединение, определяющее аромат лимона, – часто используется в жидкостях для очистки и полировки мебели. Аромат зиры часто сравнивают с запахом грязных носков. Но не давайте этим обстоятельствам сбить вас с верного пути! Чтобы сделать прекрасный маринад для пары кусочков рыбного филе или отбивных из баранины, смешайте цедру лимона с 0,5 ч. л. измельченной зиры и 2 ст. л. оливкового масла. Попробуйте также сделать знаменитый дхал (dhal). Замочите в воде на два часа 250 г очищен</x:v>
      </x:c>
      <x:c r="AC416" s="28" t="n">
        <x:v>1</x:v>
      </x:c>
      <x:c r="AD416" s="28" t="n">
        <x:v>2</x:v>
      </x:c>
    </x:row>
    <x:row r="417" ht="58" customHeight="1">
      <x:c r="A417" s="28" t="str">
        <x:v>CIT-0416</x:v>
      </x:c>
      <x:c r="B417" s="28" t="str">
        <x:v>Универсальные</x:v>
      </x:c>
      <x:c r="C417" s="28" t="str">
        <x:v>лимон</x:v>
      </x:c>
      <x:c r="D417" s="28" t="str">
        <x:v>Лимон | лимон</x:v>
      </x:c>
      <x:c r="E417" s="28" t="str">
        <x:v>Цитрусовые</x:v>
      </x:c>
      <x:c r="F417" s="28" t="str">
        <x:v>имбирь</x:v>
      </x:c>
      <x:c r="G417" s="28" t="str">
        <x:v>Имбирь | имбирь</x:v>
      </x:c>
      <x:c r="H417" s="28" t="str">
        <x:v>Пряности</x:v>
      </x:c>
      <x:c r="I417" s="28" t="str">
        <x:v>цитрусовый, свежий, цветочный, древесный</x:v>
      </x:c>
      <x:c r="J417" s="28" t="str">
        <x:v>цитрусовый, пряный, древесный, тёплый</x:v>
      </x:c>
      <x:c r="K417" s="28" t="str">
        <x:v>цитраль (гераниаль + нераль), лимонен, гамма-терпинен, бета-пинен</x:v>
      </x:c>
      <x:c r="L417" s="28" t="str">
        <x:v>зингиберен, цитраль, гераниол, гингеролы/шогаолы</x:v>
      </x:c>
      <x:c r="M417" s="28" t="str">
        <x:v>древесный, цитрусовый</x:v>
      </x:c>
      <x:c r="N417" s="28" t="str">
        <x:v>цитраль</x:v>
      </x:c>
      <x:c r="O417" s="28" t="str">
        <x:v>общие ароматические молекулы, перекрытие ароматических семейств, вкусовой баланс, тройничное восприятие</x:v>
      </x:c>
      <x:c r="P417" s="28" t="str">
        <x:v>Кислота усиливает слюноотделение и делает пряный аромат ярче; терпены цитруса образуют мост с эфирными маслами травы или специи.</x:v>
      </x:c>
      <x:c r="Q417" s="28" t="str">
        <x:v>кислота усиливает слюноотделение; гингеролы и шогаолы активируют TRPV1 и дают тепло</x:v>
      </x:c>
      <x:c r="R417" s="28" t="str">
        <x:v>сок — водная кислая фаза; цедра — гидрофобное эфирное масло; ароматические терпены лучше извлекаются этанолом и жиром</x:v>
      </x:c>
      <x:c r="S41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17" s="28" t="str">
        <x:v>Лимон формирует профиль «цитрусовый, свежий, цветочный, древесный»; характерные маркеры: цитраль (гераниаль + нераль), лимонен, гамма-терпинен, бета-пинен.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Свежий имбирь более цитрусовый, нагретый и сушёный — более тёплый и жгучий.</x:v>
      </x:c>
      <x:c r="U417" s="28" t="str">
        <x:v>Избыток кислоты делает вкус плоско-резким; белая часть кожуры даёт лишнюю горечь.</x:v>
      </x:c>
      <x:c r="V417" s="28" t="str">
        <x:v>мёд или ваниль</x:v>
      </x:c>
      <x:c r="W417" s="28" t="str">
        <x:v>сироп, кордиал, чатни, маринад или пряный десерт</x:v>
      </x:c>
      <x:c r="X417" s="28" t="str">
        <x:v>напитки, еда, соусы/маринады</x:v>
      </x:c>
      <x:c r="Y417" s="28" t="str">
        <x:v>Высокая</x:v>
      </x:c>
      <x:c r="Z417" s="28" t="str">
        <x:v>Таблица сочетания(1).pdf | Тезариус вкусов (Ники Сегнит)(1).pdf</x:v>
      </x:c>
      <x:c r="AA417" s="28" t="str">
        <x:v>Таблица сочетания(1).pdf: 8 | Тезариус вкусов (Ники Сегнит)(1).pdf: 802, 818</x:v>
      </x:c>
      <x:c r="AB417" s="28" t="str">
        <x:v>Считается, что свежий имбирь обладает пикантным или цитрусовым вкусом и потому очень гармонично сочетается с лимоном. Лимонный соус является признанным партнером для имбирного пудинга; лимонная глазурь хорошо ложится на имбирные кексы; наконец, достоинства двух элементов умножаются в горячем пунше «Тодди» (Toddy), восхитительный вкус которого в тот момент, когда он нам нужен больше всего, мы можем и не почувствовать. Этот напиток является хорошей (но не всегда желательной) иллюстрацией того, нас</x:v>
      </x:c>
      <x:c r="AC417" s="28" t="n">
        <x:v>2</x:v>
      </x:c>
      <x:c r="AD417" s="28" t="n">
        <x:v>3</x:v>
      </x:c>
    </x:row>
    <x:row r="418" ht="58" customHeight="1">
      <x:c r="A418" s="28" t="str">
        <x:v>CIT-0417</x:v>
      </x:c>
      <x:c r="B418" s="28" t="str">
        <x:v>Универсальные</x:v>
      </x:c>
      <x:c r="C418" s="28" t="str">
        <x:v>лимон</x:v>
      </x:c>
      <x:c r="D418" s="28" t="str">
        <x:v>лимон</x:v>
      </x:c>
      <x:c r="E418" s="28" t="str">
        <x:v>Цитрусовые</x:v>
      </x:c>
      <x:c r="F418" s="28" t="str">
        <x:v>канталупа</x:v>
      </x:c>
      <x:c r="G418" s="28" t="str">
        <x:v>Канталупа</x:v>
      </x:c>
      <x:c r="H418" s="28" t="str">
        <x:v>Прочее</x:v>
      </x:c>
      <x:c r="I418" s="28" t="str">
        <x:v>цитрусовый, свежий, цветочный, древесный</x:v>
      </x:c>
      <x:c r="J418" s="28" t="str">
        <x:v>нейтральный/специфический</x:v>
      </x:c>
      <x:c r="K418" s="28" t="str">
        <x:v>цитраль (гераниаль + нераль), лимонен, гамма-терпинен, бета-пинен</x:v>
      </x:c>
      <x:c r="L418" s="28" t="str">
        <x:v>нужен профиль конкретного продукта</x:v>
      </x:c>
      <x:c r="M418" s="28" t="str">
        <x:v>прямое семейное перекрытие не является главным механизмом</x:v>
      </x:c>
      <x:c r="N418" s="28" t="str">
        <x:v>надёжный общий маркер не заявлен; сочетание объясняется семействами и сенсорным балансом</x:v>
      </x:c>
      <x:c r="O418" s="28" t="str">
        <x:v>вкусовой баланс, тройничное восприятие</x:v>
      </x:c>
      <x:c r="P418" s="28" t="str">
        <x:v>Основной эффект определяется ароматическим контрастом и добавлением кислотной свежести; точный баланс зависит от дозировки и матрицы.</x:v>
      </x:c>
      <x:c r="Q418" s="28" t="str">
        <x:v>кислота усиливает слюноотделение; нет данных</x:v>
      </x:c>
      <x:c r="R418" s="28" t="str">
        <x:v>сок — водная кислая фаза; цедра — гидрофобное эфирное масло; зависит от формы продукта</x:v>
      </x:c>
      <x:c r="S4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18"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Канталупа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18" s="28" t="str">
        <x:v>Избыток кислоты делает вкус плоско-резким; белая часть кожуры даёт лишнюю горечь.</x:v>
      </x:c>
      <x:c r="V418" s="28" t="str">
        <x:v>мёд или нейтральная жировая основа</x:v>
      </x:c>
      <x:c r="W418" s="28" t="str">
        <x:v>соус, напиток или десерт после пробной дегустации</x:v>
      </x:c>
      <x:c r="X418" s="28" t="str">
        <x:v>универсальное</x:v>
      </x:c>
      <x:c r="Y418" s="28" t="str">
        <x:v>Гипотеза / практическая</x:v>
      </x:c>
      <x:c r="Z418" s="28" t="str">
        <x:v>Таблица сочетания(1).pdf</x:v>
      </x:c>
      <x:c r="AA418" s="28" t="str">
        <x:v>Таблица сочетания(1).pdf: 3</x:v>
      </x:c>
      <x:c r="AB418" s="28" t="str">
        <x:v>Пара указана в таблице: «Канталупа» → колонка «Фрукты».</x:v>
      </x:c>
      <x:c r="AC418" s="28" t="n">
        <x:v>1</x:v>
      </x:c>
      <x:c r="AD418" s="28" t="n">
        <x:v>1</x:v>
      </x:c>
    </x:row>
    <x:row r="419" ht="58" customHeight="1">
      <x:c r="A419" s="28" t="str">
        <x:v>CIT-0418</x:v>
      </x:c>
      <x:c r="B419" s="28" t="str">
        <x:v>Универсальные</x:v>
      </x:c>
      <x:c r="C419" s="28" t="str">
        <x:v>лимон</x:v>
      </x:c>
      <x:c r="D419" s="28" t="str">
        <x:v>Лимон | лимон</x:v>
      </x:c>
      <x:c r="E419" s="28" t="str">
        <x:v>Цитрусовые</x:v>
      </x:c>
      <x:c r="F419" s="28" t="str">
        <x:v>каперсы</x:v>
      </x:c>
      <x:c r="G419" s="28" t="str">
        <x:v>Каперсы | каперсы</x:v>
      </x:c>
      <x:c r="H419" s="28" t="str">
        <x:v>Прочее</x:v>
      </x:c>
      <x:c r="I419" s="28" t="str">
        <x:v>цитрусовый, свежий, цветочный, древесный</x:v>
      </x:c>
      <x:c r="J419" s="28" t="str">
        <x:v>нейтральный/специфический</x:v>
      </x:c>
      <x:c r="K419" s="28" t="str">
        <x:v>цитраль (гераниаль + нераль), лимонен, гамма-терпинен, бета-пинен</x:v>
      </x:c>
      <x:c r="L419" s="28" t="str">
        <x:v>нужен профиль конкретного продукта</x:v>
      </x:c>
      <x:c r="M419" s="28" t="str">
        <x:v>прямое семейное перекрытие не является главным механизмом</x:v>
      </x:c>
      <x:c r="N419" s="28" t="str">
        <x:v>надёжный общий маркер не заявлен; сочетание объясняется семействами и сенсорным балансом</x:v>
      </x:c>
      <x:c r="O419" s="28" t="str">
        <x:v>вкусовой баланс, тройничное восприятие</x:v>
      </x:c>
      <x:c r="P419" s="28" t="str">
        <x:v>Основной эффект определяется ароматическим контрастом и добавлением кислотной свежести; точный баланс зависит от дозировки и матрицы.</x:v>
      </x:c>
      <x:c r="Q419" s="28" t="str">
        <x:v>кислота усиливает слюноотделение; нет данных</x:v>
      </x:c>
      <x:c r="R419" s="28" t="str">
        <x:v>сок — водная кислая фаза; цедра — гидрофобное эфирное масло; зависит от формы продукта</x:v>
      </x:c>
      <x:c r="S41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19"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Каперсы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19" s="28" t="str">
        <x:v>Избыток кислоты делает вкус плоско-резким; белая часть кожуры даёт лишнюю горечь.</x:v>
      </x:c>
      <x:c r="V419" s="28" t="str">
        <x:v>мёд или нейтральная жировая основа</x:v>
      </x:c>
      <x:c r="W419" s="28" t="str">
        <x:v>соус, напиток или десерт после пробной дегустации</x:v>
      </x:c>
      <x:c r="X419" s="28" t="str">
        <x:v>универсальное</x:v>
      </x:c>
      <x:c r="Y419" s="28" t="str">
        <x:v>Высокая</x:v>
      </x:c>
      <x:c r="Z419" s="28" t="str">
        <x:v>Тезариус вкусов (Ники Сегнит)(1).pdf</x:v>
      </x:c>
      <x:c r="AA419" s="28" t="str">
        <x:v>Тезариус вкусов (Ники Сегнит)(1).pdf: 269, 803</x:v>
      </x:c>
      <x:c r="AB419" s="28" t="str">
        <x:v>Это сочетание может поднять мертвых! Смешайте их в майонезе или объедините в соусе для лосося или жареной копченой рыбы. Еще вариант: «выжмите» еще больше из соленой кислотности этих продуктов, приготовив спагетти с лимоном и каперсами. Для этого следуйте рецепту Лимон и базилик, заменив базилик на 1 ст. л. промытых каперсов. См. также Каперсы и анчоусы.</x:v>
      </x:c>
      <x:c r="AC419" s="28" t="n">
        <x:v>1</x:v>
      </x:c>
      <x:c r="AD419" s="28" t="n">
        <x:v>2</x:v>
      </x:c>
    </x:row>
    <x:row r="420" ht="58" customHeight="1">
      <x:c r="A420" s="28" t="str">
        <x:v>CIT-0419</x:v>
      </x:c>
      <x:c r="B420" s="28" t="str">
        <x:v>Десерты и выпечка</x:v>
      </x:c>
      <x:c r="C420" s="28" t="str">
        <x:v>лимон</x:v>
      </x:c>
      <x:c r="D420" s="28" t="str">
        <x:v>Лимон</x:v>
      </x:c>
      <x:c r="E420" s="28" t="str">
        <x:v>Цитрусовые</x:v>
      </x:c>
      <x:c r="F420" s="28" t="str">
        <x:v>карамель</x:v>
      </x:c>
      <x:c r="G420" s="28" t="str">
        <x:v>карамель</x:v>
      </x:c>
      <x:c r="H420" s="28" t="str">
        <x:v>Подсластители</x:v>
      </x:c>
      <x:c r="I420" s="28" t="str">
        <x:v>цитрусовый, свежий, цветочный, древесный</x:v>
      </x:c>
      <x:c r="J420" s="28" t="str">
        <x:v>медовый, цветочный, карамельный</x:v>
      </x:c>
      <x:c r="K420" s="28" t="str">
        <x:v>цитраль (гераниаль + нераль), лимонен, гамма-терпинен, бета-пинен</x:v>
      </x:c>
      <x:c r="L420" s="28" t="str">
        <x:v>фенилуксусные соединения, фураны, норизопреноиды</x:v>
      </x:c>
      <x:c r="M420" s="28" t="str">
        <x:v>цветочный</x:v>
      </x:c>
      <x:c r="N420" s="28" t="str">
        <x:v>надёжный общий маркер не заявлен; сочетание объясняется семействами и сенсорным балансом</x:v>
      </x:c>
      <x:c r="O420" s="28" t="str">
        <x:v>перекрытие ароматических семейств, вкусовой баланс</x:v>
      </x:c>
      <x:c r="P420" s="28" t="str">
        <x:v>Сладость подавляет воспринимаемую кислотность и горечь кожуры, а кислота не даёт сочетанию стать приторным.</x:v>
      </x:c>
      <x:c r="Q420" s="28" t="str">
        <x:v>кислота усиливает слюноотделение; нет выраженного</x:v>
      </x:c>
      <x:c r="R420" s="28" t="str">
        <x:v>сок — водная кислая фаза; цедра — гидрофобное эфирное масло; сахар повышает вязкость и снижает воспринимаемую кислотность</x:v>
      </x:c>
      <x:c r="S42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20"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Карамель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Сок определяется цитралем и кислотностью, цедра — лимоненом и терпенами. Сладость балансирует кислоту и горечь кожуры; цветочные компоненты могут поддерживать цитрус.</x:v>
      </x:c>
      <x:c r="U420" s="28" t="str">
        <x:v>Избыток кислоты делает вкус плоско-резким; белая часть кожуры даёт лишнюю горечь.</x:v>
      </x:c>
      <x:c r="V420" s="28" t="str">
        <x:v>имбирь или ваниль</x:v>
      </x:c>
      <x:c r="W420" s="28" t="str">
        <x:v>сироп, мармелад, крем, глазурь или лимонад</x:v>
      </x:c>
      <x:c r="X420" s="28" t="str">
        <x:v>напитки, десерты</x:v>
      </x:c>
      <x:c r="Y420" s="28" t="str">
        <x:v>Гипотеза / практическая</x:v>
      </x:c>
      <x:c r="Z420" s="28" t="str">
        <x:v>Таблица сочетания(1).pdf</x:v>
      </x:c>
      <x:c r="AA420" s="28" t="str">
        <x:v>Таблица сочетания(1).pdf: 11</x:v>
      </x:c>
      <x:c r="AB420" s="28" t="str">
        <x:v>Пара указана в таблице: «Лимон» → колонка «Другое».</x:v>
      </x:c>
      <x:c r="AC420" s="28" t="n">
        <x:v>1</x:v>
      </x:c>
      <x:c r="AD420" s="28" t="n">
        <x:v>1</x:v>
      </x:c>
    </x:row>
    <x:row r="421" ht="58" customHeight="1">
      <x:c r="A421" s="28" t="str">
        <x:v>CIT-0420</x:v>
      </x:c>
      <x:c r="B421" s="28" t="str">
        <x:v>Универсальные</x:v>
      </x:c>
      <x:c r="C421" s="28" t="str">
        <x:v>лимон</x:v>
      </x:c>
      <x:c r="D421" s="28" t="str">
        <x:v>Лимон</x:v>
      </x:c>
      <x:c r="E421" s="28" t="str">
        <x:v>Цитрусовые</x:v>
      </x:c>
      <x:c r="F421" s="28" t="str">
        <x:v>кардамон</x:v>
      </x:c>
      <x:c r="G421" s="28" t="str">
        <x:v>кардамон</x:v>
      </x:c>
      <x:c r="H421" s="28" t="str">
        <x:v>Пряности</x:v>
      </x:c>
      <x:c r="I421" s="28" t="str">
        <x:v>цитрусовый, свежий, цветочный, древесный</x:v>
      </x:c>
      <x:c r="J421" s="28" t="str">
        <x:v>цитрусовый, камфорный, цветочный, эвкалиптовый</x:v>
      </x:c>
      <x:c r="K421" s="28" t="str">
        <x:v>цитраль (гераниаль + нераль), лимонен, гамма-терпинен, бета-пинен</x:v>
      </x:c>
      <x:c r="L421" s="28" t="str">
        <x:v>1,8-цинеол, альфа-терпинилацетат, линалол, лимонен</x:v>
      </x:c>
      <x:c r="M421" s="28" t="str">
        <x:v>цветочный, цитрусовый</x:v>
      </x:c>
      <x:c r="N421" s="28" t="str">
        <x:v>лимонен</x:v>
      </x:c>
      <x:c r="O421" s="28" t="str">
        <x:v>общие ароматические молекулы, перекрытие ароматических семейств, вкусовой баланс, тройничное восприятие</x:v>
      </x:c>
      <x:c r="P421" s="28" t="str">
        <x:v>Кислота усиливает слюноотделение и делает пряный аромат ярче; терпены цитруса образуют мост с эфирными маслами травы или специи.</x:v>
      </x:c>
      <x:c r="Q421" s="28" t="str">
        <x:v>кислота усиливает слюноотделение; 1,8-цинеол создаёт прохладно-камфорное ощущение</x:v>
      </x:c>
      <x:c r="R421" s="28" t="str">
        <x:v>сок — водная кислая фаза; цедра — гидрофобное эфирное масло; эфирные масла гидрофобны, хорошо переходят в жир и спирт</x:v>
      </x:c>
      <x:c r="S42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21"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Кардамон относится к группе «пряности» и даёт ноты «цитрусовый, камфорный, цветочный, эвкалиптовый». Наиболее правдоподобный молекулярный мост — лимонен;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Кардамон часто служит мостом между цитрусом, цветами и древесными нотами.</x:v>
      </x:c>
      <x:c r="U421" s="28" t="str">
        <x:v>Избыток кислоты делает вкус плоско-резким; белая часть кожуры даёт лишнюю горечь.</x:v>
      </x:c>
      <x:c r="V421" s="28" t="str">
        <x:v>мёд или ваниль</x:v>
      </x:c>
      <x:c r="W421" s="28" t="str">
        <x:v>сироп, кордиал, чатни, маринад или пряный десерт</x:v>
      </x:c>
      <x:c r="X421" s="28" t="str">
        <x:v>напитки, еда, соусы/маринады</x:v>
      </x:c>
      <x:c r="Y421" s="28" t="str">
        <x:v>Средняя</x:v>
      </x:c>
      <x:c r="Z421" s="28" t="str">
        <x:v>Таблица сочетания(1).pdf</x:v>
      </x:c>
      <x:c r="AA421" s="28" t="str">
        <x:v>Таблица сочетания(1).pdf: 11</x:v>
      </x:c>
      <x:c r="AB421" s="28" t="str">
        <x:v>Пара указана в таблице: «Лимон» → колонка «Травы и специи».</x:v>
      </x:c>
      <x:c r="AC421" s="28" t="n">
        <x:v>1</x:v>
      </x:c>
      <x:c r="AD421" s="28" t="n">
        <x:v>1</x:v>
      </x:c>
    </x:row>
    <x:row r="422" ht="58" customHeight="1">
      <x:c r="A422" s="28" t="str">
        <x:v>CIT-0421</x:v>
      </x:c>
      <x:c r="B422" s="28" t="str">
        <x:v>Универсальные</x:v>
      </x:c>
      <x:c r="C422" s="28" t="str">
        <x:v>лимон</x:v>
      </x:c>
      <x:c r="D422" s="28" t="str">
        <x:v>Лимон | лимон</x:v>
      </x:c>
      <x:c r="E422" s="28" t="str">
        <x:v>Цитрусовые</x:v>
      </x:c>
      <x:c r="F422" s="28" t="str">
        <x:v>картофель</x:v>
      </x:c>
      <x:c r="G422" s="28" t="str">
        <x:v>Картофель | картофель</x:v>
      </x:c>
      <x:c r="H422" s="28" t="str">
        <x:v>Прочее</x:v>
      </x:c>
      <x:c r="I422" s="28" t="str">
        <x:v>цитрусовый, свежий, цветочный, древесный</x:v>
      </x:c>
      <x:c r="J422" s="28" t="str">
        <x:v>нейтральный/специфический</x:v>
      </x:c>
      <x:c r="K422" s="28" t="str">
        <x:v>цитраль (гераниаль + нераль), лимонен, гамма-терпинен, бета-пинен</x:v>
      </x:c>
      <x:c r="L422" s="28" t="str">
        <x:v>нужен профиль конкретного продукта</x:v>
      </x:c>
      <x:c r="M422" s="28" t="str">
        <x:v>прямое семейное перекрытие не является главным механизмом</x:v>
      </x:c>
      <x:c r="N422" s="28" t="str">
        <x:v>надёжный общий маркер не заявлен; сочетание объясняется семействами и сенсорным балансом</x:v>
      </x:c>
      <x:c r="O422" s="28" t="str">
        <x:v>вкусовой баланс, тройничное восприятие</x:v>
      </x:c>
      <x:c r="P422" s="28" t="str">
        <x:v>Основной эффект определяется ароматическим контрастом и добавлением кислотной свежести; точный баланс зависит от дозировки и матрицы.</x:v>
      </x:c>
      <x:c r="Q422" s="28" t="str">
        <x:v>кислота усиливает слюноотделение; нет данных</x:v>
      </x:c>
      <x:c r="R422" s="28" t="str">
        <x:v>сок — водная кислая фаза; цедра — гидрофобное эфирное масло; зависит от формы продукта</x:v>
      </x:c>
      <x:c r="S42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22"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Картофель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22" s="28" t="str">
        <x:v>Избыток кислоты делает вкус плоско-резким; белая часть кожуры даёт лишнюю горечь.</x:v>
      </x:c>
      <x:c r="V422" s="28" t="str">
        <x:v>мёд или нейтральная жировая основа</x:v>
      </x:c>
      <x:c r="W422" s="28" t="str">
        <x:v>соус, напиток или десерт после пробной дегустации</x:v>
      </x:c>
      <x:c r="X422" s="28" t="str">
        <x:v>универсальное</x:v>
      </x:c>
      <x:c r="Y422" s="28" t="str">
        <x:v>Высокая</x:v>
      </x:c>
      <x:c r="Z422" s="28" t="str">
        <x:v>Тезариус вкусов (Ники Сегнит)(1).pdf</x:v>
      </x:c>
      <x:c r="AA422" s="28" t="str">
        <x:v>Тезариус вкусов (Ники Сегнит)(1).pdf: 236, 803</x:v>
      </x:c>
      <x:c r="AB422" s="28" t="str">
        <x:v>Когда-то мне довелось на- блюдать, как шеф-повар ругал за это сочетание конкурсанта кулинарного шоу. Может быть, это объединение не выглядит очень аппетитным, но утверждать, что картофель и лимон не могут сочетаться, – значит игнорировать опыт греков, которые часто включают картофель в блюда под лимонным соусом. В Индии грубо размятый картофель смешивают с лимонным соком, панировкой, кориандром и перцем чили, делают из этой смеси оладьи, обжаривают их во фритюре и подают к столу в качестве закус</x:v>
      </x:c>
      <x:c r="AC422" s="28" t="n">
        <x:v>1</x:v>
      </x:c>
      <x:c r="AD422" s="28" t="n">
        <x:v>2</x:v>
      </x:c>
    </x:row>
    <x:row r="423" ht="58" customHeight="1">
      <x:c r="A423" s="28" t="str">
        <x:v>CIT-0422</x:v>
      </x:c>
      <x:c r="B423" s="28" t="str">
        <x:v>Напитки</x:v>
      </x:c>
      <x:c r="C423" s="28" t="str">
        <x:v>лимон</x:v>
      </x:c>
      <x:c r="D423" s="28" t="str">
        <x:v>lemon</x:v>
      </x:c>
      <x:c r="E423" s="28" t="str">
        <x:v>Цитрусовые</x:v>
      </x:c>
      <x:c r="F423" s="28" t="str">
        <x:v>кашаса</x:v>
      </x:c>
      <x:c r="G423" s="28" t="str">
        <x:v>cachaça</x:v>
      </x:c>
      <x:c r="H423" s="28" t="str">
        <x:v>Алкогольные напитки</x:v>
      </x:c>
      <x:c r="I423" s="28" t="str">
        <x:v>цитрусовый, свежий, цветочный, древесный</x:v>
      </x:c>
      <x:c r="J423" s="28" t="str">
        <x:v>зависит от основы, эфирный, древесный/пряный</x:v>
      </x:c>
      <x:c r="K423" s="28" t="str">
        <x:v>цитраль (гераниаль + нераль), лимонен, гамма-терпинен, бета-пинен</x:v>
      </x:c>
      <x:c r="L423" s="28" t="str">
        <x:v>этанол, эфиры, терпены/дубовые соединения</x:v>
      </x:c>
      <x:c r="M423" s="28" t="str">
        <x:v>прямое семейное перекрытие не является главным механизмом</x:v>
      </x:c>
      <x:c r="N423" s="28" t="str">
        <x:v>надёжный общий маркер не заявлен; сочетание объясняется семействами и сенсорным балансом</x:v>
      </x:c>
      <x:c r="O423" s="28" t="str">
        <x:v>вкусовой баланс, тройничное восприятие, влияние матрицы/растворимости</x:v>
      </x:c>
      <x:c r="P423" s="28" t="str">
        <x:v>Этанол усиливает летучесть терпенов и ощущение тепла; сахар и вода регулируют кислотность, горечь кожуры и спиртуозность.</x:v>
      </x:c>
      <x:c r="Q423" s="28" t="str">
        <x:v>кислота усиливает слюноотделение; этанол усиливает тепло и летучесть аромата</x:v>
      </x:c>
      <x:c r="R423" s="28" t="str">
        <x:v>сок — водная кислая фаза; цедра — гидрофобное эфирное масло; этанол — хороший растворитель гидрофобных эфирных масел</x:v>
      </x:c>
      <x:c r="S423"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423"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Кашаса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U423" s="28" t="str">
        <x:v>Избыток кислоты делает вкус плоско-резким; белая часть кожуры даёт лишнюю горечь.</x:v>
      </x:c>
      <x:c r="V423" s="28" t="str">
        <x:v>сахарный сироп или биттер</x:v>
      </x:c>
      <x:c r="W423" s="28" t="str">
        <x:v>коктейль, спритц, настойка, ликёр или кордиал</x:v>
      </x:c>
      <x:c r="X423" s="28" t="str">
        <x:v>напитки</x:v>
      </x:c>
      <x:c r="Y423" s="28" t="str">
        <x:v>Средняя</x:v>
      </x:c>
      <x:c r="Z423" s="28" t="str">
        <x:v>The Art &amp; Science of Foodpairing.pdf</x:v>
      </x:c>
      <x:c r="AA423" s="28" t="str">
        <x:v>The Art &amp; Science of Foodpairing.pdf: 87</x:v>
      </x:c>
      <x:c r="AB423" s="28" t="str">
        <x:v>Пара представлена в ароматической диаграмме Foodpairing на странице 87.</x:v>
      </x:c>
      <x:c r="AC423" s="28" t="n">
        <x:v>1</x:v>
      </x:c>
      <x:c r="AD423" s="28" t="n">
        <x:v>1</x:v>
      </x:c>
    </x:row>
    <x:row r="424" ht="58" customHeight="1">
      <x:c r="A424" s="28" t="str">
        <x:v>CIT-0423</x:v>
      </x:c>
      <x:c r="B424" s="28" t="str">
        <x:v>Универсальные</x:v>
      </x:c>
      <x:c r="C424" s="28" t="str">
        <x:v>лимон</x:v>
      </x:c>
      <x:c r="D424" s="28" t="str">
        <x:v>Лимон | лимон</x:v>
      </x:c>
      <x:c r="E424" s="28" t="str">
        <x:v>Цитрусовые</x:v>
      </x:c>
      <x:c r="F424" s="28" t="str">
        <x:v>каштан</x:v>
      </x:c>
      <x:c r="G424" s="28" t="str">
        <x:v>Каштан | каштан</x:v>
      </x:c>
      <x:c r="H424" s="28" t="str">
        <x:v>Прочее</x:v>
      </x:c>
      <x:c r="I424" s="28" t="str">
        <x:v>цитрусовый, свежий, цветочный, древесный</x:v>
      </x:c>
      <x:c r="J424" s="28" t="str">
        <x:v>нейтральный/специфический</x:v>
      </x:c>
      <x:c r="K424" s="28" t="str">
        <x:v>цитраль (гераниаль + нераль), лимонен, гамма-терпинен, бета-пинен</x:v>
      </x:c>
      <x:c r="L424" s="28" t="str">
        <x:v>нужен профиль конкретного продукта</x:v>
      </x:c>
      <x:c r="M424" s="28" t="str">
        <x:v>прямое семейное перекрытие не является главным механизмом</x:v>
      </x:c>
      <x:c r="N424" s="28" t="str">
        <x:v>надёжный общий маркер не заявлен; сочетание объясняется семействами и сенсорным балансом</x:v>
      </x:c>
      <x:c r="O424" s="28" t="str">
        <x:v>вкусовой баланс, тройничное восприятие</x:v>
      </x:c>
      <x:c r="P424" s="28" t="str">
        <x:v>Основной эффект определяется ароматическим контрастом и добавлением кислотной свежести; точный баланс зависит от дозировки и матрицы.</x:v>
      </x:c>
      <x:c r="Q424" s="28" t="str">
        <x:v>кислота усиливает слюноотделение; нет данных</x:v>
      </x:c>
      <x:c r="R424" s="28" t="str">
        <x:v>сок — водная кислая фаза; цедра — гидрофобное эфирное масло; зависит от формы продукта</x:v>
      </x:c>
      <x:c r="S42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24"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Каштан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24" s="28" t="str">
        <x:v>Избыток кислоты делает вкус плоско-резким; белая часть кожуры даёт лишнюю горечь.</x:v>
      </x:c>
      <x:c r="V424" s="28" t="str">
        <x:v>мёд или нейтральная жировая основа</x:v>
      </x:c>
      <x:c r="W424" s="28" t="str">
        <x:v>соус, напиток или десерт после пробной дегустации</x:v>
      </x:c>
      <x:c r="X424" s="28" t="str">
        <x:v>универсальное</x:v>
      </x:c>
      <x:c r="Y424" s="28" t="str">
        <x:v>Гипотеза / практическая</x:v>
      </x:c>
      <x:c r="Z424" s="28" t="str">
        <x:v>Таблица сочетания(1).pdf</x:v>
      </x:c>
      <x:c r="AA424" s="28" t="str">
        <x:v>Таблица сочетания(1).pdf: 4, 11</x:v>
      </x:c>
      <x:c r="AB424" s="28" t="str">
        <x:v>Пара указана в таблице: «Каштан» → колонка «Фрукты».</x:v>
      </x:c>
      <x:c r="AC424" s="28" t="n">
        <x:v>1</x:v>
      </x:c>
      <x:c r="AD424" s="28" t="n">
        <x:v>2</x:v>
      </x:c>
    </x:row>
    <x:row r="425" ht="58" customHeight="1">
      <x:c r="A425" s="28" t="str">
        <x:v>CIT-0424</x:v>
      </x:c>
      <x:c r="B425" s="28" t="str">
        <x:v>Десерты и выпечка</x:v>
      </x:c>
      <x:c r="C425" s="28" t="str">
        <x:v>лимон</x:v>
      </x:c>
      <x:c r="D425" s="28" t="str">
        <x:v>Лимон | лимон</x:v>
      </x:c>
      <x:c r="E425" s="28" t="str">
        <x:v>Цитрусовые</x:v>
      </x:c>
      <x:c r="F425" s="28" t="str">
        <x:v>кедровый орех</x:v>
      </x:c>
      <x:c r="G425" s="28" t="str">
        <x:v>Кедровый орех | кедровый орех</x:v>
      </x:c>
      <x:c r="H425" s="28" t="str">
        <x:v>Орехи и семена</x:v>
      </x:c>
      <x:c r="I425" s="28" t="str">
        <x:v>цитрусовый, свежий, цветочный, древесный</x:v>
      </x:c>
      <x:c r="J425" s="28" t="str">
        <x:v>ореховый, обжаренный, жирный, зелёный</x:v>
      </x:c>
      <x:c r="K425" s="28" t="str">
        <x:v>цитраль (гераниаль + нераль), лимонен, гамма-терпинен, бета-пинен</x:v>
      </x:c>
      <x:c r="L425" s="28" t="str">
        <x:v>пиразины, альдегиды окисления жиров, бензальдегид (миндаль)</x:v>
      </x:c>
      <x:c r="M425" s="28" t="str">
        <x:v>прямое семейное перекрытие не является главным механизмом</x:v>
      </x:c>
      <x:c r="N425" s="28" t="str">
        <x:v>надёжный общий маркер не заявлен; сочетание объясняется семействами и сенсорным балансом</x:v>
      </x:c>
      <x:c r="O425" s="28" t="str">
        <x:v>вкусовой баланс, влияние матрицы/растворимости</x:v>
      </x:c>
      <x:c r="P425" s="28" t="str">
        <x:v>Кислотность и лёгкая горечь цитруса снижают ощущение жирности; соль и умами, в свою очередь, делают фруктовую часть менее резкой.</x:v>
      </x:c>
      <x:c r="Q425" s="28" t="str">
        <x:v>кислота усиливает слюноотделение; нет выраженного</x:v>
      </x:c>
      <x:c r="R425" s="28" t="str">
        <x:v>сок — водная кислая фаза; цедра — гидрофобное эфирное масло; высокая жирность растворяет терпеновые масла цитруса</x:v>
      </x:c>
      <x:c r="S425"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425" s="28" t="str">
        <x:v>Лимон формирует профиль «цитрусовый, свежий, цветочный, древесный»; характерные маркеры: цитраль (гераниаль + нераль), лимонен, гамма-терпинен, бета-пинен. Кедровый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U425" s="28" t="str">
        <x:v>Избыток кислоты делает вкус плоско-резким; белая часть кожуры даёт лишнюю горечь.</x:v>
      </x:c>
      <x:c r="V425" s="28" t="str">
        <x:v>мёд или шоколад</x:v>
      </x:c>
      <x:c r="W425" s="28" t="str">
        <x:v>пралине, крем, выпечка, салат или ореховый соус</x:v>
      </x:c>
      <x:c r="X425" s="28" t="str">
        <x:v>десерты</x:v>
      </x:c>
      <x:c r="Y425" s="28" t="str">
        <x:v>Гипотеза / практическая</x:v>
      </x:c>
      <x:c r="Z425" s="28" t="str">
        <x:v>Таблица сочетания(1).pdf</x:v>
      </x:c>
      <x:c r="AA425" s="28" t="str">
        <x:v>Таблица сочетания(1).pdf: 11, 16</x:v>
      </x:c>
      <x:c r="AB425" s="28" t="str">
        <x:v>Пара указана в таблице: «Кедровый орех» → колонка «Фрукты».</x:v>
      </x:c>
      <x:c r="AC425" s="28" t="n">
        <x:v>1</x:v>
      </x:c>
      <x:c r="AD425" s="28" t="n">
        <x:v>2</x:v>
      </x:c>
    </x:row>
    <x:row r="426" ht="58" customHeight="1">
      <x:c r="A426" s="28" t="str">
        <x:v>CIT-0425</x:v>
      </x:c>
      <x:c r="B426" s="28" t="str">
        <x:v>Универсальные</x:v>
      </x:c>
      <x:c r="C426" s="28" t="str">
        <x:v>лимон</x:v>
      </x:c>
      <x:c r="D426" s="28" t="str">
        <x:v>лимон</x:v>
      </x:c>
      <x:c r="E426" s="28" t="str">
        <x:v>Цитрусовые</x:v>
      </x:c>
      <x:c r="F426" s="28" t="str">
        <x:v>кленовый сироп</x:v>
      </x:c>
      <x:c r="G426" s="28" t="str">
        <x:v>Кленовый сироп</x:v>
      </x:c>
      <x:c r="H426" s="28" t="str">
        <x:v>Прочее</x:v>
      </x:c>
      <x:c r="I426" s="28" t="str">
        <x:v>цитрусовый, свежий, цветочный, древесный</x:v>
      </x:c>
      <x:c r="J426" s="28" t="str">
        <x:v>нейтральный/специфический</x:v>
      </x:c>
      <x:c r="K426" s="28" t="str">
        <x:v>цитраль (гераниаль + нераль), лимонен, гамма-терпинен, бета-пинен</x:v>
      </x:c>
      <x:c r="L426" s="28" t="str">
        <x:v>нужен профиль конкретного продукта</x:v>
      </x:c>
      <x:c r="M426" s="28" t="str">
        <x:v>прямое семейное перекрытие не является главным механизмом</x:v>
      </x:c>
      <x:c r="N426" s="28" t="str">
        <x:v>надёжный общий маркер не заявлен; сочетание объясняется семействами и сенсорным балансом</x:v>
      </x:c>
      <x:c r="O426" s="28" t="str">
        <x:v>вкусовой баланс, тройничное восприятие</x:v>
      </x:c>
      <x:c r="P426" s="28" t="str">
        <x:v>Основной эффект определяется ароматическим контрастом и добавлением кислотной свежести; точный баланс зависит от дозировки и матрицы.</x:v>
      </x:c>
      <x:c r="Q426" s="28" t="str">
        <x:v>кислота усиливает слюноотделение; нет данных</x:v>
      </x:c>
      <x:c r="R426" s="28" t="str">
        <x:v>сок — водная кислая фаза; цедра — гидрофобное эфирное масло; зависит от формы продукта</x:v>
      </x:c>
      <x:c r="S42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26" s="28" t="str">
        <x:v>Лимон формирует профиль «цитрусовый, свежий, цветочный, древесный»; характерные маркеры: цитраль (гераниаль + нераль), лимонен, гамма-терпинен, бета-пинен. Кленовый сироп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26" s="28" t="str">
        <x:v>Избыток кислоты делает вкус плоско-резким; белая часть кожуры даёт лишнюю горечь.</x:v>
      </x:c>
      <x:c r="V426" s="28" t="str">
        <x:v>мёд или нейтральная жировая основа</x:v>
      </x:c>
      <x:c r="W426" s="28" t="str">
        <x:v>соус, напиток или десерт после пробной дегустации</x:v>
      </x:c>
      <x:c r="X426" s="28" t="str">
        <x:v>универсальное</x:v>
      </x:c>
      <x:c r="Y426" s="28" t="str">
        <x:v>Гипотеза / практическая</x:v>
      </x:c>
      <x:c r="Z426" s="28" t="str">
        <x:v>Таблица сочетания(1).pdf</x:v>
      </x:c>
      <x:c r="AA426" s="28" t="str">
        <x:v>Таблица сочетания(1).pdf: 13</x:v>
      </x:c>
      <x:c r="AB426" s="28" t="str">
        <x:v>Пара указана в таблице: «Кленовый сироп» → колонка «Фрукты».</x:v>
      </x:c>
      <x:c r="AC426" s="28" t="n">
        <x:v>1</x:v>
      </x:c>
      <x:c r="AD426" s="28" t="n">
        <x:v>1</x:v>
      </x:c>
    </x:row>
    <x:row r="427" ht="58" customHeight="1">
      <x:c r="A427" s="28" t="str">
        <x:v>CIT-0426</x:v>
      </x:c>
      <x:c r="B427" s="28" t="str">
        <x:v>Универсальные</x:v>
      </x:c>
      <x:c r="C427" s="28" t="str">
        <x:v>лимон</x:v>
      </x:c>
      <x:c r="D427" s="28" t="str">
        <x:v>лимон</x:v>
      </x:c>
      <x:c r="E427" s="28" t="str">
        <x:v>Цитрусовые</x:v>
      </x:c>
      <x:c r="F427" s="28" t="str">
        <x:v>клюква</x:v>
      </x:c>
      <x:c r="G427" s="28" t="str">
        <x:v>Клюква</x:v>
      </x:c>
      <x:c r="H427" s="28" t="str">
        <x:v>Прочее</x:v>
      </x:c>
      <x:c r="I427" s="28" t="str">
        <x:v>цитрусовый, свежий, цветочный, древесный</x:v>
      </x:c>
      <x:c r="J427" s="28" t="str">
        <x:v>нейтральный/специфический</x:v>
      </x:c>
      <x:c r="K427" s="28" t="str">
        <x:v>цитраль (гераниаль + нераль), лимонен, гамма-терпинен, бета-пинен</x:v>
      </x:c>
      <x:c r="L427" s="28" t="str">
        <x:v>нужен профиль конкретного продукта</x:v>
      </x:c>
      <x:c r="M427" s="28" t="str">
        <x:v>прямое семейное перекрытие не является главным механизмом</x:v>
      </x:c>
      <x:c r="N427" s="28" t="str">
        <x:v>надёжный общий маркер не заявлен; сочетание объясняется семействами и сенсорным балансом</x:v>
      </x:c>
      <x:c r="O427" s="28" t="str">
        <x:v>вкусовой баланс, тройничное восприятие</x:v>
      </x:c>
      <x:c r="P427" s="28" t="str">
        <x:v>Основной эффект определяется ароматическим контрастом и добавлением кислотной свежести; точный баланс зависит от дозировки и матрицы.</x:v>
      </x:c>
      <x:c r="Q427" s="28" t="str">
        <x:v>кислота усиливает слюноотделение; нет данных</x:v>
      </x:c>
      <x:c r="R427" s="28" t="str">
        <x:v>сок — водная кислая фаза; цедра — гидрофобное эфирное масло; зависит от формы продукта</x:v>
      </x:c>
      <x:c r="S42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27" s="28" t="str">
        <x:v>Лимон формирует профиль «цитрусовый, свежий, цветочный, древесный»; характерные маркеры: цитраль (гераниаль + нераль), лимонен, гамма-терпинен, бета-пинен. Клюква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27" s="28" t="str">
        <x:v>Избыток кислоты делает вкус плоско-резким; белая часть кожуры даёт лишнюю горечь.</x:v>
      </x:c>
      <x:c r="V427" s="28" t="str">
        <x:v>мёд или нейтральная жировая основа</x:v>
      </x:c>
      <x:c r="W427" s="28" t="str">
        <x:v>соус, напиток или десерт после пробной дегустации</x:v>
      </x:c>
      <x:c r="X427" s="28" t="str">
        <x:v>универсальное</x:v>
      </x:c>
      <x:c r="Y427" s="28" t="str">
        <x:v>Гипотеза / практическая</x:v>
      </x:c>
      <x:c r="Z427" s="28" t="str">
        <x:v>Таблица сочетания(1).pdf</x:v>
      </x:c>
      <x:c r="AA427" s="28" t="str">
        <x:v>Таблица сочетания(1).pdf: 6</x:v>
      </x:c>
      <x:c r="AB427" s="28" t="str">
        <x:v>Пара указана в таблице: «Клюква» → колонка «Фрукты».</x:v>
      </x:c>
      <x:c r="AC427" s="28" t="n">
        <x:v>1</x:v>
      </x:c>
      <x:c r="AD427" s="28" t="n">
        <x:v>1</x:v>
      </x:c>
    </x:row>
    <x:row r="428" ht="58" customHeight="1">
      <x:c r="A428" s="28" t="str">
        <x:v>CIT-0427</x:v>
      </x:c>
      <x:c r="B428" s="28" t="str">
        <x:v>Десерты и выпечка</x:v>
      </x:c>
      <x:c r="C428" s="28" t="str">
        <x:v>лимон</x:v>
      </x:c>
      <x:c r="D428" s="28" t="str">
        <x:v>Лимон | лимон</x:v>
      </x:c>
      <x:c r="E428" s="28" t="str">
        <x:v>Цитрусовые</x:v>
      </x:c>
      <x:c r="F428" s="28" t="str">
        <x:v>козий сыр</x:v>
      </x:c>
      <x:c r="G428" s="28" t="str">
        <x:v>Козий сыр | козий сыр</x:v>
      </x:c>
      <x:c r="H428" s="28" t="str">
        <x:v>Молочные продукты</x:v>
      </x:c>
      <x:c r="I428" s="28" t="str">
        <x:v>цитрусовый, свежий, цветочный, древесный</x:v>
      </x:c>
      <x:c r="J428" s="28" t="str">
        <x:v>сливочный, молочный, масляный, иногда животный</x:v>
      </x:c>
      <x:c r="K428" s="28" t="str">
        <x:v>цитраль (гераниаль + нераль), лимонен, гамма-терпинен, бета-пинен</x:v>
      </x:c>
      <x:c r="L428" s="28" t="str">
        <x:v>диацетил, молочные лактоны, свободные жирные кислоты</x:v>
      </x:c>
      <x:c r="M428" s="28" t="str">
        <x:v>прямое семейное перекрытие не является главным механизмом</x:v>
      </x:c>
      <x:c r="N428" s="28" t="str">
        <x:v>надёжный общий маркер не заявлен; сочетание объясняется семействами и сенсорным балансом</x:v>
      </x:c>
      <x:c r="O428" s="28" t="str">
        <x:v>вкусовой баланс, влияние матрицы/растворимости</x:v>
      </x:c>
      <x:c r="P428" s="28" t="str">
        <x:v>Кислотность и лёгкая горечь цитруса снижают ощущение жирности; соль и умами, в свою очередь, делают фруктовую часть менее резкой.</x:v>
      </x:c>
      <x:c r="Q428" s="28" t="str">
        <x:v>кислота усиливает слюноотделение; нет выраженного</x:v>
      </x:c>
      <x:c r="R428" s="28" t="str">
        <x:v>сок — водная кислая фаза; цедра — гидрофобное эфирное масло; жир растворяет терпены; кислота цитруса может коагулировать молочный белок</x:v>
      </x:c>
      <x:c r="S428"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428"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Козий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U428" s="28" t="str">
        <x:v>Избыток кислоты делает вкус плоско-резким; белая часть кожуры даёт лишнюю горечь; возможна коагуляция белка.</x:v>
      </x:c>
      <x:c r="V428" s="28" t="str">
        <x:v>мёд или ваниль</x:v>
      </x:c>
      <x:c r="W428" s="28" t="str">
        <x:v>чизкейк, крем, мороженое, соус или салат</x:v>
      </x:c>
      <x:c r="X428" s="28" t="str">
        <x:v>десерты, еда</x:v>
      </x:c>
      <x:c r="Y428" s="28" t="str">
        <x:v>Высокая</x:v>
      </x:c>
      <x:c r="Z428" s="28" t="str">
        <x:v>Тезариус вкусов (Ники Сегнит)(1).pdf</x:v>
      </x:c>
      <x:c r="AA428" s="28" t="str">
        <x:v>Тезариус вкусов (Ники Сегнит)(1).pdf: 140, 804</x:v>
      </x:c>
      <x:c r="AB428" s="28" t="str">
        <x:v>Лимонный характер при- сущ многим козьим сырам, в том числе отмеченному многочисленными наградами серни (Cerney) из Глостершира и своеобразному сыру иннес баттон (Innes Button) из Стаффордшира. Джульетта Харбутт (Juliet Harbutt) пишет, что иннес баттон «растворяется на языке, оставляя за собой след из миндаля, дикого меда, лимона, белого вина и мандаринов». Пробуя этот сыр, я испытываю схожие ощущения.</x:v>
      </x:c>
      <x:c r="AC428" s="28" t="n">
        <x:v>1</x:v>
      </x:c>
      <x:c r="AD428" s="28" t="n">
        <x:v>2</x:v>
      </x:c>
    </x:row>
    <x:row r="429" ht="58" customHeight="1">
      <x:c r="A429" s="28" t="str">
        <x:v>CIT-0428</x:v>
      </x:c>
      <x:c r="B429" s="28" t="str">
        <x:v>Десерты и выпечка</x:v>
      </x:c>
      <x:c r="C429" s="28" t="str">
        <x:v>лимон</x:v>
      </x:c>
      <x:c r="D429" s="28" t="str">
        <x:v>Лимон | лимон</x:v>
      </x:c>
      <x:c r="E429" s="28" t="str">
        <x:v>Цитрусовые</x:v>
      </x:c>
      <x:c r="F429" s="28" t="str">
        <x:v>кокос</x:v>
      </x:c>
      <x:c r="G429" s="28" t="str">
        <x:v>Кокос | кокос</x:v>
      </x:c>
      <x:c r="H429" s="28" t="str">
        <x:v>Тропические плоды</x:v>
      </x:c>
      <x:c r="I429" s="28" t="str">
        <x:v>цитрусовый, свежий, цветочный, древесный</x:v>
      </x:c>
      <x:c r="J429" s="28" t="str">
        <x:v>сливочный, кокосовый, восковой, ореховый</x:v>
      </x:c>
      <x:c r="K429" s="28" t="str">
        <x:v>цитраль (гераниаль + нераль), лимонен, гамма-терпинен, бета-пинен</x:v>
      </x:c>
      <x:c r="L429" s="28" t="str">
        <x:v>гамма-ноналактон, дельта-декалактон, жирные кислоты</x:v>
      </x:c>
      <x:c r="M429" s="28" t="str">
        <x:v>прямое семейное перекрытие не является главным механизмом</x:v>
      </x:c>
      <x:c r="N429" s="28" t="str">
        <x:v>надёжный общий маркер не заявлен; сочетание объясняется семействами и сенсорным балансом</x:v>
      </x:c>
      <x:c r="O429" s="28" t="str">
        <x:v>вкусовой баланс</x:v>
      </x:c>
      <x:c r="P429" s="28" t="str">
        <x:v>Общая фруктовая сладость и летучие эфиры создают непрерывный ароматический профиль, а цитрусовая кислота повышает контраст и свежесть.</x:v>
      </x:c>
      <x:c r="Q429" s="28" t="str">
        <x:v>кислота усиливает слюноотделение; нет выраженного</x:v>
      </x:c>
      <x:c r="R429" s="28" t="str">
        <x:v>сок — водная кислая фаза; цедра — гидрофобное эфирное масло; жирная эмульсионная матрица хорошо удерживает терпены</x:v>
      </x:c>
      <x:c r="S42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29"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Кокос относится к группе «тропические плоды» и даёт ноты «сливочный, кокосовый, восковой, ореховый».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Кокос округляет кислотность и продлевает цитрусовый аромат.</x:v>
      </x:c>
      <x:c r="U429" s="28" t="str">
        <x:v>Избыток кислоты делает вкус плоско-резким; белая часть кожуры даёт лишнюю горечь.</x:v>
      </x:c>
      <x:c r="V429" s="28" t="str">
        <x:v>имбирь или мята</x:v>
      </x:c>
      <x:c r="W429" s="28" t="str">
        <x:v>коктейль, крем, сорбет или соус</x:v>
      </x:c>
      <x:c r="X429" s="28" t="str">
        <x:v>напитки, десерты</x:v>
      </x:c>
      <x:c r="Y429" s="28" t="str">
        <x:v>Высокая</x:v>
      </x:c>
      <x:c r="Z429" s="28" t="str">
        <x:v>Тезариус вкусов (Ники Сегнит)(1).pdf</x:v>
      </x:c>
      <x:c r="AA429" s="28" t="str">
        <x:v>Тезариус вкусов (Ники Сегнит)(1).pdf: 757, 804</x:v>
      </x:c>
      <x:c r="AB429" s="28" t="str">
        <x:v>Лемонграсс придает дополнитель- ную свежесть кокосу. И пусть лемонграссу не хватает резкой кислотности лимона, яркий цитрусовый и цве- точный характер лемонграсса все равно облегчает весомую жирность ореха. «Лимонность» лемонграсса определяется веществом под названием цитраль, сочетанием двух соединений, которые в малых количествах присутствуют в эфирном масле лимона и в гораздо бόльших – в лемонграссе. Лимонная вербена и лимонный мирт также содержат много цитраля и потому иногда используются в </x:v>
      </x:c>
      <x:c r="AC429" s="28" t="n">
        <x:v>1</x:v>
      </x:c>
      <x:c r="AD429" s="28" t="n">
        <x:v>2</x:v>
      </x:c>
    </x:row>
    <x:row r="430" ht="58" customHeight="1">
      <x:c r="A430" s="28" t="str">
        <x:v>CIT-0429</x:v>
      </x:c>
      <x:c r="B430" s="28" t="str">
        <x:v>Еда и соусы</x:v>
      </x:c>
      <x:c r="C430" s="28" t="str">
        <x:v>лимон</x:v>
      </x:c>
      <x:c r="D430" s="28" t="str">
        <x:v>Лимон | лимон</x:v>
      </x:c>
      <x:c r="E430" s="28" t="str">
        <x:v>Цитрусовые</x:v>
      </x:c>
      <x:c r="F430" s="28" t="str">
        <x:v>копченая рыба</x:v>
      </x:c>
      <x:c r="G430" s="28" t="str">
        <x:v>Копченая рыба | копченая рыба</x:v>
      </x:c>
      <x:c r="H430" s="28" t="str">
        <x:v>Рыба и морепродукты</x:v>
      </x:c>
      <x:c r="I430" s="28" t="str">
        <x:v>цитрусовый, свежий, цветочный, древесный</x:v>
      </x:c>
      <x:c r="J430" s="28" t="str">
        <x:v>морской, йодистый, зелёный, жирный</x:v>
      </x:c>
      <x:c r="K430" s="28" t="str">
        <x:v>цитраль (гераниаль + нераль), лимонен, гамма-терпинен, бета-пинен</x:v>
      </x:c>
      <x:c r="L430" s="28" t="str">
        <x:v>альдегиды окисления липидов, бромфенолы, диметилсульфид, умами-соединения</x:v>
      </x:c>
      <x:c r="M430" s="28" t="str">
        <x:v>прямое семейное перекрытие не является главным механизмом</x:v>
      </x:c>
      <x:c r="N430" s="28" t="str">
        <x:v>надёжный общий маркер не заявлен; сочетание объясняется семействами и сенсорным балансом</x:v>
      </x:c>
      <x:c r="O430" s="28" t="str">
        <x:v>вкусовой баланс, влияние матрицы/растворимости</x:v>
      </x:c>
      <x:c r="P430" s="28" t="str">
        <x:v>Кислотность и лёгкая горечь цитруса снижают ощущение жирности; соль и умами, в свою очередь, делают фруктовую часть менее резкой.</x:v>
      </x:c>
      <x:c r="Q430" s="28" t="str">
        <x:v>кислота усиливает слюноотделение; нет выраженного</x:v>
      </x:c>
      <x:c r="R430" s="28" t="str">
        <x:v>сок — водная кислая фаза; цедра — гидрофобное эфирное масло; кислота может денатурировать поверхностные белки; жир рыбы удерживает терпены</x:v>
      </x:c>
      <x:c r="S43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430"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Копченая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U430" s="28" t="str">
        <x:v>Избыток кислоты делает вкус плоско-резким; белая часть кожуры даёт лишнюю горечь; слишком долгая маринация ухудшает текстуру.</x:v>
      </x:c>
      <x:c r="V430" s="28" t="str">
        <x:v>кинза или фенхель</x:v>
      </x:c>
      <x:c r="W430" s="28" t="str">
        <x:v>севиче, маринад, beurre blanc, тартар или салат</x:v>
      </x:c>
      <x:c r="X430" s="28" t="str">
        <x:v>еда, соусы/маринады</x:v>
      </x:c>
      <x:c r="Y430" s="28" t="str">
        <x:v>Высокая</x:v>
      </x:c>
      <x:c r="Z430" s="28" t="str">
        <x:v>Тезариус вкусов (Ники Сегнит)(1).pdf</x:v>
      </x:c>
      <x:c r="AA430" s="28" t="str">
        <x:v>Тезариус вкусов (Ники Сегнит)(1).pdf: 436, 804</x:v>
      </x:c>
      <x:c r="AB430" s="28" t="str">
        <x:v>В соответствии с рей- тингом Общества по сохранению морских ресурсов (Marine Conservation Society) угри отнесены к категории рыб, которых не следует употреблять в пищу. Между тем Хью Фернли Уиттингстолл (Hugh Fearnley- Whittingstall) и Ник Фишер (Nick Fisher) в своей книге «Книга рыбака из домика у реки» (The River Cottage Fish Book) называют угря одной из лучших копченых рыб из-за его богатого землистого вкуса, но добавляют: «Если вы решите съесть копченого угря, то вам придется победить свою с</x:v>
      </x:c>
      <x:c r="AC430" s="28" t="n">
        <x:v>1</x:v>
      </x:c>
      <x:c r="AD430" s="28" t="n">
        <x:v>2</x:v>
      </x:c>
    </x:row>
    <x:row r="431" ht="58" customHeight="1">
      <x:c r="A431" s="28" t="str">
        <x:v>CIT-0430</x:v>
      </x:c>
      <x:c r="B431" s="28" t="str">
        <x:v>Универсальные</x:v>
      </x:c>
      <x:c r="C431" s="28" t="str">
        <x:v>лимон</x:v>
      </x:c>
      <x:c r="D431" s="28" t="str">
        <x:v>лимон</x:v>
      </x:c>
      <x:c r="E431" s="28" t="str">
        <x:v>Цитрусовые</x:v>
      </x:c>
      <x:c r="F431" s="28" t="str">
        <x:v>кориандр</x:v>
      </x:c>
      <x:c r="G431" s="28" t="str">
        <x:v>Кориандр</x:v>
      </x:c>
      <x:c r="H431" s="28" t="str">
        <x:v>Травы/пряности</x:v>
      </x:c>
      <x:c r="I431" s="28" t="str">
        <x:v>цитрусовый, свежий, цветочный, древесный</x:v>
      </x:c>
      <x:c r="J431" s="28" t="str">
        <x:v>цитрусовый, зелёный, цветочный</x:v>
      </x:c>
      <x:c r="K431" s="28" t="str">
        <x:v>цитраль (гераниаль + нераль), лимонен, гамма-терпинен, бета-пинен</x:v>
      </x:c>
      <x:c r="L431" s="28" t="str">
        <x:v>линалол, деканаль, додеканаль</x:v>
      </x:c>
      <x:c r="M431" s="28" t="str">
        <x:v>цветочный, цитрусовый</x:v>
      </x:c>
      <x:c r="N431" s="28" t="str">
        <x:v>надёжный общий маркер не заявлен; сочетание объясняется семействами и сенсорным балансом</x:v>
      </x:c>
      <x:c r="O431" s="28" t="str">
        <x:v>перекрытие ароматических семейств, вкусовой баланс</x:v>
      </x:c>
      <x:c r="P431" s="28" t="str">
        <x:v>Кислота усиливает слюноотделение и делает пряный аромат ярче; терпены цитруса образуют мост с эфирными маслами травы или специи.</x:v>
      </x:c>
      <x:c r="Q431" s="28" t="str">
        <x:v>кислота усиливает слюноотделение; нет выраженного</x:v>
      </x:c>
      <x:c r="R431" s="28" t="str">
        <x:v>сок — водная кислая фаза; цедра — гидрофобное эфирное масло; листья чувствительны к нагреву; семена устойчивее и слаще</x:v>
      </x:c>
      <x:c r="S43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31"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Кориандр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U431" s="28" t="str">
        <x:v>Избыток кислоты делает вкус плоско-резким; белая часть кожуры даёт лишнюю горечь; цитрус легко подавляет деликатный аромат партнёра.</x:v>
      </x:c>
      <x:c r="V431" s="28" t="str">
        <x:v>мёд или зелёная трава</x:v>
      </x:c>
      <x:c r="W431" s="28" t="str">
        <x:v>лимонад, кордиал, маринад или пряный соус</x:v>
      </x:c>
      <x:c r="X431" s="28" t="str">
        <x:v>напитки, еда, соусы/маринады</x:v>
      </x:c>
      <x:c r="Y431" s="28" t="str">
        <x:v>Гипотеза / практическая</x:v>
      </x:c>
      <x:c r="Z431" s="28" t="str">
        <x:v>Таблица сочетания(1).pdf</x:v>
      </x:c>
      <x:c r="AA431" s="28" t="str">
        <x:v>Таблица сочетания(1).pdf: 6</x:v>
      </x:c>
      <x:c r="AB431" s="28" t="str">
        <x:v>Пара указана в таблице: «Кориандр» → колонка «Фрукты».</x:v>
      </x:c>
      <x:c r="AC431" s="28" t="n">
        <x:v>1</x:v>
      </x:c>
      <x:c r="AD431" s="28" t="n">
        <x:v>1</x:v>
      </x:c>
    </x:row>
    <x:row r="432" ht="58" customHeight="1">
      <x:c r="A432" s="28" t="str">
        <x:v>CIT-0431</x:v>
      </x:c>
      <x:c r="B432" s="28" t="str">
        <x:v>Универсальные</x:v>
      </x:c>
      <x:c r="C432" s="28" t="str">
        <x:v>лимон</x:v>
      </x:c>
      <x:c r="D432" s="28" t="str">
        <x:v>лимон</x:v>
      </x:c>
      <x:c r="E432" s="28" t="str">
        <x:v>Цитрусовые</x:v>
      </x:c>
      <x:c r="F432" s="28" t="str">
        <x:v>крыжовник</x:v>
      </x:c>
      <x:c r="G432" s="28" t="str">
        <x:v>Крыжовник</x:v>
      </x:c>
      <x:c r="H432" s="28" t="str">
        <x:v>Прочее</x:v>
      </x:c>
      <x:c r="I432" s="28" t="str">
        <x:v>цитрусовый, свежий, цветочный, древесный</x:v>
      </x:c>
      <x:c r="J432" s="28" t="str">
        <x:v>нейтральный/специфический</x:v>
      </x:c>
      <x:c r="K432" s="28" t="str">
        <x:v>цитраль (гераниаль + нераль), лимонен, гамма-терпинен, бета-пинен</x:v>
      </x:c>
      <x:c r="L432" s="28" t="str">
        <x:v>нужен профиль конкретного продукта</x:v>
      </x:c>
      <x:c r="M432" s="28" t="str">
        <x:v>прямое семейное перекрытие не является главным механизмом</x:v>
      </x:c>
      <x:c r="N432" s="28" t="str">
        <x:v>надёжный общий маркер не заявлен; сочетание объясняется семействами и сенсорным балансом</x:v>
      </x:c>
      <x:c r="O432" s="28" t="str">
        <x:v>вкусовой баланс, тройничное восприятие</x:v>
      </x:c>
      <x:c r="P432" s="28" t="str">
        <x:v>Основной эффект определяется ароматическим контрастом и добавлением кислотной свежести; точный баланс зависит от дозировки и матрицы.</x:v>
      </x:c>
      <x:c r="Q432" s="28" t="str">
        <x:v>кислота усиливает слюноотделение; нет данных</x:v>
      </x:c>
      <x:c r="R432" s="28" t="str">
        <x:v>сок — водная кислая фаза; цедра — гидрофобное эфирное масло; зависит от формы продукта</x:v>
      </x:c>
      <x:c r="S43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32" s="28" t="str">
        <x:v>Лимон формирует профиль «цитрусовый, свежий, цветочный, древесный»; характерные маркеры: цитраль (гераниаль + нераль), лимонен, гамма-терпинен, бета-пинен. Крыжовник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32" s="28" t="str">
        <x:v>Избыток кислоты делает вкус плоско-резким; белая часть кожуры даёт лишнюю горечь.</x:v>
      </x:c>
      <x:c r="V432" s="28" t="str">
        <x:v>мёд или нейтральная жировая основа</x:v>
      </x:c>
      <x:c r="W432" s="28" t="str">
        <x:v>соус, напиток или десерт после пробной дегустации</x:v>
      </x:c>
      <x:c r="X432" s="28" t="str">
        <x:v>универсальное</x:v>
      </x:c>
      <x:c r="Y432" s="28" t="str">
        <x:v>Гипотеза / практическая</x:v>
      </x:c>
      <x:c r="Z432" s="28" t="str">
        <x:v>Таблица сочетания(1).pdf</x:v>
      </x:c>
      <x:c r="AA432" s="28" t="str">
        <x:v>Таблица сочетания(1).pdf: 8</x:v>
      </x:c>
      <x:c r="AB432" s="28" t="str">
        <x:v>Пара указана в таблице: «Крыжовник» → колонка «Фрукты».</x:v>
      </x:c>
      <x:c r="AC432" s="28" t="n">
        <x:v>1</x:v>
      </x:c>
      <x:c r="AD432" s="28" t="n">
        <x:v>1</x:v>
      </x:c>
    </x:row>
    <x:row r="433" ht="58" customHeight="1">
      <x:c r="A433" s="28" t="str">
        <x:v>CIT-0432</x:v>
      </x:c>
      <x:c r="B433" s="28" t="str">
        <x:v>Универсальные</x:v>
      </x:c>
      <x:c r="C433" s="28" t="str">
        <x:v>лимон</x:v>
      </x:c>
      <x:c r="D433" s="28" t="str">
        <x:v>Лимон</x:v>
      </x:c>
      <x:c r="E433" s="28" t="str">
        <x:v>Цитрусовые</x:v>
      </x:c>
      <x:c r="F433" s="28" t="str">
        <x:v>кумин (зира)</x:v>
      </x:c>
      <x:c r="G433" s="28" t="str">
        <x:v>кумин (зира)</x:v>
      </x:c>
      <x:c r="H433" s="28" t="str">
        <x:v>Прочее</x:v>
      </x:c>
      <x:c r="I433" s="28" t="str">
        <x:v>цитрусовый, свежий, цветочный, древесный</x:v>
      </x:c>
      <x:c r="J433" s="28" t="str">
        <x:v>нейтральный/специфический</x:v>
      </x:c>
      <x:c r="K433" s="28" t="str">
        <x:v>цитраль (гераниаль + нераль), лимонен, гамма-терпинен, бета-пинен</x:v>
      </x:c>
      <x:c r="L433" s="28" t="str">
        <x:v>нужен профиль конкретного продукта</x:v>
      </x:c>
      <x:c r="M433" s="28" t="str">
        <x:v>прямое семейное перекрытие не является главным механизмом</x:v>
      </x:c>
      <x:c r="N433" s="28" t="str">
        <x:v>надёжный общий маркер не заявлен; сочетание объясняется семействами и сенсорным балансом</x:v>
      </x:c>
      <x:c r="O433" s="28" t="str">
        <x:v>вкусовой баланс, тройничное восприятие</x:v>
      </x:c>
      <x:c r="P433" s="28" t="str">
        <x:v>Основной эффект определяется ароматическим контрастом и добавлением кислотной свежести; точный баланс зависит от дозировки и матрицы.</x:v>
      </x:c>
      <x:c r="Q433" s="28" t="str">
        <x:v>кислота усиливает слюноотделение; нет данных</x:v>
      </x:c>
      <x:c r="R433" s="28" t="str">
        <x:v>сок — водная кислая фаза; цедра — гидрофобное эфирное масло; зависит от формы продукта</x:v>
      </x:c>
      <x:c r="S43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33" s="28" t="str">
        <x:v>Лимон формирует профиль «цитрусовый, свежий, цветочный, древесный»; характерные маркеры: цитраль (гераниаль + нераль), лимонен, гамма-терпинен, бета-пинен. Кумин (зира)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33" s="28" t="str">
        <x:v>Избыток кислоты делает вкус плоско-резким; белая часть кожуры даёт лишнюю горечь.</x:v>
      </x:c>
      <x:c r="V433" s="28" t="str">
        <x:v>мёд или нейтральная жировая основа</x:v>
      </x:c>
      <x:c r="W433" s="28" t="str">
        <x:v>соус, напиток или десерт после пробной дегустации</x:v>
      </x:c>
      <x:c r="X433" s="28" t="str">
        <x:v>универсальное</x:v>
      </x:c>
      <x:c r="Y433" s="28" t="str">
        <x:v>Гипотеза / практическая</x:v>
      </x:c>
      <x:c r="Z433" s="28" t="str">
        <x:v>Таблица сочетания(1).pdf</x:v>
      </x:c>
      <x:c r="AA433" s="28" t="str">
        <x:v>Таблица сочетания(1).pdf: 11</x:v>
      </x:c>
      <x:c r="AB433" s="28" t="str">
        <x:v>Пара указана в таблице: «Лимон» → колонка «Травы и специи».</x:v>
      </x:c>
      <x:c r="AC433" s="28" t="n">
        <x:v>1</x:v>
      </x:c>
      <x:c r="AD433" s="28" t="n">
        <x:v>1</x:v>
      </x:c>
    </x:row>
    <x:row r="434" ht="58" customHeight="1">
      <x:c r="A434" s="28" t="str">
        <x:v>CIT-0433</x:v>
      </x:c>
      <x:c r="B434" s="28" t="str">
        <x:v>Универсальные</x:v>
      </x:c>
      <x:c r="C434" s="28" t="str">
        <x:v>лимон</x:v>
      </x:c>
      <x:c r="D434" s="28" t="str">
        <x:v>лимон</x:v>
      </x:c>
      <x:c r="E434" s="28" t="str">
        <x:v>Цитрусовые</x:v>
      </x:c>
      <x:c r="F434" s="28" t="str">
        <x:v>лаванда</x:v>
      </x:c>
      <x:c r="G434" s="28" t="str">
        <x:v>Лаванда</x:v>
      </x:c>
      <x:c r="H434" s="28" t="str">
        <x:v>Прочее</x:v>
      </x:c>
      <x:c r="I434" s="28" t="str">
        <x:v>цитрусовый, свежий, цветочный, древесный</x:v>
      </x:c>
      <x:c r="J434" s="28" t="str">
        <x:v>нейтральный/специфический</x:v>
      </x:c>
      <x:c r="K434" s="28" t="str">
        <x:v>цитраль (гераниаль + нераль), лимонен, гамма-терпинен, бета-пинен</x:v>
      </x:c>
      <x:c r="L434" s="28" t="str">
        <x:v>нужен профиль конкретного продукта</x:v>
      </x:c>
      <x:c r="M434" s="28" t="str">
        <x:v>прямое семейное перекрытие не является главным механизмом</x:v>
      </x:c>
      <x:c r="N434" s="28" t="str">
        <x:v>надёжный общий маркер не заявлен; сочетание объясняется семействами и сенсорным балансом</x:v>
      </x:c>
      <x:c r="O434" s="28" t="str">
        <x:v>вкусовой баланс, тройничное восприятие</x:v>
      </x:c>
      <x:c r="P434" s="28" t="str">
        <x:v>Основной эффект определяется ароматическим контрастом и добавлением кислотной свежести; точный баланс зависит от дозировки и матрицы.</x:v>
      </x:c>
      <x:c r="Q434" s="28" t="str">
        <x:v>кислота усиливает слюноотделение; нет данных</x:v>
      </x:c>
      <x:c r="R434" s="28" t="str">
        <x:v>сок — водная кислая фаза; цедра — гидрофобное эфирное масло; зависит от формы продукта</x:v>
      </x:c>
      <x:c r="S43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34" s="28" t="str">
        <x:v>Лимон формирует профиль «цитрусовый, свежий, цветочный, древесный»; характерные маркеры: цитраль (гераниаль + нераль), лимонен, гамма-терпинен, бета-пинен. Лаванда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34" s="28" t="str">
        <x:v>Избыток кислоты делает вкус плоско-резким; белая часть кожуры даёт лишнюю горечь.</x:v>
      </x:c>
      <x:c r="V434" s="28" t="str">
        <x:v>мёд или нейтральная жировая основа</x:v>
      </x:c>
      <x:c r="W434" s="28" t="str">
        <x:v>соус, напиток или десерт после пробной дегустации</x:v>
      </x:c>
      <x:c r="X434" s="28" t="str">
        <x:v>универсальное</x:v>
      </x:c>
      <x:c r="Y434" s="28" t="str">
        <x:v>Гипотеза / практическая</x:v>
      </x:c>
      <x:c r="Z434" s="28" t="str">
        <x:v>Таблица сочетания(1).pdf</x:v>
      </x:c>
      <x:c r="AA434" s="28" t="str">
        <x:v>Таблица сочетания(1).pdf: 11</x:v>
      </x:c>
      <x:c r="AB434" s="28" t="str">
        <x:v>Пара указана в таблице: «Лаванда» → колонка «Фрукты».</x:v>
      </x:c>
      <x:c r="AC434" s="28" t="n">
        <x:v>1</x:v>
      </x:c>
      <x:c r="AD434" s="28" t="n">
        <x:v>1</x:v>
      </x:c>
    </x:row>
    <x:row r="435" ht="58" customHeight="1">
      <x:c r="A435" s="28" t="str">
        <x:v>CIT-0434</x:v>
      </x:c>
      <x:c r="B435" s="28" t="str">
        <x:v>Универсальные</x:v>
      </x:c>
      <x:c r="C435" s="28" t="str">
        <x:v>лимон</x:v>
      </x:c>
      <x:c r="D435" s="28" t="str">
        <x:v>лимон</x:v>
      </x:c>
      <x:c r="E435" s="28" t="str">
        <x:v>Цитрусовые</x:v>
      </x:c>
      <x:c r="F435" s="28" t="str">
        <x:v>лавровый лист</x:v>
      </x:c>
      <x:c r="G435" s="28" t="str">
        <x:v>Лавровый лист</x:v>
      </x:c>
      <x:c r="H435" s="28" t="str">
        <x:v>Прочее</x:v>
      </x:c>
      <x:c r="I435" s="28" t="str">
        <x:v>цитрусовый, свежий, цветочный, древесный</x:v>
      </x:c>
      <x:c r="J435" s="28" t="str">
        <x:v>нейтральный/специфический</x:v>
      </x:c>
      <x:c r="K435" s="28" t="str">
        <x:v>цитраль (гераниаль + нераль), лимонен, гамма-терпинен, бета-пинен</x:v>
      </x:c>
      <x:c r="L435" s="28" t="str">
        <x:v>нужен профиль конкретного продукта</x:v>
      </x:c>
      <x:c r="M435" s="28" t="str">
        <x:v>прямое семейное перекрытие не является главным механизмом</x:v>
      </x:c>
      <x:c r="N435" s="28" t="str">
        <x:v>надёжный общий маркер не заявлен; сочетание объясняется семействами и сенсорным балансом</x:v>
      </x:c>
      <x:c r="O435" s="28" t="str">
        <x:v>вкусовой баланс, тройничное восприятие</x:v>
      </x:c>
      <x:c r="P435" s="28" t="str">
        <x:v>Основной эффект определяется ароматическим контрастом и добавлением кислотной свежести; точный баланс зависит от дозировки и матрицы.</x:v>
      </x:c>
      <x:c r="Q435" s="28" t="str">
        <x:v>кислота усиливает слюноотделение; нет данных</x:v>
      </x:c>
      <x:c r="R435" s="28" t="str">
        <x:v>сок — водная кислая фаза; цедра — гидрофобное эфирное масло; зависит от формы продукта</x:v>
      </x:c>
      <x:c r="S43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35" s="28" t="str">
        <x:v>Лимон формирует профиль «цитрусовый, свежий, цветочный, древесный»; характерные маркеры: цитраль (гераниаль + нераль), лимонен, гамма-терпинен, бета-пинен. Лавровый лист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35" s="28" t="str">
        <x:v>Избыток кислоты делает вкус плоско-резким; белая часть кожуры даёт лишнюю горечь.</x:v>
      </x:c>
      <x:c r="V435" s="28" t="str">
        <x:v>мёд или нейтральная жировая основа</x:v>
      </x:c>
      <x:c r="W435" s="28" t="str">
        <x:v>соус, напиток или десерт после пробной дегустации</x:v>
      </x:c>
      <x:c r="X435" s="28" t="str">
        <x:v>универсальное</x:v>
      </x:c>
      <x:c r="Y435" s="28" t="str">
        <x:v>Гипотеза / практическая</x:v>
      </x:c>
      <x:c r="Z435" s="28" t="str">
        <x:v>Таблица сочетания(1).pdf</x:v>
      </x:c>
      <x:c r="AA435" s="28" t="str">
        <x:v>Таблица сочетания(1).pdf: 2</x:v>
      </x:c>
      <x:c r="AB435" s="28" t="str">
        <x:v>Пара указана в таблице: «Лавровый лист» → колонка «Фрукты».</x:v>
      </x:c>
      <x:c r="AC435" s="28" t="n">
        <x:v>1</x:v>
      </x:c>
      <x:c r="AD435" s="28" t="n">
        <x:v>1</x:v>
      </x:c>
    </x:row>
    <x:row r="436" ht="58" customHeight="1">
      <x:c r="A436" s="28" t="str">
        <x:v>CIT-0435</x:v>
      </x:c>
      <x:c r="B436" s="28" t="str">
        <x:v>Универсальные</x:v>
      </x:c>
      <x:c r="C436" s="28" t="str">
        <x:v>лимон</x:v>
      </x:c>
      <x:c r="D436" s="28" t="str">
        <x:v>лимон</x:v>
      </x:c>
      <x:c r="E436" s="28" t="str">
        <x:v>Цитрусовые</x:v>
      </x:c>
      <x:c r="F436" s="28" t="str">
        <x:v>лемонграсс</x:v>
      </x:c>
      <x:c r="G436" s="28" t="str">
        <x:v>Лемонграсс</x:v>
      </x:c>
      <x:c r="H436" s="28" t="str">
        <x:v>Прочее</x:v>
      </x:c>
      <x:c r="I436" s="28" t="str">
        <x:v>цитрусовый, свежий, цветочный, древесный</x:v>
      </x:c>
      <x:c r="J436" s="28" t="str">
        <x:v>нейтральный/специфический</x:v>
      </x:c>
      <x:c r="K436" s="28" t="str">
        <x:v>цитраль (гераниаль + нераль), лимонен, гамма-терпинен, бета-пинен</x:v>
      </x:c>
      <x:c r="L436" s="28" t="str">
        <x:v>нужен профиль конкретного продукта</x:v>
      </x:c>
      <x:c r="M436" s="28" t="str">
        <x:v>прямое семейное перекрытие не является главным механизмом</x:v>
      </x:c>
      <x:c r="N436" s="28" t="str">
        <x:v>надёжный общий маркер не заявлен; сочетание объясняется семействами и сенсорным балансом</x:v>
      </x:c>
      <x:c r="O436" s="28" t="str">
        <x:v>вкусовой баланс, тройничное восприятие</x:v>
      </x:c>
      <x:c r="P436" s="28" t="str">
        <x:v>Основной эффект определяется ароматическим контрастом и добавлением кислотной свежести; точный баланс зависит от дозировки и матрицы.</x:v>
      </x:c>
      <x:c r="Q436" s="28" t="str">
        <x:v>кислота усиливает слюноотделение; нет данных</x:v>
      </x:c>
      <x:c r="R436" s="28" t="str">
        <x:v>сок — водная кислая фаза; цедра — гидрофобное эфирное масло; зависит от формы продукта</x:v>
      </x:c>
      <x:c r="S43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36" s="28" t="str">
        <x:v>Лимон формирует профиль «цитрусовый, свежий, цветочный, древесный»; характерные маркеры: цитраль (гераниаль + нераль), лимонен, гамма-терпинен, бета-пинен. Лемонграсс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36" s="28" t="str">
        <x:v>Избыток кислоты делает вкус плоско-резким; белая часть кожуры даёт лишнюю горечь.</x:v>
      </x:c>
      <x:c r="V436" s="28" t="str">
        <x:v>мёд или нейтральная жировая основа</x:v>
      </x:c>
      <x:c r="W436" s="28" t="str">
        <x:v>соус, напиток или десерт после пробной дегустации</x:v>
      </x:c>
      <x:c r="X436" s="28" t="str">
        <x:v>универсальное</x:v>
      </x:c>
      <x:c r="Y436" s="28" t="str">
        <x:v>Гипотеза / практическая</x:v>
      </x:c>
      <x:c r="Z436" s="28" t="str">
        <x:v>Таблица сочетания(1).pdf</x:v>
      </x:c>
      <x:c r="AA436" s="28" t="str">
        <x:v>Таблица сочетания(1).pdf: 11</x:v>
      </x:c>
      <x:c r="AB436" s="28" t="str">
        <x:v>Пара указана в таблице: «Лемонграсс» → колонка «Фрукты».</x:v>
      </x:c>
      <x:c r="AC436" s="28" t="n">
        <x:v>1</x:v>
      </x:c>
      <x:c r="AD436" s="28" t="n">
        <x:v>1</x:v>
      </x:c>
    </x:row>
    <x:row r="437" ht="58" customHeight="1">
      <x:c r="A437" s="28" t="str">
        <x:v>CIT-0436</x:v>
      </x:c>
      <x:c r="B437" s="28" t="str">
        <x:v>Универсальные</x:v>
      </x:c>
      <x:c r="C437" s="28" t="str">
        <x:v>лимон</x:v>
      </x:c>
      <x:c r="D437" s="28" t="str">
        <x:v>лимон</x:v>
      </x:c>
      <x:c r="E437" s="28" t="str">
        <x:v>Цитрусовые</x:v>
      </x:c>
      <x:c r="F437" s="28" t="str">
        <x:v>лимонный тимьян</x:v>
      </x:c>
      <x:c r="G437" s="28" t="str">
        <x:v>Лимонный тимьян</x:v>
      </x:c>
      <x:c r="H437" s="28" t="str">
        <x:v>Травы</x:v>
      </x:c>
      <x:c r="I437" s="28" t="str">
        <x:v>цитрусовый, свежий, цветочный, древесный</x:v>
      </x:c>
      <x:c r="J437" s="28" t="str">
        <x:v>травяной, хвойный, камфорный, древесный</x:v>
      </x:c>
      <x:c r="K437" s="28" t="str">
        <x:v>цитраль (гераниаль + нераль), лимонен, гамма-терпинен, бета-пинен</x:v>
      </x:c>
      <x:c r="L437" s="28" t="str">
        <x:v>1,8-цинеол, камфора, тимол/карвакрол, альфа-пинен</x:v>
      </x:c>
      <x:c r="M437" s="28" t="str">
        <x:v>древесный</x:v>
      </x:c>
      <x:c r="N437" s="28" t="str">
        <x:v>надёжный общий маркер не заявлен; сочетание объясняется семействами и сенсорным балансом</x:v>
      </x:c>
      <x:c r="O437" s="28" t="str">
        <x:v>перекрытие ароматических семейств, вкусовой баланс, тройничное восприятие</x:v>
      </x:c>
      <x:c r="P437" s="28" t="str">
        <x:v>Кислота усиливает слюноотделение и делает пряный аромат ярче; терпены цитруса образуют мост с эфирными маслами травы или специи.</x:v>
      </x:c>
      <x:c r="Q437" s="28" t="str">
        <x:v>кислота усиливает слюноотделение; камфора и цинеол дают прохладно-камфорное ощущение</x:v>
      </x:c>
      <x:c r="R437" s="28" t="str">
        <x:v>сок — водная кислая фаза; цедра — гидрофобное эфирное масло; эфирные масла лучше раскрываются в жире и спирте</x:v>
      </x:c>
      <x:c r="S43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37" s="28" t="str">
        <x:v>Лимон формирует профиль «цитрусовый, свежий, цветочный, древесный»; характерные маркеры: цитраль (гераниаль + нераль), лимонен, гамма-терпинен, бета-пинен. Лимонный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U437" s="28" t="str">
        <x:v>Избыток кислоты делает вкус плоско-резким; белая часть кожуры даёт лишнюю горечь; цитрус легко подавляет деликатный аромат партнёра.</x:v>
      </x:c>
      <x:c r="V437" s="28" t="str">
        <x:v>оливковое масло или огурец</x:v>
      </x:c>
      <x:c r="W437" s="28" t="str">
        <x:v>лимонад, кордиал, салатная заправка или зелёный соус</x:v>
      </x:c>
      <x:c r="X437" s="28" t="str">
        <x:v>напитки, еда, соусы/маринады</x:v>
      </x:c>
      <x:c r="Y437" s="28" t="str">
        <x:v>Гипотеза / практическая</x:v>
      </x:c>
      <x:c r="Z437" s="28" t="str">
        <x:v>Таблица сочетания(1).pdf</x:v>
      </x:c>
      <x:c r="AA437" s="28" t="str">
        <x:v>Таблица сочетания(1).pdf: 11</x:v>
      </x:c>
      <x:c r="AB437" s="28" t="str">
        <x:v>Пара указана в таблице: «Лимонный тимьян» → колонка «Фрукты».</x:v>
      </x:c>
      <x:c r="AC437" s="28" t="n">
        <x:v>1</x:v>
      </x:c>
      <x:c r="AD437" s="28" t="n">
        <x:v>1</x:v>
      </x:c>
    </x:row>
    <x:row r="438" ht="58" customHeight="1">
      <x:c r="A438" s="28" t="str">
        <x:v>CIT-0437</x:v>
      </x:c>
      <x:c r="B438" s="28" t="str">
        <x:v>Универсальные</x:v>
      </x:c>
      <x:c r="C438" s="28" t="str">
        <x:v>лимон</x:v>
      </x:c>
      <x:c r="D438" s="28" t="str">
        <x:v>Лимон | лимон</x:v>
      </x:c>
      <x:c r="E438" s="28" t="str">
        <x:v>Цитрусовые</x:v>
      </x:c>
      <x:c r="F438" s="28" t="str">
        <x:v>листья кориандра</x:v>
      </x:c>
      <x:c r="G438" s="28" t="str">
        <x:v>Листья кориандра | листья кориандра</x:v>
      </x:c>
      <x:c r="H438" s="28" t="str">
        <x:v>Травы/пряности</x:v>
      </x:c>
      <x:c r="I438" s="28" t="str">
        <x:v>цитрусовый, свежий, цветочный, древесный</x:v>
      </x:c>
      <x:c r="J438" s="28" t="str">
        <x:v>цитрусовый, зелёный, цветочный</x:v>
      </x:c>
      <x:c r="K438" s="28" t="str">
        <x:v>цитраль (гераниаль + нераль), лимонен, гамма-терпинен, бета-пинен</x:v>
      </x:c>
      <x:c r="L438" s="28" t="str">
        <x:v>линалол, деканаль, додеканаль</x:v>
      </x:c>
      <x:c r="M438" s="28" t="str">
        <x:v>цветочный, цитрусовый</x:v>
      </x:c>
      <x:c r="N438" s="28" t="str">
        <x:v>надёжный общий маркер не заявлен; сочетание объясняется семействами и сенсорным балансом</x:v>
      </x:c>
      <x:c r="O438" s="28" t="str">
        <x:v>перекрытие ароматических семейств, вкусовой баланс</x:v>
      </x:c>
      <x:c r="P438" s="28" t="str">
        <x:v>Кислота усиливает слюноотделение и делает пряный аромат ярче; терпены цитруса образуют мост с эфирными маслами травы или специи.</x:v>
      </x:c>
      <x:c r="Q438" s="28" t="str">
        <x:v>кислота усиливает слюноотделение; нет выраженного</x:v>
      </x:c>
      <x:c r="R438" s="28" t="str">
        <x:v>сок — водная кислая фаза; цедра — гидрофобное эфирное масло; листья чувствительны к нагреву; семена устойчивее и слаще</x:v>
      </x:c>
      <x:c r="S43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38" s="28" t="str">
        <x:v>Лимон формирует профиль «цитрусовый, свежий, цветочный, древесный»; характерные маркеры: цитраль (гераниаль + нераль), лимонен, гамма-терпинен, бета-пинен. Листья кориандра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U438" s="28" t="str">
        <x:v>Избыток кислоты делает вкус плоско-резким; белая часть кожуры даёт лишнюю горечь; цитрус легко подавляет деликатный аромат партнёра.</x:v>
      </x:c>
      <x:c r="V438" s="28" t="str">
        <x:v>мёд или зелёная трава</x:v>
      </x:c>
      <x:c r="W438" s="28" t="str">
        <x:v>лимонад, кордиал, маринад или пряный соус</x:v>
      </x:c>
      <x:c r="X438" s="28" t="str">
        <x:v>напитки, еда, соусы/маринады</x:v>
      </x:c>
      <x:c r="Y438" s="28" t="str">
        <x:v>Высокая</x:v>
      </x:c>
      <x:c r="Z438" s="28" t="str">
        <x:v>Тезариус вкусов (Ники Сегнит)(1).pdf</x:v>
      </x:c>
      <x:c r="AA438" s="28" t="str">
        <x:v>Тезариус вкусов (Ники Сегнит)(1).pdf: 521, 805</x:v>
      </x:c>
      <x:c r="AB438" s="28" t="str">
        <x:v>Этот рецепт распро- страняется быстрее, чем сплетни. Я знаю об этом не понаслышке: когда-то я дала его кому-то, кто передал его кому-то другому, а тот кто-то сделал это блюдо для меня и спросил, не нужен ли мне такой рецепт. «Какая дерзость», – подумала я, но тут же вспомнила, что сама взяла этот рецепт с рекламы в супермаркете. В оригинале речь шла о треске, но скажите, какая белая рыба не «проснется» от сочетания лимона и кориандра? Смешайте 100 г панировочных сухарей с цедрой лимона, горстью </x:v>
      </x:c>
      <x:c r="AC438" s="28" t="n">
        <x:v>1</x:v>
      </x:c>
      <x:c r="AD438" s="28" t="n">
        <x:v>2</x:v>
      </x:c>
    </x:row>
    <x:row r="439" ht="58" customHeight="1">
      <x:c r="A439" s="28" t="str">
        <x:v>CIT-0438</x:v>
      </x:c>
      <x:c r="B439" s="28" t="str">
        <x:v>Универсальные</x:v>
      </x:c>
      <x:c r="C439" s="28" t="str">
        <x:v>лимон</x:v>
      </x:c>
      <x:c r="D439" s="28" t="str">
        <x:v>Лимон</x:v>
      </x:c>
      <x:c r="E439" s="28" t="str">
        <x:v>Цитрусовые</x:v>
      </x:c>
      <x:c r="F439" s="28" t="str">
        <x:v>мак</x:v>
      </x:c>
      <x:c r="G439" s="28" t="str">
        <x:v>мак</x:v>
      </x:c>
      <x:c r="H439" s="28" t="str">
        <x:v>Прочее</x:v>
      </x:c>
      <x:c r="I439" s="28" t="str">
        <x:v>цитрусовый, свежий, цветочный, древесный</x:v>
      </x:c>
      <x:c r="J439" s="28" t="str">
        <x:v>нейтральный/специфический</x:v>
      </x:c>
      <x:c r="K439" s="28" t="str">
        <x:v>цитраль (гераниаль + нераль), лимонен, гамма-терпинен, бета-пинен</x:v>
      </x:c>
      <x:c r="L439" s="28" t="str">
        <x:v>нужен профиль конкретного продукта</x:v>
      </x:c>
      <x:c r="M439" s="28" t="str">
        <x:v>прямое семейное перекрытие не является главным механизмом</x:v>
      </x:c>
      <x:c r="N439" s="28" t="str">
        <x:v>надёжный общий маркер не заявлен; сочетание объясняется семействами и сенсорным балансом</x:v>
      </x:c>
      <x:c r="O439" s="28" t="str">
        <x:v>вкусовой баланс, тройничное восприятие</x:v>
      </x:c>
      <x:c r="P439" s="28" t="str">
        <x:v>Основной эффект определяется ароматическим контрастом и добавлением кислотной свежести; точный баланс зависит от дозировки и матрицы.</x:v>
      </x:c>
      <x:c r="Q439" s="28" t="str">
        <x:v>кислота усиливает слюноотделение; нет данных</x:v>
      </x:c>
      <x:c r="R439" s="28" t="str">
        <x:v>сок — водная кислая фаза; цедра — гидрофобное эфирное масло; зависит от формы продукта</x:v>
      </x:c>
      <x:c r="S43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39" s="28" t="str">
        <x:v>Лимон формирует профиль «цитрусовый, свежий, цветочный, древесный»; характерные маркеры: цитраль (гераниаль + нераль), лимонен, гамма-терпинен, бета-пинен. Мак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39" s="28" t="str">
        <x:v>Избыток кислоты делает вкус плоско-резким; белая часть кожуры даёт лишнюю горечь.</x:v>
      </x:c>
      <x:c r="V439" s="28" t="str">
        <x:v>мёд или нейтральная жировая основа</x:v>
      </x:c>
      <x:c r="W439" s="28" t="str">
        <x:v>соус, напиток или десерт после пробной дегустации</x:v>
      </x:c>
      <x:c r="X439" s="28" t="str">
        <x:v>универсальное</x:v>
      </x:c>
      <x:c r="Y439" s="28" t="str">
        <x:v>Гипотеза / практическая</x:v>
      </x:c>
      <x:c r="Z439" s="28" t="str">
        <x:v>Таблица сочетания(1).pdf</x:v>
      </x:c>
      <x:c r="AA439" s="28" t="str">
        <x:v>Таблица сочетания(1).pdf: 11</x:v>
      </x:c>
      <x:c r="AB439" s="28" t="str">
        <x:v>Пара указана в таблице: «Лимон» → колонка «Другое».</x:v>
      </x:c>
      <x:c r="AC439" s="28" t="n">
        <x:v>1</x:v>
      </x:c>
      <x:c r="AD439" s="28" t="n">
        <x:v>1</x:v>
      </x:c>
    </x:row>
    <x:row r="440" ht="58" customHeight="1">
      <x:c r="A440" s="28" t="str">
        <x:v>CIT-0439</x:v>
      </x:c>
      <x:c r="B440" s="28" t="str">
        <x:v>Десерты и выпечка</x:v>
      </x:c>
      <x:c r="C440" s="28" t="str">
        <x:v>лимон</x:v>
      </x:c>
      <x:c r="D440" s="28" t="str">
        <x:v>лимон</x:v>
      </x:c>
      <x:c r="E440" s="28" t="str">
        <x:v>Цитрусовые</x:v>
      </x:c>
      <x:c r="F440" s="28" t="str">
        <x:v>малина</x:v>
      </x:c>
      <x:c r="G440" s="28" t="str">
        <x:v>Малина</x:v>
      </x:c>
      <x:c r="H440" s="28" t="str">
        <x:v>Ягоды/косточковые</x:v>
      </x:c>
      <x:c r="I440" s="28" t="str">
        <x:v>цитрусовый, свежий, цветочный, древесный</x:v>
      </x:c>
      <x:c r="J440" s="28" t="str">
        <x:v>фруктовый, цветочный, зелёный, винный</x:v>
      </x:c>
      <x:c r="K440" s="28" t="str">
        <x:v>цитраль (гераниаль + нераль), лимонен, гамма-терпинен, бета-пинен</x:v>
      </x:c>
      <x:c r="L440" s="28" t="str">
        <x:v>иононы, дамасценон, эфиры, бензальдегид (для косточковых)</x:v>
      </x:c>
      <x:c r="M440" s="28" t="str">
        <x:v>цветочный</x:v>
      </x:c>
      <x:c r="N440" s="28" t="str">
        <x:v>надёжный общий маркер не заявлен; сочетание объясняется семействами и сенсорным балансом</x:v>
      </x:c>
      <x:c r="O440" s="28" t="str">
        <x:v>перекрытие ароматических семейств, вкусовой баланс</x:v>
      </x:c>
      <x:c r="P440" s="28" t="str">
        <x:v>Общая фруктовая сладость и летучие эфиры создают непрерывный ароматический профиль, а цитрусовая кислота повышает контраст и свежесть.</x:v>
      </x:c>
      <x:c r="Q440" s="28" t="str">
        <x:v>кислота усиливает слюноотделение; нет выраженного</x:v>
      </x:c>
      <x:c r="R440" s="28" t="str">
        <x:v>сок — водная кислая фаза; цедра — гидрофобное эфирное масло; водная матрица с антоцианами и полифенолами</x:v>
      </x:c>
      <x:c r="S44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40" s="28" t="str">
        <x:v>Лимон формирует профиль «цитрусовый, свежий, цветочный, древесный»; характерные маркеры: цитраль (гераниаль + нераль), лимонен, гамма-терпинен, бета-пинен. Малина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440" s="28" t="str">
        <x:v>Избыток кислоты делает вкус плоско-резким; белая часть кожуры даёт лишнюю горечь.</x:v>
      </x:c>
      <x:c r="V440" s="28" t="str">
        <x:v>ваниль или миндаль</x:v>
      </x:c>
      <x:c r="W440" s="28" t="str">
        <x:v>джем, сорбет, коктейль или соус</x:v>
      </x:c>
      <x:c r="X440" s="28" t="str">
        <x:v>напитки, десерты</x:v>
      </x:c>
      <x:c r="Y440" s="28" t="str">
        <x:v>Гипотеза / практическая</x:v>
      </x:c>
      <x:c r="Z440" s="28" t="str">
        <x:v>Таблица сочетания(1).pdf</x:v>
      </x:c>
      <x:c r="AA440" s="28" t="str">
        <x:v>Таблица сочетания(1).pdf: 19</x:v>
      </x:c>
      <x:c r="AB440" s="28" t="str">
        <x:v>Пара указана в таблице: «Малина» → колонка «Фрукты».</x:v>
      </x:c>
      <x:c r="AC440" s="28" t="n">
        <x:v>1</x:v>
      </x:c>
      <x:c r="AD440" s="28" t="n">
        <x:v>1</x:v>
      </x:c>
    </x:row>
    <x:row r="441" ht="58" customHeight="1">
      <x:c r="A441" s="28" t="str">
        <x:v>CIT-0440</x:v>
      </x:c>
      <x:c r="B441" s="28" t="str">
        <x:v>Десерты и выпечка</x:v>
      </x:c>
      <x:c r="C441" s="28" t="str">
        <x:v>лимон</x:v>
      </x:c>
      <x:c r="D441" s="28" t="str">
        <x:v>Лимон | лимон</x:v>
      </x:c>
      <x:c r="E441" s="28" t="str">
        <x:v>Цитрусовые</x:v>
      </x:c>
      <x:c r="F441" s="28" t="str">
        <x:v>манго</x:v>
      </x:c>
      <x:c r="G441" s="28" t="str">
        <x:v>Манго | манго</x:v>
      </x:c>
      <x:c r="H441" s="28" t="str">
        <x:v>Тропические фрукты</x:v>
      </x:c>
      <x:c r="I441" s="28" t="str">
        <x:v>цитрусовый, свежий, цветочный, древесный</x:v>
      </x:c>
      <x:c r="J441" s="28" t="str">
        <x:v>фруктовый, тропический, цветочный, сливочный</x:v>
      </x:c>
      <x:c r="K441" s="28" t="str">
        <x:v>цитраль (гераниаль + нераль), лимонен, гамма-терпинен, бета-пинен</x:v>
      </x:c>
      <x:c r="L441" s="28" t="str">
        <x:v>этилбутират, гексилацетат, лактоны, сернистые тиолы (у части фруктов)</x:v>
      </x:c>
      <x:c r="M441" s="28" t="str">
        <x:v>цветочный</x:v>
      </x:c>
      <x:c r="N441" s="28" t="str">
        <x:v>надёжный общий маркер не заявлен; сочетание объясняется семействами и сенсорным балансом</x:v>
      </x:c>
      <x:c r="O441" s="28" t="str">
        <x:v>перекрытие ароматических семейств, вкусовой баланс</x:v>
      </x:c>
      <x:c r="P441" s="28" t="str">
        <x:v>Общая фруктовая сладость и летучие эфиры создают непрерывный ароматический профиль, а цитрусовая кислота повышает контраст и свежесть.</x:v>
      </x:c>
      <x:c r="Q441" s="28" t="str">
        <x:v>кислота усиливает слюноотделение; нет выраженного</x:v>
      </x:c>
      <x:c r="R441" s="28" t="str">
        <x:v>сок — водная кислая фаза; цедра — гидрофобное эфирное масло; сочная или кремовая фруктовая матрица</x:v>
      </x:c>
      <x:c r="S44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41" s="28" t="str">
        <x:v>Лимон формирует профиль «цитрусовый, свежий, цветочный, древесный»; характерные маркеры: цитраль (гераниаль + нераль), лимонен, гамма-терпинен, бета-пинен.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U441" s="28" t="str">
        <x:v>Избыток кислоты делает вкус плоско-резким; белая часть кожуры даёт лишнюю горечь.</x:v>
      </x:c>
      <x:c r="V441" s="28" t="str">
        <x:v>кокос или имбирь</x:v>
      </x:c>
      <x:c r="W441" s="28" t="str">
        <x:v>смузи, кордиал, сорбет, чатни или коктейль</x:v>
      </x:c>
      <x:c r="X441" s="28" t="str">
        <x:v>напитки, десерты</x:v>
      </x:c>
      <x:c r="Y441" s="28" t="str">
        <x:v>Гипотеза / практическая</x:v>
      </x:c>
      <x:c r="Z441" s="28" t="str">
        <x:v>Таблица сочетания(1).pdf</x:v>
      </x:c>
      <x:c r="AA441" s="28" t="str">
        <x:v>Таблица сочетания(1).pdf: 11, 13</x:v>
      </x:c>
      <x:c r="AB441" s="28" t="str">
        <x:v>Пара указана в таблице: «Лимон» → колонка «Фрукты».</x:v>
      </x:c>
      <x:c r="AC441" s="28" t="n">
        <x:v>1</x:v>
      </x:c>
      <x:c r="AD441" s="28" t="n">
        <x:v>2</x:v>
      </x:c>
    </x:row>
    <x:row r="442" ht="58" customHeight="1">
      <x:c r="A442" s="28" t="str">
        <x:v>CIT-0441</x:v>
      </x:c>
      <x:c r="B442" s="28" t="str">
        <x:v>Десерты и выпечка</x:v>
      </x:c>
      <x:c r="C442" s="28" t="str">
        <x:v>лимон</x:v>
      </x:c>
      <x:c r="D442" s="28" t="str">
        <x:v>lemon</x:v>
      </x:c>
      <x:c r="E442" s="28" t="str">
        <x:v>Цитрусовые</x:v>
      </x:c>
      <x:c r="F442" s="28" t="str">
        <x:v>манго Альфонсо</x:v>
      </x:c>
      <x:c r="G442" s="28" t="str">
        <x:v>Alphonso mango</x:v>
      </x:c>
      <x:c r="H442" s="28" t="str">
        <x:v>Тропические фрукты</x:v>
      </x:c>
      <x:c r="I442" s="28" t="str">
        <x:v>цитрусовый, свежий, цветочный, древесный</x:v>
      </x:c>
      <x:c r="J442" s="28" t="str">
        <x:v>фруктовый, тропический, цветочный, сливочный</x:v>
      </x:c>
      <x:c r="K442" s="28" t="str">
        <x:v>цитраль (гераниаль + нераль), лимонен, гамма-терпинен, бета-пинен</x:v>
      </x:c>
      <x:c r="L442" s="28" t="str">
        <x:v>этилбутират, гексилацетат, лактоны, сернистые тиолы (у части фруктов)</x:v>
      </x:c>
      <x:c r="M442" s="28" t="str">
        <x:v>цветочный</x:v>
      </x:c>
      <x:c r="N442" s="28" t="str">
        <x:v>надёжный общий маркер не заявлен; сочетание объясняется семействами и сенсорным балансом</x:v>
      </x:c>
      <x:c r="O442" s="28" t="str">
        <x:v>перекрытие ароматических семейств, вкусовой баланс</x:v>
      </x:c>
      <x:c r="P442" s="28" t="str">
        <x:v>Общая фруктовая сладость и летучие эфиры создают непрерывный ароматический профиль, а цитрусовая кислота повышает контраст и свежесть.</x:v>
      </x:c>
      <x:c r="Q442" s="28" t="str">
        <x:v>кислота усиливает слюноотделение; нет выраженного</x:v>
      </x:c>
      <x:c r="R442" s="28" t="str">
        <x:v>сок — водная кислая фаза; цедра — гидрофобное эфирное масло; сочная или кремовая фруктовая матрица</x:v>
      </x:c>
      <x:c r="S44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42" s="28" t="str">
        <x:v>Лимон формирует профиль «цитрусовый, свежий, цветочный, древесный»; характерные маркеры: цитраль (гераниаль + нераль), лимонен, гамма-терпинен, бета-пинен. Манго альфонсо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U442" s="28" t="str">
        <x:v>Избыток кислоты делает вкус плоско-резким; белая часть кожуры даёт лишнюю горечь.</x:v>
      </x:c>
      <x:c r="V442" s="28" t="str">
        <x:v>кокос или имбирь</x:v>
      </x:c>
      <x:c r="W442" s="28" t="str">
        <x:v>смузи, кордиал, сорбет, чатни или коктейль</x:v>
      </x:c>
      <x:c r="X442" s="28" t="str">
        <x:v>напитки, десерты</x:v>
      </x:c>
      <x:c r="Y442" s="28" t="str">
        <x:v>Средняя</x:v>
      </x:c>
      <x:c r="Z442" s="28" t="str">
        <x:v>The Art &amp; Science of Foodpairing.pdf</x:v>
      </x:c>
      <x:c r="AA442" s="28" t="str">
        <x:v>The Art &amp; Science of Foodpairing.pdf: 87</x:v>
      </x:c>
      <x:c r="AB442" s="28" t="str">
        <x:v>Пара представлена в ароматической диаграмме Foodpairing на странице 87.</x:v>
      </x:c>
      <x:c r="AC442" s="28" t="n">
        <x:v>1</x:v>
      </x:c>
      <x:c r="AD442" s="28" t="n">
        <x:v>1</x:v>
      </x:c>
    </x:row>
    <x:row r="443" ht="58" customHeight="1">
      <x:c r="A443" s="28" t="str">
        <x:v>CIT-0442</x:v>
      </x:c>
      <x:c r="B443" s="28" t="str">
        <x:v>Десерты и выпечка</x:v>
      </x:c>
      <x:c r="C443" s="28" t="str">
        <x:v>лимон</x:v>
      </x:c>
      <x:c r="D443" s="28" t="str">
        <x:v>Лимон | лимон</x:v>
      </x:c>
      <x:c r="E443" s="28" t="str">
        <x:v>Цитрусовые</x:v>
      </x:c>
      <x:c r="F443" s="28" t="str">
        <x:v>мёд</x:v>
      </x:c>
      <x:c r="G443" s="28" t="str">
        <x:v>Мёд | мёд</x:v>
      </x:c>
      <x:c r="H443" s="28" t="str">
        <x:v>Подсластители</x:v>
      </x:c>
      <x:c r="I443" s="28" t="str">
        <x:v>цитрусовый, свежий, цветочный, древесный</x:v>
      </x:c>
      <x:c r="J443" s="28" t="str">
        <x:v>медовый, цветочный, карамельный</x:v>
      </x:c>
      <x:c r="K443" s="28" t="str">
        <x:v>цитраль (гераниаль + нераль), лимонен, гамма-терпинен, бета-пинен</x:v>
      </x:c>
      <x:c r="L443" s="28" t="str">
        <x:v>фенилуксусные соединения, фураны, норизопреноиды</x:v>
      </x:c>
      <x:c r="M443" s="28" t="str">
        <x:v>цветочный</x:v>
      </x:c>
      <x:c r="N443" s="28" t="str">
        <x:v>надёжный общий маркер не заявлен; сочетание объясняется семействами и сенсорным балансом</x:v>
      </x:c>
      <x:c r="O443" s="28" t="str">
        <x:v>перекрытие ароматических семейств, вкусовой баланс</x:v>
      </x:c>
      <x:c r="P443" s="28" t="str">
        <x:v>Сладость подавляет воспринимаемую кислотность и горечь кожуры, а кислота не даёт сочетанию стать приторным.</x:v>
      </x:c>
      <x:c r="Q443" s="28" t="str">
        <x:v>кислота усиливает слюноотделение; нет выраженного</x:v>
      </x:c>
      <x:c r="R443" s="28" t="str">
        <x:v>сок — водная кислая фаза; цедра — гидрофобное эфирное масло; сахар повышает вязкость и снижает воспринимаемую кислотность</x:v>
      </x:c>
      <x:c r="S44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43" s="28" t="str">
        <x:v>Лимон формирует профиль «цитрусовый, свежий, цветочный, древесный»; характерные маркеры: цитраль (гераниаль + нераль), лимонен, гамма-терпинен, бета-пинен.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Сок определяется цитралем и кислотностью, цедра — лимоненом и терпенами. Сладость балансирует кислоту и горечь кожуры; цветочные компоненты могут поддерживать цитрус.</x:v>
      </x:c>
      <x:c r="U443" s="28" t="str">
        <x:v>Избыток кислоты делает вкус плоско-резким; белая часть кожуры даёт лишнюю горечь.</x:v>
      </x:c>
      <x:c r="V443" s="28" t="str">
        <x:v>имбирь или ваниль</x:v>
      </x:c>
      <x:c r="W443" s="28" t="str">
        <x:v>сироп, мармелад, крем, глазурь или лимонад</x:v>
      </x:c>
      <x:c r="X443" s="28" t="str">
        <x:v>напитки, десерты</x:v>
      </x:c>
      <x:c r="Y443" s="28" t="str">
        <x:v>Гипотеза / практическая</x:v>
      </x:c>
      <x:c r="Z443" s="28" t="str">
        <x:v>Таблица сочетания(1).pdf</x:v>
      </x:c>
      <x:c r="AA443" s="28" t="str">
        <x:v>Таблица сочетания(1).pdf: 9, 11</x:v>
      </x:c>
      <x:c r="AB443" s="28" t="str">
        <x:v>Пара указана в таблице: «Лимон» → колонка «Другое».</x:v>
      </x:c>
      <x:c r="AC443" s="28" t="n">
        <x:v>1</x:v>
      </x:c>
      <x:c r="AD443" s="28" t="n">
        <x:v>2</x:v>
      </x:c>
    </x:row>
    <x:row r="444" ht="58" customHeight="1">
      <x:c r="A444" s="28" t="str">
        <x:v>CIT-0443</x:v>
      </x:c>
      <x:c r="B444" s="28" t="str">
        <x:v>Десерты и выпечка</x:v>
      </x:c>
      <x:c r="C444" s="28" t="str">
        <x:v>лимон</x:v>
      </x:c>
      <x:c r="D444" s="28" t="str">
        <x:v>Лимон | лимон</x:v>
      </x:c>
      <x:c r="E444" s="28" t="str">
        <x:v>Цитрусовые</x:v>
      </x:c>
      <x:c r="F444" s="28" t="str">
        <x:v>миндаль</x:v>
      </x:c>
      <x:c r="G444" s="28" t="str">
        <x:v>Миндаль | миндаль</x:v>
      </x:c>
      <x:c r="H444" s="28" t="str">
        <x:v>Орехи и семена</x:v>
      </x:c>
      <x:c r="I444" s="28" t="str">
        <x:v>цитрусовый, свежий, цветочный, древесный</x:v>
      </x:c>
      <x:c r="J444" s="28" t="str">
        <x:v>ореховый, обжаренный, жирный, зелёный</x:v>
      </x:c>
      <x:c r="K444" s="28" t="str">
        <x:v>цитраль (гераниаль + нераль), лимонен, гамма-терпинен, бета-пинен</x:v>
      </x:c>
      <x:c r="L444" s="28" t="str">
        <x:v>пиразины, альдегиды окисления жиров, бензальдегид (миндаль)</x:v>
      </x:c>
      <x:c r="M444" s="28" t="str">
        <x:v>прямое семейное перекрытие не является главным механизмом</x:v>
      </x:c>
      <x:c r="N444" s="28" t="str">
        <x:v>надёжный общий маркер не заявлен; сочетание объясняется семействами и сенсорным балансом</x:v>
      </x:c>
      <x:c r="O444" s="28" t="str">
        <x:v>вкусовой баланс, влияние матрицы/растворимости</x:v>
      </x:c>
      <x:c r="P444" s="28" t="str">
        <x:v>Кислотность и лёгкая горечь цитруса снижают ощущение жирности; соль и умами, в свою очередь, делают фруктовую часть менее резкой.</x:v>
      </x:c>
      <x:c r="Q444" s="28" t="str">
        <x:v>кислота усиливает слюноотделение; нет выраженного</x:v>
      </x:c>
      <x:c r="R444" s="28" t="str">
        <x:v>сок — водная кислая фаза; цедра — гидрофобное эфирное масло; высокая жирность растворяет терпеновые масла цитруса</x:v>
      </x:c>
      <x:c r="S44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444" s="28" t="str">
        <x:v>Лимон формирует профиль «цитрусовый, свежий, цветочный, древесный»; характерные маркеры: цитраль (гераниаль + нераль), лимонен, гамма-терпинен, бета-пинен. Миндаль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U444" s="28" t="str">
        <x:v>Избыток кислоты делает вкус плоско-резким; белая часть кожуры даёт лишнюю горечь.</x:v>
      </x:c>
      <x:c r="V444" s="28" t="str">
        <x:v>мёд или шоколад</x:v>
      </x:c>
      <x:c r="W444" s="28" t="str">
        <x:v>пралине, крем, выпечка, салат или ореховый соус</x:v>
      </x:c>
      <x:c r="X444" s="28" t="str">
        <x:v>десерты</x:v>
      </x:c>
      <x:c r="Y444" s="28" t="str">
        <x:v>Высокая</x:v>
      </x:c>
      <x:c r="Z444" s="28" t="str">
        <x:v>Таблица сочетания(1).pdf | Тезариус вкусов (Ники Сегнит)(1).pdf</x:v>
      </x:c>
      <x:c r="AA444" s="28" t="str">
        <x:v>Таблица сочетания(1).pdf: 11 | Тезариус вкусов (Ники Сегнит)(1).pdf: 645, 805</x:v>
      </x:c>
      <x:c r="AB444" s="28" t="str">
        <x:v>Молотый миндаль смягчает резкость лимона в тортах и пирогах. В Кью, юго-западном районе Лондона, в кондитерской The Original Maids of Honour Shop выпекают маленькие высокие пирожные, которые называются «фрейлины». Рассказывают, что их появление восходит к временам Генриха VIII – по крайней мере, в романе Хилари Мантел (Hilary Mantel) «Волчий зал» (Wolf Hall) Томас Кромвель посылает корзины с такими пирожными фрейлинам Анны Болейн. Рецепт этой выпечки, конечно, хранится в секрете, но в общем она </x:v>
      </x:c>
      <x:c r="AC444" s="28" t="n">
        <x:v>2</x:v>
      </x:c>
      <x:c r="AD444" s="28" t="n">
        <x:v>3</x:v>
      </x:c>
    </x:row>
    <x:row r="445" ht="58" customHeight="1">
      <x:c r="A445" s="28" t="str">
        <x:v>CIT-0444</x:v>
      </x:c>
      <x:c r="B445" s="28" t="str">
        <x:v>Универсальные</x:v>
      </x:c>
      <x:c r="C445" s="28" t="str">
        <x:v>лимон</x:v>
      </x:c>
      <x:c r="D445" s="28" t="str">
        <x:v>Лимон | лимон</x:v>
      </x:c>
      <x:c r="E445" s="28" t="str">
        <x:v>Цитрусовые</x:v>
      </x:c>
      <x:c r="F445" s="28" t="str">
        <x:v>можжевельник</x:v>
      </x:c>
      <x:c r="G445" s="28" t="str">
        <x:v>Можжевельник | можжевельник</x:v>
      </x:c>
      <x:c r="H445" s="28" t="str">
        <x:v>Прочее</x:v>
      </x:c>
      <x:c r="I445" s="28" t="str">
        <x:v>цитрусовый, свежий, цветочный, древесный</x:v>
      </x:c>
      <x:c r="J445" s="28" t="str">
        <x:v>нейтральный/специфический</x:v>
      </x:c>
      <x:c r="K445" s="28" t="str">
        <x:v>цитраль (гераниаль + нераль), лимонен, гамма-терпинен, бета-пинен</x:v>
      </x:c>
      <x:c r="L445" s="28" t="str">
        <x:v>нужен профиль конкретного продукта</x:v>
      </x:c>
      <x:c r="M445" s="28" t="str">
        <x:v>прямое семейное перекрытие не является главным механизмом</x:v>
      </x:c>
      <x:c r="N445" s="28" t="str">
        <x:v>надёжный общий маркер не заявлен; сочетание объясняется семействами и сенсорным балансом</x:v>
      </x:c>
      <x:c r="O445" s="28" t="str">
        <x:v>вкусовой баланс, тройничное восприятие</x:v>
      </x:c>
      <x:c r="P445" s="28" t="str">
        <x:v>Основной эффект определяется ароматическим контрастом и добавлением кислотной свежести; точный баланс зависит от дозировки и матрицы.</x:v>
      </x:c>
      <x:c r="Q445" s="28" t="str">
        <x:v>кислота усиливает слюноотделение; нет данных</x:v>
      </x:c>
      <x:c r="R445" s="28" t="str">
        <x:v>сок — водная кислая фаза; цедра — гидрофобное эфирное масло; зависит от формы продукта</x:v>
      </x:c>
      <x:c r="S44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45" s="28" t="str">
        <x:v>Лимон формирует профиль «цитрусовый, свежий, цветочный, древесный»; характерные маркеры: цитраль (гераниаль + нераль), лимонен, гамма-терпинен, бета-пинен. Можжевельник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45" s="28" t="str">
        <x:v>Избыток кислоты делает вкус плоско-резким; белая часть кожуры даёт лишнюю горечь.</x:v>
      </x:c>
      <x:c r="V445" s="28" t="str">
        <x:v>мёд или нейтральная жировая основа</x:v>
      </x:c>
      <x:c r="W445" s="28" t="str">
        <x:v>соус, напиток или десерт после пробной дегустации</x:v>
      </x:c>
      <x:c r="X445" s="28" t="str">
        <x:v>универсальное</x:v>
      </x:c>
      <x:c r="Y445" s="28" t="str">
        <x:v>Высокая</x:v>
      </x:c>
      <x:c r="Z445" s="28" t="str">
        <x:v>Тезариус вкусов (Ники Сегнит)(1).pdf</x:v>
      </x:c>
      <x:c r="AA445" s="28" t="str">
        <x:v>Тезариус вкусов (Ники Сегнит)(1).pdf: 805, 851</x:v>
      </x:c>
      <x:c r="AB445" s="28" t="str">
        <x:v>Можжевельник господ- ствует над другими вкусами, составляющими характерную палитру джина, – в том числе над вкусами кориандра, дягиля, аниса, семян фенхеля, кардамона и апельсина. В результате одним из наиболее заметных вторичных вкусов джина остается вкус лимона – в первую очередь потому, что сам можжевельник имеет во вкусе цитрусово-лимонные ноты. Именно поэтому, в свою очередь, и настоящий лимон является классическим партнером для джина. При этом не так важно, плавает ли долька лимона в джине</x:v>
      </x:c>
      <x:c r="AC445" s="28" t="n">
        <x:v>1</x:v>
      </x:c>
      <x:c r="AD445" s="28" t="n">
        <x:v>2</x:v>
      </x:c>
    </x:row>
    <x:row r="446" ht="58" customHeight="1">
      <x:c r="A446" s="28" t="str">
        <x:v>CIT-0445</x:v>
      </x:c>
      <x:c r="B446" s="28" t="str">
        <x:v>Универсальные</x:v>
      </x:c>
      <x:c r="C446" s="28" t="str">
        <x:v>лимон</x:v>
      </x:c>
      <x:c r="D446" s="28" t="str">
        <x:v>Лимон | лимон</x:v>
      </x:c>
      <x:c r="E446" s="28" t="str">
        <x:v>Цитрусовые</x:v>
      </x:c>
      <x:c r="F446" s="28" t="str">
        <x:v>моллюски</x:v>
      </x:c>
      <x:c r="G446" s="28" t="str">
        <x:v>Моллюски | моллюски</x:v>
      </x:c>
      <x:c r="H446" s="28" t="str">
        <x:v>Прочее</x:v>
      </x:c>
      <x:c r="I446" s="28" t="str">
        <x:v>цитрусовый, свежий, цветочный, древесный</x:v>
      </x:c>
      <x:c r="J446" s="28" t="str">
        <x:v>нейтральный/специфический</x:v>
      </x:c>
      <x:c r="K446" s="28" t="str">
        <x:v>цитраль (гераниаль + нераль), лимонен, гамма-терпинен, бета-пинен</x:v>
      </x:c>
      <x:c r="L446" s="28" t="str">
        <x:v>нужен профиль конкретного продукта</x:v>
      </x:c>
      <x:c r="M446" s="28" t="str">
        <x:v>прямое семейное перекрытие не является главным механизмом</x:v>
      </x:c>
      <x:c r="N446" s="28" t="str">
        <x:v>надёжный общий маркер не заявлен; сочетание объясняется семействами и сенсорным балансом</x:v>
      </x:c>
      <x:c r="O446" s="28" t="str">
        <x:v>вкусовой баланс, тройничное восприятие</x:v>
      </x:c>
      <x:c r="P446" s="28" t="str">
        <x:v>Основной эффект определяется ароматическим контрастом и добавлением кислотной свежести; точный баланс зависит от дозировки и матрицы.</x:v>
      </x:c>
      <x:c r="Q446" s="28" t="str">
        <x:v>кислота усиливает слюноотделение; нет данных</x:v>
      </x:c>
      <x:c r="R446" s="28" t="str">
        <x:v>сок — водная кислая фаза; цедра — гидрофобное эфирное масло; зависит от формы продукта</x:v>
      </x:c>
      <x:c r="S44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46" s="28" t="str">
        <x:v>Лимон формирует профиль «цитрусовый, свежий, цветочный, древесный»; характерные маркеры: цитраль (гераниаль + нераль), лимонен, гамма-терпинен, бета-пинен. Моллюски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46" s="28" t="str">
        <x:v>Избыток кислоты делает вкус плоско-резким; белая часть кожуры даёт лишнюю горечь.</x:v>
      </x:c>
      <x:c r="V446" s="28" t="str">
        <x:v>мёд или нейтральная жировая основа</x:v>
      </x:c>
      <x:c r="W446" s="28" t="str">
        <x:v>соус, напиток или десерт после пробной дегустации</x:v>
      </x:c>
      <x:c r="X446" s="28" t="str">
        <x:v>универсальное</x:v>
      </x:c>
      <x:c r="Y446" s="28" t="str">
        <x:v>Высокая</x:v>
      </x:c>
      <x:c r="Z446" s="28" t="str">
        <x:v>Тезариус вкусов (Ники Сегнит)(1).pdf</x:v>
      </x:c>
      <x:c r="AA446" s="28" t="str">
        <x:v>Тезариус вкусов (Ники Сегнит)(1).pdf: 372, 805</x:v>
      </x:c>
      <x:c r="AB446" s="28" t="str">
        <x:v>Вылов даров моря на побере- жье бухты Кэджвит в Корнуолле – один из последних промыслов такого рода в Англии; здесь пока еще можно увидеть, как вечером у берега собираются лодки с уловом. А во времена моего детства это был большой летний праздник: сначала мы ели сэндвичи с мясом краба в сарае для сушки сардин, который стоял на самом берегу, а потом я помогала отцу выбирать лучших живых моллюсков из бочки, в которой их держали рыбаки. Коричневый краб, пойманный на побережье Корнуолла, имеет сильн</x:v>
      </x:c>
      <x:c r="AC446" s="28" t="n">
        <x:v>1</x:v>
      </x:c>
      <x:c r="AD446" s="28" t="n">
        <x:v>2</x:v>
      </x:c>
    </x:row>
    <x:row r="447" ht="58" customHeight="1">
      <x:c r="A447" s="28" t="str">
        <x:v>CIT-0446</x:v>
      </x:c>
      <x:c r="B447" s="28" t="str">
        <x:v>Десерты и выпечка</x:v>
      </x:c>
      <x:c r="C447" s="28" t="str">
        <x:v>лимон</x:v>
      </x:c>
      <x:c r="D447" s="28" t="str">
        <x:v>лимон</x:v>
      </x:c>
      <x:c r="E447" s="28" t="str">
        <x:v>Цитрусовые</x:v>
      </x:c>
      <x:c r="F447" s="28" t="str">
        <x:v>мускатный орех</x:v>
      </x:c>
      <x:c r="G447" s="28" t="str">
        <x:v>Мускатный орех</x:v>
      </x:c>
      <x:c r="H447" s="28" t="str">
        <x:v>Орехи и семена</x:v>
      </x:c>
      <x:c r="I447" s="28" t="str">
        <x:v>цитрусовый, свежий, цветочный, древесный</x:v>
      </x:c>
      <x:c r="J447" s="28" t="str">
        <x:v>ореховый, обжаренный, жирный, зелёный</x:v>
      </x:c>
      <x:c r="K447" s="28" t="str">
        <x:v>цитраль (гераниаль + нераль), лимонен, гамма-терпинен, бета-пинен</x:v>
      </x:c>
      <x:c r="L447" s="28" t="str">
        <x:v>пиразины, альдегиды окисления жиров, бензальдегид (миндаль)</x:v>
      </x:c>
      <x:c r="M447" s="28" t="str">
        <x:v>прямое семейное перекрытие не является главным механизмом</x:v>
      </x:c>
      <x:c r="N447" s="28" t="str">
        <x:v>надёжный общий маркер не заявлен; сочетание объясняется семействами и сенсорным балансом</x:v>
      </x:c>
      <x:c r="O447" s="28" t="str">
        <x:v>вкусовой баланс, влияние матрицы/растворимости</x:v>
      </x:c>
      <x:c r="P447" s="28" t="str">
        <x:v>Кислотность и лёгкая горечь цитруса снижают ощущение жирности; соль и умами, в свою очередь, делают фруктовую часть менее резкой.</x:v>
      </x:c>
      <x:c r="Q447" s="28" t="str">
        <x:v>кислота усиливает слюноотделение; нет выраженного</x:v>
      </x:c>
      <x:c r="R447" s="28" t="str">
        <x:v>сок — водная кислая фаза; цедра — гидрофобное эфирное масло; высокая жирность растворяет терпеновые масла цитруса</x:v>
      </x:c>
      <x:c r="S44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447" s="28" t="str">
        <x:v>Лимон формирует профиль «цитрусовый, свежий, цветочный, древесный»; характерные маркеры: цитраль (гераниаль + нераль), лимонен, гамма-терпинен, бета-пинен. Мускатный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U447" s="28" t="str">
        <x:v>Избыток кислоты делает вкус плоско-резким; белая часть кожуры даёт лишнюю горечь.</x:v>
      </x:c>
      <x:c r="V447" s="28" t="str">
        <x:v>мёд или шоколад</x:v>
      </x:c>
      <x:c r="W447" s="28" t="str">
        <x:v>пралине, крем, выпечка, салат или ореховый соус</x:v>
      </x:c>
      <x:c r="X447" s="28" t="str">
        <x:v>десерты</x:v>
      </x:c>
      <x:c r="Y447" s="28" t="str">
        <x:v>Гипотеза / практическая</x:v>
      </x:c>
      <x:c r="Z447" s="28" t="str">
        <x:v>Таблица сочетания(1).pdf</x:v>
      </x:c>
      <x:c r="AA447" s="28" t="str">
        <x:v>Таблица сочетания(1).pdf: 14</x:v>
      </x:c>
      <x:c r="AB447" s="28" t="str">
        <x:v>Пара указана в таблице: «Мускатный орех» → колонка «Фрукты».</x:v>
      </x:c>
      <x:c r="AC447" s="28" t="n">
        <x:v>1</x:v>
      </x:c>
      <x:c r="AD447" s="28" t="n">
        <x:v>1</x:v>
      </x:c>
    </x:row>
    <x:row r="448" ht="58" customHeight="1">
      <x:c r="A448" s="28" t="str">
        <x:v>CIT-0447</x:v>
      </x:c>
      <x:c r="B448" s="28" t="str">
        <x:v>Универсальные</x:v>
      </x:c>
      <x:c r="C448" s="28" t="str">
        <x:v>лимон</x:v>
      </x:c>
      <x:c r="D448" s="28" t="str">
        <x:v>Лимон | лимон</x:v>
      </x:c>
      <x:c r="E448" s="28" t="str">
        <x:v>Цитрусовые</x:v>
      </x:c>
      <x:c r="F448" s="28" t="str">
        <x:v>мята</x:v>
      </x:c>
      <x:c r="G448" s="28" t="str">
        <x:v>Мята | мята</x:v>
      </x:c>
      <x:c r="H448" s="28" t="str">
        <x:v>Травы</x:v>
      </x:c>
      <x:c r="I448" s="28" t="str">
        <x:v>цитрусовый, свежий, цветочный, древесный</x:v>
      </x:c>
      <x:c r="J448" s="28" t="str">
        <x:v>мятный, зелёный, свежий</x:v>
      </x:c>
      <x:c r="K448" s="28" t="str">
        <x:v>цитраль (гераниаль + нераль), лимонен, гамма-терпинен, бета-пинен</x:v>
      </x:c>
      <x:c r="L448" s="28" t="str">
        <x:v>ментол, ментон, 1,8-цинеол</x:v>
      </x:c>
      <x:c r="M448" s="28" t="str">
        <x:v>свежий</x:v>
      </x:c>
      <x:c r="N448" s="28" t="str">
        <x:v>надёжный общий маркер не заявлен; сочетание объясняется семействами и сенсорным балансом</x:v>
      </x:c>
      <x:c r="O448" s="28" t="str">
        <x:v>перекрытие ароматических семейств, вкусовой баланс, тройничное восприятие</x:v>
      </x:c>
      <x:c r="P448" s="28" t="str">
        <x:v>Кислота усиливает слюноотделение и делает пряный аромат ярче; терпены цитруса образуют мост с эфирными маслами травы или специи.</x:v>
      </x:c>
      <x:c r="Q448" s="28" t="str">
        <x:v>кислота усиливает слюноотделение; ментол активирует TRPM8 и создаёт охлаждение</x:v>
      </x:c>
      <x:c r="R448" s="28" t="str">
        <x:v>сок — водная кислая фаза; цедра — гидрофобное эфирное масло; эфирные масла извлекаются спиртом; длительный нагрев снижает свежесть</x:v>
      </x:c>
      <x:c r="S44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48" s="28" t="str">
        <x:v>Лимон формирует профиль «цитрусовый, свежий, цветочный, древесный»; характерные маркеры: цитраль (гераниаль + нераль), лимонен, гамма-терпинен, бета-пинен.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Мята усиливает воспринимаемую прохладу и кислотную свежесть.</x:v>
      </x:c>
      <x:c r="U448" s="28" t="str">
        <x:v>Избыток кислоты делает вкус плоско-резким; белая часть кожуры даёт лишнюю горечь; цитрус легко подавляет деликатный аромат партнёра.</x:v>
      </x:c>
      <x:c r="V448" s="28" t="str">
        <x:v>оливковое масло или огурец</x:v>
      </x:c>
      <x:c r="W448" s="28" t="str">
        <x:v>лимонад, кордиал, салатная заправка или зелёный соус</x:v>
      </x:c>
      <x:c r="X448" s="28" t="str">
        <x:v>напитки, еда, соусы/маринады</x:v>
      </x:c>
      <x:c r="Y448" s="28" t="str">
        <x:v>Высокая</x:v>
      </x:c>
      <x:c r="Z448" s="28" t="str">
        <x:v>Таблица сочетания(1).pdf | Тезариус вкусов (Ники Сегнит)(1).pdf</x:v>
      </x:c>
      <x:c r="AA448" s="28" t="str">
        <x:v>Таблица сочетания(1).pdf: 11, 13 | Тезариус вкусов (Ники Сегнит)(1).pdf: 806, 868</x:v>
      </x:c>
      <x:c r="AB448" s="28" t="str">
        <x:v>Мята садовая не столь холодна и «ментолова», как мята перечная, и кажется теплее и слаще последней – особенно на фоне контрастных горьких и кислых вкусов. Попробуйте приготовить из нее домашний лимонад. Снимите длинные полосы цедры минимум с двух- четырех лимонов, стараясь, насколько возможно, не затрагивать белую «подкладку». Положите в кастрюлю 200 г сахара, влейте 200 мл воды, доведите до кипения, размешивайте, пока сахар не растает. Снимите сироп с огня. Немного отбейте лимонную цедру, чтобы</x:v>
      </x:c>
      <x:c r="AC448" s="28" t="n">
        <x:v>2</x:v>
      </x:c>
      <x:c r="AD448" s="28" t="n">
        <x:v>4</x:v>
      </x:c>
    </x:row>
    <x:row r="449" ht="58" customHeight="1">
      <x:c r="A449" s="28" t="str">
        <x:v>CIT-0448</x:v>
      </x:c>
      <x:c r="B449" s="28" t="str">
        <x:v>Десерты и выпечка</x:v>
      </x:c>
      <x:c r="C449" s="28" t="str">
        <x:v>лимон</x:v>
      </x:c>
      <x:c r="D449" s="28" t="str">
        <x:v>лимон</x:v>
      </x:c>
      <x:c r="E449" s="28" t="str">
        <x:v>Цитрусовые</x:v>
      </x:c>
      <x:c r="F449" s="28" t="str">
        <x:v>нектарин</x:v>
      </x:c>
      <x:c r="G449" s="28" t="str">
        <x:v>Нектарин</x:v>
      </x:c>
      <x:c r="H449" s="28" t="str">
        <x:v>Косточковые фрукты</x:v>
      </x:c>
      <x:c r="I449" s="28" t="str">
        <x:v>цитрусовый, свежий, цветочный, древесный</x:v>
      </x:c>
      <x:c r="J449" s="28" t="str">
        <x:v>фруктовый, цветочный, сливочный, миндальный</x:v>
      </x:c>
      <x:c r="K449" s="28" t="str">
        <x:v>цитраль (гераниаль + нераль), лимонен, гамма-терпинен, бета-пинен</x:v>
      </x:c>
      <x:c r="L449" s="28" t="str">
        <x:v>гамма- и дельта-лактоны, бензальдегид, дамасценон</x:v>
      </x:c>
      <x:c r="M449" s="28" t="str">
        <x:v>цветочный</x:v>
      </x:c>
      <x:c r="N449" s="28" t="str">
        <x:v>надёжный общий маркер не заявлен; сочетание объясняется семействами и сенсорным балансом</x:v>
      </x:c>
      <x:c r="O449" s="28" t="str">
        <x:v>перекрытие ароматических семейств, вкусовой баланс</x:v>
      </x:c>
      <x:c r="P449" s="28" t="str">
        <x:v>Общая фруктовая сладость и летучие эфиры создают непрерывный ароматический профиль, а цитрусовая кислота повышает контраст и свежесть.</x:v>
      </x:c>
      <x:c r="Q449" s="28" t="str">
        <x:v>кислота усиливает слюноотделение; нет выраженного</x:v>
      </x:c>
      <x:c r="R449" s="28" t="str">
        <x:v>сок — водная кислая фаза; цедра — гидрофобное эфирное масло; сочная матрица; лактоны лучше ощущаются в жирной/сливочной среде</x:v>
      </x:c>
      <x:c r="S44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49" s="28" t="str">
        <x:v>Лимон формирует профиль «цитрусовый, свежий, цветочный, древесный»; характерные маркеры: цитраль (гераниаль + нераль), лимонен, гамма-терпинен, бета-пинен. Нектарин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U449" s="28" t="str">
        <x:v>Избыток кислоты делает вкус плоско-резким; белая часть кожуры даёт лишнюю горечь.</x:v>
      </x:c>
      <x:c r="V449" s="28" t="str">
        <x:v>миндаль или ваниль</x:v>
      </x:c>
      <x:c r="W449" s="28" t="str">
        <x:v>тарт, сорбет, джем или фруктовый соус</x:v>
      </x:c>
      <x:c r="X449" s="28" t="str">
        <x:v>десерты</x:v>
      </x:c>
      <x:c r="Y449" s="28" t="str">
        <x:v>Гипотеза / практическая</x:v>
      </x:c>
      <x:c r="Z449" s="28" t="str">
        <x:v>Таблица сочетания(1).pdf</x:v>
      </x:c>
      <x:c r="AA449" s="28" t="str">
        <x:v>Таблица сочетания(1).pdf: 14</x:v>
      </x:c>
      <x:c r="AB449" s="28" t="str">
        <x:v>Пара указана в таблице: «Нектарин» → колонка «Фрукты».</x:v>
      </x:c>
      <x:c r="AC449" s="28" t="n">
        <x:v>1</x:v>
      </x:c>
      <x:c r="AD449" s="28" t="n">
        <x:v>1</x:v>
      </x:c>
    </x:row>
    <x:row r="450" ht="58" customHeight="1">
      <x:c r="A450" s="28" t="str">
        <x:v>CIT-0449</x:v>
      </x:c>
      <x:c r="B450" s="28" t="str">
        <x:v>Напитки</x:v>
      </x:c>
      <x:c r="C450" s="28" t="str">
        <x:v>лимон</x:v>
      </x:c>
      <x:c r="D450" s="28" t="str">
        <x:v>lemon</x:v>
      </x:c>
      <x:c r="E450" s="28" t="str">
        <x:v>Цитрусовые</x:v>
      </x:c>
      <x:c r="F450" s="28" t="str">
        <x:v>нефильтрованная водка Belvedere</x:v>
      </x:c>
      <x:c r="G450" s="28" t="str">
        <x:v>Belvedere unfiltered vodka</x:v>
      </x:c>
      <x:c r="H450" s="28" t="str">
        <x:v>Алкогольные напитки</x:v>
      </x:c>
      <x:c r="I450" s="28" t="str">
        <x:v>цитрусовый, свежий, цветочный, древесный</x:v>
      </x:c>
      <x:c r="J450" s="28" t="str">
        <x:v>зависит от основы, эфирный, древесный/пряный</x:v>
      </x:c>
      <x:c r="K450" s="28" t="str">
        <x:v>цитраль (гераниаль + нераль), лимонен, гамма-терпинен, бета-пинен</x:v>
      </x:c>
      <x:c r="L450" s="28" t="str">
        <x:v>этанол, эфиры, терпены/дубовые соединения</x:v>
      </x:c>
      <x:c r="M450" s="28" t="str">
        <x:v>прямое семейное перекрытие не является главным механизмом</x:v>
      </x:c>
      <x:c r="N450" s="28" t="str">
        <x:v>надёжный общий маркер не заявлен; сочетание объясняется семействами и сенсорным балансом</x:v>
      </x:c>
      <x:c r="O450" s="28" t="str">
        <x:v>вкусовой баланс, тройничное восприятие, влияние матрицы/растворимости</x:v>
      </x:c>
      <x:c r="P450" s="28" t="str">
        <x:v>Этанол усиливает летучесть терпенов и ощущение тепла; сахар и вода регулируют кислотность, горечь кожуры и спиртуозность.</x:v>
      </x:c>
      <x:c r="Q450" s="28" t="str">
        <x:v>кислота усиливает слюноотделение; этанол усиливает тепло и летучесть аромата</x:v>
      </x:c>
      <x:c r="R450" s="28" t="str">
        <x:v>сок — водная кислая фаза; цедра — гидрофобное эфирное масло; этанол — хороший растворитель гидрофобных эфирных масел</x:v>
      </x:c>
      <x:c r="S450"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450" s="28" t="str">
        <x:v>Лимон формирует профиль «цитрусовый, свежий, цветочный, древесный»; характерные маркеры: цитраль (гераниаль + нераль), лимонен, гамма-терпинен, бета-пинен. Нефильтрованная водка belvedere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U450" s="28" t="str">
        <x:v>Избыток кислоты делает вкус плоско-резким; белая часть кожуры даёт лишнюю горечь.</x:v>
      </x:c>
      <x:c r="V450" s="28" t="str">
        <x:v>сахарный сироп или биттер</x:v>
      </x:c>
      <x:c r="W450" s="28" t="str">
        <x:v>коктейль, спритц, настойка, ликёр или кордиал</x:v>
      </x:c>
      <x:c r="X450" s="28" t="str">
        <x:v>напитки</x:v>
      </x:c>
      <x:c r="Y450" s="28" t="str">
        <x:v>Средняя</x:v>
      </x:c>
      <x:c r="Z450" s="28" t="str">
        <x:v>The Art &amp; Science of Foodpairing.pdf</x:v>
      </x:c>
      <x:c r="AA450" s="28" t="str">
        <x:v>The Art &amp; Science of Foodpairing.pdf: 282</x:v>
      </x:c>
      <x:c r="AB450" s="28" t="str">
        <x:v>Пара представлена в ароматической диаграмме Foodpairing на странице 282.</x:v>
      </x:c>
      <x:c r="AC450" s="28" t="n">
        <x:v>1</x:v>
      </x:c>
      <x:c r="AD450" s="28" t="n">
        <x:v>1</x:v>
      </x:c>
    </x:row>
    <x:row r="451" ht="58" customHeight="1">
      <x:c r="A451" s="28" t="str">
        <x:v>CIT-0450</x:v>
      </x:c>
      <x:c r="B451" s="28" t="str">
        <x:v>Универсальные</x:v>
      </x:c>
      <x:c r="C451" s="28" t="str">
        <x:v>лимон</x:v>
      </x:c>
      <x:c r="D451" s="28" t="str">
        <x:v>лимон</x:v>
      </x:c>
      <x:c r="E451" s="28" t="str">
        <x:v>Цитрусовые</x:v>
      </x:c>
      <x:c r="F451" s="28" t="str">
        <x:v>олива</x:v>
      </x:c>
      <x:c r="G451" s="28" t="str">
        <x:v>Олива</x:v>
      </x:c>
      <x:c r="H451" s="28" t="str">
        <x:v>Прочее</x:v>
      </x:c>
      <x:c r="I451" s="28" t="str">
        <x:v>цитрусовый, свежий, цветочный, древесный</x:v>
      </x:c>
      <x:c r="J451" s="28" t="str">
        <x:v>нейтральный/специфический</x:v>
      </x:c>
      <x:c r="K451" s="28" t="str">
        <x:v>цитраль (гераниаль + нераль), лимонен, гамма-терпинен, бета-пинен</x:v>
      </x:c>
      <x:c r="L451" s="28" t="str">
        <x:v>нужен профиль конкретного продукта</x:v>
      </x:c>
      <x:c r="M451" s="28" t="str">
        <x:v>прямое семейное перекрытие не является главным механизмом</x:v>
      </x:c>
      <x:c r="N451" s="28" t="str">
        <x:v>надёжный общий маркер не заявлен; сочетание объясняется семействами и сенсорным балансом</x:v>
      </x:c>
      <x:c r="O451" s="28" t="str">
        <x:v>вкусовой баланс, тройничное восприятие</x:v>
      </x:c>
      <x:c r="P451" s="28" t="str">
        <x:v>Основной эффект определяется ароматическим контрастом и добавлением кислотной свежести; точный баланс зависит от дозировки и матрицы.</x:v>
      </x:c>
      <x:c r="Q451" s="28" t="str">
        <x:v>кислота усиливает слюноотделение; нет данных</x:v>
      </x:c>
      <x:c r="R451" s="28" t="str">
        <x:v>сок — водная кислая фаза; цедра — гидрофобное эфирное масло; зависит от формы продукта</x:v>
      </x:c>
      <x:c r="S45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51" s="28" t="str">
        <x:v>Лимон формирует профиль «цитрусовый, свежий, цветочный, древесный»; характерные маркеры: цитраль (гераниаль + нераль), лимонен, гамма-терпинен, бета-пинен. Олива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51" s="28" t="str">
        <x:v>Избыток кислоты делает вкус плоско-резким; белая часть кожуры даёт лишнюю горечь.</x:v>
      </x:c>
      <x:c r="V451" s="28" t="str">
        <x:v>мёд или нейтральная жировая основа</x:v>
      </x:c>
      <x:c r="W451" s="28" t="str">
        <x:v>соус, напиток или десерт после пробной дегустации</x:v>
      </x:c>
      <x:c r="X451" s="28" t="str">
        <x:v>универсальное</x:v>
      </x:c>
      <x:c r="Y451" s="28" t="str">
        <x:v>Гипотеза / практическая</x:v>
      </x:c>
      <x:c r="Z451" s="28" t="str">
        <x:v>Таблица сочетания(1).pdf</x:v>
      </x:c>
      <x:c r="AA451" s="28" t="str">
        <x:v>Таблица сочетания(1).pdf: 14</x:v>
      </x:c>
      <x:c r="AB451" s="28" t="str">
        <x:v>Пара указана в таблице: «Олива» → колонка «Фрукты».</x:v>
      </x:c>
      <x:c r="AC451" s="28" t="n">
        <x:v>1</x:v>
      </x:c>
      <x:c r="AD451" s="28" t="n">
        <x:v>1</x:v>
      </x:c>
    </x:row>
    <x:row r="452" ht="58" customHeight="1">
      <x:c r="A452" s="28" t="str">
        <x:v>CIT-0451</x:v>
      </x:c>
      <x:c r="B452" s="28" t="str">
        <x:v>Универсальные</x:v>
      </x:c>
      <x:c r="C452" s="28" t="str">
        <x:v>лимон</x:v>
      </x:c>
      <x:c r="D452" s="28" t="str">
        <x:v>Лимон | лимон</x:v>
      </x:c>
      <x:c r="E452" s="28" t="str">
        <x:v>Цитрусовые</x:v>
      </x:c>
      <x:c r="F452" s="28" t="str">
        <x:v>оливки</x:v>
      </x:c>
      <x:c r="G452" s="28" t="str">
        <x:v>Оливки | оливки</x:v>
      </x:c>
      <x:c r="H452" s="28" t="str">
        <x:v>Прочее</x:v>
      </x:c>
      <x:c r="I452" s="28" t="str">
        <x:v>цитрусовый, свежий, цветочный, древесный</x:v>
      </x:c>
      <x:c r="J452" s="28" t="str">
        <x:v>нейтральный/специфический</x:v>
      </x:c>
      <x:c r="K452" s="28" t="str">
        <x:v>цитраль (гераниаль + нераль), лимонен, гамма-терпинен, бета-пинен</x:v>
      </x:c>
      <x:c r="L452" s="28" t="str">
        <x:v>нужен профиль конкретного продукта</x:v>
      </x:c>
      <x:c r="M452" s="28" t="str">
        <x:v>прямое семейное перекрытие не является главным механизмом</x:v>
      </x:c>
      <x:c r="N452" s="28" t="str">
        <x:v>надёжный общий маркер не заявлен; сочетание объясняется семействами и сенсорным балансом</x:v>
      </x:c>
      <x:c r="O452" s="28" t="str">
        <x:v>вкусовой баланс, тройничное восприятие</x:v>
      </x:c>
      <x:c r="P452" s="28" t="str">
        <x:v>Основной эффект определяется ароматическим контрастом и добавлением кислотной свежести; точный баланс зависит от дозировки и матрицы.</x:v>
      </x:c>
      <x:c r="Q452" s="28" t="str">
        <x:v>кислота усиливает слюноотделение; нет данных</x:v>
      </x:c>
      <x:c r="R452" s="28" t="str">
        <x:v>сок — водная кислая фаза; цедра — гидрофобное эфирное масло; зависит от формы продукта</x:v>
      </x:c>
      <x:c r="S45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52" s="28" t="str">
        <x:v>Лимон формирует профиль «цитрусовый, свежий, цветочный, древесный»; характерные маркеры: цитраль (гераниаль + нераль), лимонен, гамма-терпинен, бета-пинен. Оливки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52" s="28" t="str">
        <x:v>Избыток кислоты делает вкус плоско-резким; белая часть кожуры даёт лишнюю горечь.</x:v>
      </x:c>
      <x:c r="V452" s="28" t="str">
        <x:v>мёд или нейтральная жировая основа</x:v>
      </x:c>
      <x:c r="W452" s="28" t="str">
        <x:v>соус, напиток или десерт после пробной дегустации</x:v>
      </x:c>
      <x:c r="X452" s="28" t="str">
        <x:v>универсальное</x:v>
      </x:c>
      <x:c r="Y452" s="28" t="str">
        <x:v>Высокая</x:v>
      </x:c>
      <x:c r="Z452" s="28" t="str">
        <x:v>Тезариус вкусов (Ники Сегнит)(1).pdf</x:v>
      </x:c>
      <x:c r="AA452" s="28" t="str">
        <x:v>Тезариус вкусов (Ники Сегнит)(1).pdf: 467, 806</x:v>
      </x:c>
      <x:c r="AB452" s="28" t="str">
        <x:v>В Марокко толстые шелковистые ломтики консервированного лимона и оливки «армейского» цвета хаки объединяют для того, чтобы с их помощью поднять интерес к вкусу цыпленка. Одновременно горький, острый и резкий, вкус этой смеси обеспечивает желаемый контрапункт к сладости таджинов или фруктовости блюд из кускуса. Лимон с оливками также можно «встроить» в сальсу, которая подается к пирогу с козьим сыром, или в салат, сопровождающий жирную рыбу.</x:v>
      </x:c>
      <x:c r="AC452" s="28" t="n">
        <x:v>1</x:v>
      </x:c>
      <x:c r="AD452" s="28" t="n">
        <x:v>2</x:v>
      </x:c>
    </x:row>
    <x:row r="453" ht="58" customHeight="1">
      <x:c r="A453" s="28" t="str">
        <x:v>CIT-0452</x:v>
      </x:c>
      <x:c r="B453" s="28" t="str">
        <x:v>Десерты и выпечка</x:v>
      </x:c>
      <x:c r="C453" s="28" t="str">
        <x:v>лимон</x:v>
      </x:c>
      <x:c r="D453" s="28" t="str">
        <x:v>лимон</x:v>
      </x:c>
      <x:c r="E453" s="28" t="str">
        <x:v>Цитрусовые</x:v>
      </x:c>
      <x:c r="F453" s="28" t="str">
        <x:v>папайя</x:v>
      </x:c>
      <x:c r="G453" s="28" t="str">
        <x:v>Папайя</x:v>
      </x:c>
      <x:c r="H453" s="28" t="str">
        <x:v>Тропические фрукты</x:v>
      </x:c>
      <x:c r="I453" s="28" t="str">
        <x:v>цитрусовый, свежий, цветочный, древесный</x:v>
      </x:c>
      <x:c r="J453" s="28" t="str">
        <x:v>фруктовый, тропический, цветочный, сливочный</x:v>
      </x:c>
      <x:c r="K453" s="28" t="str">
        <x:v>цитраль (гераниаль + нераль), лимонен, гамма-терпинен, бета-пинен</x:v>
      </x:c>
      <x:c r="L453" s="28" t="str">
        <x:v>этилбутират, гексилацетат, лактоны, сернистые тиолы (у части фруктов)</x:v>
      </x:c>
      <x:c r="M453" s="28" t="str">
        <x:v>цветочный</x:v>
      </x:c>
      <x:c r="N453" s="28" t="str">
        <x:v>надёжный общий маркер не заявлен; сочетание объясняется семействами и сенсорным балансом</x:v>
      </x:c>
      <x:c r="O453" s="28" t="str">
        <x:v>перекрытие ароматических семейств, вкусовой баланс</x:v>
      </x:c>
      <x:c r="P453" s="28" t="str">
        <x:v>Общая фруктовая сладость и летучие эфиры создают непрерывный ароматический профиль, а цитрусовая кислота повышает контраст и свежесть.</x:v>
      </x:c>
      <x:c r="Q453" s="28" t="str">
        <x:v>кислота усиливает слюноотделение; нет выраженного</x:v>
      </x:c>
      <x:c r="R453" s="28" t="str">
        <x:v>сок — водная кислая фаза; цедра — гидрофобное эфирное масло; сочная или кремовая фруктовая матрица</x:v>
      </x:c>
      <x:c r="S45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53" s="28" t="str">
        <x:v>Лимон формирует профиль «цитрусовый, свежий, цветочный, древесный»; характерные маркеры: цитраль (гераниаль + нераль), лимонен, гамма-терпинен, бета-пинен. Папайя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U453" s="28" t="str">
        <x:v>Избыток кислоты делает вкус плоско-резким; белая часть кожуры даёт лишнюю горечь.</x:v>
      </x:c>
      <x:c r="V453" s="28" t="str">
        <x:v>кокос или имбирь</x:v>
      </x:c>
      <x:c r="W453" s="28" t="str">
        <x:v>смузи, кордиал, сорбет, чатни или коктейль</x:v>
      </x:c>
      <x:c r="X453" s="28" t="str">
        <x:v>напитки, десерты</x:v>
      </x:c>
      <x:c r="Y453" s="28" t="str">
        <x:v>Гипотеза / практическая</x:v>
      </x:c>
      <x:c r="Z453" s="28" t="str">
        <x:v>Таблица сочетания(1).pdf</x:v>
      </x:c>
      <x:c r="AA453" s="28" t="str">
        <x:v>Таблица сочетания(1).pdf: 15</x:v>
      </x:c>
      <x:c r="AB453" s="28" t="str">
        <x:v>Пара указана в таблице: «Папайя» → колонка «Фрукты».</x:v>
      </x:c>
      <x:c r="AC453" s="28" t="n">
        <x:v>1</x:v>
      </x:c>
      <x:c r="AD453" s="28" t="n">
        <x:v>1</x:v>
      </x:c>
    </x:row>
    <x:row r="454" ht="58" customHeight="1">
      <x:c r="A454" s="28" t="str">
        <x:v>CIT-0453</x:v>
      </x:c>
      <x:c r="B454" s="28" t="str">
        <x:v>Десерты и выпечка</x:v>
      </x:c>
      <x:c r="C454" s="28" t="str">
        <x:v>лимон</x:v>
      </x:c>
      <x:c r="D454" s="28" t="str">
        <x:v>Лимон</x:v>
      </x:c>
      <x:c r="E454" s="28" t="str">
        <x:v>Цитрусовые</x:v>
      </x:c>
      <x:c r="F454" s="28" t="str">
        <x:v>пекан</x:v>
      </x:c>
      <x:c r="G454" s="28" t="str">
        <x:v>пекан</x:v>
      </x:c>
      <x:c r="H454" s="28" t="str">
        <x:v>Орехи и семена</x:v>
      </x:c>
      <x:c r="I454" s="28" t="str">
        <x:v>цитрусовый, свежий, цветочный, древесный</x:v>
      </x:c>
      <x:c r="J454" s="28" t="str">
        <x:v>ореховый, обжаренный, жирный, зелёный</x:v>
      </x:c>
      <x:c r="K454" s="28" t="str">
        <x:v>цитраль (гераниаль + нераль), лимонен, гамма-терпинен, бета-пинен</x:v>
      </x:c>
      <x:c r="L454" s="28" t="str">
        <x:v>пиразины, альдегиды окисления жиров, бензальдегид (миндаль)</x:v>
      </x:c>
      <x:c r="M454" s="28" t="str">
        <x:v>прямое семейное перекрытие не является главным механизмом</x:v>
      </x:c>
      <x:c r="N454" s="28" t="str">
        <x:v>надёжный общий маркер не заявлен; сочетание объясняется семействами и сенсорным балансом</x:v>
      </x:c>
      <x:c r="O454" s="28" t="str">
        <x:v>вкусовой баланс, влияние матрицы/растворимости</x:v>
      </x:c>
      <x:c r="P454" s="28" t="str">
        <x:v>Кислотность и лёгкая горечь цитруса снижают ощущение жирности; соль и умами, в свою очередь, делают фруктовую часть менее резкой.</x:v>
      </x:c>
      <x:c r="Q454" s="28" t="str">
        <x:v>кислота усиливает слюноотделение; нет выраженного</x:v>
      </x:c>
      <x:c r="R454" s="28" t="str">
        <x:v>сок — водная кислая фаза; цедра — гидрофобное эфирное масло; высокая жирность растворяет терпеновые масла цитруса</x:v>
      </x:c>
      <x:c r="S45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454" s="28" t="str">
        <x:v>Лимон формирует профиль «цитрусовый, свежий, цветочный, древесный»; характерные маркеры: цитраль (гераниаль + нераль), лимонен, гамма-терпинен, бета-пинен. Пекан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U454" s="28" t="str">
        <x:v>Избыток кислоты делает вкус плоско-резким; белая часть кожуры даёт лишнюю горечь.</x:v>
      </x:c>
      <x:c r="V454" s="28" t="str">
        <x:v>мёд или шоколад</x:v>
      </x:c>
      <x:c r="W454" s="28" t="str">
        <x:v>пралине, крем, выпечка, салат или ореховый соус</x:v>
      </x:c>
      <x:c r="X454" s="28" t="str">
        <x:v>десерты</x:v>
      </x:c>
      <x:c r="Y454" s="28" t="str">
        <x:v>Гипотеза / практическая</x:v>
      </x:c>
      <x:c r="Z454" s="28" t="str">
        <x:v>Таблица сочетания(1).pdf</x:v>
      </x:c>
      <x:c r="AA454" s="28" t="str">
        <x:v>Таблица сочетания(1).pdf: 11</x:v>
      </x:c>
      <x:c r="AB454" s="28" t="str">
        <x:v>Пара указана в таблице: «Лимон» → колонка «Другое».</x:v>
      </x:c>
      <x:c r="AC454" s="28" t="n">
        <x:v>1</x:v>
      </x:c>
      <x:c r="AD454" s="28" t="n">
        <x:v>1</x:v>
      </x:c>
    </x:row>
    <x:row r="455" ht="58" customHeight="1">
      <x:c r="A455" s="28" t="str">
        <x:v>CIT-0454</x:v>
      </x:c>
      <x:c r="B455" s="28" t="str">
        <x:v>Универсальные</x:v>
      </x:c>
      <x:c r="C455" s="28" t="str">
        <x:v>лимон</x:v>
      </x:c>
      <x:c r="D455" s="28" t="str">
        <x:v>лимон</x:v>
      </x:c>
      <x:c r="E455" s="28" t="str">
        <x:v>Цитрусовые</x:v>
      </x:c>
      <x:c r="F455" s="28" t="str">
        <x:v>перец</x:v>
      </x:c>
      <x:c r="G455" s="28" t="str">
        <x:v>Перец</x:v>
      </x:c>
      <x:c r="H455" s="28" t="str">
        <x:v>Пряности</x:v>
      </x:c>
      <x:c r="I455" s="28" t="str">
        <x:v>цитрусовый, свежий, цветочный, древесный</x:v>
      </x:c>
      <x:c r="J455" s="28" t="str">
        <x:v>пряный, древесный, цитрусовый</x:v>
      </x:c>
      <x:c r="K455" s="28" t="str">
        <x:v>цитраль (гераниаль + нераль), лимонен, гамма-терпинен, бета-пинен</x:v>
      </x:c>
      <x:c r="L455" s="28" t="str">
        <x:v>пиперин, лимонен, сабинен, бета-кариофиллен</x:v>
      </x:c>
      <x:c r="M455" s="28" t="str">
        <x:v>древесный, цитрусовый</x:v>
      </x:c>
      <x:c r="N455" s="28" t="str">
        <x:v>лимонен</x:v>
      </x:c>
      <x:c r="O455" s="28" t="str">
        <x:v>общие ароматические молекулы, перекрытие ароматических семейств, вкусовой баланс, тройничное восприятие</x:v>
      </x:c>
      <x:c r="P455" s="28" t="str">
        <x:v>Кислота усиливает слюноотделение и делает пряный аромат ярче; терпены цитруса образуют мост с эфирными маслами травы или специи.</x:v>
      </x:c>
      <x:c r="Q455" s="28" t="str">
        <x:v>кислота усиливает слюноотделение; пиперин создаёт длительное тепло; сычуаньский перец — покалывание</x:v>
      </x:c>
      <x:c r="R455" s="28" t="str">
        <x:v>сок — водная кислая фаза; цедра — гидрофобное эфирное масло; ароматические масла и пиперин лучше раскрываются в жире/спирте</x:v>
      </x:c>
      <x:c r="S45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55" s="28" t="str">
        <x:v>Лимон формирует профиль «цитрусовый, свежий, цветочный, древесный»; характерные маркеры: цитраль (гераниаль + нераль), лимонен, гамма-терпинен, бета-пинен.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Перец добавляет сухую пряность и усиливает яркость цедры.</x:v>
      </x:c>
      <x:c r="U455" s="28" t="str">
        <x:v>Избыток кислоты делает вкус плоско-резким; белая часть кожуры даёт лишнюю горечь.</x:v>
      </x:c>
      <x:c r="V455" s="28" t="str">
        <x:v>мёд или ваниль</x:v>
      </x:c>
      <x:c r="W455" s="28" t="str">
        <x:v>сироп, кордиал, чатни, маринад или пряный десерт</x:v>
      </x:c>
      <x:c r="X455" s="28" t="str">
        <x:v>напитки, еда, соусы/маринады</x:v>
      </x:c>
      <x:c r="Y455" s="28" t="str">
        <x:v>Средняя</x:v>
      </x:c>
      <x:c r="Z455" s="28" t="str">
        <x:v>Таблица сочетания(1).pdf</x:v>
      </x:c>
      <x:c r="AA455" s="28" t="str">
        <x:v>Таблица сочетания(1).pdf: 16</x:v>
      </x:c>
      <x:c r="AB455" s="28" t="str">
        <x:v>Пара указана в таблице: «Перец» → колонка «Фрукты».</x:v>
      </x:c>
      <x:c r="AC455" s="28" t="n">
        <x:v>1</x:v>
      </x:c>
      <x:c r="AD455" s="28" t="n">
        <x:v>1</x:v>
      </x:c>
    </x:row>
    <x:row r="456" ht="58" customHeight="1">
      <x:c r="A456" s="28" t="str">
        <x:v>CIT-0455</x:v>
      </x:c>
      <x:c r="B456" s="28" t="str">
        <x:v>Универсальные</x:v>
      </x:c>
      <x:c r="C456" s="28" t="str">
        <x:v>лимон</x:v>
      </x:c>
      <x:c r="D456" s="28" t="str">
        <x:v>lemon | Лимон | лимон</x:v>
      </x:c>
      <x:c r="E456" s="28" t="str">
        <x:v>Цитрусовые</x:v>
      </x:c>
      <x:c r="F456" s="28" t="str">
        <x:v>петрушка</x:v>
      </x:c>
      <x:c r="G456" s="28" t="str">
        <x:v>flat-leaf parsley | Петрушка | петрушка</x:v>
      </x:c>
      <x:c r="H456" s="28" t="str">
        <x:v>Прочее</x:v>
      </x:c>
      <x:c r="I456" s="28" t="str">
        <x:v>цитрусовый, свежий, цветочный, древесный</x:v>
      </x:c>
      <x:c r="J456" s="28" t="str">
        <x:v>нейтральный/специфический</x:v>
      </x:c>
      <x:c r="K456" s="28" t="str">
        <x:v>цитраль (гераниаль + нераль), лимонен, гамма-терпинен, бета-пинен</x:v>
      </x:c>
      <x:c r="L456" s="28" t="str">
        <x:v>нужен профиль конкретного продукта</x:v>
      </x:c>
      <x:c r="M456" s="28" t="str">
        <x:v>прямое семейное перекрытие не является главным механизмом</x:v>
      </x:c>
      <x:c r="N456" s="28" t="str">
        <x:v>надёжный общий маркер не заявлен; сочетание объясняется семействами и сенсорным балансом</x:v>
      </x:c>
      <x:c r="O456" s="28" t="str">
        <x:v>вкусовой баланс, тройничное восприятие</x:v>
      </x:c>
      <x:c r="P456" s="28" t="str">
        <x:v>Основной эффект определяется ароматическим контрастом и добавлением кислотной свежести; точный баланс зависит от дозировки и матрицы.</x:v>
      </x:c>
      <x:c r="Q456" s="28" t="str">
        <x:v>кислота усиливает слюноотделение; нет данных</x:v>
      </x:c>
      <x:c r="R456" s="28" t="str">
        <x:v>сок — водная кислая фаза; цедра — гидрофобное эфирное масло; зависит от формы продукта</x:v>
      </x:c>
      <x:c r="S45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56" s="28" t="str">
        <x:v>Лимон формирует профиль «цитрусовый, свежий, цветочный, древесный»; характерные маркеры: цитраль (гераниаль + нераль), лимонен, гамма-терпинен, бета-пинен. Петрушка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56" s="28" t="str">
        <x:v>Избыток кислоты делает вкус плоско-резким; белая часть кожуры даёт лишнюю горечь.</x:v>
      </x:c>
      <x:c r="V456" s="28" t="str">
        <x:v>мёд или нейтральная жировая основа</x:v>
      </x:c>
      <x:c r="W456" s="28" t="str">
        <x:v>соус, напиток или десерт после пробной дегустации</x:v>
      </x:c>
      <x:c r="X456" s="28" t="str">
        <x:v>универсальное</x:v>
      </x:c>
      <x:c r="Y456" s="28" t="str">
        <x:v>Высокая</x:v>
      </x:c>
      <x:c r="Z456" s="28" t="str">
        <x:v>The Art &amp; Science of Foodpairing.pdf | Таблица сочетания(1).pdf | Тезариус вкусов (Ники Сегнит)(1).pdf</x:v>
      </x:c>
      <x:c r="AA456" s="28" t="str">
        <x:v>Таблица сочетания(1).pdf: 15 | Тезариус вкусов (Ники Сегнит)(1).pdf: 510, 806 | The Art &amp; Science of Foodpairing.pdf: 88</x:v>
      </x:c>
      <x:c r="AB456" s="28" t="str">
        <x:v>Простая, освежающая, нена- вязчиво милая пара, которая всегда готова протянуть руку помощи на профессиональной кухне. Сочетание можно использовать в beurre maître d’hotel (смесь сливочного масла и петрушки) или при приготовлении так называемого à la meunière: рыбу (как правило, единственную), погружают в муку, обжаривают на топленом масле и подают с коричневым масляным соусом, лимонным соком и рубленой петрушкой. См. также</x:v>
      </x:c>
      <x:c r="AC456" s="28" t="n">
        <x:v>3</x:v>
      </x:c>
      <x:c r="AD456" s="28" t="n">
        <x:v>4</x:v>
      </x:c>
    </x:row>
    <x:row r="457" ht="58" customHeight="1">
      <x:c r="A457" s="28" t="str">
        <x:v>CIT-0456</x:v>
      </x:c>
      <x:c r="B457" s="28" t="str">
        <x:v>Универсальные</x:v>
      </x:c>
      <x:c r="C457" s="28" t="str">
        <x:v>лимон</x:v>
      </x:c>
      <x:c r="D457" s="28" t="str">
        <x:v>лимон</x:v>
      </x:c>
      <x:c r="E457" s="28" t="str">
        <x:v>Цитрусовые</x:v>
      </x:c>
      <x:c r="F457" s="28" t="str">
        <x:v>питахайя (dragon fruit)</x:v>
      </x:c>
      <x:c r="G457" s="28" t="str">
        <x:v>Питахайя (dragon fruit)</x:v>
      </x:c>
      <x:c r="H457" s="28" t="str">
        <x:v>Прочее</x:v>
      </x:c>
      <x:c r="I457" s="28" t="str">
        <x:v>цитрусовый, свежий, цветочный, древесный</x:v>
      </x:c>
      <x:c r="J457" s="28" t="str">
        <x:v>нейтральный/специфический</x:v>
      </x:c>
      <x:c r="K457" s="28" t="str">
        <x:v>цитраль (гераниаль + нераль), лимонен, гамма-терпинен, бета-пинен</x:v>
      </x:c>
      <x:c r="L457" s="28" t="str">
        <x:v>нужен профиль конкретного продукта</x:v>
      </x:c>
      <x:c r="M457" s="28" t="str">
        <x:v>прямое семейное перекрытие не является главным механизмом</x:v>
      </x:c>
      <x:c r="N457" s="28" t="str">
        <x:v>надёжный общий маркер не заявлен; сочетание объясняется семействами и сенсорным балансом</x:v>
      </x:c>
      <x:c r="O457" s="28" t="str">
        <x:v>вкусовой баланс, тройничное восприятие</x:v>
      </x:c>
      <x:c r="P457" s="28" t="str">
        <x:v>Основной эффект определяется ароматическим контрастом и добавлением кислотной свежести; точный баланс зависит от дозировки и матрицы.</x:v>
      </x:c>
      <x:c r="Q457" s="28" t="str">
        <x:v>кислота усиливает слюноотделение; нет данных</x:v>
      </x:c>
      <x:c r="R457" s="28" t="str">
        <x:v>сок — водная кислая фаза; цедра — гидрофобное эфирное масло; зависит от формы продукта</x:v>
      </x:c>
      <x:c r="S45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57" s="28" t="str">
        <x:v>Лимон формирует профиль «цитрусовый, свежий, цветочный, древесный»; характерные маркеры: цитраль (гераниаль + нераль), лимонен, гамма-терпинен, бета-пинен. Питахайя (dragon fruit)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57" s="28" t="str">
        <x:v>Избыток кислоты делает вкус плоско-резким; белая часть кожуры даёт лишнюю горечь.</x:v>
      </x:c>
      <x:c r="V457" s="28" t="str">
        <x:v>мёд или нейтральная жировая основа</x:v>
      </x:c>
      <x:c r="W457" s="28" t="str">
        <x:v>соус, напиток или десерт после пробной дегустации</x:v>
      </x:c>
      <x:c r="X457" s="28" t="str">
        <x:v>универсальное</x:v>
      </x:c>
      <x:c r="Y457" s="28" t="str">
        <x:v>Гипотеза / практическая</x:v>
      </x:c>
      <x:c r="Z457" s="28" t="str">
        <x:v>Таблица сочетания(1).pdf</x:v>
      </x:c>
      <x:c r="AA457" s="28" t="str">
        <x:v>Таблица сочетания(1).pdf: 7</x:v>
      </x:c>
      <x:c r="AB457" s="28" t="str">
        <x:v>Пара указана в таблице: «Питахайя (dragon fruit)» → колонка «Фрукты».</x:v>
      </x:c>
      <x:c r="AC457" s="28" t="n">
        <x:v>1</x:v>
      </x:c>
      <x:c r="AD457" s="28" t="n">
        <x:v>1</x:v>
      </x:c>
    </x:row>
    <x:row r="458" ht="58" customHeight="1">
      <x:c r="A458" s="28" t="str">
        <x:v>CIT-0457</x:v>
      </x:c>
      <x:c r="B458" s="28" t="str">
        <x:v>Универсальные</x:v>
      </x:c>
      <x:c r="C458" s="28" t="str">
        <x:v>лимон</x:v>
      </x:c>
      <x:c r="D458" s="28" t="str">
        <x:v>лимон</x:v>
      </x:c>
      <x:c r="E458" s="28" t="str">
        <x:v>Цитрусовые</x:v>
      </x:c>
      <x:c r="F458" s="28" t="str">
        <x:v>рамбутан</x:v>
      </x:c>
      <x:c r="G458" s="28" t="str">
        <x:v>Рамбутан</x:v>
      </x:c>
      <x:c r="H458" s="28" t="str">
        <x:v>Прочее</x:v>
      </x:c>
      <x:c r="I458" s="28" t="str">
        <x:v>цитрусовый, свежий, цветочный, древесный</x:v>
      </x:c>
      <x:c r="J458" s="28" t="str">
        <x:v>нейтральный/специфический</x:v>
      </x:c>
      <x:c r="K458" s="28" t="str">
        <x:v>цитраль (гераниаль + нераль), лимонен, гамма-терпинен, бета-пинен</x:v>
      </x:c>
      <x:c r="L458" s="28" t="str">
        <x:v>нужен профиль конкретного продукта</x:v>
      </x:c>
      <x:c r="M458" s="28" t="str">
        <x:v>прямое семейное перекрытие не является главным механизмом</x:v>
      </x:c>
      <x:c r="N458" s="28" t="str">
        <x:v>надёжный общий маркер не заявлен; сочетание объясняется семействами и сенсорным балансом</x:v>
      </x:c>
      <x:c r="O458" s="28" t="str">
        <x:v>вкусовой баланс, тройничное восприятие</x:v>
      </x:c>
      <x:c r="P458" s="28" t="str">
        <x:v>Основной эффект определяется ароматическим контрастом и добавлением кислотной свежести; точный баланс зависит от дозировки и матрицы.</x:v>
      </x:c>
      <x:c r="Q458" s="28" t="str">
        <x:v>кислота усиливает слюноотделение; нет данных</x:v>
      </x:c>
      <x:c r="R458" s="28" t="str">
        <x:v>сок — водная кислая фаза; цедра — гидрофобное эфирное масло; зависит от формы продукта</x:v>
      </x:c>
      <x:c r="S45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58" s="28" t="str">
        <x:v>Лимон формирует профиль «цитрусовый, свежий, цветочный, древесный»; характерные маркеры: цитраль (гераниаль + нераль), лимонен, гамма-терпинен, бета-пинен. Рамбутан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58" s="28" t="str">
        <x:v>Избыток кислоты делает вкус плоско-резким; белая часть кожуры даёт лишнюю горечь.</x:v>
      </x:c>
      <x:c r="V458" s="28" t="str">
        <x:v>мёд или нейтральная жировая основа</x:v>
      </x:c>
      <x:c r="W458" s="28" t="str">
        <x:v>соус, напиток или десерт после пробной дегустации</x:v>
      </x:c>
      <x:c r="X458" s="28" t="str">
        <x:v>универсальное</x:v>
      </x:c>
      <x:c r="Y458" s="28" t="str">
        <x:v>Гипотеза / практическая</x:v>
      </x:c>
      <x:c r="Z458" s="28" t="str">
        <x:v>Таблица сочетания(1).pdf</x:v>
      </x:c>
      <x:c r="AA458" s="28" t="str">
        <x:v>Таблица сочетания(1).pdf: 19</x:v>
      </x:c>
      <x:c r="AB458" s="28" t="str">
        <x:v>Пара указана в таблице: «Рамбутан» → колонка «Фрукты».</x:v>
      </x:c>
      <x:c r="AC458" s="28" t="n">
        <x:v>1</x:v>
      </x:c>
      <x:c r="AD458" s="28" t="n">
        <x:v>1</x:v>
      </x:c>
    </x:row>
    <x:row r="459" ht="58" customHeight="1">
      <x:c r="A459" s="28" t="str">
        <x:v>CIT-0458</x:v>
      </x:c>
      <x:c r="B459" s="28" t="str">
        <x:v>Универсальные</x:v>
      </x:c>
      <x:c r="C459" s="28" t="str">
        <x:v>лимон</x:v>
      </x:c>
      <x:c r="D459" s="28" t="str">
        <x:v>лимон</x:v>
      </x:c>
      <x:c r="E459" s="28" t="str">
        <x:v>Цитрусовые</x:v>
      </x:c>
      <x:c r="F459" s="28" t="str">
        <x:v>ревень</x:v>
      </x:c>
      <x:c r="G459" s="28" t="str">
        <x:v>Ревень</x:v>
      </x:c>
      <x:c r="H459" s="28" t="str">
        <x:v>Прочее</x:v>
      </x:c>
      <x:c r="I459" s="28" t="str">
        <x:v>цитрусовый, свежий, цветочный, древесный</x:v>
      </x:c>
      <x:c r="J459" s="28" t="str">
        <x:v>нейтральный/специфический</x:v>
      </x:c>
      <x:c r="K459" s="28" t="str">
        <x:v>цитраль (гераниаль + нераль), лимонен, гамма-терпинен, бета-пинен</x:v>
      </x:c>
      <x:c r="L459" s="28" t="str">
        <x:v>нужен профиль конкретного продукта</x:v>
      </x:c>
      <x:c r="M459" s="28" t="str">
        <x:v>прямое семейное перекрытие не является главным механизмом</x:v>
      </x:c>
      <x:c r="N459" s="28" t="str">
        <x:v>надёжный общий маркер не заявлен; сочетание объясняется семействами и сенсорным балансом</x:v>
      </x:c>
      <x:c r="O459" s="28" t="str">
        <x:v>вкусовой баланс, тройничное восприятие</x:v>
      </x:c>
      <x:c r="P459" s="28" t="str">
        <x:v>Основной эффект определяется ароматическим контрастом и добавлением кислотной свежести; точный баланс зависит от дозировки и матрицы.</x:v>
      </x:c>
      <x:c r="Q459" s="28" t="str">
        <x:v>кислота усиливает слюноотделение; нет данных</x:v>
      </x:c>
      <x:c r="R459" s="28" t="str">
        <x:v>сок — водная кислая фаза; цедра — гидрофобное эфирное масло; зависит от формы продукта</x:v>
      </x:c>
      <x:c r="S45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59" s="28" t="str">
        <x:v>Лимон формирует профиль «цитрусовый, свежий, цветочный, древесный»; характерные маркеры: цитраль (гераниаль + нераль), лимонен, гамма-терпинен, бета-пинен. Ревень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59" s="28" t="str">
        <x:v>Избыток кислоты делает вкус плоско-резким; белая часть кожуры даёт лишнюю горечь.</x:v>
      </x:c>
      <x:c r="V459" s="28" t="str">
        <x:v>мёд или нейтральная жировая основа</x:v>
      </x:c>
      <x:c r="W459" s="28" t="str">
        <x:v>соус, напиток или десерт после пробной дегустации</x:v>
      </x:c>
      <x:c r="X459" s="28" t="str">
        <x:v>универсальное</x:v>
      </x:c>
      <x:c r="Y459" s="28" t="str">
        <x:v>Гипотеза / практическая</x:v>
      </x:c>
      <x:c r="Z459" s="28" t="str">
        <x:v>Таблица сочетания(1).pdf</x:v>
      </x:c>
      <x:c r="AA459" s="28" t="str">
        <x:v>Таблица сочетания(1).pdf: 19</x:v>
      </x:c>
      <x:c r="AB459" s="28" t="str">
        <x:v>Пара указана в таблице: «Ревень» → колонка «Фрукты».</x:v>
      </x:c>
      <x:c r="AC459" s="28" t="n">
        <x:v>1</x:v>
      </x:c>
      <x:c r="AD459" s="28" t="n">
        <x:v>1</x:v>
      </x:c>
    </x:row>
    <x:row r="460" ht="58" customHeight="1">
      <x:c r="A460" s="28" t="str">
        <x:v>CIT-0459</x:v>
      </x:c>
      <x:c r="B460" s="28" t="str">
        <x:v>Универсальные</x:v>
      </x:c>
      <x:c r="C460" s="28" t="str">
        <x:v>лимон</x:v>
      </x:c>
      <x:c r="D460" s="28" t="str">
        <x:v>лимон</x:v>
      </x:c>
      <x:c r="E460" s="28" t="str">
        <x:v>Цитрусовые</x:v>
      </x:c>
      <x:c r="F460" s="28" t="str">
        <x:v>роза</x:v>
      </x:c>
      <x:c r="G460" s="28" t="str">
        <x:v>Роза</x:v>
      </x:c>
      <x:c r="H460" s="28" t="str">
        <x:v>Прочее</x:v>
      </x:c>
      <x:c r="I460" s="28" t="str">
        <x:v>цитрусовый, свежий, цветочный, древесный</x:v>
      </x:c>
      <x:c r="J460" s="28" t="str">
        <x:v>нейтральный/специфический</x:v>
      </x:c>
      <x:c r="K460" s="28" t="str">
        <x:v>цитраль (гераниаль + нераль), лимонен, гамма-терпинен, бета-пинен</x:v>
      </x:c>
      <x:c r="L460" s="28" t="str">
        <x:v>нужен профиль конкретного продукта</x:v>
      </x:c>
      <x:c r="M460" s="28" t="str">
        <x:v>прямое семейное перекрытие не является главным механизмом</x:v>
      </x:c>
      <x:c r="N460" s="28" t="str">
        <x:v>надёжный общий маркер не заявлен; сочетание объясняется семействами и сенсорным балансом</x:v>
      </x:c>
      <x:c r="O460" s="28" t="str">
        <x:v>вкусовой баланс, тройничное восприятие</x:v>
      </x:c>
      <x:c r="P460" s="28" t="str">
        <x:v>Основной эффект определяется ароматическим контрастом и добавлением кислотной свежести; точный баланс зависит от дозировки и матрицы.</x:v>
      </x:c>
      <x:c r="Q460" s="28" t="str">
        <x:v>кислота усиливает слюноотделение; нет данных</x:v>
      </x:c>
      <x:c r="R460" s="28" t="str">
        <x:v>сок — водная кислая фаза; цедра — гидрофобное эфирное масло; зависит от формы продукта</x:v>
      </x:c>
      <x:c r="S46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60" s="28" t="str">
        <x:v>Лимон формирует профиль «цитрусовый, свежий, цветочный, древесный»; характерные маркеры: цитраль (гераниаль + нераль), лимонен, гамма-терпинен, бета-пинен. Роза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60" s="28" t="str">
        <x:v>Избыток кислоты делает вкус плоско-резким; белая часть кожуры даёт лишнюю горечь.</x:v>
      </x:c>
      <x:c r="V460" s="28" t="str">
        <x:v>мёд или нейтральная жировая основа</x:v>
      </x:c>
      <x:c r="W460" s="28" t="str">
        <x:v>соус, напиток или десерт после пробной дегустации</x:v>
      </x:c>
      <x:c r="X460" s="28" t="str">
        <x:v>универсальное</x:v>
      </x:c>
      <x:c r="Y460" s="28" t="str">
        <x:v>Высокая</x:v>
      </x:c>
      <x:c r="Z460" s="28" t="str">
        <x:v>Тезариус вкусов (Ники Сегнит)(1).pdf</x:v>
      </x:c>
      <x:c r="AA460" s="28" t="str">
        <x:v>Тезариус вкусов (Ники Сегнит)(1).pdf: 899</x:v>
      </x:c>
      <x:c r="AB460" s="28" t="str">
        <x:v>В коробках рахат-лукума (Turkish delight) от Nestle кусочки уложены так плотно и так тщательно засыпаны белой кукурузной мукой с сахаром, что для того, чтобы понять, из чего сделан тот или иной кубик, их нужно подносить к свету. На первый взгляд кажется, что они принадлежат к самым разным участкам вкусового спектра, но на самом деле все кусочки содержат одни и те же эфирные масла: гераниол, нерола и цитронеллол. Попробуйте отделить аромат лимона от кислотной компоненты, и вы сможете обнаружить в</x:v>
      </x:c>
      <x:c r="AC460" s="28" t="n">
        <x:v>1</x:v>
      </x:c>
      <x:c r="AD460" s="28" t="n">
        <x:v>1</x:v>
      </x:c>
    </x:row>
    <x:row r="461" ht="58" customHeight="1">
      <x:c r="A461" s="28" t="str">
        <x:v>CIT-0460</x:v>
      </x:c>
      <x:c r="B461" s="28" t="str">
        <x:v>Универсальные</x:v>
      </x:c>
      <x:c r="C461" s="28" t="str">
        <x:v>лимон</x:v>
      </x:c>
      <x:c r="D461" s="28" t="str">
        <x:v>Лимон | лимон</x:v>
      </x:c>
      <x:c r="E461" s="28" t="str">
        <x:v>Цитрусовые</x:v>
      </x:c>
      <x:c r="F461" s="28" t="str">
        <x:v>розмарин</x:v>
      </x:c>
      <x:c r="G461" s="28" t="str">
        <x:v>Розмарин | розмарин</x:v>
      </x:c>
      <x:c r="H461" s="28" t="str">
        <x:v>Травы</x:v>
      </x:c>
      <x:c r="I461" s="28" t="str">
        <x:v>цитрусовый, свежий, цветочный, древесный</x:v>
      </x:c>
      <x:c r="J461" s="28" t="str">
        <x:v>травяной, хвойный, камфорный, древесный</x:v>
      </x:c>
      <x:c r="K461" s="28" t="str">
        <x:v>цитраль (гераниаль + нераль), лимонен, гамма-терпинен, бета-пинен</x:v>
      </x:c>
      <x:c r="L461" s="28" t="str">
        <x:v>1,8-цинеол, камфора, тимол/карвакрол, альфа-пинен</x:v>
      </x:c>
      <x:c r="M461" s="28" t="str">
        <x:v>древесный</x:v>
      </x:c>
      <x:c r="N461" s="28" t="str">
        <x:v>надёжный общий маркер не заявлен; сочетание объясняется семействами и сенсорным балансом</x:v>
      </x:c>
      <x:c r="O461" s="28" t="str">
        <x:v>перекрытие ароматических семейств, вкусовой баланс, тройничное восприятие</x:v>
      </x:c>
      <x:c r="P461" s="28" t="str">
        <x:v>Кислота усиливает слюноотделение и делает пряный аромат ярче; терпены цитруса образуют мост с эфирными маслами травы или специи.</x:v>
      </x:c>
      <x:c r="Q461" s="28" t="str">
        <x:v>кислота усиливает слюноотделение; камфора и цинеол дают прохладно-камфорное ощущение</x:v>
      </x:c>
      <x:c r="R461" s="28" t="str">
        <x:v>сок — водная кислая фаза; цедра — гидрофобное эфирное масло; эфирные масла лучше раскрываются в жире и спирте</x:v>
      </x:c>
      <x:c r="S46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61" s="28" t="str">
        <x:v>Лимон формирует профиль «цитрусовый, свежий, цветочный, древесный»; характерные маркеры: цитраль (гераниаль + нераль), лимонен, гамма-терпинен, бета-пинен.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U461" s="28" t="str">
        <x:v>Избыток кислоты делает вкус плоско-резким; белая часть кожуры даёт лишнюю горечь; цитрус легко подавляет деликатный аромат партнёра.</x:v>
      </x:c>
      <x:c r="V461" s="28" t="str">
        <x:v>оливковое масло или огурец</x:v>
      </x:c>
      <x:c r="W461" s="28" t="str">
        <x:v>лимонад, кордиал, салатная заправка или зелёный соус</x:v>
      </x:c>
      <x:c r="X461" s="28" t="str">
        <x:v>напитки, еда, соусы/маринады</x:v>
      </x:c>
      <x:c r="Y461" s="28" t="str">
        <x:v>Высокая</x:v>
      </x:c>
      <x:c r="Z461" s="28" t="str">
        <x:v>Таблица сочетания(1).pdf | Тезариус вкусов (Ники Сегнит)(1).pdf</x:v>
      </x:c>
      <x:c r="AA461" s="28" t="str">
        <x:v>Таблица сочетания(1).pdf: 11, 19 | Тезариус вкусов (Ники Сегнит)(1).pdf: 806, 837</x:v>
      </x:c>
      <x:c r="AB461" s="28" t="str">
        <x:v>Классическое дополнение к лимонному тарту – крем-фреш. Последний имеет небольшую кислотность, которая хорошо сочетается с подслащенной, но все же кисловатой начинкой из лимонного творога. Но лучший партнер для лимонного пирога, которого я когда-либо встречала, – это мороженое с розмарином. После долгих экспериментов с вымачиванием розмарина в сливках или молоке (процесс работает, но требует небольшой предварительной подготовки) я теперь пользуюсь розмариновой эссенцией от The Hop Farm (Hop Farm </x:v>
      </x:c>
      <x:c r="AC461" s="28" t="n">
        <x:v>2</x:v>
      </x:c>
      <x:c r="AD461" s="28" t="n">
        <x:v>4</x:v>
      </x:c>
    </x:row>
    <x:row r="462" ht="58" customHeight="1">
      <x:c r="A462" s="28" t="str">
        <x:v>CIT-0461</x:v>
      </x:c>
      <x:c r="B462" s="28" t="str">
        <x:v>Универсальные</x:v>
      </x:c>
      <x:c r="C462" s="28" t="str">
        <x:v>лимон</x:v>
      </x:c>
      <x:c r="D462" s="28" t="str">
        <x:v>лимон</x:v>
      </x:c>
      <x:c r="E462" s="28" t="str">
        <x:v>Цитрусовые</x:v>
      </x:c>
      <x:c r="F462" s="28" t="str">
        <x:v>саусеп (soursop)</x:v>
      </x:c>
      <x:c r="G462" s="28" t="str">
        <x:v>Саусеп (soursop)</x:v>
      </x:c>
      <x:c r="H462" s="28" t="str">
        <x:v>Прочее</x:v>
      </x:c>
      <x:c r="I462" s="28" t="str">
        <x:v>цитрусовый, свежий, цветочный, древесный</x:v>
      </x:c>
      <x:c r="J462" s="28" t="str">
        <x:v>нейтральный/специфический</x:v>
      </x:c>
      <x:c r="K462" s="28" t="str">
        <x:v>цитраль (гераниаль + нераль), лимонен, гамма-терпинен, бета-пинен</x:v>
      </x:c>
      <x:c r="L462" s="28" t="str">
        <x:v>нужен профиль конкретного продукта</x:v>
      </x:c>
      <x:c r="M462" s="28" t="str">
        <x:v>прямое семейное перекрытие не является главным механизмом</x:v>
      </x:c>
      <x:c r="N462" s="28" t="str">
        <x:v>надёжный общий маркер не заявлен; сочетание объясняется семействами и сенсорным балансом</x:v>
      </x:c>
      <x:c r="O462" s="28" t="str">
        <x:v>вкусовой баланс, тройничное восприятие</x:v>
      </x:c>
      <x:c r="P462" s="28" t="str">
        <x:v>Основной эффект определяется ароматическим контрастом и добавлением кислотной свежести; точный баланс зависит от дозировки и матрицы.</x:v>
      </x:c>
      <x:c r="Q462" s="28" t="str">
        <x:v>кислота усиливает слюноотделение; нет данных</x:v>
      </x:c>
      <x:c r="R462" s="28" t="str">
        <x:v>сок — водная кислая фаза; цедра — гидрофобное эфирное масло; зависит от формы продукта</x:v>
      </x:c>
      <x:c r="S46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62" s="28" t="str">
        <x:v>Лимон формирует профиль «цитрусовый, свежий, цветочный, древесный»; характерные маркеры: цитраль (гераниаль + нераль), лимонен, гамма-терпинен, бета-пинен. Саусеп (soursop)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62" s="28" t="str">
        <x:v>Избыток кислоты делает вкус плоско-резким; белая часть кожуры даёт лишнюю горечь.</x:v>
      </x:c>
      <x:c r="V462" s="28" t="str">
        <x:v>мёд или нейтральная жировая основа</x:v>
      </x:c>
      <x:c r="W462" s="28" t="str">
        <x:v>соус, напиток или десерт после пробной дегустации</x:v>
      </x:c>
      <x:c r="X462" s="28" t="str">
        <x:v>универсальное</x:v>
      </x:c>
      <x:c r="Y462" s="28" t="str">
        <x:v>Гипотеза / практическая</x:v>
      </x:c>
      <x:c r="Z462" s="28" t="str">
        <x:v>Таблица сочетания(1).pdf</x:v>
      </x:c>
      <x:c r="AA462" s="28" t="str">
        <x:v>Таблица сочетания(1).pdf: 20</x:v>
      </x:c>
      <x:c r="AB462" s="28" t="str">
        <x:v>Пара указана в таблице: «Саусеп (soursop)» → колонка «Фрукты».</x:v>
      </x:c>
      <x:c r="AC462" s="28" t="n">
        <x:v>1</x:v>
      </x:c>
      <x:c r="AD462" s="28" t="n">
        <x:v>1</x:v>
      </x:c>
    </x:row>
    <x:row r="463" ht="58" customHeight="1">
      <x:c r="A463" s="28" t="str">
        <x:v>CIT-0462</x:v>
      </x:c>
      <x:c r="B463" s="28" t="str">
        <x:v>Универсальные</x:v>
      </x:c>
      <x:c r="C463" s="28" t="str">
        <x:v>лимон</x:v>
      </x:c>
      <x:c r="D463" s="28" t="str">
        <x:v>Лимон | лимон</x:v>
      </x:c>
      <x:c r="E463" s="28" t="str">
        <x:v>Цитрусовые</x:v>
      </x:c>
      <x:c r="F463" s="28" t="str">
        <x:v>семена кориандра</x:v>
      </x:c>
      <x:c r="G463" s="28" t="str">
        <x:v>Семена кориандра | семена кориандра</x:v>
      </x:c>
      <x:c r="H463" s="28" t="str">
        <x:v>Травы/пряности</x:v>
      </x:c>
      <x:c r="I463" s="28" t="str">
        <x:v>цитрусовый, свежий, цветочный, древесный</x:v>
      </x:c>
      <x:c r="J463" s="28" t="str">
        <x:v>цитрусовый, зелёный, цветочный</x:v>
      </x:c>
      <x:c r="K463" s="28" t="str">
        <x:v>цитраль (гераниаль + нераль), лимонен, гамма-терпинен, бета-пинен</x:v>
      </x:c>
      <x:c r="L463" s="28" t="str">
        <x:v>линалол, деканаль, додеканаль</x:v>
      </x:c>
      <x:c r="M463" s="28" t="str">
        <x:v>цветочный, цитрусовый</x:v>
      </x:c>
      <x:c r="N463" s="28" t="str">
        <x:v>надёжный общий маркер не заявлен; сочетание объясняется семействами и сенсорным балансом</x:v>
      </x:c>
      <x:c r="O463" s="28" t="str">
        <x:v>перекрытие ароматических семейств, вкусовой баланс</x:v>
      </x:c>
      <x:c r="P463" s="28" t="str">
        <x:v>Кислота усиливает слюноотделение и делает пряный аромат ярче; терпены цитруса образуют мост с эфирными маслами травы или специи.</x:v>
      </x:c>
      <x:c r="Q463" s="28" t="str">
        <x:v>кислота усиливает слюноотделение; нет выраженного</x:v>
      </x:c>
      <x:c r="R463" s="28" t="str">
        <x:v>сок — водная кислая фаза; цедра — гидрофобное эфирное масло; листья чувствительны к нагреву; семена устойчивее и слаще</x:v>
      </x:c>
      <x:c r="S46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63" s="28" t="str">
        <x:v>Лимон формирует профиль «цитрусовый, свежий, цветочный, древесный»; характерные маркеры: цитраль (гераниаль + нераль), лимонен, гамма-терпинен, бета-пинен. Семена кориандра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U463" s="28" t="str">
        <x:v>Избыток кислоты делает вкус плоско-резким; белая часть кожуры даёт лишнюю горечь; цитрус легко подавляет деликатный аромат партнёра.</x:v>
      </x:c>
      <x:c r="V463" s="28" t="str">
        <x:v>мёд или зелёная трава</x:v>
      </x:c>
      <x:c r="W463" s="28" t="str">
        <x:v>лимонад, кордиал, маринад или пряный соус</x:v>
      </x:c>
      <x:c r="X463" s="28" t="str">
        <x:v>напитки, еда, соусы/маринады</x:v>
      </x:c>
      <x:c r="Y463" s="28" t="str">
        <x:v>Высокая</x:v>
      </x:c>
      <x:c r="Z463" s="28" t="str">
        <x:v>Тезариус вкусов (Ники Сегнит)(1).pdf</x:v>
      </x:c>
      <x:c r="AA463" s="28" t="str">
        <x:v>Тезариус вкусов (Ники Сегнит)(1).pdf: 807, 907</x:v>
      </x:c>
      <x:c r="AB463" s="28" t="str">
        <x:v>Гарольд Макги (Harold McGee) описывает вкус семян кориандра как лимонный и цветочный. Другие считают, что цитрусовая нота в его вкусе больше напоминает апельсиновую. Впрочем, вне зависимости от этого семена эффективно сочетаются с лимоном. Две компоненты ча- сто используются вместе при мариновании оливок, а также очень хорошо сочетаются с рыбой. В XIX веке к ним часто добавляли корицу, в результате чего получался ароматизатор для миндального молока и сливочных пудингов. А госпожа Ли приводит рец</x:v>
      </x:c>
      <x:c r="AC463" s="28" t="n">
        <x:v>1</x:v>
      </x:c>
      <x:c r="AD463" s="28" t="n">
        <x:v>2</x:v>
      </x:c>
    </x:row>
    <x:row r="464" ht="58" customHeight="1">
      <x:c r="A464" s="28" t="str">
        <x:v>CIT-0463</x:v>
      </x:c>
      <x:c r="B464" s="28" t="str">
        <x:v>Десерты и выпечка</x:v>
      </x:c>
      <x:c r="C464" s="28" t="str">
        <x:v>лимон</x:v>
      </x:c>
      <x:c r="D464" s="28" t="str">
        <x:v>лимон</x:v>
      </x:c>
      <x:c r="E464" s="28" t="str">
        <x:v>Цитрусовые</x:v>
      </x:c>
      <x:c r="F464" s="28" t="str">
        <x:v>слива</x:v>
      </x:c>
      <x:c r="G464" s="28" t="str">
        <x:v>Слива</x:v>
      </x:c>
      <x:c r="H464" s="28" t="str">
        <x:v>Косточковые фрукты</x:v>
      </x:c>
      <x:c r="I464" s="28" t="str">
        <x:v>цитрусовый, свежий, цветочный, древесный</x:v>
      </x:c>
      <x:c r="J464" s="28" t="str">
        <x:v>фруктовый, цветочный, сливочный, миндальный</x:v>
      </x:c>
      <x:c r="K464" s="28" t="str">
        <x:v>цитраль (гераниаль + нераль), лимонен, гамма-терпинен, бета-пинен</x:v>
      </x:c>
      <x:c r="L464" s="28" t="str">
        <x:v>гамма- и дельта-лактоны, бензальдегид, дамасценон</x:v>
      </x:c>
      <x:c r="M464" s="28" t="str">
        <x:v>цветочный</x:v>
      </x:c>
      <x:c r="N464" s="28" t="str">
        <x:v>надёжный общий маркер не заявлен; сочетание объясняется семействами и сенсорным балансом</x:v>
      </x:c>
      <x:c r="O464" s="28" t="str">
        <x:v>перекрытие ароматических семейств, вкусовой баланс</x:v>
      </x:c>
      <x:c r="P464" s="28" t="str">
        <x:v>Общая фруктовая сладость и летучие эфиры создают непрерывный ароматический профиль, а цитрусовая кислота повышает контраст и свежесть.</x:v>
      </x:c>
      <x:c r="Q464" s="28" t="str">
        <x:v>кислота усиливает слюноотделение; нет выраженного</x:v>
      </x:c>
      <x:c r="R464" s="28" t="str">
        <x:v>сок — водная кислая фаза; цедра — гидрофобное эфирное масло; сочная матрица; лактоны лучше ощущаются в жирной/сливочной среде</x:v>
      </x:c>
      <x:c r="S46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64" s="28" t="str">
        <x:v>Лимон формирует профиль «цитрусовый, свежий, цветочный, древесный»; характерные маркеры: цитраль (гераниаль + нераль), лимонен, гамма-терпинен, бета-пинен. Слива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U464" s="28" t="str">
        <x:v>Избыток кислоты делает вкус плоско-резким; белая часть кожуры даёт лишнюю горечь.</x:v>
      </x:c>
      <x:c r="V464" s="28" t="str">
        <x:v>миндаль или ваниль</x:v>
      </x:c>
      <x:c r="W464" s="28" t="str">
        <x:v>тарт, сорбет, джем или фруктовый соус</x:v>
      </x:c>
      <x:c r="X464" s="28" t="str">
        <x:v>десерты</x:v>
      </x:c>
      <x:c r="Y464" s="28" t="str">
        <x:v>Гипотеза / практическая</x:v>
      </x:c>
      <x:c r="Z464" s="28" t="str">
        <x:v>Таблица сочетания(1).pdf</x:v>
      </x:c>
      <x:c r="AA464" s="28" t="str">
        <x:v>Таблица сочетания(1).pdf: 17</x:v>
      </x:c>
      <x:c r="AB464" s="28" t="str">
        <x:v>Пара указана в таблице: «Слива» → колонка «Фрукты».</x:v>
      </x:c>
      <x:c r="AC464" s="28" t="n">
        <x:v>1</x:v>
      </x:c>
      <x:c r="AD464" s="28" t="n">
        <x:v>1</x:v>
      </x:c>
    </x:row>
    <x:row r="465" ht="58" customHeight="1">
      <x:c r="A465" s="28" t="str">
        <x:v>CIT-0464</x:v>
      </x:c>
      <x:c r="B465" s="28" t="str">
        <x:v>Десерты и выпечка</x:v>
      </x:c>
      <x:c r="C465" s="28" t="str">
        <x:v>лимон</x:v>
      </x:c>
      <x:c r="D465" s="28" t="str">
        <x:v>Лимон</x:v>
      </x:c>
      <x:c r="E465" s="28" t="str">
        <x:v>Цитрусовые</x:v>
      </x:c>
      <x:c r="F465" s="28" t="str">
        <x:v>смородина</x:v>
      </x:c>
      <x:c r="G465" s="28" t="str">
        <x:v>смородина</x:v>
      </x:c>
      <x:c r="H465" s="28" t="str">
        <x:v>Ягоды/косточковые</x:v>
      </x:c>
      <x:c r="I465" s="28" t="str">
        <x:v>цитрусовый, свежий, цветочный, древесный</x:v>
      </x:c>
      <x:c r="J465" s="28" t="str">
        <x:v>фруктовый, цветочный, зелёный, винный</x:v>
      </x:c>
      <x:c r="K465" s="28" t="str">
        <x:v>цитраль (гераниаль + нераль), лимонен, гамма-терпинен, бета-пинен</x:v>
      </x:c>
      <x:c r="L465" s="28" t="str">
        <x:v>иононы, дамасценон, эфиры, бензальдегид (для косточковых)</x:v>
      </x:c>
      <x:c r="M465" s="28" t="str">
        <x:v>цветочный</x:v>
      </x:c>
      <x:c r="N465" s="28" t="str">
        <x:v>надёжный общий маркер не заявлен; сочетание объясняется семействами и сенсорным балансом</x:v>
      </x:c>
      <x:c r="O465" s="28" t="str">
        <x:v>перекрытие ароматических семейств, вкусовой баланс</x:v>
      </x:c>
      <x:c r="P465" s="28" t="str">
        <x:v>Общая фруктовая сладость и летучие эфиры создают непрерывный ароматический профиль, а цитрусовая кислота повышает контраст и свежесть.</x:v>
      </x:c>
      <x:c r="Q465" s="28" t="str">
        <x:v>кислота усиливает слюноотделение; нет выраженного</x:v>
      </x:c>
      <x:c r="R465" s="28" t="str">
        <x:v>сок — водная кислая фаза; цедра — гидрофобное эфирное масло; водная матрица с антоцианами и полифенолами</x:v>
      </x:c>
      <x:c r="S46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65" s="28" t="str">
        <x:v>Лимон формирует профиль «цитрусовый, свежий, цветочный, древесный»; характерные маркеры: цитраль (гераниаль + нераль), лимонен, гамма-терпинен, бета-пинен. Смородина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465" s="28" t="str">
        <x:v>Избыток кислоты делает вкус плоско-резким; белая часть кожуры даёт лишнюю горечь.</x:v>
      </x:c>
      <x:c r="V465" s="28" t="str">
        <x:v>ваниль или миндаль</x:v>
      </x:c>
      <x:c r="W465" s="28" t="str">
        <x:v>джем, сорбет, коктейль или соус</x:v>
      </x:c>
      <x:c r="X465" s="28" t="str">
        <x:v>напитки, десерты</x:v>
      </x:c>
      <x:c r="Y465" s="28" t="str">
        <x:v>Гипотеза / практическая</x:v>
      </x:c>
      <x:c r="Z465" s="28" t="str">
        <x:v>Таблица сочетания(1).pdf</x:v>
      </x:c>
      <x:c r="AA465" s="28" t="str">
        <x:v>Таблица сочетания(1).pdf: 11</x:v>
      </x:c>
      <x:c r="AB465" s="28" t="str">
        <x:v>Пара указана в таблице: «Лимон» → колонка «Фрукты».</x:v>
      </x:c>
      <x:c r="AC465" s="28" t="n">
        <x:v>1</x:v>
      </x:c>
      <x:c r="AD465" s="28" t="n">
        <x:v>1</x:v>
      </x:c>
    </x:row>
    <x:row r="466" ht="58" customHeight="1">
      <x:c r="A466" s="28" t="str">
        <x:v>CIT-0465</x:v>
      </x:c>
      <x:c r="B466" s="28" t="str">
        <x:v>Универсальные</x:v>
      </x:c>
      <x:c r="C466" s="28" t="str">
        <x:v>лимон</x:v>
      </x:c>
      <x:c r="D466" s="28" t="str">
        <x:v>lemon</x:v>
      </x:c>
      <x:c r="E466" s="28" t="str">
        <x:v>Цитрусовые</x:v>
      </x:c>
      <x:c r="F466" s="28" t="str">
        <x:v>сок лайма</x:v>
      </x:c>
      <x:c r="G466" s="28" t="str">
        <x:v>lime juice</x:v>
      </x:c>
      <x:c r="H466" s="28" t="str">
        <x:v>Цитрусовые</x:v>
      </x:c>
      <x:c r="I466" s="28" t="str">
        <x:v>цитрусовый, свежий, цветочный, древесный</x:v>
      </x:c>
      <x:c r="J466" s="28" t="str">
        <x:v>цитрусовый, зелёный, травяной, камфорный</x:v>
      </x:c>
      <x:c r="K466" s="28" t="str">
        <x:v>цитраль (гераниаль + нераль), лимонен, гамма-терпинен, бета-пинен</x:v>
      </x:c>
      <x:c r="L466" s="28" t="str">
        <x:v>лимонен, гамма-терпинен, цитраль, бета-пинен, линалол</x:v>
      </x:c>
      <x:c r="M466" s="28" t="str">
        <x:v>цитрусовый</x:v>
      </x:c>
      <x:c r="N466" s="28" t="str">
        <x:v>бета-пинен, гамма-терпинен, лимонен, цитраль</x:v>
      </x:c>
      <x:c r="O466" s="28" t="str">
        <x:v>общие ароматические молекулы, перекрытие ароматических семейств, вкусовой баланс, тройничное восприятие</x:v>
      </x:c>
      <x:c r="P466" s="28" t="str">
        <x:v>Сочетание строится на близком терпеновом профиле; различия в кислотности, горечи и цветочно-зелёных оттенках создают объём.</x:v>
      </x:c>
      <x:c r="Q466" s="28" t="str">
        <x:v>кислота усиливает слюноотделение; кислота усиливает слюноотделение; зелёные терпены создают ощущение прохлады</x:v>
      </x:c>
      <x:c r="R466" s="28" t="str">
        <x:v>сок — водная кислая фаза; цедра — гидрофобное эфирное масло; сок — водная кислая фаза; цедра — масляная терпеновая</x:v>
      </x:c>
      <x:c r="S46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66" s="28" t="str">
        <x:v>Лимон формирует профиль «цитрусовый, свежий, цветочный, древесный»; характерные маркеры: цитраль (гераниаль + нераль), лимонен, гамма-терпинен, бета-пинен. Сок лайма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Лаймовые цитрусы дают более зелёный и камфорный профиль, чем сладкий апельсин.</x:v>
      </x:c>
      <x:c r="U466" s="28" t="str">
        <x:v>Избыток кислоты делает вкус плоско-резким; белая часть кожуры даёт лишнюю горечь.</x:v>
      </x:c>
      <x:c r="V466" s="28" t="str">
        <x:v>мёд или цветочная вода</x:v>
      </x:c>
      <x:c r="W466" s="28" t="str">
        <x:v>цитрусовый кордиал, мармелад, сорбет, салат или купаж соков</x:v>
      </x:c>
      <x:c r="X466" s="28" t="str">
        <x:v>напитки, десерты</x:v>
      </x:c>
      <x:c r="Y466" s="28" t="str">
        <x:v>Средняя</x:v>
      </x:c>
      <x:c r="Z466" s="28" t="str">
        <x:v>The Art &amp; Science of Foodpairing.pdf</x:v>
      </x:c>
      <x:c r="AA466" s="28" t="str">
        <x:v>The Art &amp; Science of Foodpairing.pdf: 87</x:v>
      </x:c>
      <x:c r="AB466" s="28" t="str">
        <x:v>Пара представлена в ароматической диаграмме Foodpairing на странице 87.</x:v>
      </x:c>
      <x:c r="AC466" s="28" t="n">
        <x:v>1</x:v>
      </x:c>
      <x:c r="AD466" s="28" t="n">
        <x:v>1</x:v>
      </x:c>
    </x:row>
    <x:row r="467" ht="58" customHeight="1">
      <x:c r="A467" s="28" t="str">
        <x:v>CIT-0466</x:v>
      </x:c>
      <x:c r="B467" s="28" t="str">
        <x:v>Еда и соусы</x:v>
      </x:c>
      <x:c r="C467" s="28" t="str">
        <x:v>лимон</x:v>
      </x:c>
      <x:c r="D467" s="28" t="str">
        <x:v>Лимон | лимон</x:v>
      </x:c>
      <x:c r="E467" s="28" t="str">
        <x:v>Цитрусовые</x:v>
      </x:c>
      <x:c r="F467" s="28" t="str">
        <x:v>спаржа</x:v>
      </x:c>
      <x:c r="G467" s="28" t="str">
        <x:v>Спаржа | спаржа</x:v>
      </x:c>
      <x:c r="H467" s="28" t="str">
        <x:v>Овощи</x:v>
      </x:c>
      <x:c r="I467" s="28" t="str">
        <x:v>цитрусовый, свежий, цветочный, древесный</x:v>
      </x:c>
      <x:c r="J467" s="28" t="str">
        <x:v>зелёный, землистый, растительный, иногда сернистый</x:v>
      </x:c>
      <x:c r="K467" s="28" t="str">
        <x:v>цитраль (гераниаль + нераль), лимонен, гамма-терпинен, бета-пинен</x:v>
      </x:c>
      <x:c r="L467" s="28" t="str">
        <x:v>C6-альдегиды, метоксипиразины, геосмин (землистые), сернистые соединения</x:v>
      </x:c>
      <x:c r="M467" s="28" t="str">
        <x:v>прямое семейное перекрытие не является главным механизмом</x:v>
      </x:c>
      <x:c r="N467" s="28" t="str">
        <x:v>надёжный общий маркер не заявлен; сочетание объясняется семействами и сенсорным балансом</x:v>
      </x:c>
      <x:c r="O467" s="28" t="str">
        <x:v>вкусовой баланс</x:v>
      </x:c>
      <x:c r="P467" s="28" t="str">
        <x:v>Кислота подчёркивает природную сладость овоща, сокращает землистое/сернистое послевкусие и повышает слюноотделение.</x:v>
      </x:c>
      <x:c r="Q467" s="28" t="str">
        <x:v>кислота усиливает слюноотделение; нет выраженного</x:v>
      </x:c>
      <x:c r="R467" s="28" t="str">
        <x:v>сок — водная кислая фаза; цедра — гидрофобное эфирное масло; водная/крахмальная матрица; масло помогает распределить цедру</x:v>
      </x:c>
      <x:c r="S46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67" s="28" t="str">
        <x:v>Лимон формирует профиль «цитрусовый, свежий, цветочный, древесный»; характерные маркеры: цитраль (гераниаль + нераль), лимонен, гамма-терпинен, бета-пинен. Спаржа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467" s="28" t="str">
        <x:v>Избыток кислоты делает вкус плоско-резким; белая часть кожуры даёт лишнюю горечь.</x:v>
      </x:c>
      <x:c r="V467" s="28" t="str">
        <x:v>оливковое масло или базилик</x:v>
      </x:c>
      <x:c r="W467" s="28" t="str">
        <x:v>винегрет, салат, пюре, запечённое блюдо или овощной соус</x:v>
      </x:c>
      <x:c r="X467" s="28" t="str">
        <x:v>еда, соусы/маринады</x:v>
      </x:c>
      <x:c r="Y467" s="28" t="str">
        <x:v>Высокая</x:v>
      </x:c>
      <x:c r="Z467" s="28" t="str">
        <x:v>Тезариус вкусов (Ники Сегнит)(1).pdf</x:v>
      </x:c>
      <x:c r="AA467" s="28" t="str">
        <x:v>Тезариус вкусов (Ники Сегнит)(1).pdf: 346, 807</x:v>
      </x:c>
      <x:c r="AB467" s="28" t="str">
        <x:v>В своей книге «Итальянский го- рожанин» (Urban Italian) Эндрю Кармелини (Andrew Carmellini) и Гвен Хайман (Gwen Hyman) приходят в восторг от этого сочетания и отмечают, что в ризот- то «лимон прорывается через богатый вкус блюда, открывает вкус спаржи и придает кушанью свежесть». Что мне нравится в их рецепте – так это рачительность! Здесь ничего не пропадает впустую: задеревенелые нижние куски стеблей спаржи используются для придания вкуса бульону, средние участки отваривают, протирают и переме</x:v>
      </x:c>
      <x:c r="AC467" s="28" t="n">
        <x:v>1</x:v>
      </x:c>
      <x:c r="AD467" s="28" t="n">
        <x:v>2</x:v>
      </x:c>
    </x:row>
    <x:row r="468" ht="58" customHeight="1">
      <x:c r="A468" s="28" t="str">
        <x:v>CIT-0467</x:v>
      </x:c>
      <x:c r="B468" s="28" t="str">
        <x:v>Универсальные</x:v>
      </x:c>
      <x:c r="C468" s="28" t="str">
        <x:v>лимон</x:v>
      </x:c>
      <x:c r="D468" s="28" t="str">
        <x:v>lemon</x:v>
      </x:c>
      <x:c r="E468" s="28" t="str">
        <x:v>Цитрусовые</x:v>
      </x:c>
      <x:c r="F468" s="28" t="str">
        <x:v>сушёный орегано</x:v>
      </x:c>
      <x:c r="G468" s="28" t="str">
        <x:v>dried oregano</x:v>
      </x:c>
      <x:c r="H468" s="28" t="str">
        <x:v>Травы</x:v>
      </x:c>
      <x:c r="I468" s="28" t="str">
        <x:v>цитрусовый, свежий, цветочный, древесный</x:v>
      </x:c>
      <x:c r="J468" s="28" t="str">
        <x:v>травяной, хвойный, камфорный, древесный</x:v>
      </x:c>
      <x:c r="K468" s="28" t="str">
        <x:v>цитраль (гераниаль + нераль), лимонен, гамма-терпинен, бета-пинен</x:v>
      </x:c>
      <x:c r="L468" s="28" t="str">
        <x:v>1,8-цинеол, камфора, тимол/карвакрол, альфа-пинен</x:v>
      </x:c>
      <x:c r="M468" s="28" t="str">
        <x:v>древесный</x:v>
      </x:c>
      <x:c r="N468" s="28" t="str">
        <x:v>надёжный общий маркер не заявлен; сочетание объясняется семействами и сенсорным балансом</x:v>
      </x:c>
      <x:c r="O468" s="28" t="str">
        <x:v>перекрытие ароматических семейств, вкусовой баланс, тройничное восприятие</x:v>
      </x:c>
      <x:c r="P468" s="28" t="str">
        <x:v>Кислота усиливает слюноотделение и делает пряный аромат ярче; терпены цитруса образуют мост с эфирными маслами травы или специи.</x:v>
      </x:c>
      <x:c r="Q468" s="28" t="str">
        <x:v>кислота усиливает слюноотделение; камфора и цинеол дают прохладно-камфорное ощущение</x:v>
      </x:c>
      <x:c r="R468" s="28" t="str">
        <x:v>сок — водная кислая фаза; цедра — гидрофобное эфирное масло; эфирные масла лучше раскрываются в жире и спирте</x:v>
      </x:c>
      <x:c r="S46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68" s="28" t="str">
        <x:v>Лимон формирует профиль «цитрусовый, свежий, цветочный, древесный»; характерные маркеры: цитраль (гераниаль + нераль), лимонен, гамма-терпинен, бета-пинен.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U468" s="28" t="str">
        <x:v>Избыток кислоты делает вкус плоско-резким; белая часть кожуры даёт лишнюю горечь; цитрус легко подавляет деликатный аромат партнёра.</x:v>
      </x:c>
      <x:c r="V468" s="28" t="str">
        <x:v>оливковое масло или огурец</x:v>
      </x:c>
      <x:c r="W468" s="28" t="str">
        <x:v>лимонад, кордиал, салатная заправка или зелёный соус</x:v>
      </x:c>
      <x:c r="X468" s="28" t="str">
        <x:v>напитки, еда, соусы/маринады</x:v>
      </x:c>
      <x:c r="Y468" s="28" t="str">
        <x:v>Средняя</x:v>
      </x:c>
      <x:c r="Z468" s="28" t="str">
        <x:v>The Art &amp; Science of Foodpairing.pdf</x:v>
      </x:c>
      <x:c r="AA468" s="28" t="str">
        <x:v>The Art &amp; Science of Foodpairing.pdf: 87</x:v>
      </x:c>
      <x:c r="AB468" s="28" t="str">
        <x:v>Пара представлена в ароматической диаграмме Foodpairing на странице 87.</x:v>
      </x:c>
      <x:c r="AC468" s="28" t="n">
        <x:v>1</x:v>
      </x:c>
      <x:c r="AD468" s="28" t="n">
        <x:v>1</x:v>
      </x:c>
    </x:row>
    <x:row r="469" ht="58" customHeight="1">
      <x:c r="A469" s="28" t="str">
        <x:v>CIT-0468</x:v>
      </x:c>
      <x:c r="B469" s="28" t="str">
        <x:v>Универсальные</x:v>
      </x:c>
      <x:c r="C469" s="28" t="str">
        <x:v>лимон</x:v>
      </x:c>
      <x:c r="D469" s="28" t="str">
        <x:v>лимон</x:v>
      </x:c>
      <x:c r="E469" s="28" t="str">
        <x:v>Цитрусовые</x:v>
      </x:c>
      <x:c r="F469" s="28" t="str">
        <x:v>тархун</x:v>
      </x:c>
      <x:c r="G469" s="28" t="str">
        <x:v>Тархун</x:v>
      </x:c>
      <x:c r="H469" s="28" t="str">
        <x:v>Прочее</x:v>
      </x:c>
      <x:c r="I469" s="28" t="str">
        <x:v>цитрусовый, свежий, цветочный, древесный</x:v>
      </x:c>
      <x:c r="J469" s="28" t="str">
        <x:v>нейтральный/специфический</x:v>
      </x:c>
      <x:c r="K469" s="28" t="str">
        <x:v>цитраль (гераниаль + нераль), лимонен, гамма-терпинен, бета-пинен</x:v>
      </x:c>
      <x:c r="L469" s="28" t="str">
        <x:v>нужен профиль конкретного продукта</x:v>
      </x:c>
      <x:c r="M469" s="28" t="str">
        <x:v>прямое семейное перекрытие не является главным механизмом</x:v>
      </x:c>
      <x:c r="N469" s="28" t="str">
        <x:v>надёжный общий маркер не заявлен; сочетание объясняется семействами и сенсорным балансом</x:v>
      </x:c>
      <x:c r="O469" s="28" t="str">
        <x:v>вкусовой баланс, тройничное восприятие</x:v>
      </x:c>
      <x:c r="P469" s="28" t="str">
        <x:v>Основной эффект определяется ароматическим контрастом и добавлением кислотной свежести; точный баланс зависит от дозировки и матрицы.</x:v>
      </x:c>
      <x:c r="Q469" s="28" t="str">
        <x:v>кислота усиливает слюноотделение; нет данных</x:v>
      </x:c>
      <x:c r="R469" s="28" t="str">
        <x:v>сок — водная кислая фаза; цедра — гидрофобное эфирное масло; зависит от формы продукта</x:v>
      </x:c>
      <x:c r="S46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69" s="28" t="str">
        <x:v>Лимон формирует профиль «цитрусовый, свежий, цветочный, древесный»; характерные маркеры: цитраль (гераниаль + нераль), лимонен, гамма-терпинен, бета-пинен. Тархун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69" s="28" t="str">
        <x:v>Избыток кислоты делает вкус плоско-резким; белая часть кожуры даёт лишнюю горечь.</x:v>
      </x:c>
      <x:c r="V469" s="28" t="str">
        <x:v>мёд или нейтральная жировая основа</x:v>
      </x:c>
      <x:c r="W469" s="28" t="str">
        <x:v>соус, напиток или десерт после пробной дегустации</x:v>
      </x:c>
      <x:c r="X469" s="28" t="str">
        <x:v>универсальное</x:v>
      </x:c>
      <x:c r="Y469" s="28" t="str">
        <x:v>Гипотеза / практическая</x:v>
      </x:c>
      <x:c r="Z469" s="28" t="str">
        <x:v>Таблица сочетания(1).pdf</x:v>
      </x:c>
      <x:c r="AA469" s="28" t="str">
        <x:v>Таблица сочетания(1).pdf: 21</x:v>
      </x:c>
      <x:c r="AB469" s="28" t="str">
        <x:v>Пара указана в таблице: «Тархун» → колонка «Фрукты».</x:v>
      </x:c>
      <x:c r="AC469" s="28" t="n">
        <x:v>1</x:v>
      </x:c>
      <x:c r="AD469" s="28" t="n">
        <x:v>1</x:v>
      </x:c>
    </x:row>
    <x:row r="470" ht="58" customHeight="1">
      <x:c r="A470" s="28" t="str">
        <x:v>CIT-0469</x:v>
      </x:c>
      <x:c r="B470" s="28" t="str">
        <x:v>Универсальные</x:v>
      </x:c>
      <x:c r="C470" s="28" t="str">
        <x:v>лимон</x:v>
      </x:c>
      <x:c r="D470" s="28" t="str">
        <x:v>Лимон | лимон</x:v>
      </x:c>
      <x:c r="E470" s="28" t="str">
        <x:v>Цитрусовые</x:v>
      </x:c>
      <x:c r="F470" s="28" t="str">
        <x:v>тимьян</x:v>
      </x:c>
      <x:c r="G470" s="28" t="str">
        <x:v>Тимьян | тимьян</x:v>
      </x:c>
      <x:c r="H470" s="28" t="str">
        <x:v>Травы</x:v>
      </x:c>
      <x:c r="I470" s="28" t="str">
        <x:v>цитрусовый, свежий, цветочный, древесный</x:v>
      </x:c>
      <x:c r="J470" s="28" t="str">
        <x:v>травяной, хвойный, камфорный, древесный</x:v>
      </x:c>
      <x:c r="K470" s="28" t="str">
        <x:v>цитраль (гераниаль + нераль), лимонен, гамма-терпинен, бета-пинен</x:v>
      </x:c>
      <x:c r="L470" s="28" t="str">
        <x:v>1,8-цинеол, камфора, тимол/карвакрол, альфа-пинен</x:v>
      </x:c>
      <x:c r="M470" s="28" t="str">
        <x:v>древесный</x:v>
      </x:c>
      <x:c r="N470" s="28" t="str">
        <x:v>надёжный общий маркер не заявлен; сочетание объясняется семействами и сенсорным балансом</x:v>
      </x:c>
      <x:c r="O470" s="28" t="str">
        <x:v>перекрытие ароматических семейств, вкусовой баланс, тройничное восприятие</x:v>
      </x:c>
      <x:c r="P470" s="28" t="str">
        <x:v>Кислота усиливает слюноотделение и делает пряный аромат ярче; терпены цитруса образуют мост с эфирными маслами травы или специи.</x:v>
      </x:c>
      <x:c r="Q470" s="28" t="str">
        <x:v>кислота усиливает слюноотделение; камфора и цинеол дают прохладно-камфорное ощущение</x:v>
      </x:c>
      <x:c r="R470" s="28" t="str">
        <x:v>сок — водная кислая фаза; цедра — гидрофобное эфирное масло; эфирные масла лучше раскрываются в жире и спирте</x:v>
      </x:c>
      <x:c r="S47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70" s="28" t="str">
        <x:v>Лимон формирует профиль «цитрусовый, свежий, цветочный, древесный»; характерные маркеры: цитраль (гераниаль + нераль), лимонен, гамма-терпинен, бета-пинен.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U470" s="28" t="str">
        <x:v>Избыток кислоты делает вкус плоско-резким; белая часть кожуры даёт лишнюю горечь; цитрус легко подавляет деликатный аромат партнёра.</x:v>
      </x:c>
      <x:c r="V470" s="28" t="str">
        <x:v>оливковое масло или огурец</x:v>
      </x:c>
      <x:c r="W470" s="28" t="str">
        <x:v>лимонад, кордиал, салатная заправка или зелёный соус</x:v>
      </x:c>
      <x:c r="X470" s="28" t="str">
        <x:v>напитки, еда, соусы/маринады</x:v>
      </x:c>
      <x:c r="Y470" s="28" t="str">
        <x:v>Высокая</x:v>
      </x:c>
      <x:c r="Z470" s="28" t="str">
        <x:v>Таблица сочетания(1).pdf | Тезариус вкусов (Ники Сегнит)(1).pdf</x:v>
      </x:c>
      <x:c r="AA470" s="28" t="str">
        <x:v>Таблица сочетания(1).pdf: 11, 21 | Тезариус вкусов (Ники Сегнит)(1).pdf: 808, 858</x:v>
      </x:c>
      <x:c r="AB470" s="28" t="str">
        <x:v>Популярная пара существует, по меньшей мере, в трех вариантах. Для достижения максимального эффекта тертый тимьян объединяют как с цедрой, так и с соком лимона. Эта смесь отлично идет с рыбой, бараниной или цыпленком или как соус для жареных артишоков. Существует и так называемый лимонный тимьян, растение с мягкими листьями, которые дают во вкусе полную, но нежную и красивую верхнюю лимонную ноту, гармонирующую с травянистой невнятицей в «басах». Такое сочетание обязательно пригодится в любом ме</x:v>
      </x:c>
      <x:c r="AC470" s="28" t="n">
        <x:v>2</x:v>
      </x:c>
      <x:c r="AD470" s="28" t="n">
        <x:v>4</x:v>
      </x:c>
    </x:row>
    <x:row r="471" ht="58" customHeight="1">
      <x:c r="A471" s="28" t="str">
        <x:v>CIT-0470</x:v>
      </x:c>
      <x:c r="B471" s="28" t="str">
        <x:v>Еда и соусы</x:v>
      </x:c>
      <x:c r="C471" s="28" t="str">
        <x:v>лимон</x:v>
      </x:c>
      <x:c r="D471" s="28" t="str">
        <x:v>лимон</x:v>
      </x:c>
      <x:c r="E471" s="28" t="str">
        <x:v>Цитрусовые</x:v>
      </x:c>
      <x:c r="F471" s="28" t="str">
        <x:v>томат</x:v>
      </x:c>
      <x:c r="G471" s="28" t="str">
        <x:v>Томат</x:v>
      </x:c>
      <x:c r="H471" s="28" t="str">
        <x:v>Овощи</x:v>
      </x:c>
      <x:c r="I471" s="28" t="str">
        <x:v>цитрусовый, свежий, цветочный, древесный</x:v>
      </x:c>
      <x:c r="J471" s="28" t="str">
        <x:v>зелёный, землистый, растительный, иногда сернистый</x:v>
      </x:c>
      <x:c r="K471" s="28" t="str">
        <x:v>цитраль (гераниаль + нераль), лимонен, гамма-терпинен, бета-пинен</x:v>
      </x:c>
      <x:c r="L471" s="28" t="str">
        <x:v>C6-альдегиды, метоксипиразины, геосмин (землистые), сернистые соединения</x:v>
      </x:c>
      <x:c r="M471" s="28" t="str">
        <x:v>прямое семейное перекрытие не является главным механизмом</x:v>
      </x:c>
      <x:c r="N471" s="28" t="str">
        <x:v>надёжный общий маркер не заявлен; сочетание объясняется семействами и сенсорным балансом</x:v>
      </x:c>
      <x:c r="O471" s="28" t="str">
        <x:v>вкусовой баланс</x:v>
      </x:c>
      <x:c r="P471" s="28" t="str">
        <x:v>Кислота подчёркивает природную сладость овоща, сокращает землистое/сернистое послевкусие и повышает слюноотделение.</x:v>
      </x:c>
      <x:c r="Q471" s="28" t="str">
        <x:v>кислота усиливает слюноотделение; нет выраженного</x:v>
      </x:c>
      <x:c r="R471" s="28" t="str">
        <x:v>сок — водная кислая фаза; цедра — гидрофобное эфирное масло; водная/крахмальная матрица; масло помогает распределить цедру</x:v>
      </x:c>
      <x:c r="S47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71" s="28" t="str">
        <x:v>Лимон формирует профиль «цитрусовый, свежий, цветочный, древесный»; характерные маркеры: цитраль (гераниаль + нераль), лимонен, гамма-терпинен, бета-пинен. Томат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471" s="28" t="str">
        <x:v>Избыток кислоты делает вкус плоско-резким; белая часть кожуры даёт лишнюю горечь.</x:v>
      </x:c>
      <x:c r="V471" s="28" t="str">
        <x:v>оливковое масло или базилик</x:v>
      </x:c>
      <x:c r="W471" s="28" t="str">
        <x:v>винегрет, салат, пюре, запечённое блюдо или овощной соус</x:v>
      </x:c>
      <x:c r="X471" s="28" t="str">
        <x:v>еда, соусы/маринады</x:v>
      </x:c>
      <x:c r="Y471" s="28" t="str">
        <x:v>Гипотеза / практическая</x:v>
      </x:c>
      <x:c r="Z471" s="28" t="str">
        <x:v>Таблица сочетания(1).pdf</x:v>
      </x:c>
      <x:c r="AA471" s="28" t="str">
        <x:v>Таблица сочетания(1).pdf: 21</x:v>
      </x:c>
      <x:c r="AB471" s="28" t="str">
        <x:v>Пара указана в таблице: «Томат» → колонка «Фрукты».</x:v>
      </x:c>
      <x:c r="AC471" s="28" t="n">
        <x:v>1</x:v>
      </x:c>
      <x:c r="AD471" s="28" t="n">
        <x:v>1</x:v>
      </x:c>
    </x:row>
    <x:row r="472" ht="58" customHeight="1">
      <x:c r="A472" s="28" t="str">
        <x:v>CIT-0471</x:v>
      </x:c>
      <x:c r="B472" s="28" t="str">
        <x:v>Еда и соусы</x:v>
      </x:c>
      <x:c r="C472" s="28" t="str">
        <x:v>лимон</x:v>
      </x:c>
      <x:c r="D472" s="28" t="str">
        <x:v>лимон</x:v>
      </x:c>
      <x:c r="E472" s="28" t="str">
        <x:v>Цитрусовые</x:v>
      </x:c>
      <x:c r="F472" s="28" t="str">
        <x:v>томаты</x:v>
      </x:c>
      <x:c r="G472" s="28" t="str">
        <x:v>Томаты</x:v>
      </x:c>
      <x:c r="H472" s="28" t="str">
        <x:v>Овощи</x:v>
      </x:c>
      <x:c r="I472" s="28" t="str">
        <x:v>цитрусовый, свежий, цветочный, древесный</x:v>
      </x:c>
      <x:c r="J472" s="28" t="str">
        <x:v>зелёный, землистый, растительный, иногда сернистый</x:v>
      </x:c>
      <x:c r="K472" s="28" t="str">
        <x:v>цитраль (гераниаль + нераль), лимонен, гамма-терпинен, бета-пинен</x:v>
      </x:c>
      <x:c r="L472" s="28" t="str">
        <x:v>C6-альдегиды, метоксипиразины, геосмин (землистые), сернистые соединения</x:v>
      </x:c>
      <x:c r="M472" s="28" t="str">
        <x:v>прямое семейное перекрытие не является главным механизмом</x:v>
      </x:c>
      <x:c r="N472" s="28" t="str">
        <x:v>надёжный общий маркер не заявлен; сочетание объясняется семействами и сенсорным балансом</x:v>
      </x:c>
      <x:c r="O472" s="28" t="str">
        <x:v>вкусовой баланс</x:v>
      </x:c>
      <x:c r="P472" s="28" t="str">
        <x:v>Кислота подчёркивает природную сладость овоща, сокращает землистое/сернистое послевкусие и повышает слюноотделение.</x:v>
      </x:c>
      <x:c r="Q472" s="28" t="str">
        <x:v>кислота усиливает слюноотделение; нет выраженного</x:v>
      </x:c>
      <x:c r="R472" s="28" t="str">
        <x:v>сок — водная кислая фаза; цедра — гидрофобное эфирное масло; водная/крахмальная матрица; масло помогает распределить цедру</x:v>
      </x:c>
      <x:c r="S47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72" s="28" t="str">
        <x:v>Лимон формирует профиль «цитрусовый, свежий, цветочный, древесный»; характерные маркеры: цитраль (гераниаль + нераль), лимонен, гамма-терпинен, бета-пинен. Томаты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472" s="28" t="str">
        <x:v>Избыток кислоты делает вкус плоско-резким; белая часть кожуры даёт лишнюю горечь.</x:v>
      </x:c>
      <x:c r="V472" s="28" t="str">
        <x:v>оливковое масло или базилик</x:v>
      </x:c>
      <x:c r="W472" s="28" t="str">
        <x:v>винегрет, салат, пюре, запечённое блюдо или овощной соус</x:v>
      </x:c>
      <x:c r="X472" s="28" t="str">
        <x:v>еда, соусы/маринады</x:v>
      </x:c>
      <x:c r="Y472" s="28" t="str">
        <x:v>Высокая</x:v>
      </x:c>
      <x:c r="Z472" s="28" t="str">
        <x:v>Тезариус вкусов (Ники Сегнит)(1).pdf</x:v>
      </x:c>
      <x:c r="AA472" s="28" t="str">
        <x:v>Тезариус вкусов (Ники Сегнит)(1).pdf: 686</x:v>
      </x:c>
      <x:c r="AB472" s="28" t="str">
        <x:v>Немного лимонного сока устра- нит металлический привкус консервированных томатов. Полезно это помнить, особенно когда вы достаете жестяную банку из глубин кухонного шкафа; вкус консервов меняется с возрастом.</x:v>
      </x:c>
      <x:c r="AC472" s="28" t="n">
        <x:v>1</x:v>
      </x:c>
      <x:c r="AD472" s="28" t="n">
        <x:v>1</x:v>
      </x:c>
    </x:row>
    <x:row r="473" ht="58" customHeight="1">
      <x:c r="A473" s="28" t="str">
        <x:v>CIT-0472</x:v>
      </x:c>
      <x:c r="B473" s="28" t="str">
        <x:v>Универсальные</x:v>
      </x:c>
      <x:c r="C473" s="28" t="str">
        <x:v>лимон</x:v>
      </x:c>
      <x:c r="D473" s="28" t="str">
        <x:v>Лимон | лимон</x:v>
      </x:c>
      <x:c r="E473" s="28" t="str">
        <x:v>Цитрусовые</x:v>
      </x:c>
      <x:c r="F473" s="28" t="str">
        <x:v>укроп</x:v>
      </x:c>
      <x:c r="G473" s="28" t="str">
        <x:v>Укроп | укроп</x:v>
      </x:c>
      <x:c r="H473" s="28" t="str">
        <x:v>Прочее</x:v>
      </x:c>
      <x:c r="I473" s="28" t="str">
        <x:v>цитрусовый, свежий, цветочный, древесный</x:v>
      </x:c>
      <x:c r="J473" s="28" t="str">
        <x:v>нейтральный/специфический</x:v>
      </x:c>
      <x:c r="K473" s="28" t="str">
        <x:v>цитраль (гераниаль + нераль), лимонен, гамма-терпинен, бета-пинен</x:v>
      </x:c>
      <x:c r="L473" s="28" t="str">
        <x:v>нужен профиль конкретного продукта</x:v>
      </x:c>
      <x:c r="M473" s="28" t="str">
        <x:v>прямое семейное перекрытие не является главным механизмом</x:v>
      </x:c>
      <x:c r="N473" s="28" t="str">
        <x:v>надёжный общий маркер не заявлен; сочетание объясняется семействами и сенсорным балансом</x:v>
      </x:c>
      <x:c r="O473" s="28" t="str">
        <x:v>вкусовой баланс, тройничное восприятие</x:v>
      </x:c>
      <x:c r="P473" s="28" t="str">
        <x:v>Основной эффект определяется ароматическим контрастом и добавлением кислотной свежести; точный баланс зависит от дозировки и матрицы.</x:v>
      </x:c>
      <x:c r="Q473" s="28" t="str">
        <x:v>кислота усиливает слюноотделение; нет данных</x:v>
      </x:c>
      <x:c r="R473" s="28" t="str">
        <x:v>сок — водная кислая фаза; цедра — гидрофобное эфирное масло; зависит от формы продукта</x:v>
      </x:c>
      <x:c r="S47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73" s="28" t="str">
        <x:v>Лимон формирует профиль «цитрусовый, свежий, цветочный, древесный»; характерные маркеры: цитраль (гераниаль + нераль), лимонен, гамма-терпинен, бета-пинен. Укроп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73" s="28" t="str">
        <x:v>Избыток кислоты делает вкус плоско-резким; белая часть кожуры даёт лишнюю горечь.</x:v>
      </x:c>
      <x:c r="V473" s="28" t="str">
        <x:v>мёд или нейтральная жировая основа</x:v>
      </x:c>
      <x:c r="W473" s="28" t="str">
        <x:v>соус, напиток или десерт после пробной дегустации</x:v>
      </x:c>
      <x:c r="X473" s="28" t="str">
        <x:v>универсальное</x:v>
      </x:c>
      <x:c r="Y473" s="28" t="str">
        <x:v>Высокая</x:v>
      </x:c>
      <x:c r="Z473" s="28" t="str">
        <x:v>Таблица сочетания(1).pdf | Тезариус вкусов (Ники Сегнит)(1).pdf</x:v>
      </x:c>
      <x:c r="AA473" s="28" t="str">
        <x:v>Таблица сочетания(1).pdf: 7 | Тезариус вкусов (Ники Сегнит)(1).pdf: 503, 809</x:v>
      </x:c>
      <x:c r="AB473" s="28" t="str">
        <x:v>Цитрусовый характер укропа опре- деляется д-лимоненом – веществом, которое содержится в лимоне, и не только в нем. Некоторые обнаруживают во вкусе укропа также апельсиновые или «общецитрусовые» нотки. Сегодня во всем мире сочетание лимона с укропом почти автоматически используется при приготовлении рыбы. Однако в Греции, где это партнерство чрезвычайно популярно, лимон с укропом используют гораздо более широко, в частности с бараниной и с овощами. Пару также добавляют к смеси риса с луком и кедр</x:v>
      </x:c>
      <x:c r="AC473" s="28" t="n">
        <x:v>2</x:v>
      </x:c>
      <x:c r="AD473" s="28" t="n">
        <x:v>3</x:v>
      </x:c>
    </x:row>
    <x:row r="474" ht="58" customHeight="1">
      <x:c r="A474" s="28" t="str">
        <x:v>CIT-0473</x:v>
      </x:c>
      <x:c r="B474" s="28" t="str">
        <x:v>Еда и соусы</x:v>
      </x:c>
      <x:c r="C474" s="28" t="str">
        <x:v>лимон</x:v>
      </x:c>
      <x:c r="D474" s="28" t="str">
        <x:v>Лимон | лимон</x:v>
      </x:c>
      <x:c r="E474" s="28" t="str">
        <x:v>Цитрусовые</x:v>
      </x:c>
      <x:c r="F474" s="28" t="str">
        <x:v>устрицы</x:v>
      </x:c>
      <x:c r="G474" s="28" t="str">
        <x:v>Устрицы | устрицы</x:v>
      </x:c>
      <x:c r="H474" s="28" t="str">
        <x:v>Рыба и морепродукты</x:v>
      </x:c>
      <x:c r="I474" s="28" t="str">
        <x:v>цитрусовый, свежий, цветочный, древесный</x:v>
      </x:c>
      <x:c r="J474" s="28" t="str">
        <x:v>морской, йодистый, зелёный, жирный</x:v>
      </x:c>
      <x:c r="K474" s="28" t="str">
        <x:v>цитраль (гераниаль + нераль), лимонен, гамма-терпинен, бета-пинен</x:v>
      </x:c>
      <x:c r="L474" s="28" t="str">
        <x:v>альдегиды окисления липидов, бромфенолы, диметилсульфид, умами-соединения</x:v>
      </x:c>
      <x:c r="M474" s="28" t="str">
        <x:v>прямое семейное перекрытие не является главным механизмом</x:v>
      </x:c>
      <x:c r="N474" s="28" t="str">
        <x:v>надёжный общий маркер не заявлен; сочетание объясняется семействами и сенсорным балансом</x:v>
      </x:c>
      <x:c r="O474" s="28" t="str">
        <x:v>вкусовой баланс, влияние матрицы/растворимости</x:v>
      </x:c>
      <x:c r="P474" s="28" t="str">
        <x:v>Кислотность и лёгкая горечь цитруса снижают ощущение жирности; соль и умами, в свою очередь, делают фруктовую часть менее резкой.</x:v>
      </x:c>
      <x:c r="Q474" s="28" t="str">
        <x:v>кислота усиливает слюноотделение; нет выраженного</x:v>
      </x:c>
      <x:c r="R474" s="28" t="str">
        <x:v>сок — водная кислая фаза; цедра — гидрофобное эфирное масло; кислота может денатурировать поверхностные белки; жир рыбы удерживает терпены</x:v>
      </x:c>
      <x:c r="S47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474" s="28" t="str">
        <x:v>Лимон формирует профиль «цитрусовый, свежий, цветочный, древесный»; характерные маркеры: цитраль (гераниаль + нераль), лимонен, гамма-терпинен, бета-пинен. Устрицы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U474" s="28" t="str">
        <x:v>Избыток кислоты делает вкус плоско-резким; белая часть кожуры даёт лишнюю горечь; слишком долгая маринация ухудшает текстуру.</x:v>
      </x:c>
      <x:c r="V474" s="28" t="str">
        <x:v>кинза или фенхель</x:v>
      </x:c>
      <x:c r="W474" s="28" t="str">
        <x:v>севиче, маринад, beurre blanc, тартар или салат</x:v>
      </x:c>
      <x:c r="X474" s="28" t="str">
        <x:v>еда, соусы/маринады</x:v>
      </x:c>
      <x:c r="Y474" s="28" t="str">
        <x:v>Высокая</x:v>
      </x:c>
      <x:c r="Z474" s="28" t="str">
        <x:v>Тезариус вкусов (Ники Сегнит)(1).pdf</x:v>
      </x:c>
      <x:c r="AA474" s="28" t="str">
        <x:v>Тезариус вкусов (Ники Сегнит)(1).pdf: 398, 809</x:v>
      </x:c>
      <x:c r="AB474" s="28" t="str">
        <x:v>Пуристы от устриц воротят носы от уксуса с луком-шалотом или соуса табаско: по их мнению, сырая устрица должна быть съедена «соло», даже без лимона. Но я не пурист. Для меня съесть устрицу – это все равно что сбросить всю одежду и сигануть с края волнолома в воду. Лимонный сок освежает вкусовые ощущения, прокладывая путь бодрящему всплеску минеральности устрицы. Лимонный сок также освежает устриц в панировке из кукурузной муки, обжаренных во фритюре в стиле «Дальнего Юга».</x:v>
      </x:c>
      <x:c r="AC474" s="28" t="n">
        <x:v>1</x:v>
      </x:c>
      <x:c r="AD474" s="28" t="n">
        <x:v>2</x:v>
      </x:c>
    </x:row>
    <x:row r="475" ht="58" customHeight="1">
      <x:c r="A475" s="28" t="str">
        <x:v>CIT-0474</x:v>
      </x:c>
      <x:c r="B475" s="28" t="str">
        <x:v>Универсальные</x:v>
      </x:c>
      <x:c r="C475" s="28" t="str">
        <x:v>лимон</x:v>
      </x:c>
      <x:c r="D475" s="28" t="str">
        <x:v>лимон</x:v>
      </x:c>
      <x:c r="E475" s="28" t="str">
        <x:v>Цитрусовые</x:v>
      </x:c>
      <x:c r="F475" s="28" t="str">
        <x:v>фенхель</x:v>
      </x:c>
      <x:c r="G475" s="28" t="str">
        <x:v>Фенхель</x:v>
      </x:c>
      <x:c r="H475" s="28" t="str">
        <x:v>Пряности/травы</x:v>
      </x:c>
      <x:c r="I475" s="28" t="str">
        <x:v>цитрусовый, свежий, цветочный, древесный</x:v>
      </x:c>
      <x:c r="J475" s="28" t="str">
        <x:v>анисовый, сладко-пряный, зелёный</x:v>
      </x:c>
      <x:c r="K475" s="28" t="str">
        <x:v>цитраль (гераниаль + нераль), лимонен, гамма-терпинен, бета-пинен</x:v>
      </x:c>
      <x:c r="L475" s="28" t="str">
        <x:v>транс-анетол, фенхон, эстрагол</x:v>
      </x:c>
      <x:c r="M475" s="28" t="str">
        <x:v>прямое семейное перекрытие не является главным механизмом</x:v>
      </x:c>
      <x:c r="N475" s="28" t="str">
        <x:v>надёжный общий маркер не заявлен; сочетание объясняется семействами и сенсорным балансом</x:v>
      </x:c>
      <x:c r="O475" s="28" t="str">
        <x:v>вкусовой баланс, тройничное восприятие</x:v>
      </x:c>
      <x:c r="P475" s="28" t="str">
        <x:v>Основной эффект определяется ароматическим контрастом и добавлением кислотной свежести; точный баланс зависит от дозировки и матрицы.</x:v>
      </x:c>
      <x:c r="Q475" s="28" t="str">
        <x:v>кислота усиливает слюноотделение; анетол создаёт охлаждающе-сладкое впечатление</x:v>
      </x:c>
      <x:c r="R475" s="28" t="str">
        <x:v>сок — водная кислая фаза; цедра — гидрофобное эфирное масло; анетол гидрофобен и мутнеет при разбавлении спиртовых настоев водой</x:v>
      </x:c>
      <x:c r="S47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75" s="28" t="str">
        <x:v>Лимон формирует профиль «цитрусовый, свежий, цветочный, древесный»; характерные маркеры: цитраль (гераниаль + нераль), лимонен, гамма-терпинен, бета-пинен. Фенхель относится к группе «пряности/травы» и даёт ноты «анисовый, сладко-пряный,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Анисовые соединения дают сильный ароматический мост с цветочными и цитрусовыми терпенами.</x:v>
      </x:c>
      <x:c r="U475" s="28" t="str">
        <x:v>Избыток кислоты делает вкус плоско-резким; белая часть кожуры даёт лишнюю горечь.</x:v>
      </x:c>
      <x:c r="V475" s="28" t="str">
        <x:v>мёд или нейтральная жировая основа</x:v>
      </x:c>
      <x:c r="W475" s="28" t="str">
        <x:v>соус, напиток или десерт после пробной дегустации</x:v>
      </x:c>
      <x:c r="X475" s="28" t="str">
        <x:v>универсальное</x:v>
      </x:c>
      <x:c r="Y475" s="28" t="str">
        <x:v>Гипотеза / практическая</x:v>
      </x:c>
      <x:c r="Z475" s="28" t="str">
        <x:v>Таблица сочетания(1).pdf</x:v>
      </x:c>
      <x:c r="AA475" s="28" t="str">
        <x:v>Таблица сочетания(1).pdf: 8</x:v>
      </x:c>
      <x:c r="AB475" s="28" t="str">
        <x:v>Пара указана в таблице: «Фенхель» → колонка «Фрукты».</x:v>
      </x:c>
      <x:c r="AC475" s="28" t="n">
        <x:v>1</x:v>
      </x:c>
      <x:c r="AD475" s="28" t="n">
        <x:v>1</x:v>
      </x:c>
    </x:row>
    <x:row r="476" ht="58" customHeight="1">
      <x:c r="A476" s="28" t="str">
        <x:v>CIT-0475</x:v>
      </x:c>
      <x:c r="B476" s="28" t="str">
        <x:v>Универсальные</x:v>
      </x:c>
      <x:c r="C476" s="28" t="str">
        <x:v>лимон</x:v>
      </x:c>
      <x:c r="D476" s="28" t="str">
        <x:v>лимон</x:v>
      </x:c>
      <x:c r="E476" s="28" t="str">
        <x:v>Цитрусовые</x:v>
      </x:c>
      <x:c r="F476" s="28" t="str">
        <x:v>фиалка</x:v>
      </x:c>
      <x:c r="G476" s="28" t="str">
        <x:v>Фиалка</x:v>
      </x:c>
      <x:c r="H476" s="28" t="str">
        <x:v>Прочее</x:v>
      </x:c>
      <x:c r="I476" s="28" t="str">
        <x:v>цитрусовый, свежий, цветочный, древесный</x:v>
      </x:c>
      <x:c r="J476" s="28" t="str">
        <x:v>нейтральный/специфический</x:v>
      </x:c>
      <x:c r="K476" s="28" t="str">
        <x:v>цитраль (гераниаль + нераль), лимонен, гамма-терпинен, бета-пинен</x:v>
      </x:c>
      <x:c r="L476" s="28" t="str">
        <x:v>нужен профиль конкретного продукта</x:v>
      </x:c>
      <x:c r="M476" s="28" t="str">
        <x:v>прямое семейное перекрытие не является главным механизмом</x:v>
      </x:c>
      <x:c r="N476" s="28" t="str">
        <x:v>надёжный общий маркер не заявлен; сочетание объясняется семействами и сенсорным балансом</x:v>
      </x:c>
      <x:c r="O476" s="28" t="str">
        <x:v>вкусовой баланс, тройничное восприятие</x:v>
      </x:c>
      <x:c r="P476" s="28" t="str">
        <x:v>Основной эффект определяется ароматическим контрастом и добавлением кислотной свежести; точный баланс зависит от дозировки и матрицы.</x:v>
      </x:c>
      <x:c r="Q476" s="28" t="str">
        <x:v>кислота усиливает слюноотделение; нет данных</x:v>
      </x:c>
      <x:c r="R476" s="28" t="str">
        <x:v>сок — водная кислая фаза; цедра — гидрофобное эфирное масло; зависит от формы продукта</x:v>
      </x:c>
      <x:c r="S47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76" s="28" t="str">
        <x:v>Лимон формирует профиль «цитрусовый, свежий, цветочный, древесный»; характерные маркеры: цитраль (гераниаль + нераль), лимонен, гамма-терпинен, бета-пинен. Фиалка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76" s="28" t="str">
        <x:v>Избыток кислоты делает вкус плоско-резким; белая часть кожуры даёт лишнюю горечь.</x:v>
      </x:c>
      <x:c r="V476" s="28" t="str">
        <x:v>мёд или нейтральная жировая основа</x:v>
      </x:c>
      <x:c r="W476" s="28" t="str">
        <x:v>соус, напиток или десерт после пробной дегустации</x:v>
      </x:c>
      <x:c r="X476" s="28" t="str">
        <x:v>универсальное</x:v>
      </x:c>
      <x:c r="Y476" s="28" t="str">
        <x:v>Гипотеза / практическая</x:v>
      </x:c>
      <x:c r="Z476" s="28" t="str">
        <x:v>Таблица сочетания(1).pdf</x:v>
      </x:c>
      <x:c r="AA476" s="28" t="str">
        <x:v>Таблица сочетания(1).pdf: 21</x:v>
      </x:c>
      <x:c r="AB476" s="28" t="str">
        <x:v>Пара указана в таблице: «Фиалка» → колонка «Фрукты».</x:v>
      </x:c>
      <x:c r="AC476" s="28" t="n">
        <x:v>1</x:v>
      </x:c>
      <x:c r="AD476" s="28" t="n">
        <x:v>1</x:v>
      </x:c>
    </x:row>
    <x:row r="477" ht="58" customHeight="1">
      <x:c r="A477" s="28" t="str">
        <x:v>CIT-0476</x:v>
      </x:c>
      <x:c r="B477" s="28" t="str">
        <x:v>Универсальные</x:v>
      </x:c>
      <x:c r="C477" s="28" t="str">
        <x:v>лимон</x:v>
      </x:c>
      <x:c r="D477" s="28" t="str">
        <x:v>lemon</x:v>
      </x:c>
      <x:c r="E477" s="28" t="str">
        <x:v>Цитрусовые</x:v>
      </x:c>
      <x:c r="F477" s="28" t="str">
        <x:v>финик</x:v>
      </x:c>
      <x:c r="G477" s="28" t="str">
        <x:v>date</x:v>
      </x:c>
      <x:c r="H477" s="28" t="str">
        <x:v>Прочее</x:v>
      </x:c>
      <x:c r="I477" s="28" t="str">
        <x:v>цитрусовый, свежий, цветочный, древесный</x:v>
      </x:c>
      <x:c r="J477" s="28" t="str">
        <x:v>нейтральный/специфический</x:v>
      </x:c>
      <x:c r="K477" s="28" t="str">
        <x:v>цитраль (гераниаль + нераль), лимонен, гамма-терпинен, бета-пинен</x:v>
      </x:c>
      <x:c r="L477" s="28" t="str">
        <x:v>нужен профиль конкретного продукта</x:v>
      </x:c>
      <x:c r="M477" s="28" t="str">
        <x:v>прямое семейное перекрытие не является главным механизмом</x:v>
      </x:c>
      <x:c r="N477" s="28" t="str">
        <x:v>надёжный общий маркер не заявлен; сочетание объясняется семействами и сенсорным балансом</x:v>
      </x:c>
      <x:c r="O477" s="28" t="str">
        <x:v>вкусовой баланс, тройничное восприятие</x:v>
      </x:c>
      <x:c r="P477" s="28" t="str">
        <x:v>Основной эффект определяется ароматическим контрастом и добавлением кислотной свежести; точный баланс зависит от дозировки и матрицы.</x:v>
      </x:c>
      <x:c r="Q477" s="28" t="str">
        <x:v>кислота усиливает слюноотделение; нет данных</x:v>
      </x:c>
      <x:c r="R477" s="28" t="str">
        <x:v>сок — водная кислая фаза; цедра — гидрофобное эфирное масло; зависит от формы продукта</x:v>
      </x:c>
      <x:c r="S47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77" s="28" t="str">
        <x:v>Лимон формирует профиль «цитрусовый, свежий, цветочный, древесный»; характерные маркеры: цитраль (гераниаль + нераль), лимонен, гамма-терпинен, бета-пинен. Финик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77" s="28" t="str">
        <x:v>Избыток кислоты делает вкус плоско-резким; белая часть кожуры даёт лишнюю горечь.</x:v>
      </x:c>
      <x:c r="V477" s="28" t="str">
        <x:v>мёд или нейтральная жировая основа</x:v>
      </x:c>
      <x:c r="W477" s="28" t="str">
        <x:v>соус, напиток или десерт после пробной дегустации</x:v>
      </x:c>
      <x:c r="X477" s="28" t="str">
        <x:v>универсальное</x:v>
      </x:c>
      <x:c r="Y477" s="28" t="str">
        <x:v>Средняя</x:v>
      </x:c>
      <x:c r="Z477" s="28" t="str">
        <x:v>The Art &amp; Science of Foodpairing.pdf</x:v>
      </x:c>
      <x:c r="AA477" s="28" t="str">
        <x:v>The Art &amp; Science of Foodpairing.pdf: 82</x:v>
      </x:c>
      <x:c r="AB477" s="28" t="str">
        <x:v>Пара представлена в ароматической диаграмме Foodpairing на странице 82.</x:v>
      </x:c>
      <x:c r="AC477" s="28" t="n">
        <x:v>1</x:v>
      </x:c>
      <x:c r="AD477" s="28" t="n">
        <x:v>1</x:v>
      </x:c>
    </x:row>
    <x:row r="478" ht="58" customHeight="1">
      <x:c r="A478" s="28" t="str">
        <x:v>CIT-0477</x:v>
      </x:c>
      <x:c r="B478" s="28" t="str">
        <x:v>Десерты и выпечка</x:v>
      </x:c>
      <x:c r="C478" s="28" t="str">
        <x:v>лимон</x:v>
      </x:c>
      <x:c r="D478" s="28" t="str">
        <x:v>Лимон</x:v>
      </x:c>
      <x:c r="E478" s="28" t="str">
        <x:v>Цитрусовые</x:v>
      </x:c>
      <x:c r="F478" s="28" t="str">
        <x:v>фисташка</x:v>
      </x:c>
      <x:c r="G478" s="28" t="str">
        <x:v>фисташка</x:v>
      </x:c>
      <x:c r="H478" s="28" t="str">
        <x:v>Орехи и семена</x:v>
      </x:c>
      <x:c r="I478" s="28" t="str">
        <x:v>цитрусовый, свежий, цветочный, древесный</x:v>
      </x:c>
      <x:c r="J478" s="28" t="str">
        <x:v>ореховый, обжаренный, жирный, зелёный</x:v>
      </x:c>
      <x:c r="K478" s="28" t="str">
        <x:v>цитраль (гераниаль + нераль), лимонен, гамма-терпинен, бета-пинен</x:v>
      </x:c>
      <x:c r="L478" s="28" t="str">
        <x:v>пиразины, альдегиды окисления жиров, бензальдегид (миндаль)</x:v>
      </x:c>
      <x:c r="M478" s="28" t="str">
        <x:v>прямое семейное перекрытие не является главным механизмом</x:v>
      </x:c>
      <x:c r="N478" s="28" t="str">
        <x:v>надёжный общий маркер не заявлен; сочетание объясняется семействами и сенсорным балансом</x:v>
      </x:c>
      <x:c r="O478" s="28" t="str">
        <x:v>вкусовой баланс, влияние матрицы/растворимости</x:v>
      </x:c>
      <x:c r="P478" s="28" t="str">
        <x:v>Кислотность и лёгкая горечь цитруса снижают ощущение жирности; соль и умами, в свою очередь, делают фруктовую часть менее резкой.</x:v>
      </x:c>
      <x:c r="Q478" s="28" t="str">
        <x:v>кислота усиливает слюноотделение; нет выраженного</x:v>
      </x:c>
      <x:c r="R478" s="28" t="str">
        <x:v>сок — водная кислая фаза; цедра — гидрофобное эфирное масло; высокая жирность растворяет терпеновые масла цитруса</x:v>
      </x:c>
      <x:c r="S47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478" s="28" t="str">
        <x:v>Лимон формирует профиль «цитрусовый, свежий, цветочный, древесный»; характерные маркеры: цитраль (гераниаль + нераль), лимонен, гамма-терпинен, бета-пинен. Фисташка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U478" s="28" t="str">
        <x:v>Избыток кислоты делает вкус плоско-резким; белая часть кожуры даёт лишнюю горечь.</x:v>
      </x:c>
      <x:c r="V478" s="28" t="str">
        <x:v>мёд или шоколад</x:v>
      </x:c>
      <x:c r="W478" s="28" t="str">
        <x:v>пралине, крем, выпечка, салат или ореховый соус</x:v>
      </x:c>
      <x:c r="X478" s="28" t="str">
        <x:v>десерты</x:v>
      </x:c>
      <x:c r="Y478" s="28" t="str">
        <x:v>Гипотеза / практическая</x:v>
      </x:c>
      <x:c r="Z478" s="28" t="str">
        <x:v>Таблица сочетания(1).pdf</x:v>
      </x:c>
      <x:c r="AA478" s="28" t="str">
        <x:v>Таблица сочетания(1).pdf: 11</x:v>
      </x:c>
      <x:c r="AB478" s="28" t="str">
        <x:v>Пара указана в таблице: «Лимон» → колонка «Другое».</x:v>
      </x:c>
      <x:c r="AC478" s="28" t="n">
        <x:v>1</x:v>
      </x:c>
      <x:c r="AD478" s="28" t="n">
        <x:v>1</x:v>
      </x:c>
    </x:row>
    <x:row r="479" ht="58" customHeight="1">
      <x:c r="A479" s="28" t="str">
        <x:v>CIT-0478</x:v>
      </x:c>
      <x:c r="B479" s="28" t="str">
        <x:v>Универсальные</x:v>
      </x:c>
      <x:c r="C479" s="28" t="str">
        <x:v>лимон</x:v>
      </x:c>
      <x:c r="D479" s="28" t="str">
        <x:v>lemon</x:v>
      </x:c>
      <x:c r="E479" s="28" t="str">
        <x:v>Цитрусовые</x:v>
      </x:c>
      <x:c r="F479" s="28" t="str">
        <x:v>фризе</x:v>
      </x:c>
      <x:c r="G479" s="28" t="str">
        <x:v>frisee</x:v>
      </x:c>
      <x:c r="H479" s="28" t="str">
        <x:v>Прочее</x:v>
      </x:c>
      <x:c r="I479" s="28" t="str">
        <x:v>цитрусовый, свежий, цветочный, древесный</x:v>
      </x:c>
      <x:c r="J479" s="28" t="str">
        <x:v>нейтральный/специфический</x:v>
      </x:c>
      <x:c r="K479" s="28" t="str">
        <x:v>цитраль (гераниаль + нераль), лимонен, гамма-терпинен, бета-пинен</x:v>
      </x:c>
      <x:c r="L479" s="28" t="str">
        <x:v>нужен профиль конкретного продукта</x:v>
      </x:c>
      <x:c r="M479" s="28" t="str">
        <x:v>прямое семейное перекрытие не является главным механизмом</x:v>
      </x:c>
      <x:c r="N479" s="28" t="str">
        <x:v>надёжный общий маркер не заявлен; сочетание объясняется семействами и сенсорным балансом</x:v>
      </x:c>
      <x:c r="O479" s="28" t="str">
        <x:v>вкусовой баланс, тройничное восприятие</x:v>
      </x:c>
      <x:c r="P479" s="28" t="str">
        <x:v>Основной эффект определяется ароматическим контрастом и добавлением кислотной свежести; точный баланс зависит от дозировки и матрицы.</x:v>
      </x:c>
      <x:c r="Q479" s="28" t="str">
        <x:v>кислота усиливает слюноотделение; нет данных</x:v>
      </x:c>
      <x:c r="R479" s="28" t="str">
        <x:v>сок — водная кислая фаза; цедра — гидрофобное эфирное масло; зависит от формы продукта</x:v>
      </x:c>
      <x:c r="S47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79" s="28" t="str">
        <x:v>Лимон формирует профиль «цитрусовый, свежий, цветочный, древесный»; характерные маркеры: цитраль (гераниаль + нераль), лимонен, гамма-терпинен, бета-пинен. Фризе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79" s="28" t="str">
        <x:v>Избыток кислоты делает вкус плоско-резким; белая часть кожуры даёт лишнюю горечь.</x:v>
      </x:c>
      <x:c r="V479" s="28" t="str">
        <x:v>мёд или нейтральная жировая основа</x:v>
      </x:c>
      <x:c r="W479" s="28" t="str">
        <x:v>соус, напиток или десерт после пробной дегустации</x:v>
      </x:c>
      <x:c r="X479" s="28" t="str">
        <x:v>универсальное</x:v>
      </x:c>
      <x:c r="Y479" s="28" t="str">
        <x:v>Средняя</x:v>
      </x:c>
      <x:c r="Z479" s="28" t="str">
        <x:v>The Art &amp; Science of Foodpairing.pdf</x:v>
      </x:c>
      <x:c r="AA479" s="28" t="str">
        <x:v>The Art &amp; Science of Foodpairing.pdf: 88</x:v>
      </x:c>
      <x:c r="AB479" s="28" t="str">
        <x:v>Пара представлена в ароматической диаграмме Foodpairing на странице 88.</x:v>
      </x:c>
      <x:c r="AC479" s="28" t="n">
        <x:v>1</x:v>
      </x:c>
      <x:c r="AD479" s="28" t="n">
        <x:v>2</x:v>
      </x:c>
    </x:row>
    <x:row r="480" ht="58" customHeight="1">
      <x:c r="A480" s="28" t="str">
        <x:v>CIT-0479</x:v>
      </x:c>
      <x:c r="B480" s="28" t="str">
        <x:v>Десерты и выпечка</x:v>
      </x:c>
      <x:c r="C480" s="28" t="str">
        <x:v>лимон</x:v>
      </x:c>
      <x:c r="D480" s="28" t="str">
        <x:v>Лимон</x:v>
      </x:c>
      <x:c r="E480" s="28" t="str">
        <x:v>Цитрусовые</x:v>
      </x:c>
      <x:c r="F480" s="28" t="str">
        <x:v>фундук</x:v>
      </x:c>
      <x:c r="G480" s="28" t="str">
        <x:v>фундук</x:v>
      </x:c>
      <x:c r="H480" s="28" t="str">
        <x:v>Орехи и семена</x:v>
      </x:c>
      <x:c r="I480" s="28" t="str">
        <x:v>цитрусовый, свежий, цветочный, древесный</x:v>
      </x:c>
      <x:c r="J480" s="28" t="str">
        <x:v>ореховый, обжаренный, жирный, зелёный</x:v>
      </x:c>
      <x:c r="K480" s="28" t="str">
        <x:v>цитраль (гераниаль + нераль), лимонен, гамма-терпинен, бета-пинен</x:v>
      </x:c>
      <x:c r="L480" s="28" t="str">
        <x:v>пиразины, альдегиды окисления жиров, бензальдегид (миндаль)</x:v>
      </x:c>
      <x:c r="M480" s="28" t="str">
        <x:v>прямое семейное перекрытие не является главным механизмом</x:v>
      </x:c>
      <x:c r="N480" s="28" t="str">
        <x:v>надёжный общий маркер не заявлен; сочетание объясняется семействами и сенсорным балансом</x:v>
      </x:c>
      <x:c r="O480" s="28" t="str">
        <x:v>вкусовой баланс, влияние матрицы/растворимости</x:v>
      </x:c>
      <x:c r="P480" s="28" t="str">
        <x:v>Кислотность и лёгкая горечь цитруса снижают ощущение жирности; соль и умами, в свою очередь, делают фруктовую часть менее резкой.</x:v>
      </x:c>
      <x:c r="Q480" s="28" t="str">
        <x:v>кислота усиливает слюноотделение; нет выраженного</x:v>
      </x:c>
      <x:c r="R480" s="28" t="str">
        <x:v>сок — водная кислая фаза; цедра — гидрофобное эфирное масло; высокая жирность растворяет терпеновые масла цитруса</x:v>
      </x:c>
      <x:c r="S480"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480" s="28" t="str">
        <x:v>Лимон формирует профиль «цитрусовый, свежий, цветочный, древесный»; характерные маркеры: цитраль (гераниаль + нераль), лимонен, гамма-терпинен, бета-пинен. Фундук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U480" s="28" t="str">
        <x:v>Избыток кислоты делает вкус плоско-резким; белая часть кожуры даёт лишнюю горечь.</x:v>
      </x:c>
      <x:c r="V480" s="28" t="str">
        <x:v>мёд или шоколад</x:v>
      </x:c>
      <x:c r="W480" s="28" t="str">
        <x:v>пралине, крем, выпечка, салат или ореховый соус</x:v>
      </x:c>
      <x:c r="X480" s="28" t="str">
        <x:v>десерты</x:v>
      </x:c>
      <x:c r="Y480" s="28" t="str">
        <x:v>Гипотеза / практическая</x:v>
      </x:c>
      <x:c r="Z480" s="28" t="str">
        <x:v>Таблица сочетания(1).pdf</x:v>
      </x:c>
      <x:c r="AA480" s="28" t="str">
        <x:v>Таблица сочетания(1).pdf: 11</x:v>
      </x:c>
      <x:c r="AB480" s="28" t="str">
        <x:v>Пара указана в таблице: «Лимон» → колонка «Другое».</x:v>
      </x:c>
      <x:c r="AC480" s="28" t="n">
        <x:v>1</x:v>
      </x:c>
      <x:c r="AD480" s="28" t="n">
        <x:v>1</x:v>
      </x:c>
    </x:row>
    <x:row r="481" ht="58" customHeight="1">
      <x:c r="A481" s="28" t="str">
        <x:v>CIT-0480</x:v>
      </x:c>
      <x:c r="B481" s="28" t="str">
        <x:v>Универсальные</x:v>
      </x:c>
      <x:c r="C481" s="28" t="str">
        <x:v>лимон</x:v>
      </x:c>
      <x:c r="D481" s="28" t="str">
        <x:v>лимон</x:v>
      </x:c>
      <x:c r="E481" s="28" t="str">
        <x:v>Цитрусовые</x:v>
      </x:c>
      <x:c r="F481" s="28" t="str">
        <x:v>хурма</x:v>
      </x:c>
      <x:c r="G481" s="28" t="str">
        <x:v>Хурма</x:v>
      </x:c>
      <x:c r="H481" s="28" t="str">
        <x:v>Прочее</x:v>
      </x:c>
      <x:c r="I481" s="28" t="str">
        <x:v>цитрусовый, свежий, цветочный, древесный</x:v>
      </x:c>
      <x:c r="J481" s="28" t="str">
        <x:v>нейтральный/специфический</x:v>
      </x:c>
      <x:c r="K481" s="28" t="str">
        <x:v>цитраль (гераниаль + нераль), лимонен, гамма-терпинен, бета-пинен</x:v>
      </x:c>
      <x:c r="L481" s="28" t="str">
        <x:v>нужен профиль конкретного продукта</x:v>
      </x:c>
      <x:c r="M481" s="28" t="str">
        <x:v>прямое семейное перекрытие не является главным механизмом</x:v>
      </x:c>
      <x:c r="N481" s="28" t="str">
        <x:v>надёжный общий маркер не заявлен; сочетание объясняется семействами и сенсорным балансом</x:v>
      </x:c>
      <x:c r="O481" s="28" t="str">
        <x:v>вкусовой баланс, тройничное восприятие</x:v>
      </x:c>
      <x:c r="P481" s="28" t="str">
        <x:v>Основной эффект определяется ароматическим контрастом и добавлением кислотной свежести; точный баланс зависит от дозировки и матрицы.</x:v>
      </x:c>
      <x:c r="Q481" s="28" t="str">
        <x:v>кислота усиливает слюноотделение; нет данных</x:v>
      </x:c>
      <x:c r="R481" s="28" t="str">
        <x:v>сок — водная кислая фаза; цедра — гидрофобное эфирное масло; зависит от формы продукта</x:v>
      </x:c>
      <x:c r="S48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81" s="28" t="str">
        <x:v>Лимон формирует профиль «цитрусовый, свежий, цветочный, древесный»; характерные маркеры: цитраль (гераниаль + нераль), лимонен, гамма-терпинен, бета-пинен. Хурма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81" s="28" t="str">
        <x:v>Избыток кислоты делает вкус плоско-резким; белая часть кожуры даёт лишнюю горечь.</x:v>
      </x:c>
      <x:c r="V481" s="28" t="str">
        <x:v>мёд или нейтральная жировая основа</x:v>
      </x:c>
      <x:c r="W481" s="28" t="str">
        <x:v>соус, напиток или десерт после пробной дегустации</x:v>
      </x:c>
      <x:c r="X481" s="28" t="str">
        <x:v>универсальное</x:v>
      </x:c>
      <x:c r="Y481" s="28" t="str">
        <x:v>Гипотеза / практическая</x:v>
      </x:c>
      <x:c r="Z481" s="28" t="str">
        <x:v>Таблица сочетания(1).pdf</x:v>
      </x:c>
      <x:c r="AA481" s="28" t="str">
        <x:v>Таблица сочетания(1).pdf: 16</x:v>
      </x:c>
      <x:c r="AB481" s="28" t="str">
        <x:v>Пара указана в таблице: «Хурма» → колонка «Фрукты».</x:v>
      </x:c>
      <x:c r="AC481" s="28" t="n">
        <x:v>1</x:v>
      </x:c>
      <x:c r="AD481" s="28" t="n">
        <x:v>1</x:v>
      </x:c>
    </x:row>
    <x:row r="482" ht="58" customHeight="1">
      <x:c r="A482" s="28" t="str">
        <x:v>CIT-0481</x:v>
      </x:c>
      <x:c r="B482" s="28" t="str">
        <x:v>Универсальные</x:v>
      </x:c>
      <x:c r="C482" s="28" t="str">
        <x:v>лимон</x:v>
      </x:c>
      <x:c r="D482" s="28" t="str">
        <x:v>Лимон</x:v>
      </x:c>
      <x:c r="E482" s="28" t="str">
        <x:v>Цитрусовые</x:v>
      </x:c>
      <x:c r="F482" s="28" t="str">
        <x:v>цветы</x:v>
      </x:c>
      <x:c r="G482" s="28" t="str">
        <x:v>цветы</x:v>
      </x:c>
      <x:c r="H482" s="28" t="str">
        <x:v>Прочее</x:v>
      </x:c>
      <x:c r="I482" s="28" t="str">
        <x:v>цитрусовый, свежий, цветочный, древесный</x:v>
      </x:c>
      <x:c r="J482" s="28" t="str">
        <x:v>нейтральный/специфический</x:v>
      </x:c>
      <x:c r="K482" s="28" t="str">
        <x:v>цитраль (гераниаль + нераль), лимонен, гамма-терпинен, бета-пинен</x:v>
      </x:c>
      <x:c r="L482" s="28" t="str">
        <x:v>нужен профиль конкретного продукта</x:v>
      </x:c>
      <x:c r="M482" s="28" t="str">
        <x:v>прямое семейное перекрытие не является главным механизмом</x:v>
      </x:c>
      <x:c r="N482" s="28" t="str">
        <x:v>надёжный общий маркер не заявлен; сочетание объясняется семействами и сенсорным балансом</x:v>
      </x:c>
      <x:c r="O482" s="28" t="str">
        <x:v>вкусовой баланс, тройничное восприятие</x:v>
      </x:c>
      <x:c r="P482" s="28" t="str">
        <x:v>Основной эффект определяется ароматическим контрастом и добавлением кислотной свежести; точный баланс зависит от дозировки и матрицы.</x:v>
      </x:c>
      <x:c r="Q482" s="28" t="str">
        <x:v>кислота усиливает слюноотделение; нет данных</x:v>
      </x:c>
      <x:c r="R482" s="28" t="str">
        <x:v>сок — водная кислая фаза; цедра — гидрофобное эфирное масло; зависит от формы продукта</x:v>
      </x:c>
      <x:c r="S48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82" s="28" t="str">
        <x:v>Лимон формирует профиль «цитрусовый, свежий, цветочный, древесный»; характерные маркеры: цитраль (гераниаль + нераль), лимонен, гамма-терпинен, бета-пинен. Цветы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82" s="28" t="str">
        <x:v>Избыток кислоты делает вкус плоско-резким; белая часть кожуры даёт лишнюю горечь.</x:v>
      </x:c>
      <x:c r="V482" s="28" t="str">
        <x:v>мёд или нейтральная жировая основа</x:v>
      </x:c>
      <x:c r="W482" s="28" t="str">
        <x:v>соус, напиток или десерт после пробной дегустации</x:v>
      </x:c>
      <x:c r="X482" s="28" t="str">
        <x:v>универсальное</x:v>
      </x:c>
      <x:c r="Y482" s="28" t="str">
        <x:v>Гипотеза / практическая</x:v>
      </x:c>
      <x:c r="Z482" s="28" t="str">
        <x:v>Таблица сочетания(1).pdf</x:v>
      </x:c>
      <x:c r="AA482" s="28" t="str">
        <x:v>Таблица сочетания(1).pdf: 11</x:v>
      </x:c>
      <x:c r="AB482" s="28" t="str">
        <x:v>Пара указана в таблице: «Лимон» → колонка «Другое».</x:v>
      </x:c>
      <x:c r="AC482" s="28" t="n">
        <x:v>1</x:v>
      </x:c>
      <x:c r="AD482" s="28" t="n">
        <x:v>1</x:v>
      </x:c>
    </x:row>
    <x:row r="483" ht="58" customHeight="1">
      <x:c r="A483" s="28" t="str">
        <x:v>CIT-0482</x:v>
      </x:c>
      <x:c r="B483" s="28" t="str">
        <x:v>Универсальные</x:v>
      </x:c>
      <x:c r="C483" s="28" t="str">
        <x:v>лимон</x:v>
      </x:c>
      <x:c r="D483" s="28" t="str">
        <x:v>lemon</x:v>
      </x:c>
      <x:c r="E483" s="28" t="str">
        <x:v>Цитрусовые</x:v>
      </x:c>
      <x:c r="F483" s="28" t="str">
        <x:v>цветы липы</x:v>
      </x:c>
      <x:c r="G483" s="28" t="str">
        <x:v>lime blossom</x:v>
      </x:c>
      <x:c r="H483" s="28" t="str">
        <x:v>Прочее</x:v>
      </x:c>
      <x:c r="I483" s="28" t="str">
        <x:v>цитрусовый, свежий, цветочный, древесный</x:v>
      </x:c>
      <x:c r="J483" s="28" t="str">
        <x:v>нейтральный/специфический</x:v>
      </x:c>
      <x:c r="K483" s="28" t="str">
        <x:v>цитраль (гераниаль + нераль), лимонен, гамма-терпинен, бета-пинен</x:v>
      </x:c>
      <x:c r="L483" s="28" t="str">
        <x:v>нужен профиль конкретного продукта</x:v>
      </x:c>
      <x:c r="M483" s="28" t="str">
        <x:v>прямое семейное перекрытие не является главным механизмом</x:v>
      </x:c>
      <x:c r="N483" s="28" t="str">
        <x:v>надёжный общий маркер не заявлен; сочетание объясняется семействами и сенсорным балансом</x:v>
      </x:c>
      <x:c r="O483" s="28" t="str">
        <x:v>вкусовой баланс, тройничное восприятие</x:v>
      </x:c>
      <x:c r="P483" s="28" t="str">
        <x:v>Основной эффект определяется ароматическим контрастом и добавлением кислотной свежести; точный баланс зависит от дозировки и матрицы.</x:v>
      </x:c>
      <x:c r="Q483" s="28" t="str">
        <x:v>кислота усиливает слюноотделение; нет данных</x:v>
      </x:c>
      <x:c r="R483" s="28" t="str">
        <x:v>сок — водная кислая фаза; цедра — гидрофобное эфирное масло; зависит от формы продукта</x:v>
      </x:c>
      <x:c r="S48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83" s="28" t="str">
        <x:v>Лимон формирует профиль «цитрусовый, свежий, цветочный, древесный»; характерные маркеры: цитраль (гераниаль + нераль), лимонен, гамма-терпинен, бета-пинен. Цветы липы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83" s="28" t="str">
        <x:v>Избыток кислоты делает вкус плоско-резким; белая часть кожуры даёт лишнюю горечь.</x:v>
      </x:c>
      <x:c r="V483" s="28" t="str">
        <x:v>мёд или нейтральная жировая основа</x:v>
      </x:c>
      <x:c r="W483" s="28" t="str">
        <x:v>соус, напиток или десерт после пробной дегустации</x:v>
      </x:c>
      <x:c r="X483" s="28" t="str">
        <x:v>универсальное</x:v>
      </x:c>
      <x:c r="Y483" s="28" t="str">
        <x:v>Средняя</x:v>
      </x:c>
      <x:c r="Z483" s="28" t="str">
        <x:v>The Art &amp; Science of Foodpairing.pdf</x:v>
      </x:c>
      <x:c r="AA483" s="28" t="str">
        <x:v>The Art &amp; Science of Foodpairing.pdf: 87</x:v>
      </x:c>
      <x:c r="AB483" s="28" t="str">
        <x:v>Пара представлена в ароматической диаграмме Foodpairing на странице 87.</x:v>
      </x:c>
      <x:c r="AC483" s="28" t="n">
        <x:v>1</x:v>
      </x:c>
      <x:c r="AD483" s="28" t="n">
        <x:v>1</x:v>
      </x:c>
    </x:row>
    <x:row r="484" ht="58" customHeight="1">
      <x:c r="A484" s="28" t="str">
        <x:v>CIT-0483</x:v>
      </x:c>
      <x:c r="B484" s="28" t="str">
        <x:v>Универсальные</x:v>
      </x:c>
      <x:c r="C484" s="28" t="str">
        <x:v>лимон</x:v>
      </x:c>
      <x:c r="D484" s="28" t="str">
        <x:v>lemon</x:v>
      </x:c>
      <x:c r="E484" s="28" t="str">
        <x:v>Цитрусовые</x:v>
      </x:c>
      <x:c r="F484" s="28" t="str">
        <x:v>цукаты из дягиля</x:v>
      </x:c>
      <x:c r="G484" s="28" t="str">
        <x:v>candied angelica</x:v>
      </x:c>
      <x:c r="H484" s="28" t="str">
        <x:v>Прочее</x:v>
      </x:c>
      <x:c r="I484" s="28" t="str">
        <x:v>цитрусовый, свежий, цветочный, древесный</x:v>
      </x:c>
      <x:c r="J484" s="28" t="str">
        <x:v>нейтральный/специфический</x:v>
      </x:c>
      <x:c r="K484" s="28" t="str">
        <x:v>цитраль (гераниаль + нераль), лимонен, гамма-терпинен, бета-пинен</x:v>
      </x:c>
      <x:c r="L484" s="28" t="str">
        <x:v>нужен профиль конкретного продукта</x:v>
      </x:c>
      <x:c r="M484" s="28" t="str">
        <x:v>прямое семейное перекрытие не является главным механизмом</x:v>
      </x:c>
      <x:c r="N484" s="28" t="str">
        <x:v>надёжный общий маркер не заявлен; сочетание объясняется семействами и сенсорным балансом</x:v>
      </x:c>
      <x:c r="O484" s="28" t="str">
        <x:v>вкусовой баланс, тройничное восприятие</x:v>
      </x:c>
      <x:c r="P484" s="28" t="str">
        <x:v>Основной эффект определяется ароматическим контрастом и добавлением кислотной свежести; точный баланс зависит от дозировки и матрицы.</x:v>
      </x:c>
      <x:c r="Q484" s="28" t="str">
        <x:v>кислота усиливает слюноотделение; нет данных</x:v>
      </x:c>
      <x:c r="R484" s="28" t="str">
        <x:v>сок — водная кислая фаза; цедра — гидрофобное эфирное масло; зависит от формы продукта</x:v>
      </x:c>
      <x:c r="S48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84" s="28" t="str">
        <x:v>Лимон формирует профиль «цитрусовый, свежий, цветочный, древесный»; характерные маркеры: цитраль (гераниаль + нераль), лимонен, гамма-терпинен, бета-пинен. Цукаты из дягиля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84" s="28" t="str">
        <x:v>Избыток кислоты делает вкус плоско-резким; белая часть кожуры даёт лишнюю горечь.</x:v>
      </x:c>
      <x:c r="V484" s="28" t="str">
        <x:v>мёд или нейтральная жировая основа</x:v>
      </x:c>
      <x:c r="W484" s="28" t="str">
        <x:v>соус, напиток или десерт после пробной дегустации</x:v>
      </x:c>
      <x:c r="X484" s="28" t="str">
        <x:v>универсальное</x:v>
      </x:c>
      <x:c r="Y484" s="28" t="str">
        <x:v>Средняя</x:v>
      </x:c>
      <x:c r="Z484" s="28" t="str">
        <x:v>The Art &amp; Science of Foodpairing.pdf</x:v>
      </x:c>
      <x:c r="AA484" s="28" t="str">
        <x:v>The Art &amp; Science of Foodpairing.pdf: 88</x:v>
      </x:c>
      <x:c r="AB484" s="28" t="str">
        <x:v>Пара представлена в ароматической диаграмме Foodpairing на странице 88.</x:v>
      </x:c>
      <x:c r="AC484" s="28" t="n">
        <x:v>1</x:v>
      </x:c>
      <x:c r="AD484" s="28" t="n">
        <x:v>1</x:v>
      </x:c>
    </x:row>
    <x:row r="485" ht="58" customHeight="1">
      <x:c r="A485" s="28" t="str">
        <x:v>CIT-0484</x:v>
      </x:c>
      <x:c r="B485" s="28" t="str">
        <x:v>Универсальные</x:v>
      </x:c>
      <x:c r="C485" s="28" t="str">
        <x:v>лимон</x:v>
      </x:c>
      <x:c r="D485" s="28" t="str">
        <x:v>Лимон | лимон</x:v>
      </x:c>
      <x:c r="E485" s="28" t="str">
        <x:v>Цитрусовые</x:v>
      </x:c>
      <x:c r="F485" s="28" t="str">
        <x:v>цыпленок</x:v>
      </x:c>
      <x:c r="G485" s="28" t="str">
        <x:v>Цыпленок | цыпленок</x:v>
      </x:c>
      <x:c r="H485" s="28" t="str">
        <x:v>Прочее</x:v>
      </x:c>
      <x:c r="I485" s="28" t="str">
        <x:v>цитрусовый, свежий, цветочный, древесный</x:v>
      </x:c>
      <x:c r="J485" s="28" t="str">
        <x:v>нейтральный/специфический</x:v>
      </x:c>
      <x:c r="K485" s="28" t="str">
        <x:v>цитраль (гераниаль + нераль), лимонен, гамма-терпинен, бета-пинен</x:v>
      </x:c>
      <x:c r="L485" s="28" t="str">
        <x:v>нужен профиль конкретного продукта</x:v>
      </x:c>
      <x:c r="M485" s="28" t="str">
        <x:v>прямое семейное перекрытие не является главным механизмом</x:v>
      </x:c>
      <x:c r="N485" s="28" t="str">
        <x:v>надёжный общий маркер не заявлен; сочетание объясняется семействами и сенсорным балансом</x:v>
      </x:c>
      <x:c r="O485" s="28" t="str">
        <x:v>вкусовой баланс, тройничное восприятие</x:v>
      </x:c>
      <x:c r="P485" s="28" t="str">
        <x:v>Основной эффект определяется ароматическим контрастом и добавлением кислотной свежести; точный баланс зависит от дозировки и матрицы.</x:v>
      </x:c>
      <x:c r="Q485" s="28" t="str">
        <x:v>кислота усиливает слюноотделение; нет данных</x:v>
      </x:c>
      <x:c r="R485" s="28" t="str">
        <x:v>сок — водная кислая фаза; цедра — гидрофобное эфирное масло; зависит от формы продукта</x:v>
      </x:c>
      <x:c r="S48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85" s="28" t="str">
        <x:v>Лимон формирует профиль «цитрусовый, свежий, цветочный, древесный»; характерные маркеры: цитраль (гераниаль + нераль), лимонен, гамма-терпинен, бета-пинен. Цыпленок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85" s="28" t="str">
        <x:v>Избыток кислоты делает вкус плоско-резким; белая часть кожуры даёт лишнюю горечь.</x:v>
      </x:c>
      <x:c r="V485" s="28" t="str">
        <x:v>мёд или нейтральная жировая основа</x:v>
      </x:c>
      <x:c r="W485" s="28" t="str">
        <x:v>соус, напиток или десерт после пробной дегустации</x:v>
      </x:c>
      <x:c r="X485" s="28" t="str">
        <x:v>универсальное</x:v>
      </x:c>
      <x:c r="Y485" s="28" t="str">
        <x:v>Высокая</x:v>
      </x:c>
      <x:c r="Z485" s="28" t="str">
        <x:v>Тезариус вкусов (Ники Сегнит)(1).pdf</x:v>
      </x:c>
      <x:c r="AA485" s="28" t="str">
        <x:v>Тезариус вкусов (Ники Сегнит)(1).pdf: 69, 809</x:v>
      </x:c>
      <x:c r="AB485" s="28" t="str">
        <x:v>Если бы мир был устроен пра- вильно, то можно было бы расставить блюда из цыпленка с лимоном по некоей шкале Лимлёнка (лимон + цыплёнок). Так, мягкий тайский куриный бульон с легким вкусом лемонграсса имел бы показатель 2. На четверку, пожалуй, потянул бы цыпленок, натертый лимоном, а затем обжаренный с лимоном внутри. Багет с жареным куриным мясом и острым лимонным майонезом – это 5. Густое пряное рагу, медленно приготовленное в марокканском таджине из мяса с бедер цыпленка и консервированных л</x:v>
      </x:c>
      <x:c r="AC485" s="28" t="n">
        <x:v>1</x:v>
      </x:c>
      <x:c r="AD485" s="28" t="n">
        <x:v>2</x:v>
      </x:c>
    </x:row>
    <x:row r="486" ht="58" customHeight="1">
      <x:c r="A486" s="28" t="str">
        <x:v>CIT-0485</x:v>
      </x:c>
      <x:c r="B486" s="28" t="str">
        <x:v>Еда и соусы</x:v>
      </x:c>
      <x:c r="C486" s="28" t="str">
        <x:v>лимон</x:v>
      </x:c>
      <x:c r="D486" s="28" t="str">
        <x:v>Лимон | лимон</x:v>
      </x:c>
      <x:c r="E486" s="28" t="str">
        <x:v>Цитрусовые</x:v>
      </x:c>
      <x:c r="F486" s="28" t="str">
        <x:v>черная икра</x:v>
      </x:c>
      <x:c r="G486" s="28" t="str">
        <x:v>Черная икра | черная икра</x:v>
      </x:c>
      <x:c r="H486" s="28" t="str">
        <x:v>Рыба и морепродукты</x:v>
      </x:c>
      <x:c r="I486" s="28" t="str">
        <x:v>цитрусовый, свежий, цветочный, древесный</x:v>
      </x:c>
      <x:c r="J486" s="28" t="str">
        <x:v>морской, йодистый, зелёный, жирный</x:v>
      </x:c>
      <x:c r="K486" s="28" t="str">
        <x:v>цитраль (гераниаль + нераль), лимонен, гамма-терпинен, бета-пинен</x:v>
      </x:c>
      <x:c r="L486" s="28" t="str">
        <x:v>альдегиды окисления липидов, бромфенолы, диметилсульфид, умами-соединения</x:v>
      </x:c>
      <x:c r="M486" s="28" t="str">
        <x:v>прямое семейное перекрытие не является главным механизмом</x:v>
      </x:c>
      <x:c r="N486" s="28" t="str">
        <x:v>надёжный общий маркер не заявлен; сочетание объясняется семействами и сенсорным балансом</x:v>
      </x:c>
      <x:c r="O486" s="28" t="str">
        <x:v>вкусовой баланс, влияние матрицы/растворимости</x:v>
      </x:c>
      <x:c r="P486" s="28" t="str">
        <x:v>Кислотность и лёгкая горечь цитруса снижают ощущение жирности; соль и умами, в свою очередь, делают фруктовую часть менее резкой.</x:v>
      </x:c>
      <x:c r="Q486" s="28" t="str">
        <x:v>кислота усиливает слюноотделение; нет выраженного</x:v>
      </x:c>
      <x:c r="R486" s="28" t="str">
        <x:v>сок — водная кислая фаза; цедра — гидрофобное эфирное масло; кислота может денатурировать поверхностные белки; жир рыбы удерживает терпены</x:v>
      </x:c>
      <x:c r="S48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486" s="28" t="str">
        <x:v>Лимон формирует профиль «цитрусовый, свежий, цветочный, древесный»; характерные маркеры: цитраль (гераниаль + нераль), лимонен, гамма-терпинен, бета-пинен. Черная икра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U486" s="28" t="str">
        <x:v>Избыток кислоты делает вкус плоско-резким; белая часть кожуры даёт лишнюю горечь; слишком долгая маринация ухудшает текстуру.</x:v>
      </x:c>
      <x:c r="V486" s="28" t="str">
        <x:v>кинза или фенхель</x:v>
      </x:c>
      <x:c r="W486" s="28" t="str">
        <x:v>севиче, маринад, beurre blanc, тартар или салат</x:v>
      </x:c>
      <x:c r="X486" s="28" t="str">
        <x:v>еда, соусы/маринады</x:v>
      </x:c>
      <x:c r="Y486" s="28" t="str">
        <x:v>Высокая</x:v>
      </x:c>
      <x:c r="Z486" s="28" t="str">
        <x:v>Тезариус вкусов (Ники Сегнит)(1).pdf</x:v>
      </x:c>
      <x:c r="AA486" s="28" t="str">
        <x:v>Тезариус вкусов (Ники Сегнит)(1).pdf: 406, 810</x:v>
      </x:c>
      <x:c r="AB486" s="28" t="str">
        <x:v>Вот отличный соус из мор- ских гребешков: обжарьте гребешки в сливочном масле, в конце процесса добавьте немного лимонного сока и черной икры и прогрейте смесь. Хотя лимон часто подают с икрой, он не настолько идеален, чтобы поливать его соком один из самых вкусных и нежных продуктов. Я однажды подслушала, как оскорбленная хозяйка, застав свою гостью за подобным занятием, отчеканила: «Милочка, если вы хотите попробовать тарамасалата (taramasalata), то я посмотрю, может, гдето немного и найдется»</x:v>
      </x:c>
      <x:c r="AC486" s="28" t="n">
        <x:v>1</x:v>
      </x:c>
      <x:c r="AD486" s="28" t="n">
        <x:v>2</x:v>
      </x:c>
    </x:row>
    <x:row r="487" ht="58" customHeight="1">
      <x:c r="A487" s="28" t="str">
        <x:v>CIT-0486</x:v>
      </x:c>
      <x:c r="B487" s="28" t="str">
        <x:v>Десерты и выпечка</x:v>
      </x:c>
      <x:c r="C487" s="28" t="str">
        <x:v>лимон</x:v>
      </x:c>
      <x:c r="D487" s="28" t="str">
        <x:v>Лимон | лимон</x:v>
      </x:c>
      <x:c r="E487" s="28" t="str">
        <x:v>Цитрусовые</x:v>
      </x:c>
      <x:c r="F487" s="28" t="str">
        <x:v>черника</x:v>
      </x:c>
      <x:c r="G487" s="28" t="str">
        <x:v>Черника | черника</x:v>
      </x:c>
      <x:c r="H487" s="28" t="str">
        <x:v>Ягоды/косточковые</x:v>
      </x:c>
      <x:c r="I487" s="28" t="str">
        <x:v>цитрусовый, свежий, цветочный, древесный</x:v>
      </x:c>
      <x:c r="J487" s="28" t="str">
        <x:v>фруктовый, цветочный, зелёный, винный</x:v>
      </x:c>
      <x:c r="K487" s="28" t="str">
        <x:v>цитраль (гераниаль + нераль), лимонен, гамма-терпинен, бета-пинен</x:v>
      </x:c>
      <x:c r="L487" s="28" t="str">
        <x:v>иононы, дамасценон, эфиры, бензальдегид (для косточковых)</x:v>
      </x:c>
      <x:c r="M487" s="28" t="str">
        <x:v>цветочный</x:v>
      </x:c>
      <x:c r="N487" s="28" t="str">
        <x:v>надёжный общий маркер не заявлен; сочетание объясняется семействами и сенсорным балансом</x:v>
      </x:c>
      <x:c r="O487" s="28" t="str">
        <x:v>перекрытие ароматических семейств, вкусовой баланс</x:v>
      </x:c>
      <x:c r="P487" s="28" t="str">
        <x:v>Общая фруктовая сладость и летучие эфиры создают непрерывный ароматический профиль, а цитрусовая кислота повышает контраст и свежесть.</x:v>
      </x:c>
      <x:c r="Q487" s="28" t="str">
        <x:v>кислота усиливает слюноотделение; нет выраженного</x:v>
      </x:c>
      <x:c r="R487" s="28" t="str">
        <x:v>сок — водная кислая фаза; цедра — гидрофобное эфирное масло; водная матрица с антоцианами и полифенолами</x:v>
      </x:c>
      <x:c r="S48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87" s="28" t="str">
        <x:v>Лимон формирует профиль «цитрусовый, свежий, цветочный, древесный»; характерные маркеры: цитраль (гераниаль + нераль), лимонен, гамма-терпинен, бета-пинен. Черника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487" s="28" t="str">
        <x:v>Избыток кислоты делает вкус плоско-резким; белая часть кожуры даёт лишнюю горечь.</x:v>
      </x:c>
      <x:c r="V487" s="28" t="str">
        <x:v>ваниль или миндаль</x:v>
      </x:c>
      <x:c r="W487" s="28" t="str">
        <x:v>джем, сорбет, коктейль или соус</x:v>
      </x:c>
      <x:c r="X487" s="28" t="str">
        <x:v>напитки, десерты</x:v>
      </x:c>
      <x:c r="Y487" s="28" t="str">
        <x:v>Высокая</x:v>
      </x:c>
      <x:c r="Z487" s="28" t="str">
        <x:v>Тезариус вкусов (Ники Сегнит)(1).pdf</x:v>
      </x:c>
      <x:c r="AA487" s="28" t="str">
        <x:v>Тезариус вкусов (Ники Сегнит)(1).pdf: 810, 905</x:v>
      </x:c>
      <x:c r="AB487" s="28" t="str">
        <x:v>Бедная черника! Красивые цве- точные ноты ее вкуса полностью скрываются тем кислым соком, который излучает надкушенный лимон. Кислотность лимона замывает и тонкий цветочный аромат черники. Но… На фоне всепобеждающей сладости сахара или меда оба вкуса получают шанс проявить себя, образуя пьяняще душистое сочетание в пирожных и пудингах.</x:v>
      </x:c>
      <x:c r="AC487" s="28" t="n">
        <x:v>1</x:v>
      </x:c>
      <x:c r="AD487" s="28" t="n">
        <x:v>2</x:v>
      </x:c>
    </x:row>
    <x:row r="488" ht="58" customHeight="1">
      <x:c r="A488" s="28" t="str">
        <x:v>CIT-0487</x:v>
      </x:c>
      <x:c r="B488" s="28" t="str">
        <x:v>Десерты и выпечка</x:v>
      </x:c>
      <x:c r="C488" s="28" t="str">
        <x:v>лимон</x:v>
      </x:c>
      <x:c r="D488" s="28" t="str">
        <x:v>лимон</x:v>
      </x:c>
      <x:c r="E488" s="28" t="str">
        <x:v>Цитрусовые</x:v>
      </x:c>
      <x:c r="F488" s="28" t="str">
        <x:v>чернослив</x:v>
      </x:c>
      <x:c r="G488" s="28" t="str">
        <x:v>Чернослив</x:v>
      </x:c>
      <x:c r="H488" s="28" t="str">
        <x:v>Косточковые фрукты</x:v>
      </x:c>
      <x:c r="I488" s="28" t="str">
        <x:v>цитрусовый, свежий, цветочный, древесный</x:v>
      </x:c>
      <x:c r="J488" s="28" t="str">
        <x:v>фруктовый, цветочный, сливочный, миндальный</x:v>
      </x:c>
      <x:c r="K488" s="28" t="str">
        <x:v>цитраль (гераниаль + нераль), лимонен, гамма-терпинен, бета-пинен</x:v>
      </x:c>
      <x:c r="L488" s="28" t="str">
        <x:v>гамма- и дельта-лактоны, бензальдегид, дамасценон</x:v>
      </x:c>
      <x:c r="M488" s="28" t="str">
        <x:v>цветочный</x:v>
      </x:c>
      <x:c r="N488" s="28" t="str">
        <x:v>надёжный общий маркер не заявлен; сочетание объясняется семействами и сенсорным балансом</x:v>
      </x:c>
      <x:c r="O488" s="28" t="str">
        <x:v>перекрытие ароматических семейств, вкусовой баланс</x:v>
      </x:c>
      <x:c r="P488" s="28" t="str">
        <x:v>Общая фруктовая сладость и летучие эфиры создают непрерывный ароматический профиль, а цитрусовая кислота повышает контраст и свежесть.</x:v>
      </x:c>
      <x:c r="Q488" s="28" t="str">
        <x:v>кислота усиливает слюноотделение; нет выраженного</x:v>
      </x:c>
      <x:c r="R488" s="28" t="str">
        <x:v>сок — водная кислая фаза; цедра — гидрофобное эфирное масло; сочная матрица; лактоны лучше ощущаются в жирной/сливочной среде</x:v>
      </x:c>
      <x:c r="S48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88" s="28" t="str">
        <x:v>Лимон формирует профиль «цитрусовый, свежий, цветочный, древесный»; характерные маркеры: цитраль (гераниаль + нераль), лимонен, гамма-терпинен, бета-пинен. Чернослив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U488" s="28" t="str">
        <x:v>Избыток кислоты делает вкус плоско-резким; белая часть кожуры даёт лишнюю горечь.</x:v>
      </x:c>
      <x:c r="V488" s="28" t="str">
        <x:v>миндаль или ваниль</x:v>
      </x:c>
      <x:c r="W488" s="28" t="str">
        <x:v>тарт, сорбет, джем или фруктовый соус</x:v>
      </x:c>
      <x:c r="X488" s="28" t="str">
        <x:v>десерты</x:v>
      </x:c>
      <x:c r="Y488" s="28" t="str">
        <x:v>Гипотеза / практическая</x:v>
      </x:c>
      <x:c r="Z488" s="28" t="str">
        <x:v>Таблица сочетания(1).pdf</x:v>
      </x:c>
      <x:c r="AA488" s="28" t="str">
        <x:v>Таблица сочетания(1).pdf: 18</x:v>
      </x:c>
      <x:c r="AB488" s="28" t="str">
        <x:v>Пара указана в таблице: «Чернослив» → колонка «Фрукты».</x:v>
      </x:c>
      <x:c r="AC488" s="28" t="n">
        <x:v>1</x:v>
      </x:c>
      <x:c r="AD488" s="28" t="n">
        <x:v>1</x:v>
      </x:c>
    </x:row>
    <x:row r="489" ht="58" customHeight="1">
      <x:c r="A489" s="28" t="str">
        <x:v>CIT-0488</x:v>
      </x:c>
      <x:c r="B489" s="28" t="str">
        <x:v>Универсальные</x:v>
      </x:c>
      <x:c r="C489" s="28" t="str">
        <x:v>лимон</x:v>
      </x:c>
      <x:c r="D489" s="28" t="str">
        <x:v>Лимон</x:v>
      </x:c>
      <x:c r="E489" s="28" t="str">
        <x:v>Цитрусовые</x:v>
      </x:c>
      <x:c r="F489" s="28" t="str">
        <x:v>чёрный перец</x:v>
      </x:c>
      <x:c r="G489" s="28" t="str">
        <x:v>чёрный перец</x:v>
      </x:c>
      <x:c r="H489" s="28" t="str">
        <x:v>Пряности</x:v>
      </x:c>
      <x:c r="I489" s="28" t="str">
        <x:v>цитрусовый, свежий, цветочный, древесный</x:v>
      </x:c>
      <x:c r="J489" s="28" t="str">
        <x:v>пряный, древесный, цитрусовый</x:v>
      </x:c>
      <x:c r="K489" s="28" t="str">
        <x:v>цитраль (гераниаль + нераль), лимонен, гамма-терпинен, бета-пинен</x:v>
      </x:c>
      <x:c r="L489" s="28" t="str">
        <x:v>пиперин, лимонен, сабинен, бета-кариофиллен</x:v>
      </x:c>
      <x:c r="M489" s="28" t="str">
        <x:v>древесный, цитрусовый</x:v>
      </x:c>
      <x:c r="N489" s="28" t="str">
        <x:v>лимонен</x:v>
      </x:c>
      <x:c r="O489" s="28" t="str">
        <x:v>общие ароматические молекулы, перекрытие ароматических семейств, вкусовой баланс, тройничное восприятие</x:v>
      </x:c>
      <x:c r="P489" s="28" t="str">
        <x:v>Кислота усиливает слюноотделение и делает пряный аромат ярче; терпены цитруса образуют мост с эфирными маслами травы или специи.</x:v>
      </x:c>
      <x:c r="Q489" s="28" t="str">
        <x:v>кислота усиливает слюноотделение; пиперин создаёт длительное тепло; сычуаньский перец — покалывание</x:v>
      </x:c>
      <x:c r="R489" s="28" t="str">
        <x:v>сок — водная кислая фаза; цедра — гидрофобное эфирное масло; ароматические масла и пиперин лучше раскрываются в жире/спирте</x:v>
      </x:c>
      <x:c r="S48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89" s="28" t="str">
        <x:v>Лимон формирует профиль «цитрусовый, свежий, цветочный, древесный»; характерные маркеры: цитраль (гераниаль + нераль), лимонен, гамма-терпинен, бета-пинен.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Перец добавляет сухую пряность и усиливает яркость цедры.</x:v>
      </x:c>
      <x:c r="U489" s="28" t="str">
        <x:v>Избыток кислоты делает вкус плоско-резким; белая часть кожуры даёт лишнюю горечь.</x:v>
      </x:c>
      <x:c r="V489" s="28" t="str">
        <x:v>мёд или ваниль</x:v>
      </x:c>
      <x:c r="W489" s="28" t="str">
        <x:v>сироп, кордиал, чатни, маринад или пряный десерт</x:v>
      </x:c>
      <x:c r="X489" s="28" t="str">
        <x:v>напитки, еда, соусы/маринады</x:v>
      </x:c>
      <x:c r="Y489" s="28" t="str">
        <x:v>Средняя</x:v>
      </x:c>
      <x:c r="Z489" s="28" t="str">
        <x:v>Таблица сочетания(1).pdf</x:v>
      </x:c>
      <x:c r="AA489" s="28" t="str">
        <x:v>Таблица сочетания(1).pdf: 11</x:v>
      </x:c>
      <x:c r="AB489" s="28" t="str">
        <x:v>Пара указана в таблице: «Лимон» → колонка «Травы и специи».</x:v>
      </x:c>
      <x:c r="AC489" s="28" t="n">
        <x:v>1</x:v>
      </x:c>
      <x:c r="AD489" s="28" t="n">
        <x:v>1</x:v>
      </x:c>
    </x:row>
    <x:row r="490" ht="58" customHeight="1">
      <x:c r="A490" s="28" t="str">
        <x:v>CIT-0489</x:v>
      </x:c>
      <x:c r="B490" s="28" t="str">
        <x:v>Универсальные</x:v>
      </x:c>
      <x:c r="C490" s="28" t="str">
        <x:v>лимон</x:v>
      </x:c>
      <x:c r="D490" s="28" t="str">
        <x:v>Лимон | лимон</x:v>
      </x:c>
      <x:c r="E490" s="28" t="str">
        <x:v>Цитрусовые</x:v>
      </x:c>
      <x:c r="F490" s="28" t="str">
        <x:v>чили</x:v>
      </x:c>
      <x:c r="G490" s="28" t="str">
        <x:v>Чили | чили</x:v>
      </x:c>
      <x:c r="H490" s="28" t="str">
        <x:v>Пряности</x:v>
      </x:c>
      <x:c r="I490" s="28" t="str">
        <x:v>цитрусовый, свежий, цветочный, древесный</x:v>
      </x:c>
      <x:c r="J490" s="28" t="str">
        <x:v>зелёный, фруктовый, пряный</x:v>
      </x:c>
      <x:c r="K490" s="28" t="str">
        <x:v>цитраль (гераниаль + нераль), лимонен, гамма-терпинен, бета-пинен</x:v>
      </x:c>
      <x:c r="L490" s="28" t="str">
        <x:v>капсаицин, пиразины, эфиры</x:v>
      </x:c>
      <x:c r="M490" s="28" t="str">
        <x:v>прямое семейное перекрытие не является главным механизмом</x:v>
      </x:c>
      <x:c r="N490" s="28" t="str">
        <x:v>надёжный общий маркер не заявлен; сочетание объясняется семействами и сенсорным балансом</x:v>
      </x:c>
      <x:c r="O490" s="28" t="str">
        <x:v>вкусовой баланс, тройничное восприятие</x:v>
      </x:c>
      <x:c r="P490" s="28" t="str">
        <x:v>Кислота усиливает слюноотделение и делает пряный аромат ярче; терпены цитруса образуют мост с эфирными маслами травы или специи.</x:v>
      </x:c>
      <x:c r="Q490" s="28" t="str">
        <x:v>кислота усиливает слюноотделение; капсаицин активирует TRPV1 и создаёт жжение</x:v>
      </x:c>
      <x:c r="R490" s="28" t="str">
        <x:v>сок — водная кислая фаза; цедра — гидрофобное эфирное масло; капсаицин жирорастворим; кислота не нейтрализует жжение, но усиливает слюноотделение</x:v>
      </x:c>
      <x:c r="S49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90" s="28" t="str">
        <x:v>Лимон формирует профиль «цитрусовый, свежий, цветочный, древесный»; характерные маркеры: цитраль (гераниаль + нераль), лимонен, гамма-терпинен, бета-пинен.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Фруктовые чили могут поддерживать цитрусовые эфиры, но острота требует баланса.</x:v>
      </x:c>
      <x:c r="U490"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V490" s="28" t="str">
        <x:v>мёд или ваниль</x:v>
      </x:c>
      <x:c r="W490" s="28" t="str">
        <x:v>сироп, кордиал, чатни, маринад или пряный десерт</x:v>
      </x:c>
      <x:c r="X490" s="28" t="str">
        <x:v>напитки, еда, соусы/маринады</x:v>
      </x:c>
      <x:c r="Y490" s="28" t="str">
        <x:v>Высокая</x:v>
      </x:c>
      <x:c r="Z490" s="28" t="str">
        <x:v>Тезариус вкусов (Ники Сегнит)(1).pdf</x:v>
      </x:c>
      <x:c r="AA490" s="28" t="str">
        <x:v>Тезариус вкусов (Ники Сегнит)(1).pdf: 556, 810</x:v>
      </x:c>
      <x:c r="AB490" s="28" t="str">
        <x:v>Острота чили может маскировать его фруктовые качества. Так, перец хабанеро настолько жгучий, что вы почти наверняка пропустите присутствующие в его вкусе прекрасные ноты цитрусовых, которые так хорошо сочетаются с лимоном как в соленых, так и в сладких соусах. В соответствии с названием цитрусовый вкус имеет и еще одна разновидность чили, Аджи Лемон Дроп (Aji Lemon Drop), но и она находится очень высоко на шкале Сковилла изза своей остроты. В США существует линейка десертных соусов с чили под на</x:v>
      </x:c>
      <x:c r="AC490" s="28" t="n">
        <x:v>1</x:v>
      </x:c>
      <x:c r="AD490" s="28" t="n">
        <x:v>2</x:v>
      </x:c>
    </x:row>
    <x:row r="491" ht="58" customHeight="1">
      <x:c r="A491" s="28" t="str">
        <x:v>CIT-0490</x:v>
      </x:c>
      <x:c r="B491" s="28" t="str">
        <x:v>Универсальные</x:v>
      </x:c>
      <x:c r="C491" s="28" t="str">
        <x:v>лимон</x:v>
      </x:c>
      <x:c r="D491" s="28" t="str">
        <x:v>Лимон | лимон</x:v>
      </x:c>
      <x:c r="E491" s="28" t="str">
        <x:v>Цитрусовые</x:v>
      </x:c>
      <x:c r="F491" s="28" t="str">
        <x:v>шалфей</x:v>
      </x:c>
      <x:c r="G491" s="28" t="str">
        <x:v>Шалфей | шалфей</x:v>
      </x:c>
      <x:c r="H491" s="28" t="str">
        <x:v>Травы</x:v>
      </x:c>
      <x:c r="I491" s="28" t="str">
        <x:v>цитрусовый, свежий, цветочный, древесный</x:v>
      </x:c>
      <x:c r="J491" s="28" t="str">
        <x:v>травяной, хвойный, камфорный, древесный</x:v>
      </x:c>
      <x:c r="K491" s="28" t="str">
        <x:v>цитраль (гераниаль + нераль), лимонен, гамма-терпинен, бета-пинен</x:v>
      </x:c>
      <x:c r="L491" s="28" t="str">
        <x:v>1,8-цинеол, камфора, тимол/карвакрол, альфа-пинен</x:v>
      </x:c>
      <x:c r="M491" s="28" t="str">
        <x:v>древесный</x:v>
      </x:c>
      <x:c r="N491" s="28" t="str">
        <x:v>надёжный общий маркер не заявлен; сочетание объясняется семействами и сенсорным балансом</x:v>
      </x:c>
      <x:c r="O491" s="28" t="str">
        <x:v>перекрытие ароматических семейств, вкусовой баланс, тройничное восприятие</x:v>
      </x:c>
      <x:c r="P491" s="28" t="str">
        <x:v>Кислота усиливает слюноотделение и делает пряный аромат ярче; терпены цитруса образуют мост с эфирными маслами травы или специи.</x:v>
      </x:c>
      <x:c r="Q491" s="28" t="str">
        <x:v>кислота усиливает слюноотделение; камфора и цинеол дают прохладно-камфорное ощущение</x:v>
      </x:c>
      <x:c r="R491" s="28" t="str">
        <x:v>сок — водная кислая фаза; цедра — гидрофобное эфирное масло; эфирные масла лучше раскрываются в жире и спирте</x:v>
      </x:c>
      <x:c r="S49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91" s="28" t="str">
        <x:v>Лимон формирует профиль «цитрусовый, свежий, цветочный, древесный»; характерные маркеры: цитраль (гераниаль + нераль), лимонен, гамма-терпинен, бета-пинен. Шалфей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U491" s="28" t="str">
        <x:v>Избыток кислоты делает вкус плоско-резким; белая часть кожуры даёт лишнюю горечь; цитрус легко подавляет деликатный аромат партнёра.</x:v>
      </x:c>
      <x:c r="V491" s="28" t="str">
        <x:v>оливковое масло или огурец</x:v>
      </x:c>
      <x:c r="W491" s="28" t="str">
        <x:v>лимонад, кордиал, салатная заправка или зелёный соус</x:v>
      </x:c>
      <x:c r="X491" s="28" t="str">
        <x:v>напитки, еда, соусы/маринады</x:v>
      </x:c>
      <x:c r="Y491" s="28" t="str">
        <x:v>Гипотеза / практическая</x:v>
      </x:c>
      <x:c r="Z491" s="28" t="str">
        <x:v>Таблица сочетания(1).pdf</x:v>
      </x:c>
      <x:c r="AA491" s="28" t="str">
        <x:v>Таблица сочетания(1).pdf: 11, 20</x:v>
      </x:c>
      <x:c r="AB491" s="28" t="str">
        <x:v>Пара указана в таблице: «Лимон» → колонка «Травы и специи».</x:v>
      </x:c>
      <x:c r="AC491" s="28" t="n">
        <x:v>1</x:v>
      </x:c>
      <x:c r="AD491" s="28" t="n">
        <x:v>2</x:v>
      </x:c>
    </x:row>
    <x:row r="492" ht="58" customHeight="1">
      <x:c r="A492" s="28" t="str">
        <x:v>CIT-0491</x:v>
      </x:c>
      <x:c r="B492" s="28" t="str">
        <x:v>Универсальные</x:v>
      </x:c>
      <x:c r="C492" s="28" t="str">
        <x:v>лимон</x:v>
      </x:c>
      <x:c r="D492" s="28" t="str">
        <x:v>Лимон | лимон</x:v>
      </x:c>
      <x:c r="E492" s="28" t="str">
        <x:v>Цитрусовые</x:v>
      </x:c>
      <x:c r="F492" s="28" t="str">
        <x:v>шафран</x:v>
      </x:c>
      <x:c r="G492" s="28" t="str">
        <x:v>Шафран | шафран</x:v>
      </x:c>
      <x:c r="H492" s="28" t="str">
        <x:v>Пряности</x:v>
      </x:c>
      <x:c r="I492" s="28" t="str">
        <x:v>цитрусовый, свежий, цветочный, древесный</x:v>
      </x:c>
      <x:c r="J492" s="28" t="str">
        <x:v>медовый, сенной, цветочный, кожистый</x:v>
      </x:c>
      <x:c r="K492" s="28" t="str">
        <x:v>цитраль (гераниаль + нераль), лимонен, гамма-терпинен, бета-пинен</x:v>
      </x:c>
      <x:c r="L492" s="28" t="str">
        <x:v>сафраналь, пикрокроцин</x:v>
      </x:c>
      <x:c r="M492" s="28" t="str">
        <x:v>цветочный</x:v>
      </x:c>
      <x:c r="N492" s="28" t="str">
        <x:v>надёжный общий маркер не заявлен; сочетание объясняется семействами и сенсорным балансом</x:v>
      </x:c>
      <x:c r="O492" s="28" t="str">
        <x:v>перекрытие ароматических семейств, вкусовой баланс</x:v>
      </x:c>
      <x:c r="P492" s="28" t="str">
        <x:v>Кислота усиливает слюноотделение и делает пряный аромат ярче; терпены цитруса образуют мост с эфирными маслами травы или специи.</x:v>
      </x:c>
      <x:c r="Q492" s="28" t="str">
        <x:v>кислота усиливает слюноотделение; нет выраженного</x:v>
      </x:c>
      <x:c r="R492" s="28" t="str">
        <x:v>сок — водная кислая фаза; цедра — гидрофобное эфирное масло; сафраналь летуч; небольшая доза достаточна</x:v>
      </x:c>
      <x:c r="S49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492" s="28" t="str">
        <x:v>Лимон формирует профиль «цитрусовый, свежий, цветочный, древесный»; характерные маркеры: цитраль (гераниаль + нераль), лимонен, гамма-терпинен, бета-пинен. Шафран относится к группе «пряности» и даёт ноты «медовый, сенной, цветочный, кожистый».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Шафран даёт сухую цветочно-медовую глубину.</x:v>
      </x:c>
      <x:c r="U492" s="28" t="str">
        <x:v>Избыток кислоты делает вкус плоско-резким; белая часть кожуры даёт лишнюю горечь.</x:v>
      </x:c>
      <x:c r="V492" s="28" t="str">
        <x:v>мёд или ваниль</x:v>
      </x:c>
      <x:c r="W492" s="28" t="str">
        <x:v>сироп, кордиал, чатни, маринад или пряный десерт</x:v>
      </x:c>
      <x:c r="X492" s="28" t="str">
        <x:v>напитки, еда, соусы/маринады</x:v>
      </x:c>
      <x:c r="Y492" s="28" t="str">
        <x:v>Высокая</x:v>
      </x:c>
      <x:c r="Z492" s="28" t="str">
        <x:v>Тезариус вкусов (Ники Сегнит)(1).pdf</x:v>
      </x:c>
      <x:c r="AA492" s="28" t="str">
        <x:v>Тезариус вкусов (Ники Сегнит)(1).pdf: 475, 810</x:v>
      </x:c>
      <x:c r="AB492" s="28" t="str">
        <x:v>Работают как пара аниматоров, наводящих порядок в куче разрозненных ингредиентов, составляющих паэлью: курином мясе, крольчатине, улитках, зеленой фасоли, сладком перце, мидиях, креветках, луновидной фасоли, артишоках, рисе. Ша- фран дает рису первый настрой на слабую, но определенную фоновую ноту. Лимон выжимают на блюдо непосредственно перед подачей на стол резким, едва ли не пренебрежительным движением запястья, как у танцора фламенко. Таким образом, некоторые вкусовые рецепторы оживляются пр</x:v>
      </x:c>
      <x:c r="AC492" s="28" t="n">
        <x:v>1</x:v>
      </x:c>
      <x:c r="AD492" s="28" t="n">
        <x:v>2</x:v>
      </x:c>
    </x:row>
    <x:row r="493" ht="58" customHeight="1">
      <x:c r="A493" s="28" t="str">
        <x:v>CIT-0492</x:v>
      </x:c>
      <x:c r="B493" s="28" t="str">
        <x:v>Универсальные</x:v>
      </x:c>
      <x:c r="C493" s="28" t="str">
        <x:v>лимон</x:v>
      </x:c>
      <x:c r="D493" s="28" t="str">
        <x:v>лимон</x:v>
      </x:c>
      <x:c r="E493" s="28" t="str">
        <x:v>Цитрусовые</x:v>
      </x:c>
      <x:c r="F493" s="28" t="str">
        <x:v>шелковица</x:v>
      </x:c>
      <x:c r="G493" s="28" t="str">
        <x:v>Шелковица</x:v>
      </x:c>
      <x:c r="H493" s="28" t="str">
        <x:v>Прочее</x:v>
      </x:c>
      <x:c r="I493" s="28" t="str">
        <x:v>цитрусовый, свежий, цветочный, древесный</x:v>
      </x:c>
      <x:c r="J493" s="28" t="str">
        <x:v>нейтральный/специфический</x:v>
      </x:c>
      <x:c r="K493" s="28" t="str">
        <x:v>цитраль (гераниаль + нераль), лимонен, гамма-терпинен, бета-пинен</x:v>
      </x:c>
      <x:c r="L493" s="28" t="str">
        <x:v>нужен профиль конкретного продукта</x:v>
      </x:c>
      <x:c r="M493" s="28" t="str">
        <x:v>прямое семейное перекрытие не является главным механизмом</x:v>
      </x:c>
      <x:c r="N493" s="28" t="str">
        <x:v>надёжный общий маркер не заявлен; сочетание объясняется семействами и сенсорным балансом</x:v>
      </x:c>
      <x:c r="O493" s="28" t="str">
        <x:v>вкусовой баланс, тройничное восприятие</x:v>
      </x:c>
      <x:c r="P493" s="28" t="str">
        <x:v>Основной эффект определяется ароматическим контрастом и добавлением кислотной свежести; точный баланс зависит от дозировки и матрицы.</x:v>
      </x:c>
      <x:c r="Q493" s="28" t="str">
        <x:v>кислота усиливает слюноотделение; нет данных</x:v>
      </x:c>
      <x:c r="R493" s="28" t="str">
        <x:v>сок — водная кислая фаза; цедра — гидрофобное эфирное масло; зависит от формы продукта</x:v>
      </x:c>
      <x:c r="S49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93" s="28" t="str">
        <x:v>Лимон формирует профиль «цитрусовый, свежий, цветочный, древесный»; характерные маркеры: цитраль (гераниаль + нераль), лимонен, гамма-терпинен, бета-пинен. Шелковица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493" s="28" t="str">
        <x:v>Избыток кислоты делает вкус плоско-резким; белая часть кожуры даёт лишнюю горечь.</x:v>
      </x:c>
      <x:c r="V493" s="28" t="str">
        <x:v>мёд или нейтральная жировая основа</x:v>
      </x:c>
      <x:c r="W493" s="28" t="str">
        <x:v>соус, напиток или десерт после пробной дегустации</x:v>
      </x:c>
      <x:c r="X493" s="28" t="str">
        <x:v>универсальное</x:v>
      </x:c>
      <x:c r="Y493" s="28" t="str">
        <x:v>Гипотеза / практическая</x:v>
      </x:c>
      <x:c r="Z493" s="28" t="str">
        <x:v>Таблица сочетания(1).pdf</x:v>
      </x:c>
      <x:c r="AA493" s="28" t="str">
        <x:v>Таблица сочетания(1).pdf: 13</x:v>
      </x:c>
      <x:c r="AB493" s="28" t="str">
        <x:v>Пара указана в таблице: «Шелковица» → колонка «Фрукты».</x:v>
      </x:c>
      <x:c r="AC493" s="28" t="n">
        <x:v>1</x:v>
      </x:c>
      <x:c r="AD493" s="28" t="n">
        <x:v>1</x:v>
      </x:c>
    </x:row>
    <x:row r="494" ht="58" customHeight="1">
      <x:c r="A494" s="28" t="str">
        <x:v>CIT-0493</x:v>
      </x:c>
      <x:c r="B494" s="28" t="str">
        <x:v>Десерты и выпечка</x:v>
      </x:c>
      <x:c r="C494" s="28" t="str">
        <x:v>лимон</x:v>
      </x:c>
      <x:c r="D494" s="28" t="str">
        <x:v>Лимон | лимон</x:v>
      </x:c>
      <x:c r="E494" s="28" t="str">
        <x:v>Цитрусовые</x:v>
      </x:c>
      <x:c r="F494" s="28" t="str">
        <x:v>шоколад</x:v>
      </x:c>
      <x:c r="G494" s="28" t="str">
        <x:v>Шоколад | шоколад</x:v>
      </x:c>
      <x:c r="H494" s="28" t="str">
        <x:v>Шоколад/обжаренное</x:v>
      </x:c>
      <x:c r="I494" s="28" t="str">
        <x:v>цитрусовый, свежий, цветочный, древесный</x:v>
      </x:c>
      <x:c r="J494" s="28" t="str">
        <x:v>обжаренный, какао, ореховый, карамельный</x:v>
      </x:c>
      <x:c r="K494" s="28" t="str">
        <x:v>цитраль (гераниаль + нераль), лимонен, гамма-терпинен, бета-пинен</x:v>
      </x:c>
      <x:c r="L494" s="28" t="str">
        <x:v>пиразины, фураны, фенилуксусная кислота, ванилин</x:v>
      </x:c>
      <x:c r="M494" s="28" t="str">
        <x:v>прямое семейное перекрытие не является главным механизмом</x:v>
      </x:c>
      <x:c r="N494" s="28" t="str">
        <x:v>надёжный общий маркер не заявлен; сочетание объясняется семействами и сенсорным балансом</x:v>
      </x:c>
      <x:c r="O494" s="28" t="str">
        <x:v>вкусовой баланс</x:v>
      </x:c>
      <x:c r="P494" s="28" t="str">
        <x:v>Высокая кисло-ароматическая нота контрастирует с жареными, горькими и карамельными оттенками; сахар или жир связывает два регистра.</x:v>
      </x:c>
      <x:c r="Q494" s="28" t="str">
        <x:v>кислота усиливает слюноотделение; нет выраженного</x:v>
      </x:c>
      <x:c r="R494" s="28" t="str">
        <x:v>сок — водная кислая фаза; цедра — гидрофобное эфирное масло; жир какао удерживает гидрофобные терпены</x:v>
      </x:c>
      <x:c r="S49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494" s="28" t="str">
        <x:v>Лимон формирует профиль «цитрусовый, свежий, цветочный, древесный»; характерные маркеры: цитраль (гераниаль + нераль), лимонен, гамма-терпинен, бета-пинен.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Сок определяется цитралем и кислотностью, цедра — лимоненом и терпенами. Цитрус даёт высокую свежую ноту на фоне тёмных жареных соединений.</x:v>
      </x:c>
      <x:c r="U494" s="28" t="str">
        <x:v>Избыток кислоты делает вкус плоско-резким; белая часть кожуры даёт лишнюю горечь.</x:v>
      </x:c>
      <x:c r="V494" s="28" t="str">
        <x:v>ваниль или кардамон</x:v>
      </x:c>
      <x:c r="W494" s="28" t="str">
        <x:v>ганаш, тарт, конфеты, кофейный напиток или биттер</x:v>
      </x:c>
      <x:c r="X494" s="28" t="str">
        <x:v>десерты</x:v>
      </x:c>
      <x:c r="Y494" s="28" t="str">
        <x:v>Высокая</x:v>
      </x:c>
      <x:c r="Z494" s="28" t="str">
        <x:v>Тезариус вкусов (Ники Сегнит)(1).pdf</x:v>
      </x:c>
      <x:c r="AA494" s="28" t="str">
        <x:v>Тезариус вкусов (Ники Сегнит)(1).pdf: 33, 811</x:v>
      </x:c>
      <x:c r="AB494" s="28" t="str">
        <x:v>Реализовать такую комбинацию непросто, но работающее сочетание может оказаться весьма изысканным. При словах «лимон и шоколад» мне представляется длинная ложка, которая погружается в высокий бокал, заполненный чередующимися слоями из ароматного лимонного крема и шоколадного ганаша, напоминающими полоски на брюшке шмеля. Жоэль Робюшон (Joël Robuchon) полагается на эту пару, когда подает к столу лимонное печенье «Мадлен» (madeleine) и маленькие горшочки с шоколадом.</x:v>
      </x:c>
      <x:c r="AC494" s="28" t="n">
        <x:v>1</x:v>
      </x:c>
      <x:c r="AD494" s="28" t="n">
        <x:v>2</x:v>
      </x:c>
    </x:row>
    <x:row r="495" ht="58" customHeight="1">
      <x:c r="A495" s="28" t="str">
        <x:v>CIT-0494</x:v>
      </x:c>
      <x:c r="B495" s="28" t="str">
        <x:v>Универсальные</x:v>
      </x:c>
      <x:c r="C495" s="28" t="str">
        <x:v>лимон</x:v>
      </x:c>
      <x:c r="D495" s="28" t="str">
        <x:v>лимон</x:v>
      </x:c>
      <x:c r="E495" s="28" t="str">
        <x:v>Цитрусовые</x:v>
      </x:c>
      <x:c r="F495" s="28" t="str">
        <x:v>юдзу</x:v>
      </x:c>
      <x:c r="G495" s="28" t="str">
        <x:v>Юдзу</x:v>
      </x:c>
      <x:c r="H495" s="28" t="str">
        <x:v>Цитрусовые</x:v>
      </x:c>
      <x:c r="I495" s="28" t="str">
        <x:v>цитрусовый, свежий, цветочный, древесный</x:v>
      </x:c>
      <x:c r="J495" s="28" t="str">
        <x:v>цитрусовый, зелёный, травяной, камфорный</x:v>
      </x:c>
      <x:c r="K495" s="28" t="str">
        <x:v>цитраль (гераниаль + нераль), лимонен, гамма-терпинен, бета-пинен</x:v>
      </x:c>
      <x:c r="L495" s="28" t="str">
        <x:v>лимонен, гамма-терпинен, цитраль, бета-пинен, линалол</x:v>
      </x:c>
      <x:c r="M495" s="28" t="str">
        <x:v>цитрусовый</x:v>
      </x:c>
      <x:c r="N495" s="28" t="str">
        <x:v>бета-пинен, гамма-терпинен, лимонен, цитраль</x:v>
      </x:c>
      <x:c r="O495" s="28" t="str">
        <x:v>общие ароматические молекулы, перекрытие ароматических семейств, вкусовой баланс, тройничное восприятие</x:v>
      </x:c>
      <x:c r="P495" s="28" t="str">
        <x:v>Сочетание строится на близком терпеновом профиле; различия в кислотности, горечи и цветочно-зелёных оттенках создают объём.</x:v>
      </x:c>
      <x:c r="Q495" s="28" t="str">
        <x:v>кислота усиливает слюноотделение; кислота усиливает слюноотделение; зелёные терпены создают ощущение прохлады</x:v>
      </x:c>
      <x:c r="R495" s="28" t="str">
        <x:v>сок — водная кислая фаза; цедра — гидрофобное эфирное масло; сок — водная кислая фаза; цедра — масляная терпеновая</x:v>
      </x:c>
      <x:c r="S49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495" s="28" t="str">
        <x:v>Лимон формирует профиль «цитрусовый, свежий, цветочный, древесный»; характерные маркеры: цитраль (гераниаль + нераль), лимонен, гамма-терпинен, бета-пинен. Юдзу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Лаймовые цитрусы дают более зелёный и камфорный профиль, чем сладкий апельсин.</x:v>
      </x:c>
      <x:c r="U495" s="28" t="str">
        <x:v>Избыток кислоты делает вкус плоско-резким; белая часть кожуры даёт лишнюю горечь.</x:v>
      </x:c>
      <x:c r="V495" s="28" t="str">
        <x:v>мёд или цветочная вода</x:v>
      </x:c>
      <x:c r="W495" s="28" t="str">
        <x:v>цитрусовый кордиал, мармелад, сорбет, салат или купаж соков</x:v>
      </x:c>
      <x:c r="X495" s="28" t="str">
        <x:v>напитки, десерты</x:v>
      </x:c>
      <x:c r="Y495" s="28" t="str">
        <x:v>Средняя</x:v>
      </x:c>
      <x:c r="Z495" s="28" t="str">
        <x:v>Таблица сочетания(1).pdf</x:v>
      </x:c>
      <x:c r="AA495" s="28" t="str">
        <x:v>Таблица сочетания(1).pdf: 22</x:v>
      </x:c>
      <x:c r="AB495" s="28" t="str">
        <x:v>Пара указана в таблице: «Юдзу» → колонка «Фрукты».</x:v>
      </x:c>
      <x:c r="AC495" s="28" t="n">
        <x:v>1</x:v>
      </x:c>
      <x:c r="AD495" s="28" t="n">
        <x:v>1</x:v>
      </x:c>
    </x:row>
    <x:row r="496" ht="58" customHeight="1">
      <x:c r="A496" s="28" t="str">
        <x:v>CIT-0495</x:v>
      </x:c>
      <x:c r="B496" s="28" t="str">
        <x:v>Десерты и выпечка</x:v>
      </x:c>
      <x:c r="C496" s="28" t="str">
        <x:v>лимон</x:v>
      </x:c>
      <x:c r="D496" s="28" t="str">
        <x:v>Лимон</x:v>
      </x:c>
      <x:c r="E496" s="28" t="str">
        <x:v>Цитрусовые</x:v>
      </x:c>
      <x:c r="F496" s="28" t="str">
        <x:v>яблоко</x:v>
      </x:c>
      <x:c r="G496" s="28" t="str">
        <x:v>яблоко</x:v>
      </x:c>
      <x:c r="H496" s="28" t="str">
        <x:v>Фрукты</x:v>
      </x:c>
      <x:c r="I496" s="28" t="str">
        <x:v>цитрусовый, свежий, цветочный, древесный</x:v>
      </x:c>
      <x:c r="J496" s="28" t="str">
        <x:v>фруктовый, зелёный, цветочный</x:v>
      </x:c>
      <x:c r="K496" s="28" t="str">
        <x:v>цитраль (гераниаль + нераль), лимонен, гамма-терпинен, бета-пинен</x:v>
      </x:c>
      <x:c r="L496" s="28" t="str">
        <x:v>гексилацетат, гексаналь, транс-2-гексеналь, бета-дамасценон</x:v>
      </x:c>
      <x:c r="M496" s="28" t="str">
        <x:v>цветочный</x:v>
      </x:c>
      <x:c r="N496" s="28" t="str">
        <x:v>надёжный общий маркер не заявлен; сочетание объясняется семействами и сенсорным балансом</x:v>
      </x:c>
      <x:c r="O496" s="28" t="str">
        <x:v>перекрытие ароматических семейств, вкусовой баланс</x:v>
      </x:c>
      <x:c r="P496" s="28" t="str">
        <x:v>Общая фруктовая сладость и летучие эфиры создают непрерывный ароматический профиль, а цитрусовая кислота повышает контраст и свежесть.</x:v>
      </x:c>
      <x:c r="Q496" s="28" t="str">
        <x:v>кислота усиливает слюноотделение; нет выраженного</x:v>
      </x:c>
      <x:c r="R496" s="28" t="str">
        <x:v>сок — водная кислая фаза; цедра — гидрофобное эфирное масло; водная сочная матрица; пектин повышает вязкость</x:v>
      </x:c>
      <x:c r="S49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96" s="28" t="str">
        <x:v>Лимон формирует профиль «цитрусовый, свежий, цветочный, древесный»; характерные маркеры: цитраль (гераниаль + нераль), лимонен, гамма-терпинен, бета-пинен.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Яблочные эфиры и зелёные альдегиды хорошо поддерживают свежий цитрус.</x:v>
      </x:c>
      <x:c r="U496" s="28" t="str">
        <x:v>Избыток кислоты делает вкус плоско-резким; белая часть кожуры даёт лишнюю горечь.</x:v>
      </x:c>
      <x:c r="V496" s="28" t="str">
        <x:v>мята или имбирь</x:v>
      </x:c>
      <x:c r="W496" s="28" t="str">
        <x:v>лимонад, сорбет, компот, салат или фруктовый кордиал</x:v>
      </x:c>
      <x:c r="X496" s="28" t="str">
        <x:v>напитки, десерты</x:v>
      </x:c>
      <x:c r="Y496" s="28" t="str">
        <x:v>Гипотеза / практическая</x:v>
      </x:c>
      <x:c r="Z496" s="28" t="str">
        <x:v>Таблица сочетания(1).pdf</x:v>
      </x:c>
      <x:c r="AA496" s="28" t="str">
        <x:v>Таблица сочетания(1).pdf: 11</x:v>
      </x:c>
      <x:c r="AB496" s="28" t="str">
        <x:v>Пара указана в таблице: «Лимон» → колонка «Фрукты».</x:v>
      </x:c>
      <x:c r="AC496" s="28" t="n">
        <x:v>1</x:v>
      </x:c>
      <x:c r="AD496" s="28" t="n">
        <x:v>1</x:v>
      </x:c>
    </x:row>
    <x:row r="497" ht="58" customHeight="1">
      <x:c r="A497" s="28" t="str">
        <x:v>CIT-0496</x:v>
      </x:c>
      <x:c r="B497" s="28" t="str">
        <x:v>Десерты и выпечка</x:v>
      </x:c>
      <x:c r="C497" s="28" t="str">
        <x:v>лимон</x:v>
      </x:c>
      <x:c r="D497" s="28" t="str">
        <x:v>Лимон</x:v>
      </x:c>
      <x:c r="E497" s="28" t="str">
        <x:v>Цитрусовые</x:v>
      </x:c>
      <x:c r="F497" s="28" t="str">
        <x:v>ягоды</x:v>
      </x:c>
      <x:c r="G497" s="28" t="str">
        <x:v>ягоды</x:v>
      </x:c>
      <x:c r="H497" s="28" t="str">
        <x:v>Ягоды/косточковые</x:v>
      </x:c>
      <x:c r="I497" s="28" t="str">
        <x:v>цитрусовый, свежий, цветочный, древесный</x:v>
      </x:c>
      <x:c r="J497" s="28" t="str">
        <x:v>фруктовый, цветочный, зелёный, винный</x:v>
      </x:c>
      <x:c r="K497" s="28" t="str">
        <x:v>цитраль (гераниаль + нераль), лимонен, гамма-терпинен, бета-пинен</x:v>
      </x:c>
      <x:c r="L497" s="28" t="str">
        <x:v>иононы, дамасценон, эфиры, бензальдегид (для косточковых)</x:v>
      </x:c>
      <x:c r="M497" s="28" t="str">
        <x:v>цветочный</x:v>
      </x:c>
      <x:c r="N497" s="28" t="str">
        <x:v>надёжный общий маркер не заявлен; сочетание объясняется семействами и сенсорным балансом</x:v>
      </x:c>
      <x:c r="O497" s="28" t="str">
        <x:v>перекрытие ароматических семейств, вкусовой баланс</x:v>
      </x:c>
      <x:c r="P497" s="28" t="str">
        <x:v>Общая фруктовая сладость и летучие эфиры создают непрерывный ароматический профиль, а цитрусовая кислота повышает контраст и свежесть.</x:v>
      </x:c>
      <x:c r="Q497" s="28" t="str">
        <x:v>кислота усиливает слюноотделение; нет выраженного</x:v>
      </x:c>
      <x:c r="R497" s="28" t="str">
        <x:v>сок — водная кислая фаза; цедра — гидрофобное эфирное масло; водная матрица с антоцианами и полифенолами</x:v>
      </x:c>
      <x:c r="S49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97" s="28" t="str">
        <x:v>Лимон формирует профиль «цитрусовый, свежий, цветочный, древесный»; характерные маркеры: цитраль (гераниаль + нераль), лимонен, гамма-терпинен, бета-пинен.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497" s="28" t="str">
        <x:v>Избыток кислоты делает вкус плоско-резким; белая часть кожуры даёт лишнюю горечь.</x:v>
      </x:c>
      <x:c r="V497" s="28" t="str">
        <x:v>ваниль или миндаль</x:v>
      </x:c>
      <x:c r="W497" s="28" t="str">
        <x:v>джем, сорбет, коктейль или соус</x:v>
      </x:c>
      <x:c r="X497" s="28" t="str">
        <x:v>напитки, десерты</x:v>
      </x:c>
      <x:c r="Y497" s="28" t="str">
        <x:v>Гипотеза / практическая</x:v>
      </x:c>
      <x:c r="Z497" s="28" t="str">
        <x:v>Таблица сочетания(1).pdf</x:v>
      </x:c>
      <x:c r="AA497" s="28" t="str">
        <x:v>Таблица сочетания(1).pdf: 11</x:v>
      </x:c>
      <x:c r="AB497" s="28" t="str">
        <x:v>Пара указана в таблице: «Лимон» → колонка «Фрукты».</x:v>
      </x:c>
      <x:c r="AC497" s="28" t="n">
        <x:v>1</x:v>
      </x:c>
      <x:c r="AD497" s="28" t="n">
        <x:v>1</x:v>
      </x:c>
    </x:row>
    <x:row r="498" ht="58" customHeight="1">
      <x:c r="A498" s="28" t="str">
        <x:v>CIT-0497</x:v>
      </x:c>
      <x:c r="B498" s="28" t="str">
        <x:v>Десерты и выпечка</x:v>
      </x:c>
      <x:c r="C498" s="28" t="str">
        <x:v>лимон</x:v>
      </x:c>
      <x:c r="D498" s="28" t="str">
        <x:v>лимон</x:v>
      </x:c>
      <x:c r="E498" s="28" t="str">
        <x:v>Цитрусовые</x:v>
      </x:c>
      <x:c r="F498" s="28" t="str">
        <x:v>ягоды можжевельника</x:v>
      </x:c>
      <x:c r="G498" s="28" t="str">
        <x:v>Ягоды можжевельника</x:v>
      </x:c>
      <x:c r="H498" s="28" t="str">
        <x:v>Ягоды/косточковые</x:v>
      </x:c>
      <x:c r="I498" s="28" t="str">
        <x:v>цитрусовый, свежий, цветочный, древесный</x:v>
      </x:c>
      <x:c r="J498" s="28" t="str">
        <x:v>фруктовый, цветочный, зелёный, винный</x:v>
      </x:c>
      <x:c r="K498" s="28" t="str">
        <x:v>цитраль (гераниаль + нераль), лимонен, гамма-терпинен, бета-пинен</x:v>
      </x:c>
      <x:c r="L498" s="28" t="str">
        <x:v>иононы, дамасценон, эфиры, бензальдегид (для косточковых)</x:v>
      </x:c>
      <x:c r="M498" s="28" t="str">
        <x:v>цветочный</x:v>
      </x:c>
      <x:c r="N498" s="28" t="str">
        <x:v>надёжный общий маркер не заявлен; сочетание объясняется семействами и сенсорным балансом</x:v>
      </x:c>
      <x:c r="O498" s="28" t="str">
        <x:v>перекрытие ароматических семейств, вкусовой баланс</x:v>
      </x:c>
      <x:c r="P498" s="28" t="str">
        <x:v>Общая фруктовая сладость и летучие эфиры создают непрерывный ароматический профиль, а цитрусовая кислота повышает контраст и свежесть.</x:v>
      </x:c>
      <x:c r="Q498" s="28" t="str">
        <x:v>кислота усиливает слюноотделение; нет выраженного</x:v>
      </x:c>
      <x:c r="R498" s="28" t="str">
        <x:v>сок — водная кислая фаза; цедра — гидрофобное эфирное масло; водная матрица с антоцианами и полифенолами</x:v>
      </x:c>
      <x:c r="S49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498" s="28" t="str">
        <x:v>Лимон формирует профиль «цитрусовый, свежий, цветочный, древесный»; характерные маркеры: цитраль (гераниаль + нераль), лимонен, гамма-терпинен, бета-пинен. Ягоды можжевельника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498" s="28" t="str">
        <x:v>Избыток кислоты делает вкус плоско-резким; белая часть кожуры даёт лишнюю горечь.</x:v>
      </x:c>
      <x:c r="V498" s="28" t="str">
        <x:v>ваниль или миндаль</x:v>
      </x:c>
      <x:c r="W498" s="28" t="str">
        <x:v>джем, сорбет, коктейль или соус</x:v>
      </x:c>
      <x:c r="X498" s="28" t="str">
        <x:v>напитки, десерты</x:v>
      </x:c>
      <x:c r="Y498" s="28" t="str">
        <x:v>Гипотеза / практическая</x:v>
      </x:c>
      <x:c r="Z498" s="28" t="str">
        <x:v>Таблица сочетания(1).pdf</x:v>
      </x:c>
      <x:c r="AA498" s="28" t="str">
        <x:v>Таблица сочетания(1).pdf: 10</x:v>
      </x:c>
      <x:c r="AB498" s="28" t="str">
        <x:v>Пара указана в таблице: «Ягоды можжевельника» → колонка «Фрукты».</x:v>
      </x:c>
      <x:c r="AC498" s="28" t="n">
        <x:v>1</x:v>
      </x:c>
      <x:c r="AD498" s="28" t="n">
        <x:v>1</x:v>
      </x:c>
    </x:row>
    <x:row r="499" ht="58" customHeight="1">
      <x:c r="A499" s="28" t="str">
        <x:v>CIT-0498</x:v>
      </x:c>
      <x:c r="B499" s="28" t="str">
        <x:v>Десерты и выпечка</x:v>
      </x:c>
      <x:c r="C499" s="28" t="str">
        <x:v>лимон</x:v>
      </x:c>
      <x:c r="D499" s="28" t="str">
        <x:v>Лимон | лимон</x:v>
      </x:c>
      <x:c r="E499" s="28" t="str">
        <x:v>Цитрусовые</x:v>
      </x:c>
      <x:c r="F499" s="28" t="str">
        <x:v>яйца</x:v>
      </x:c>
      <x:c r="G499" s="28" t="str">
        <x:v>Яйца | яйца</x:v>
      </x:c>
      <x:c r="H499" s="28" t="str">
        <x:v>Молочные продукты</x:v>
      </x:c>
      <x:c r="I499" s="28" t="str">
        <x:v>цитрусовый, свежий, цветочный, древесный</x:v>
      </x:c>
      <x:c r="J499" s="28" t="str">
        <x:v>сливочный, молочный, масляный, иногда животный</x:v>
      </x:c>
      <x:c r="K499" s="28" t="str">
        <x:v>цитраль (гераниаль + нераль), лимонен, гамма-терпинен, бета-пинен</x:v>
      </x:c>
      <x:c r="L499" s="28" t="str">
        <x:v>диацетил, молочные лактоны, свободные жирные кислоты</x:v>
      </x:c>
      <x:c r="M499" s="28" t="str">
        <x:v>прямое семейное перекрытие не является главным механизмом</x:v>
      </x:c>
      <x:c r="N499" s="28" t="str">
        <x:v>надёжный общий маркер не заявлен; сочетание объясняется семействами и сенсорным балансом</x:v>
      </x:c>
      <x:c r="O499" s="28" t="str">
        <x:v>вкусовой баланс, влияние матрицы/растворимости</x:v>
      </x:c>
      <x:c r="P499" s="28" t="str">
        <x:v>Кислотность и лёгкая горечь цитруса снижают ощущение жирности; соль и умами, в свою очередь, делают фруктовую часть менее резкой.</x:v>
      </x:c>
      <x:c r="Q499" s="28" t="str">
        <x:v>кислота усиливает слюноотделение; нет выраженного</x:v>
      </x:c>
      <x:c r="R499" s="28" t="str">
        <x:v>сок — водная кислая фаза; цедра — гидрофобное эфирное масло; жир растворяет терпены; кислота цитруса может коагулировать молочный белок</x:v>
      </x:c>
      <x:c r="S499"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499" s="28" t="str">
        <x:v>Лимон формирует профиль «цитрусовый, свежий, цветочный, древесный»; характерные маркеры: цитраль (гераниаль + нераль), лимонен, гамма-терпинен, бета-пинен. Яйца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U499" s="28" t="str">
        <x:v>Избыток кислоты делает вкус плоско-резким; белая часть кожуры даёт лишнюю горечь; возможна коагуляция белка.</x:v>
      </x:c>
      <x:c r="V499" s="28" t="str">
        <x:v>мёд или ваниль</x:v>
      </x:c>
      <x:c r="W499" s="28" t="str">
        <x:v>чизкейк, крем, мороженое, соус или салат</x:v>
      </x:c>
      <x:c r="X499" s="28" t="str">
        <x:v>десерты, еда</x:v>
      </x:c>
      <x:c r="Y499" s="28" t="str">
        <x:v>Высокая</x:v>
      </x:c>
      <x:c r="Z499" s="28" t="str">
        <x:v>Тезариус вкусов (Ники Сегнит)(1).pdf</x:v>
      </x:c>
      <x:c r="AA499" s="28" t="str">
        <x:v>Тезариус вкусов (Ники Сегнит)(1).pdf: 354, 811</x:v>
      </x:c>
      <x:c r="AB499" s="28" t="str">
        <x:v>Авголемоно (Avgolemono), букваль- но «яйцо и лимон», – так называется популярное в Греции блюдо, которое может принимать форму соуса или супа. Писатель Алан Дэвидсон (Alan Davidson) отмечает, что в этом блюде сходство двух ингредиентов демонстрируется таким же образом, как в некоторых версиях майонезов с лимоном. Для того чтобы сделать суп авголемоно, доведите 1 л куриного бульона до кипения и добавьте к нему рис или пасту орцо (orzo). К тому времени, как рис или паста будут готовы, взбейте два </x:v>
      </x:c>
      <x:c r="AC499" s="28" t="n">
        <x:v>1</x:v>
      </x:c>
      <x:c r="AD499" s="28" t="n">
        <x:v>2</x:v>
      </x:c>
    </x:row>
    <x:row r="500" ht="58" customHeight="1">
      <x:c r="A500" s="28" t="str">
        <x:v>CIT-0499</x:v>
      </x:c>
      <x:c r="B500" s="28" t="str">
        <x:v>Универсальные</x:v>
      </x:c>
      <x:c r="C500" s="28" t="str">
        <x:v>лимонная вербена</x:v>
      </x:c>
      <x:c r="D500" s="28" t="str">
        <x:v>lemon verbena</x:v>
      </x:c>
      <x:c r="E500" s="28" t="str">
        <x:v>Цитрусовые</x:v>
      </x:c>
      <x:c r="F500" s="28" t="str">
        <x:v>цедра танжерина</x:v>
      </x:c>
      <x:c r="G500" s="28" t="str">
        <x:v>tangerine zest</x:v>
      </x:c>
      <x:c r="H500" s="28" t="str">
        <x:v>Цитрусовые</x:v>
      </x:c>
      <x:c r="I500" s="28" t="str">
        <x:v>цитрусовый, свежий, цветочный, древесный</x:v>
      </x:c>
      <x:c r="J500" s="28" t="str">
        <x:v>цитрусовый, фруктовый, цветочный, пряный</x:v>
      </x:c>
      <x:c r="K500" s="28" t="str">
        <x:v>цитраль (гераниаль + нераль), лимонен, гамма-терпинен, бета-пинен</x:v>
      </x:c>
      <x:c r="L500" s="28" t="str">
        <x:v>лимонен, гамма-терпинен, метил-N-метилантранилат, линалол</x:v>
      </x:c>
      <x:c r="M500" s="28" t="str">
        <x:v>цветочный, цитрусовый</x:v>
      </x:c>
      <x:c r="N500" s="28" t="str">
        <x:v>гамма-терпинен, лимонен</x:v>
      </x:c>
      <x:c r="O500" s="28" t="str">
        <x:v>общие ароматические молекулы, перекрытие ароматических семейств, вкусовой баланс</x:v>
      </x:c>
      <x:c r="P500" s="28" t="str">
        <x:v>Сочетание строится на близком терпеновом профиле; различия в кислотности, горечи и цветочно-зелёных оттенках создают объём.</x:v>
      </x:c>
      <x:c r="Q500" s="28" t="str">
        <x:v>кислота усиливает слюноотделение; нет выраженного</x:v>
      </x:c>
      <x:c r="R500" s="28" t="str">
        <x:v>сок — водная кислая фаза; цедра — гидрофобное эфирное масло; сок водный; кожура богата эфирным маслом</x:v>
      </x:c>
      <x:c r="S50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00" s="28" t="str">
        <x:v>Лимонная вербена формирует профиль «цитрусовый, свежий, цветочный, древесный»; характерные маркеры: цитраль (гераниаль + нераль), лимонен, гамма-терпинен, бета-пинен. Цедра танжерина относится к группе «цитрусовые» и даёт ноты «цитрусовый, фруктовый, цветочный, пряный».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Мандариновая группа мягче по кислотности и выраженнее по сладко-цветочным нотам.</x:v>
      </x:c>
      <x:c r="U500" s="28" t="str">
        <x:v>Избыток кислоты делает вкус плоско-резким; белая часть кожуры даёт лишнюю горечь.</x:v>
      </x:c>
      <x:c r="V500" s="28" t="str">
        <x:v>мёд или цветочная вода</x:v>
      </x:c>
      <x:c r="W500" s="28" t="str">
        <x:v>цитрусовый кордиал, мармелад, сорбет, салат или купаж соков</x:v>
      </x:c>
      <x:c r="X500" s="28" t="str">
        <x:v>напитки, десерты</x:v>
      </x:c>
      <x:c r="Y500" s="28" t="str">
        <x:v>Средняя</x:v>
      </x:c>
      <x:c r="Z500" s="28" t="str">
        <x:v>The Art &amp; Science of Foodpairing.pdf</x:v>
      </x:c>
      <x:c r="AA500" s="28" t="str">
        <x:v>The Art &amp; Science of Foodpairing.pdf: 228</x:v>
      </x:c>
      <x:c r="AB500" s="28" t="str">
        <x:v>Пара представлена в ароматической диаграмме Foodpairing на странице 228.</x:v>
      </x:c>
      <x:c r="AC500" s="28" t="n">
        <x:v>1</x:v>
      </x:c>
      <x:c r="AD500" s="28" t="n">
        <x:v>1</x:v>
      </x:c>
    </x:row>
    <x:row r="501" ht="58" customHeight="1">
      <x:c r="A501" s="28" t="str">
        <x:v>CIT-0500</x:v>
      </x:c>
      <x:c r="B501" s="28" t="str">
        <x:v>Универсальные</x:v>
      </x:c>
      <x:c r="C501" s="28" t="str">
        <x:v>лимонная водка</x:v>
      </x:c>
      <x:c r="D501" s="28" t="str">
        <x:v>lemon vodka</x:v>
      </x:c>
      <x:c r="E501" s="28" t="str">
        <x:v>Цитрусовые</x:v>
      </x:c>
      <x:c r="F501" s="28" t="str">
        <x:v>пальчиковый лайм</x:v>
      </x:c>
      <x:c r="G501" s="28" t="str">
        <x:v>finger lime</x:v>
      </x:c>
      <x:c r="H501" s="28" t="str">
        <x:v>Цитрусовые</x:v>
      </x:c>
      <x:c r="I501" s="28" t="str">
        <x:v>цитрусовый, свежий, цветочный, древесный</x:v>
      </x:c>
      <x:c r="J501" s="28" t="str">
        <x:v>цитрусовый, зелёный, травяной, камфорный</x:v>
      </x:c>
      <x:c r="K501" s="28" t="str">
        <x:v>цитраль (гераниаль + нераль), лимонен, гамма-терпинен, бета-пинен</x:v>
      </x:c>
      <x:c r="L501" s="28" t="str">
        <x:v>лимонен, гамма-терпинен, цитраль, бета-пинен, линалол</x:v>
      </x:c>
      <x:c r="M501" s="28" t="str">
        <x:v>цитрусовый</x:v>
      </x:c>
      <x:c r="N501" s="28" t="str">
        <x:v>бета-пинен, гамма-терпинен, лимонен, цитраль</x:v>
      </x:c>
      <x:c r="O501" s="28" t="str">
        <x:v>общие ароматические молекулы, перекрытие ароматических семейств, вкусовой баланс, тройничное восприятие</x:v>
      </x:c>
      <x:c r="P501" s="28" t="str">
        <x:v>Сочетание строится на близком терпеновом профиле; различия в кислотности, горечи и цветочно-зелёных оттенках создают объём.</x:v>
      </x:c>
      <x:c r="Q501" s="28" t="str">
        <x:v>кислота усиливает слюноотделение; кислота усиливает слюноотделение; зелёные терпены создают ощущение прохлады</x:v>
      </x:c>
      <x:c r="R501" s="28" t="str">
        <x:v>сок — водная кислая фаза; цедра — гидрофобное эфирное масло; сок — водная кислая фаза; цедра — масляная терпеновая</x:v>
      </x:c>
      <x:c r="S50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01" s="28" t="str">
        <x:v>Лимонная водка формирует профиль «цитрусовый, свежий, цветочный, древесный»; характерные маркеры: цитраль (гераниаль + нераль), лимонен, гамма-терпинен, бета-пинен. Пальчиковый лайм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Лаймовые цитрусы дают более зелёный и камфорный профиль, чем сладкий апельсин.</x:v>
      </x:c>
      <x:c r="U501" s="28" t="str">
        <x:v>Избыток кислоты делает вкус плоско-резким; белая часть кожуры даёт лишнюю горечь.</x:v>
      </x:c>
      <x:c r="V501" s="28" t="str">
        <x:v>мёд или цветочная вода</x:v>
      </x:c>
      <x:c r="W501" s="28" t="str">
        <x:v>цитрусовый кордиал, мармелад, сорбет, салат или купаж соков</x:v>
      </x:c>
      <x:c r="X501" s="28" t="str">
        <x:v>напитки, десерты</x:v>
      </x:c>
      <x:c r="Y501" s="28" t="str">
        <x:v>Средняя</x:v>
      </x:c>
      <x:c r="Z501" s="28" t="str">
        <x:v>The Art &amp; Science of Foodpairing.pdf</x:v>
      </x:c>
      <x:c r="AA501" s="28" t="str">
        <x:v>The Art &amp; Science of Foodpairing.pdf: 332</x:v>
      </x:c>
      <x:c r="AB501" s="28" t="str">
        <x:v>Пара представлена в ароматической диаграмме Foodpairing на странице 332.</x:v>
      </x:c>
      <x:c r="AC501" s="28" t="n">
        <x:v>1</x:v>
      </x:c>
      <x:c r="AD501" s="28" t="n">
        <x:v>1</x:v>
      </x:c>
    </x:row>
    <x:row r="502" ht="58" customHeight="1">
      <x:c r="A502" s="28" t="str">
        <x:v>CIT-0501</x:v>
      </x:c>
      <x:c r="B502" s="28" t="str">
        <x:v>Универсальные</x:v>
      </x:c>
      <x:c r="C502" s="28" t="str">
        <x:v>лимонная водка</x:v>
      </x:c>
      <x:c r="D502" s="28" t="str">
        <x:v>lemon vodka</x:v>
      </x:c>
      <x:c r="E502" s="28" t="str">
        <x:v>Цитрусовые</x:v>
      </x:c>
      <x:c r="F502" s="28" t="str">
        <x:v>цукаты из апельсиновой кожуры</x:v>
      </x:c>
      <x:c r="G502" s="28" t="str">
        <x:v>candied orange peel</x:v>
      </x:c>
      <x:c r="H502" s="28" t="str">
        <x:v>Цитрусовые</x:v>
      </x:c>
      <x:c r="I502" s="28" t="str">
        <x:v>цитрусовый, свежий, цветочный, древесный</x:v>
      </x:c>
      <x:c r="J502" s="28" t="str">
        <x:v>цитрусовый, сладко-фруктовый, цветочный, восковой</x:v>
      </x:c>
      <x:c r="K502" s="28" t="str">
        <x:v>цитраль (гераниаль + нераль), лимонен, гамма-терпинен, бета-пинен</x:v>
      </x:c>
      <x:c r="L502" s="28" t="str">
        <x:v>лимонен, линалол, деканаль, октаналь, мирцен</x:v>
      </x:c>
      <x:c r="M502" s="28" t="str">
        <x:v>цветочный, цитрусовый</x:v>
      </x:c>
      <x:c r="N502" s="28" t="str">
        <x:v>лимонен</x:v>
      </x:c>
      <x:c r="O502" s="28" t="str">
        <x:v>общие ароматические молекулы, перекрытие ароматических семейств, вкусовой баланс</x:v>
      </x:c>
      <x:c r="P502" s="28" t="str">
        <x:v>Сочетание строится на близком терпеновом профиле; различия в кислотности, горечи и цветочно-зелёных оттенках создают объём.</x:v>
      </x:c>
      <x:c r="Q502" s="28" t="str">
        <x:v>кислота усиливает слюноотделение; нет выраженного</x:v>
      </x:c>
      <x:c r="R502" s="28" t="str">
        <x:v>сок — водная кислая фаза; цедра — гидрофобное эфирное масло; сок водный; цедра и ликёры несут гидрофобные эфирные масла</x:v>
      </x:c>
      <x:c r="S50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02" s="28" t="str">
        <x:v>Лимонная водка формирует профиль «цитрусовый, свежий, цветочный, древесный»; характерные маркеры: цитраль (гераниаль + нераль), лимонен, гамма-терпинен, бета-пинен. Цукаты из апельсиновой кожуры относится к группе «цитрусовые» и даёт ноты «цитрусовый, сладко-фруктовый, цветочный, восковой».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Апельсиновый профиль строится на лимонене и альдегидах с восково-сладкой нотой.</x:v>
      </x:c>
      <x:c r="U502" s="28" t="str">
        <x:v>Избыток кислоты делает вкус плоско-резким; белая часть кожуры даёт лишнюю горечь.</x:v>
      </x:c>
      <x:c r="V502" s="28" t="str">
        <x:v>мёд или цветочная вода</x:v>
      </x:c>
      <x:c r="W502" s="28" t="str">
        <x:v>цитрусовый кордиал, мармелад, сорбет, салат или купаж соков</x:v>
      </x:c>
      <x:c r="X502" s="28" t="str">
        <x:v>напитки, десерты</x:v>
      </x:c>
      <x:c r="Y502" s="28" t="str">
        <x:v>Средняя</x:v>
      </x:c>
      <x:c r="Z502" s="28" t="str">
        <x:v>The Art &amp; Science of Foodpairing.pdf</x:v>
      </x:c>
      <x:c r="AA502" s="28" t="str">
        <x:v>The Art &amp; Science of Foodpairing.pdf: 267</x:v>
      </x:c>
      <x:c r="AB502" s="28" t="str">
        <x:v>Пара представлена в ароматической диаграмме Foodpairing на странице 267.</x:v>
      </x:c>
      <x:c r="AC502" s="28" t="n">
        <x:v>1</x:v>
      </x:c>
      <x:c r="AD502" s="28" t="n">
        <x:v>1</x:v>
      </x:c>
    </x:row>
    <x:row r="503" ht="58" customHeight="1">
      <x:c r="A503" s="28" t="str">
        <x:v>CIT-0502</x:v>
      </x:c>
      <x:c r="B503" s="28" t="str">
        <x:v>Универсальные</x:v>
      </x:c>
      <x:c r="C503" s="28" t="str">
        <x:v>лимонная цедра</x:v>
      </x:c>
      <x:c r="D503" s="28" t="str">
        <x:v>lemon zest</x:v>
      </x:c>
      <x:c r="E503" s="28" t="str">
        <x:v>Цитрусовые</x:v>
      </x:c>
      <x:c r="F503" s="28" t="str">
        <x:v>анис</x:v>
      </x:c>
      <x:c r="G503" s="28" t="str">
        <x:v>aniseed</x:v>
      </x:c>
      <x:c r="H503" s="28" t="str">
        <x:v>Пряности/травы</x:v>
      </x:c>
      <x:c r="I503" s="28" t="str">
        <x:v>цитрусовый, свежий, цветочный, древесный</x:v>
      </x:c>
      <x:c r="J503" s="28" t="str">
        <x:v>анисовый, сладко-пряный, зелёный</x:v>
      </x:c>
      <x:c r="K503" s="28" t="str">
        <x:v>цитраль (гераниаль + нераль), лимонен, гамма-терпинен, бета-пинен</x:v>
      </x:c>
      <x:c r="L503" s="28" t="str">
        <x:v>транс-анетол, фенхон, эстрагол</x:v>
      </x:c>
      <x:c r="M503" s="28" t="str">
        <x:v>прямое семейное перекрытие не является главным механизмом</x:v>
      </x:c>
      <x:c r="N503" s="28" t="str">
        <x:v>надёжный общий маркер не заявлен; сочетание объясняется семействами и сенсорным балансом</x:v>
      </x:c>
      <x:c r="O503" s="28" t="str">
        <x:v>вкусовой баланс, тройничное восприятие</x:v>
      </x:c>
      <x:c r="P503" s="28" t="str">
        <x:v>Основной эффект определяется ароматическим контрастом и добавлением кислотной свежести; точный баланс зависит от дозировки и матрицы.</x:v>
      </x:c>
      <x:c r="Q503" s="28" t="str">
        <x:v>кислота усиливает слюноотделение; анетол создаёт охлаждающе-сладкое впечатление</x:v>
      </x:c>
      <x:c r="R503" s="28" t="str">
        <x:v>сок — водная кислая фаза; цедра — гидрофобное эфирное масло; анетол гидрофобен и мутнеет при разбавлении спиртовых настоев водой</x:v>
      </x:c>
      <x:c r="S50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03"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Анис относится к группе «пряности/травы» и даёт ноты «анисовый, сладко-пряный,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Анисовые соединения дают сильный ароматический мост с цветочными и цитрусовыми терпенами.</x:v>
      </x:c>
      <x:c r="U503" s="28" t="str">
        <x:v>Избыток кислоты делает вкус плоско-резким; белая часть кожуры даёт лишнюю горечь.</x:v>
      </x:c>
      <x:c r="V503" s="28" t="str">
        <x:v>мёд или нейтральная жировая основа</x:v>
      </x:c>
      <x:c r="W503" s="28" t="str">
        <x:v>соус, напиток или десерт после пробной дегустации</x:v>
      </x:c>
      <x:c r="X503" s="28" t="str">
        <x:v>универсальное</x:v>
      </x:c>
      <x:c r="Y503" s="28" t="str">
        <x:v>Средняя</x:v>
      </x:c>
      <x:c r="Z503" s="28" t="str">
        <x:v>The Art &amp; Science of Foodpairing.pdf</x:v>
      </x:c>
      <x:c r="AA503" s="28" t="str">
        <x:v>The Art &amp; Science of Foodpairing.pdf: 52</x:v>
      </x:c>
      <x:c r="AB503" s="28" t="str">
        <x:v>Пара представлена в ароматической диаграмме Foodpairing на странице 52.</x:v>
      </x:c>
      <x:c r="AC503" s="28" t="n">
        <x:v>1</x:v>
      </x:c>
      <x:c r="AD503" s="28" t="n">
        <x:v>1</x:v>
      </x:c>
    </x:row>
    <x:row r="504" ht="58" customHeight="1">
      <x:c r="A504" s="28" t="str">
        <x:v>CIT-0503</x:v>
      </x:c>
      <x:c r="B504" s="28" t="str">
        <x:v>Универсальные</x:v>
      </x:c>
      <x:c r="C504" s="28" t="str">
        <x:v>лимонная цедра</x:v>
      </x:c>
      <x:c r="D504" s="28" t="str">
        <x:v>lemon zest</x:v>
      </x:c>
      <x:c r="E504" s="28" t="str">
        <x:v>Цитрусовые</x:v>
      </x:c>
      <x:c r="F504" s="28" t="str">
        <x:v>мелисса</x:v>
      </x:c>
      <x:c r="G504" s="28" t="str">
        <x:v>lemon balm</x:v>
      </x:c>
      <x:c r="H504" s="28" t="str">
        <x:v>Прочее</x:v>
      </x:c>
      <x:c r="I504" s="28" t="str">
        <x:v>цитрусовый, свежий, цветочный, древесный</x:v>
      </x:c>
      <x:c r="J504" s="28" t="str">
        <x:v>нейтральный/специфический</x:v>
      </x:c>
      <x:c r="K504" s="28" t="str">
        <x:v>цитраль (гераниаль + нераль), лимонен, гамма-терпинен, бета-пинен</x:v>
      </x:c>
      <x:c r="L504" s="28" t="str">
        <x:v>нужен профиль конкретного продукта</x:v>
      </x:c>
      <x:c r="M504" s="28" t="str">
        <x:v>прямое семейное перекрытие не является главным механизмом</x:v>
      </x:c>
      <x:c r="N504" s="28" t="str">
        <x:v>надёжный общий маркер не заявлен; сочетание объясняется семействами и сенсорным балансом</x:v>
      </x:c>
      <x:c r="O504" s="28" t="str">
        <x:v>вкусовой баланс, тройничное восприятие</x:v>
      </x:c>
      <x:c r="P504" s="28" t="str">
        <x:v>Основной эффект определяется ароматическим контрастом и добавлением кислотной свежести; точный баланс зависит от дозировки и матрицы.</x:v>
      </x:c>
      <x:c r="Q504" s="28" t="str">
        <x:v>кислота усиливает слюноотделение; нет данных</x:v>
      </x:c>
      <x:c r="R504" s="28" t="str">
        <x:v>сок — водная кислая фаза; цедра — гидрофобное эфирное масло; зависит от формы продукта</x:v>
      </x:c>
      <x:c r="S50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04"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Мелисса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504" s="28" t="str">
        <x:v>Избыток кислоты делает вкус плоско-резким; белая часть кожуры даёт лишнюю горечь.</x:v>
      </x:c>
      <x:c r="V504" s="28" t="str">
        <x:v>мёд или нейтральная жировая основа</x:v>
      </x:c>
      <x:c r="W504" s="28" t="str">
        <x:v>соус, напиток или десерт после пробной дегустации</x:v>
      </x:c>
      <x:c r="X504" s="28" t="str">
        <x:v>универсальное</x:v>
      </x:c>
      <x:c r="Y504" s="28" t="str">
        <x:v>Средняя</x:v>
      </x:c>
      <x:c r="Z504" s="28" t="str">
        <x:v>The Art &amp; Science of Foodpairing.pdf</x:v>
      </x:c>
      <x:c r="AA504" s="28" t="str">
        <x:v>The Art &amp; Science of Foodpairing.pdf: 251</x:v>
      </x:c>
      <x:c r="AB504" s="28" t="str">
        <x:v>Пара представлена в ароматической диаграмме Foodpairing на странице 251.</x:v>
      </x:c>
      <x:c r="AC504" s="28" t="n">
        <x:v>1</x:v>
      </x:c>
      <x:c r="AD504" s="28" t="n">
        <x:v>1</x:v>
      </x:c>
    </x:row>
    <x:row r="505" ht="58" customHeight="1">
      <x:c r="A505" s="28" t="str">
        <x:v>CIT-0504</x:v>
      </x:c>
      <x:c r="B505" s="28" t="str">
        <x:v>Десерты и выпечка</x:v>
      </x:c>
      <x:c r="C505" s="28" t="str">
        <x:v>лимонная цедра</x:v>
      </x:c>
      <x:c r="D505" s="28" t="str">
        <x:v>lemon zest</x:v>
      </x:c>
      <x:c r="E505" s="28" t="str">
        <x:v>Цитрусовые</x:v>
      </x:c>
      <x:c r="F505" s="28" t="str">
        <x:v>оливковое масло Пикуаль extra virgin</x:v>
      </x:c>
      <x:c r="G505" s="28" t="str">
        <x:v>Picual extra-virgin olive oil</x:v>
      </x:c>
      <x:c r="H505" s="28" t="str">
        <x:v>Молочные продукты</x:v>
      </x:c>
      <x:c r="I505" s="28" t="str">
        <x:v>цитрусовый, свежий, цветочный, древесный</x:v>
      </x:c>
      <x:c r="J505" s="28" t="str">
        <x:v>сливочный, молочный, масляный, иногда животный</x:v>
      </x:c>
      <x:c r="K505" s="28" t="str">
        <x:v>цитраль (гераниаль + нераль), лимонен, гамма-терпинен, бета-пинен</x:v>
      </x:c>
      <x:c r="L505" s="28" t="str">
        <x:v>диацетил, молочные лактоны, свободные жирные кислоты</x:v>
      </x:c>
      <x:c r="M505" s="28" t="str">
        <x:v>прямое семейное перекрытие не является главным механизмом</x:v>
      </x:c>
      <x:c r="N505" s="28" t="str">
        <x:v>надёжный общий маркер не заявлен; сочетание объясняется семействами и сенсорным балансом</x:v>
      </x:c>
      <x:c r="O505" s="28" t="str">
        <x:v>вкусовой баланс, влияние матрицы/растворимости</x:v>
      </x:c>
      <x:c r="P505" s="28" t="str">
        <x:v>Кислотность и лёгкая горечь цитруса снижают ощущение жирности; соль и умами, в свою очередь, делают фруктовую часть менее резкой.</x:v>
      </x:c>
      <x:c r="Q505" s="28" t="str">
        <x:v>кислота усиливает слюноотделение; нет выраженного</x:v>
      </x:c>
      <x:c r="R505" s="28" t="str">
        <x:v>сок — водная кислая фаза; цедра — гидрофобное эфирное масло; жир растворяет терпены; кислота цитруса может коагулировать молочный белок</x:v>
      </x:c>
      <x:c r="S505"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505"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Оливковое масло пикуаль extra virgin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U505" s="28" t="str">
        <x:v>Избыток кислоты делает вкус плоско-резким; белая часть кожуры даёт лишнюю горечь; возможна коагуляция белка.</x:v>
      </x:c>
      <x:c r="V505" s="28" t="str">
        <x:v>мёд или ваниль</x:v>
      </x:c>
      <x:c r="W505" s="28" t="str">
        <x:v>чизкейк, крем, мороженое, соус или салат</x:v>
      </x:c>
      <x:c r="X505" s="28" t="str">
        <x:v>десерты, еда</x:v>
      </x:c>
      <x:c r="Y505" s="28" t="str">
        <x:v>Средняя</x:v>
      </x:c>
      <x:c r="Z505" s="28" t="str">
        <x:v>The Art &amp; Science of Foodpairing.pdf</x:v>
      </x:c>
      <x:c r="AA505" s="28" t="str">
        <x:v>The Art &amp; Science of Foodpairing.pdf: 320</x:v>
      </x:c>
      <x:c r="AB505" s="28" t="str">
        <x:v>Пара представлена в ароматической диаграмме Foodpairing на странице 320.</x:v>
      </x:c>
      <x:c r="AC505" s="28" t="n">
        <x:v>1</x:v>
      </x:c>
      <x:c r="AD505" s="28" t="n">
        <x:v>1</x:v>
      </x:c>
    </x:row>
    <x:row r="506" ht="58" customHeight="1">
      <x:c r="A506" s="28" t="str">
        <x:v>CIT-0505</x:v>
      </x:c>
      <x:c r="B506" s="28" t="str">
        <x:v>Еда и соусы</x:v>
      </x:c>
      <x:c r="C506" s="28" t="str">
        <x:v>лимонная цедра</x:v>
      </x:c>
      <x:c r="D506" s="28" t="str">
        <x:v>lemon zest</x:v>
      </x:c>
      <x:c r="E506" s="28" t="str">
        <x:v>Цитрусовые</x:v>
      </x:c>
      <x:c r="F506" s="28" t="str">
        <x:v>отварной горох</x:v>
      </x:c>
      <x:c r="G506" s="28" t="str">
        <x:v>boiled peas</x:v>
      </x:c>
      <x:c r="H506" s="28" t="str">
        <x:v>Овощи</x:v>
      </x:c>
      <x:c r="I506" s="28" t="str">
        <x:v>цитрусовый, свежий, цветочный, древесный</x:v>
      </x:c>
      <x:c r="J506" s="28" t="str">
        <x:v>зелёный, землистый, растительный, иногда сернистый</x:v>
      </x:c>
      <x:c r="K506" s="28" t="str">
        <x:v>цитраль (гераниаль + нераль), лимонен, гамма-терпинен, бета-пинен</x:v>
      </x:c>
      <x:c r="L506" s="28" t="str">
        <x:v>C6-альдегиды, метоксипиразины, геосмин (землистые), сернистые соединения</x:v>
      </x:c>
      <x:c r="M506" s="28" t="str">
        <x:v>прямое семейное перекрытие не является главным механизмом</x:v>
      </x:c>
      <x:c r="N506" s="28" t="str">
        <x:v>надёжный общий маркер не заявлен; сочетание объясняется семействами и сенсорным балансом</x:v>
      </x:c>
      <x:c r="O506" s="28" t="str">
        <x:v>вкусовой баланс</x:v>
      </x:c>
      <x:c r="P506" s="28" t="str">
        <x:v>Кислота подчёркивает природную сладость овоща, сокращает землистое/сернистое послевкусие и повышает слюноотделение.</x:v>
      </x:c>
      <x:c r="Q506" s="28" t="str">
        <x:v>кислота усиливает слюноотделение; нет выраженного</x:v>
      </x:c>
      <x:c r="R506" s="28" t="str">
        <x:v>сок — водная кислая фаза; цедра — гидрофобное эфирное масло; водная/крахмальная матрица; масло помогает распределить цедру</x:v>
      </x:c>
      <x:c r="S50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06"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Отварной горох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506" s="28" t="str">
        <x:v>Избыток кислоты делает вкус плоско-резким; белая часть кожуры даёт лишнюю горечь.</x:v>
      </x:c>
      <x:c r="V506" s="28" t="str">
        <x:v>оливковое масло или базилик</x:v>
      </x:c>
      <x:c r="W506" s="28" t="str">
        <x:v>винегрет, салат, пюре, запечённое блюдо или овощной соус</x:v>
      </x:c>
      <x:c r="X506" s="28" t="str">
        <x:v>еда, соусы/маринады</x:v>
      </x:c>
      <x:c r="Y506" s="28" t="str">
        <x:v>Средняя</x:v>
      </x:c>
      <x:c r="Z506" s="28" t="str">
        <x:v>The Art &amp; Science of Foodpairing.pdf</x:v>
      </x:c>
      <x:c r="AA506" s="28" t="str">
        <x:v>The Art &amp; Science of Foodpairing.pdf: 273</x:v>
      </x:c>
      <x:c r="AB506" s="28" t="str">
        <x:v>Пара представлена в ароматической диаграмме Foodpairing на странице 273.</x:v>
      </x:c>
      <x:c r="AC506" s="28" t="n">
        <x:v>1</x:v>
      </x:c>
      <x:c r="AD506" s="28" t="n">
        <x:v>1</x:v>
      </x:c>
    </x:row>
    <x:row r="507" ht="58" customHeight="1">
      <x:c r="A507" s="28" t="str">
        <x:v>CIT-0506</x:v>
      </x:c>
      <x:c r="B507" s="28" t="str">
        <x:v>Универсальные</x:v>
      </x:c>
      <x:c r="C507" s="28" t="str">
        <x:v>лимонная цедра</x:v>
      </x:c>
      <x:c r="D507" s="28" t="str">
        <x:v>lemon zest</x:v>
      </x:c>
      <x:c r="E507" s="28" t="str">
        <x:v>Цитрусовые</x:v>
      </x:c>
      <x:c r="F507" s="28" t="str">
        <x:v>сушёный орегано</x:v>
      </x:c>
      <x:c r="G507" s="28" t="str">
        <x:v>dried oregano</x:v>
      </x:c>
      <x:c r="H507" s="28" t="str">
        <x:v>Травы</x:v>
      </x:c>
      <x:c r="I507" s="28" t="str">
        <x:v>цитрусовый, свежий, цветочный, древесный</x:v>
      </x:c>
      <x:c r="J507" s="28" t="str">
        <x:v>травяной, хвойный, камфорный, древесный</x:v>
      </x:c>
      <x:c r="K507" s="28" t="str">
        <x:v>цитраль (гераниаль + нераль), лимонен, гамма-терпинен, бета-пинен</x:v>
      </x:c>
      <x:c r="L507" s="28" t="str">
        <x:v>1,8-цинеол, камфора, тимол/карвакрол, альфа-пинен</x:v>
      </x:c>
      <x:c r="M507" s="28" t="str">
        <x:v>древесный</x:v>
      </x:c>
      <x:c r="N507" s="28" t="str">
        <x:v>надёжный общий маркер не заявлен; сочетание объясняется семействами и сенсорным балансом</x:v>
      </x:c>
      <x:c r="O507" s="28" t="str">
        <x:v>перекрытие ароматических семейств, вкусовой баланс, тройничное восприятие</x:v>
      </x:c>
      <x:c r="P507" s="28" t="str">
        <x:v>Кислота усиливает слюноотделение и делает пряный аромат ярче; терпены цитруса образуют мост с эфирными маслами травы или специи.</x:v>
      </x:c>
      <x:c r="Q507" s="28" t="str">
        <x:v>кислота усиливает слюноотделение; камфора и цинеол дают прохладно-камфорное ощущение</x:v>
      </x:c>
      <x:c r="R507" s="28" t="str">
        <x:v>сок — водная кислая фаза; цедра — гидрофобное эфирное масло; эфирные масла лучше раскрываются в жире и спирте</x:v>
      </x:c>
      <x:c r="S50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07"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U507" s="28" t="str">
        <x:v>Избыток кислоты делает вкус плоско-резким; белая часть кожуры даёт лишнюю горечь; цитрус легко подавляет деликатный аромат партнёра.</x:v>
      </x:c>
      <x:c r="V507" s="28" t="str">
        <x:v>оливковое масло или огурец</x:v>
      </x:c>
      <x:c r="W507" s="28" t="str">
        <x:v>лимонад, кордиал, салатная заправка или зелёный соус</x:v>
      </x:c>
      <x:c r="X507" s="28" t="str">
        <x:v>напитки, еда, соусы/маринады</x:v>
      </x:c>
      <x:c r="Y507" s="28" t="str">
        <x:v>Средняя</x:v>
      </x:c>
      <x:c r="Z507" s="28" t="str">
        <x:v>The Art &amp; Science of Foodpairing.pdf</x:v>
      </x:c>
      <x:c r="AA507" s="28" t="str">
        <x:v>The Art &amp; Science of Foodpairing.pdf: 87</x:v>
      </x:c>
      <x:c r="AB507" s="28" t="str">
        <x:v>Пара представлена в ароматической диаграмме Foodpairing на странице 87.</x:v>
      </x:c>
      <x:c r="AC507" s="28" t="n">
        <x:v>1</x:v>
      </x:c>
      <x:c r="AD507" s="28" t="n">
        <x:v>1</x:v>
      </x:c>
    </x:row>
    <x:row r="508" ht="58" customHeight="1">
      <x:c r="A508" s="28" t="str">
        <x:v>CIT-0507</x:v>
      </x:c>
      <x:c r="B508" s="28" t="str">
        <x:v>Десерты и выпечка</x:v>
      </x:c>
      <x:c r="C508" s="28" t="str">
        <x:v>лимонная цедра</x:v>
      </x:c>
      <x:c r="D508" s="28" t="str">
        <x:v>lemon zest</x:v>
      </x:c>
      <x:c r="E508" s="28" t="str">
        <x:v>Цитрусовые</x:v>
      </x:c>
      <x:c r="F508" s="28" t="str">
        <x:v>чернослив Ажен</x:v>
      </x:c>
      <x:c r="G508" s="28" t="str">
        <x:v>Agen prunes</x:v>
      </x:c>
      <x:c r="H508" s="28" t="str">
        <x:v>Косточковые фрукты</x:v>
      </x:c>
      <x:c r="I508" s="28" t="str">
        <x:v>цитрусовый, свежий, цветочный, древесный</x:v>
      </x:c>
      <x:c r="J508" s="28" t="str">
        <x:v>фруктовый, цветочный, сливочный, миндальный</x:v>
      </x:c>
      <x:c r="K508" s="28" t="str">
        <x:v>цитраль (гераниаль + нераль), лимонен, гамма-терпинен, бета-пинен</x:v>
      </x:c>
      <x:c r="L508" s="28" t="str">
        <x:v>гамма- и дельта-лактоны, бензальдегид, дамасценон</x:v>
      </x:c>
      <x:c r="M508" s="28" t="str">
        <x:v>цветочный</x:v>
      </x:c>
      <x:c r="N508" s="28" t="str">
        <x:v>надёжный общий маркер не заявлен; сочетание объясняется семействами и сенсорным балансом</x:v>
      </x:c>
      <x:c r="O508" s="28" t="str">
        <x:v>перекрытие ароматических семейств, вкусовой баланс</x:v>
      </x:c>
      <x:c r="P508" s="28" t="str">
        <x:v>Общая фруктовая сладость и летучие эфиры создают непрерывный ароматический профиль, а цитрусовая кислота повышает контраст и свежесть.</x:v>
      </x:c>
      <x:c r="Q508" s="28" t="str">
        <x:v>кислота усиливает слюноотделение; нет выраженного</x:v>
      </x:c>
      <x:c r="R508" s="28" t="str">
        <x:v>сок — водная кислая фаза; цедра — гидрофобное эфирное масло; сочная матрица; лактоны лучше ощущаются в жирной/сливочной среде</x:v>
      </x:c>
      <x:c r="S50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08"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Чернослив ажен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U508" s="28" t="str">
        <x:v>Избыток кислоты делает вкус плоско-резким; белая часть кожуры даёт лишнюю горечь.</x:v>
      </x:c>
      <x:c r="V508" s="28" t="str">
        <x:v>миндаль или ваниль</x:v>
      </x:c>
      <x:c r="W508" s="28" t="str">
        <x:v>тарт, сорбет, джем или фруктовый соус</x:v>
      </x:c>
      <x:c r="X508" s="28" t="str">
        <x:v>десерты</x:v>
      </x:c>
      <x:c r="Y508" s="28" t="str">
        <x:v>Средняя</x:v>
      </x:c>
      <x:c r="Z508" s="28" t="str">
        <x:v>The Art &amp; Science of Foodpairing.pdf</x:v>
      </x:c>
      <x:c r="AA508" s="28" t="str">
        <x:v>The Art &amp; Science of Foodpairing.pdf: 336</x:v>
      </x:c>
      <x:c r="AB508" s="28" t="str">
        <x:v>Пара представлена в ароматической диаграмме Foodpairing на странице 336.</x:v>
      </x:c>
      <x:c r="AC508" s="28" t="n">
        <x:v>1</x:v>
      </x:c>
      <x:c r="AD508" s="28" t="n">
        <x:v>1</x:v>
      </x:c>
    </x:row>
    <x:row r="509" ht="58" customHeight="1">
      <x:c r="A509" s="28" t="str">
        <x:v>CIT-0508</x:v>
      </x:c>
      <x:c r="B509" s="28" t="str">
        <x:v>Десерты и выпечка</x:v>
      </x:c>
      <x:c r="C509" s="28" t="str">
        <x:v>лимонный сок</x:v>
      </x:c>
      <x:c r="D509" s="28" t="str">
        <x:v>lemon juice</x:v>
      </x:c>
      <x:c r="E509" s="28" t="str">
        <x:v>Цитрусовые</x:v>
      </x:c>
      <x:c r="F509" s="28" t="str">
        <x:v>ананас</x:v>
      </x:c>
      <x:c r="G509" s="28" t="str">
        <x:v>pineapple</x:v>
      </x:c>
      <x:c r="H509" s="28" t="str">
        <x:v>Тропические фрукты</x:v>
      </x:c>
      <x:c r="I509" s="28" t="str">
        <x:v>цитрусовый, свежий, цветочный, древесный</x:v>
      </x:c>
      <x:c r="J509" s="28" t="str">
        <x:v>фруктовый, тропический, цветочный, сливочный</x:v>
      </x:c>
      <x:c r="K509" s="28" t="str">
        <x:v>цитраль (гераниаль + нераль), лимонен, гамма-терпинен, бета-пинен</x:v>
      </x:c>
      <x:c r="L509" s="28" t="str">
        <x:v>этилбутират, гексилацетат, лактоны, сернистые тиолы (у части фруктов)</x:v>
      </x:c>
      <x:c r="M509" s="28" t="str">
        <x:v>цветочный</x:v>
      </x:c>
      <x:c r="N509" s="28" t="str">
        <x:v>надёжный общий маркер не заявлен; сочетание объясняется семействами и сенсорным балансом</x:v>
      </x:c>
      <x:c r="O509" s="28" t="str">
        <x:v>перекрытие ароматических семейств, вкусовой баланс</x:v>
      </x:c>
      <x:c r="P509" s="28" t="str">
        <x:v>Общая фруктовая сладость и летучие эфиры создают непрерывный ароматический профиль, а цитрусовая кислота повышает контраст и свежесть.</x:v>
      </x:c>
      <x:c r="Q509" s="28" t="str">
        <x:v>кислота усиливает слюноотделение; нет выраженного</x:v>
      </x:c>
      <x:c r="R509" s="28" t="str">
        <x:v>сок — водная кислая фаза; цедра — гидрофобное эфирное масло; сочная или кремовая фруктовая матрица</x:v>
      </x:c>
      <x:c r="S50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09"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U509" s="28" t="str">
        <x:v>Избыток кислоты делает вкус плоско-резким; белая часть кожуры даёт лишнюю горечь.</x:v>
      </x:c>
      <x:c r="V509" s="28" t="str">
        <x:v>кокос или имбирь</x:v>
      </x:c>
      <x:c r="W509" s="28" t="str">
        <x:v>смузи, кордиал, сорбет, чатни или коктейль</x:v>
      </x:c>
      <x:c r="X509" s="28" t="str">
        <x:v>напитки, десерты</x:v>
      </x:c>
      <x:c r="Y509" s="28" t="str">
        <x:v>Средняя</x:v>
      </x:c>
      <x:c r="Z509" s="28" t="str">
        <x:v>The Art &amp; Science of Foodpairing.pdf</x:v>
      </x:c>
      <x:c r="AA509" s="28" t="str">
        <x:v>The Art &amp; Science of Foodpairing.pdf: 370</x:v>
      </x:c>
      <x:c r="AB509" s="28" t="str">
        <x:v>Пара представлена в ароматической диаграмме Foodpairing на странице 370.</x:v>
      </x:c>
      <x:c r="AC509" s="28" t="n">
        <x:v>1</x:v>
      </x:c>
      <x:c r="AD509" s="28" t="n">
        <x:v>1</x:v>
      </x:c>
    </x:row>
    <x:row r="510" ht="58" customHeight="1">
      <x:c r="A510" s="28" t="str">
        <x:v>CIT-0509</x:v>
      </x:c>
      <x:c r="B510" s="28" t="str">
        <x:v>Еда и соусы</x:v>
      </x:c>
      <x:c r="C510" s="28" t="str">
        <x:v>лимонный сок</x:v>
      </x:c>
      <x:c r="D510" s="28" t="str">
        <x:v>lemon juice</x:v>
      </x:c>
      <x:c r="E510" s="28" t="str">
        <x:v>Цитрусовые</x:v>
      </x:c>
      <x:c r="F510" s="28" t="str">
        <x:v>баранина на гриле</x:v>
      </x:c>
      <x:c r="G510" s="28" t="str">
        <x:v>grilled lamb</x:v>
      </x:c>
      <x:c r="H510" s="28" t="str">
        <x:v>Мясо и птица</x:v>
      </x:c>
      <x:c r="I510" s="28" t="str">
        <x:v>цитрусовый, свежий, цветочный, древесный</x:v>
      </x:c>
      <x:c r="J510" s="28" t="str">
        <x:v>жареный, мясной, сернистый, жирный</x:v>
      </x:c>
      <x:c r="K510" s="28" t="str">
        <x:v>цитраль (гераниаль + нераль), лимонен, гамма-терпинен, бета-пинен</x:v>
      </x:c>
      <x:c r="L510" s="28" t="str">
        <x:v>пиразины, тиазолы, альдегиды жиров, сернистые соединения</x:v>
      </x:c>
      <x:c r="M510" s="28" t="str">
        <x:v>прямое семейное перекрытие не является главным механизмом</x:v>
      </x:c>
      <x:c r="N510" s="28" t="str">
        <x:v>надёжный общий маркер не заявлен; сочетание объясняется семействами и сенсорным балансом</x:v>
      </x:c>
      <x:c r="O510" s="28" t="str">
        <x:v>вкусовой баланс, влияние матрицы/растворимости</x:v>
      </x:c>
      <x:c r="P510" s="28" t="str">
        <x:v>Кислотность и лёгкая горечь цитруса снижают ощущение жирности; соль и умами, в свою очередь, делают фруктовую часть менее резкой.</x:v>
      </x:c>
      <x:c r="Q510" s="28" t="str">
        <x:v>кислота усиливает слюноотделение; нет выраженного</x:v>
      </x:c>
      <x:c r="R510" s="28" t="str">
        <x:v>сок — водная кислая фаза; цедра — гидрофобное эфирное масло; жир удерживает терпеновые масла; кислота снижает ощущение жирности</x:v>
      </x:c>
      <x:c r="S51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510"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Баранина на гриле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U510" s="28" t="str">
        <x:v>Избыток кислоты делает вкус плоско-резким; белая часть кожуры даёт лишнюю горечь; слишком долгая маринация ухудшает текстуру.</x:v>
      </x:c>
      <x:c r="V510" s="28" t="str">
        <x:v>розмарин или чёрный перец</x:v>
      </x:c>
      <x:c r="W510" s="28" t="str">
        <x:v>маринад, глазурь, соус, жаркое или салат</x:v>
      </x:c>
      <x:c r="X510" s="28" t="str">
        <x:v>еда, соусы/маринады</x:v>
      </x:c>
      <x:c r="Y510" s="28" t="str">
        <x:v>Средняя</x:v>
      </x:c>
      <x:c r="Z510" s="28" t="str">
        <x:v>The Art &amp; Science of Foodpairing.pdf</x:v>
      </x:c>
      <x:c r="AA510" s="28" t="str">
        <x:v>The Art &amp; Science of Foodpairing.pdf: 370</x:v>
      </x:c>
      <x:c r="AB510" s="28" t="str">
        <x:v>Пара представлена в ароматической диаграмме Foodpairing на странице 370.</x:v>
      </x:c>
      <x:c r="AC510" s="28" t="n">
        <x:v>1</x:v>
      </x:c>
      <x:c r="AD510" s="28" t="n">
        <x:v>1</x:v>
      </x:c>
    </x:row>
    <x:row r="511" ht="58" customHeight="1">
      <x:c r="A511" s="28" t="str">
        <x:v>CIT-0510</x:v>
      </x:c>
      <x:c r="B511" s="28" t="str">
        <x:v>Десерты и выпечка</x:v>
      </x:c>
      <x:c r="C511" s="28" t="str">
        <x:v>лимонный сок</x:v>
      </x:c>
      <x:c r="D511" s="28" t="str">
        <x:v>lemon juice</x:v>
      </x:c>
      <x:c r="E511" s="28" t="str">
        <x:v>Цитрусовые</x:v>
      </x:c>
      <x:c r="F511" s="28" t="str">
        <x:v>белый шоколад</x:v>
      </x:c>
      <x:c r="G511" s="28" t="str">
        <x:v>white chocolate</x:v>
      </x:c>
      <x:c r="H511" s="28" t="str">
        <x:v>Шоколад/обжаренное</x:v>
      </x:c>
      <x:c r="I511" s="28" t="str">
        <x:v>цитрусовый, свежий, цветочный, древесный</x:v>
      </x:c>
      <x:c r="J511" s="28" t="str">
        <x:v>обжаренный, какао, ореховый, карамельный</x:v>
      </x:c>
      <x:c r="K511" s="28" t="str">
        <x:v>цитраль (гераниаль + нераль), лимонен, гамма-терпинен, бета-пинен</x:v>
      </x:c>
      <x:c r="L511" s="28" t="str">
        <x:v>пиразины, фураны, фенилуксусная кислота, ванилин</x:v>
      </x:c>
      <x:c r="M511" s="28" t="str">
        <x:v>прямое семейное перекрытие не является главным механизмом</x:v>
      </x:c>
      <x:c r="N511" s="28" t="str">
        <x:v>надёжный общий маркер не заявлен; сочетание объясняется семействами и сенсорным балансом</x:v>
      </x:c>
      <x:c r="O511" s="28" t="str">
        <x:v>вкусовой баланс</x:v>
      </x:c>
      <x:c r="P511" s="28" t="str">
        <x:v>Высокая кисло-ароматическая нота контрастирует с жареными, горькими и карамельными оттенками; сахар или жир связывает два регистра.</x:v>
      </x:c>
      <x:c r="Q511" s="28" t="str">
        <x:v>кислота усиливает слюноотделение; нет выраженного</x:v>
      </x:c>
      <x:c r="R511" s="28" t="str">
        <x:v>сок — водная кислая фаза; цедра — гидрофобное эфирное масло; жир какао удерживает гидрофобные терпены</x:v>
      </x:c>
      <x:c r="S51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11"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Белый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Сок определяется цитралем и кислотностью, цедра — лимоненом и терпенами. Цитрус даёт высокую свежую ноту на фоне тёмных жареных соединений.</x:v>
      </x:c>
      <x:c r="U511" s="28" t="str">
        <x:v>Избыток кислоты делает вкус плоско-резким; белая часть кожуры даёт лишнюю горечь.</x:v>
      </x:c>
      <x:c r="V511" s="28" t="str">
        <x:v>ваниль или кардамон</x:v>
      </x:c>
      <x:c r="W511" s="28" t="str">
        <x:v>ганаш, тарт, конфеты, кофейный напиток или биттер</x:v>
      </x:c>
      <x:c r="X511" s="28" t="str">
        <x:v>десерты</x:v>
      </x:c>
      <x:c r="Y511" s="28" t="str">
        <x:v>Средняя</x:v>
      </x:c>
      <x:c r="Z511" s="28" t="str">
        <x:v>The Art &amp; Science of Foodpairing.pdf</x:v>
      </x:c>
      <x:c r="AA511" s="28" t="str">
        <x:v>The Art &amp; Science of Foodpairing.pdf: 370</x:v>
      </x:c>
      <x:c r="AB511" s="28" t="str">
        <x:v>Пара представлена в ароматической диаграмме Foodpairing на странице 370.</x:v>
      </x:c>
      <x:c r="AC511" s="28" t="n">
        <x:v>1</x:v>
      </x:c>
      <x:c r="AD511" s="28" t="n">
        <x:v>1</x:v>
      </x:c>
    </x:row>
    <x:row r="512" ht="58" customHeight="1">
      <x:c r="A512" s="28" t="str">
        <x:v>CIT-0511</x:v>
      </x:c>
      <x:c r="B512" s="28" t="str">
        <x:v>Универсальные</x:v>
      </x:c>
      <x:c r="C512" s="28" t="str">
        <x:v>лимонный сок</x:v>
      </x:c>
      <x:c r="D512" s="28" t="str">
        <x:v>lemon juice</x:v>
      </x:c>
      <x:c r="E512" s="28" t="str">
        <x:v>Цитрусовые</x:v>
      </x:c>
      <x:c r="F512" s="28" t="str">
        <x:v>канталупа</x:v>
      </x:c>
      <x:c r="G512" s="28" t="str">
        <x:v>cantaloupe</x:v>
      </x:c>
      <x:c r="H512" s="28" t="str">
        <x:v>Прочее</x:v>
      </x:c>
      <x:c r="I512" s="28" t="str">
        <x:v>цитрусовый, свежий, цветочный, древесный</x:v>
      </x:c>
      <x:c r="J512" s="28" t="str">
        <x:v>нейтральный/специфический</x:v>
      </x:c>
      <x:c r="K512" s="28" t="str">
        <x:v>цитраль (гераниаль + нераль), лимонен, гамма-терпинен, бета-пинен</x:v>
      </x:c>
      <x:c r="L512" s="28" t="str">
        <x:v>нужен профиль конкретного продукта</x:v>
      </x:c>
      <x:c r="M512" s="28" t="str">
        <x:v>прямое семейное перекрытие не является главным механизмом</x:v>
      </x:c>
      <x:c r="N512" s="28" t="str">
        <x:v>надёжный общий маркер не заявлен; сочетание объясняется семействами и сенсорным балансом</x:v>
      </x:c>
      <x:c r="O512" s="28" t="str">
        <x:v>вкусовой баланс, тройничное восприятие</x:v>
      </x:c>
      <x:c r="P512" s="28" t="str">
        <x:v>Основной эффект определяется ароматическим контрастом и добавлением кислотной свежести; точный баланс зависит от дозировки и матрицы.</x:v>
      </x:c>
      <x:c r="Q512" s="28" t="str">
        <x:v>кислота усиливает слюноотделение; нет данных</x:v>
      </x:c>
      <x:c r="R512" s="28" t="str">
        <x:v>сок — водная кислая фаза; цедра — гидрофобное эфирное масло; зависит от формы продукта</x:v>
      </x:c>
      <x:c r="S51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12"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Канталупа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512" s="28" t="str">
        <x:v>Избыток кислоты делает вкус плоско-резким; белая часть кожуры даёт лишнюю горечь.</x:v>
      </x:c>
      <x:c r="V512" s="28" t="str">
        <x:v>мёд или нейтральная жировая основа</x:v>
      </x:c>
      <x:c r="W512" s="28" t="str">
        <x:v>соус, напиток или десерт после пробной дегустации</x:v>
      </x:c>
      <x:c r="X512" s="28" t="str">
        <x:v>универсальное</x:v>
      </x:c>
      <x:c r="Y512" s="28" t="str">
        <x:v>Средняя</x:v>
      </x:c>
      <x:c r="Z512" s="28" t="str">
        <x:v>The Art &amp; Science of Foodpairing.pdf</x:v>
      </x:c>
      <x:c r="AA512" s="28" t="str">
        <x:v>The Art &amp; Science of Foodpairing.pdf: 370</x:v>
      </x:c>
      <x:c r="AB512" s="28" t="str">
        <x:v>Пара представлена в ароматической диаграмме Foodpairing на странице 370.</x:v>
      </x:c>
      <x:c r="AC512" s="28" t="n">
        <x:v>1</x:v>
      </x:c>
      <x:c r="AD512" s="28" t="n">
        <x:v>1</x:v>
      </x:c>
    </x:row>
    <x:row r="513" ht="58" customHeight="1">
      <x:c r="A513" s="28" t="str">
        <x:v>CIT-0512</x:v>
      </x:c>
      <x:c r="B513" s="28" t="str">
        <x:v>Еда и соусы</x:v>
      </x:c>
      <x:c r="C513" s="28" t="str">
        <x:v>лимонный сок</x:v>
      </x:c>
      <x:c r="D513" s="28" t="str">
        <x:v>lemon juice</x:v>
      </x:c>
      <x:c r="E513" s="28" t="str">
        <x:v>Цитрусовые</x:v>
      </x:c>
      <x:c r="F513" s="28" t="str">
        <x:v>морковь</x:v>
      </x:c>
      <x:c r="G513" s="28" t="str">
        <x:v>carrot</x:v>
      </x:c>
      <x:c r="H513" s="28" t="str">
        <x:v>Овощи</x:v>
      </x:c>
      <x:c r="I513" s="28" t="str">
        <x:v>цитрусовый, свежий, цветочный, древесный</x:v>
      </x:c>
      <x:c r="J513" s="28" t="str">
        <x:v>зелёный, землистый, растительный, иногда сернистый</x:v>
      </x:c>
      <x:c r="K513" s="28" t="str">
        <x:v>цитраль (гераниаль + нераль), лимонен, гамма-терпинен, бета-пинен</x:v>
      </x:c>
      <x:c r="L513" s="28" t="str">
        <x:v>C6-альдегиды, метоксипиразины, геосмин (землистые), сернистые соединения</x:v>
      </x:c>
      <x:c r="M513" s="28" t="str">
        <x:v>прямое семейное перекрытие не является главным механизмом</x:v>
      </x:c>
      <x:c r="N513" s="28" t="str">
        <x:v>надёжный общий маркер не заявлен; сочетание объясняется семействами и сенсорным балансом</x:v>
      </x:c>
      <x:c r="O513" s="28" t="str">
        <x:v>вкусовой баланс</x:v>
      </x:c>
      <x:c r="P513" s="28" t="str">
        <x:v>Кислота подчёркивает природную сладость овоща, сокращает землистое/сернистое послевкусие и повышает слюноотделение.</x:v>
      </x:c>
      <x:c r="Q513" s="28" t="str">
        <x:v>кислота усиливает слюноотделение; нет выраженного</x:v>
      </x:c>
      <x:c r="R513" s="28" t="str">
        <x:v>сок — водная кислая фаза; цедра — гидрофобное эфирное масло; водная/крахмальная матрица; масло помогает распределить цедру</x:v>
      </x:c>
      <x:c r="S51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13"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Морковь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513" s="28" t="str">
        <x:v>Избыток кислоты делает вкус плоско-резким; белая часть кожуры даёт лишнюю горечь.</x:v>
      </x:c>
      <x:c r="V513" s="28" t="str">
        <x:v>оливковое масло или базилик</x:v>
      </x:c>
      <x:c r="W513" s="28" t="str">
        <x:v>винегрет, салат, пюре, запечённое блюдо или овощной соус</x:v>
      </x:c>
      <x:c r="X513" s="28" t="str">
        <x:v>еда, соусы/маринады</x:v>
      </x:c>
      <x:c r="Y513" s="28" t="str">
        <x:v>Средняя</x:v>
      </x:c>
      <x:c r="Z513" s="28" t="str">
        <x:v>The Art &amp; Science of Foodpairing.pdf</x:v>
      </x:c>
      <x:c r="AA513" s="28" t="str">
        <x:v>The Art &amp; Science of Foodpairing.pdf: 370</x:v>
      </x:c>
      <x:c r="AB513" s="28" t="str">
        <x:v>Пара представлена в ароматической диаграмме Foodpairing на странице 370.</x:v>
      </x:c>
      <x:c r="AC513" s="28" t="n">
        <x:v>1</x:v>
      </x:c>
      <x:c r="AD513" s="28" t="n">
        <x:v>1</x:v>
      </x:c>
    </x:row>
    <x:row r="514" ht="58" customHeight="1">
      <x:c r="A514" s="28" t="str">
        <x:v>CIT-0513</x:v>
      </x:c>
      <x:c r="B514" s="28" t="str">
        <x:v>Еда и соусы</x:v>
      </x:c>
      <x:c r="C514" s="28" t="str">
        <x:v>лимонный сок</x:v>
      </x:c>
      <x:c r="D514" s="28" t="str">
        <x:v>lemon juice</x:v>
      </x:c>
      <x:c r="E514" s="28" t="str">
        <x:v>Цитрусовые</x:v>
      </x:c>
      <x:c r="F514" s="28" t="str">
        <x:v>обжаренный бекон</x:v>
      </x:c>
      <x:c r="G514" s="28" t="str">
        <x:v>pan-fried bacon</x:v>
      </x:c>
      <x:c r="H514" s="28" t="str">
        <x:v>Мясо и птица</x:v>
      </x:c>
      <x:c r="I514" s="28" t="str">
        <x:v>цитрусовый, свежий, цветочный, древесный</x:v>
      </x:c>
      <x:c r="J514" s="28" t="str">
        <x:v>жареный, мясной, сернистый, жирный</x:v>
      </x:c>
      <x:c r="K514" s="28" t="str">
        <x:v>цитраль (гераниаль + нераль), лимонен, гамма-терпинен, бета-пинен</x:v>
      </x:c>
      <x:c r="L514" s="28" t="str">
        <x:v>пиразины, тиазолы, альдегиды жиров, сернистые соединения</x:v>
      </x:c>
      <x:c r="M514" s="28" t="str">
        <x:v>прямое семейное перекрытие не является главным механизмом</x:v>
      </x:c>
      <x:c r="N514" s="28" t="str">
        <x:v>надёжный общий маркер не заявлен; сочетание объясняется семействами и сенсорным балансом</x:v>
      </x:c>
      <x:c r="O514" s="28" t="str">
        <x:v>вкусовой баланс, влияние матрицы/растворимости</x:v>
      </x:c>
      <x:c r="P514" s="28" t="str">
        <x:v>Кислотность и лёгкая горечь цитруса снижают ощущение жирности; соль и умами, в свою очередь, делают фруктовую часть менее резкой.</x:v>
      </x:c>
      <x:c r="Q514" s="28" t="str">
        <x:v>кислота усиливает слюноотделение; нет выраженного</x:v>
      </x:c>
      <x:c r="R514" s="28" t="str">
        <x:v>сок — водная кислая фаза; цедра — гидрофобное эфирное масло; жир удерживает терпеновые масла; кислота снижает ощущение жирности</x:v>
      </x:c>
      <x:c r="S51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514"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Обжаренный бекон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U514" s="28" t="str">
        <x:v>Избыток кислоты делает вкус плоско-резким; белая часть кожуры даёт лишнюю горечь; слишком долгая маринация ухудшает текстуру.</x:v>
      </x:c>
      <x:c r="V514" s="28" t="str">
        <x:v>розмарин или чёрный перец</x:v>
      </x:c>
      <x:c r="W514" s="28" t="str">
        <x:v>маринад, глазурь, соус, жаркое или салат</x:v>
      </x:c>
      <x:c r="X514" s="28" t="str">
        <x:v>еда, соусы/маринады</x:v>
      </x:c>
      <x:c r="Y514" s="28" t="str">
        <x:v>Средняя</x:v>
      </x:c>
      <x:c r="Z514" s="28" t="str">
        <x:v>The Art &amp; Science of Foodpairing.pdf</x:v>
      </x:c>
      <x:c r="AA514" s="28" t="str">
        <x:v>The Art &amp; Science of Foodpairing.pdf: 370</x:v>
      </x:c>
      <x:c r="AB514" s="28" t="str">
        <x:v>Пара представлена в ароматической диаграмме Foodpairing на странице 370.</x:v>
      </x:c>
      <x:c r="AC514" s="28" t="n">
        <x:v>1</x:v>
      </x:c>
      <x:c r="AD514" s="28" t="n">
        <x:v>1</x:v>
      </x:c>
    </x:row>
    <x:row r="515" ht="58" customHeight="1">
      <x:c r="A515" s="28" t="str">
        <x:v>CIT-0514</x:v>
      </x:c>
      <x:c r="B515" s="28" t="str">
        <x:v>Еда и соусы</x:v>
      </x:c>
      <x:c r="C515" s="28" t="str">
        <x:v>лимонный сок</x:v>
      </x:c>
      <x:c r="D515" s="28" t="str">
        <x:v>lemon juice</x:v>
      </x:c>
      <x:c r="E515" s="28" t="str">
        <x:v>Цитрусовые</x:v>
      </x:c>
      <x:c r="F515" s="28" t="str">
        <x:v>отварная очищенная свёкла</x:v>
      </x:c>
      <x:c r="G515" s="28" t="str">
        <x:v>boiled peeled beetroot</x:v>
      </x:c>
      <x:c r="H515" s="28" t="str">
        <x:v>Овощи</x:v>
      </x:c>
      <x:c r="I515" s="28" t="str">
        <x:v>цитрусовый, свежий, цветочный, древесный</x:v>
      </x:c>
      <x:c r="J515" s="28" t="str">
        <x:v>зелёный, землистый, растительный, иногда сернистый</x:v>
      </x:c>
      <x:c r="K515" s="28" t="str">
        <x:v>цитраль (гераниаль + нераль), лимонен, гамма-терпинен, бета-пинен</x:v>
      </x:c>
      <x:c r="L515" s="28" t="str">
        <x:v>C6-альдегиды, метоксипиразины, геосмин (землистые), сернистые соединения</x:v>
      </x:c>
      <x:c r="M515" s="28" t="str">
        <x:v>прямое семейное перекрытие не является главным механизмом</x:v>
      </x:c>
      <x:c r="N515" s="28" t="str">
        <x:v>надёжный общий маркер не заявлен; сочетание объясняется семействами и сенсорным балансом</x:v>
      </x:c>
      <x:c r="O515" s="28" t="str">
        <x:v>вкусовой баланс</x:v>
      </x:c>
      <x:c r="P515" s="28" t="str">
        <x:v>Кислота подчёркивает природную сладость овоща, сокращает землистое/сернистое послевкусие и повышает слюноотделение.</x:v>
      </x:c>
      <x:c r="Q515" s="28" t="str">
        <x:v>кислота усиливает слюноотделение; нет выраженного</x:v>
      </x:c>
      <x:c r="R515" s="28" t="str">
        <x:v>сок — водная кислая фаза; цедра — гидрофобное эфирное масло; водная/крахмальная матрица; масло помогает распределить цедру</x:v>
      </x:c>
      <x:c r="S51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15"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Отварная очищенная свёкла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515" s="28" t="str">
        <x:v>Избыток кислоты делает вкус плоско-резким; белая часть кожуры даёт лишнюю горечь.</x:v>
      </x:c>
      <x:c r="V515" s="28" t="str">
        <x:v>оливковое масло или базилик</x:v>
      </x:c>
      <x:c r="W515" s="28" t="str">
        <x:v>винегрет, салат, пюре, запечённое блюдо или овощной соус</x:v>
      </x:c>
      <x:c r="X515" s="28" t="str">
        <x:v>еда, соусы/маринады</x:v>
      </x:c>
      <x:c r="Y515" s="28" t="str">
        <x:v>Средняя</x:v>
      </x:c>
      <x:c r="Z515" s="28" t="str">
        <x:v>The Art &amp; Science of Foodpairing.pdf</x:v>
      </x:c>
      <x:c r="AA515" s="28" t="str">
        <x:v>The Art &amp; Science of Foodpairing.pdf: 370</x:v>
      </x:c>
      <x:c r="AB515" s="28" t="str">
        <x:v>Пара представлена в ароматической диаграмме Foodpairing на странице 370.</x:v>
      </x:c>
      <x:c r="AC515" s="28" t="n">
        <x:v>1</x:v>
      </x:c>
      <x:c r="AD515" s="28" t="n">
        <x:v>1</x:v>
      </x:c>
    </x:row>
    <x:row r="516" ht="58" customHeight="1">
      <x:c r="A516" s="28" t="str">
        <x:v>CIT-0515</x:v>
      </x:c>
      <x:c r="B516" s="28" t="str">
        <x:v>Универсальные</x:v>
      </x:c>
      <x:c r="C516" s="28" t="str">
        <x:v>лимонный сок</x:v>
      </x:c>
      <x:c r="D516" s="28" t="str">
        <x:v>lemon juice</x:v>
      </x:c>
      <x:c r="E516" s="28" t="str">
        <x:v>Цитрусовые</x:v>
      </x:c>
      <x:c r="F516" s="28" t="str">
        <x:v>тимьян</x:v>
      </x:c>
      <x:c r="G516" s="28" t="str">
        <x:v>thyme</x:v>
      </x:c>
      <x:c r="H516" s="28" t="str">
        <x:v>Травы</x:v>
      </x:c>
      <x:c r="I516" s="28" t="str">
        <x:v>цитрусовый, свежий, цветочный, древесный</x:v>
      </x:c>
      <x:c r="J516" s="28" t="str">
        <x:v>травяной, хвойный, камфорный, древесный</x:v>
      </x:c>
      <x:c r="K516" s="28" t="str">
        <x:v>цитраль (гераниаль + нераль), лимонен, гамма-терпинен, бета-пинен</x:v>
      </x:c>
      <x:c r="L516" s="28" t="str">
        <x:v>1,8-цинеол, камфора, тимол/карвакрол, альфа-пинен</x:v>
      </x:c>
      <x:c r="M516" s="28" t="str">
        <x:v>древесный</x:v>
      </x:c>
      <x:c r="N516" s="28" t="str">
        <x:v>надёжный общий маркер не заявлен; сочетание объясняется семействами и сенсорным балансом</x:v>
      </x:c>
      <x:c r="O516" s="28" t="str">
        <x:v>перекрытие ароматических семейств, вкусовой баланс, тройничное восприятие</x:v>
      </x:c>
      <x:c r="P516" s="28" t="str">
        <x:v>Кислота усиливает слюноотделение и делает пряный аромат ярче; терпены цитруса образуют мост с эфирными маслами травы или специи.</x:v>
      </x:c>
      <x:c r="Q516" s="28" t="str">
        <x:v>кислота усиливает слюноотделение; камфора и цинеол дают прохладно-камфорное ощущение</x:v>
      </x:c>
      <x:c r="R516" s="28" t="str">
        <x:v>сок — водная кислая фаза; цедра — гидрофобное эфирное масло; эфирные масла лучше раскрываются в жире и спирте</x:v>
      </x:c>
      <x:c r="S51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16"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U516" s="28" t="str">
        <x:v>Избыток кислоты делает вкус плоско-резким; белая часть кожуры даёт лишнюю горечь; цитрус легко подавляет деликатный аромат партнёра.</x:v>
      </x:c>
      <x:c r="V516" s="28" t="str">
        <x:v>оливковое масло или огурец</x:v>
      </x:c>
      <x:c r="W516" s="28" t="str">
        <x:v>лимонад, кордиал, салатная заправка или зелёный соус</x:v>
      </x:c>
      <x:c r="X516" s="28" t="str">
        <x:v>напитки, еда, соусы/маринады</x:v>
      </x:c>
      <x:c r="Y516" s="28" t="str">
        <x:v>Средняя</x:v>
      </x:c>
      <x:c r="Z516" s="28" t="str">
        <x:v>The Art &amp; Science of Foodpairing.pdf</x:v>
      </x:c>
      <x:c r="AA516" s="28" t="str">
        <x:v>The Art &amp; Science of Foodpairing.pdf: 370</x:v>
      </x:c>
      <x:c r="AB516" s="28" t="str">
        <x:v>Пара представлена в ароматической диаграмме Foodpairing на странице 370.</x:v>
      </x:c>
      <x:c r="AC516" s="28" t="n">
        <x:v>1</x:v>
      </x:c>
      <x:c r="AD516" s="28" t="n">
        <x:v>1</x:v>
      </x:c>
    </x:row>
    <x:row r="517" ht="58" customHeight="1">
      <x:c r="A517" s="28" t="str">
        <x:v>CIT-0516</x:v>
      </x:c>
      <x:c r="B517" s="28" t="str">
        <x:v>Еда и соусы</x:v>
      </x:c>
      <x:c r="C517" s="28" t="str">
        <x:v>лимонный сок</x:v>
      </x:c>
      <x:c r="D517" s="28" t="str">
        <x:v>lemon juice</x:v>
      </x:c>
      <x:c r="E517" s="28" t="str">
        <x:v>Цитрусовые</x:v>
      </x:c>
      <x:c r="F517" s="28" t="str">
        <x:v>устрица</x:v>
      </x:c>
      <x:c r="G517" s="28" t="str">
        <x:v>oyster</x:v>
      </x:c>
      <x:c r="H517" s="28" t="str">
        <x:v>Рыба и морепродукты</x:v>
      </x:c>
      <x:c r="I517" s="28" t="str">
        <x:v>цитрусовый, свежий, цветочный, древесный</x:v>
      </x:c>
      <x:c r="J517" s="28" t="str">
        <x:v>морской, йодистый, зелёный, жирный</x:v>
      </x:c>
      <x:c r="K517" s="28" t="str">
        <x:v>цитраль (гераниаль + нераль), лимонен, гамма-терпинен, бета-пинен</x:v>
      </x:c>
      <x:c r="L517" s="28" t="str">
        <x:v>альдегиды окисления липидов, бромфенолы, диметилсульфид, умами-соединения</x:v>
      </x:c>
      <x:c r="M517" s="28" t="str">
        <x:v>прямое семейное перекрытие не является главным механизмом</x:v>
      </x:c>
      <x:c r="N517" s="28" t="str">
        <x:v>надёжный общий маркер не заявлен; сочетание объясняется семействами и сенсорным балансом</x:v>
      </x:c>
      <x:c r="O517" s="28" t="str">
        <x:v>вкусовой баланс, влияние матрицы/растворимости</x:v>
      </x:c>
      <x:c r="P517" s="28" t="str">
        <x:v>Кислотность и лёгкая горечь цитруса снижают ощущение жирности; соль и умами, в свою очередь, делают фруктовую часть менее резкой.</x:v>
      </x:c>
      <x:c r="Q517" s="28" t="str">
        <x:v>кислота усиливает слюноотделение; нет выраженного</x:v>
      </x:c>
      <x:c r="R517" s="28" t="str">
        <x:v>сок — водная кислая фаза; цедра — гидрофобное эфирное масло; кислота может денатурировать поверхностные белки; жир рыбы удерживает терпены</x:v>
      </x:c>
      <x:c r="S51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517"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Устрица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U517" s="28" t="str">
        <x:v>Избыток кислоты делает вкус плоско-резким; белая часть кожуры даёт лишнюю горечь; слишком долгая маринация ухудшает текстуру.</x:v>
      </x:c>
      <x:c r="V517" s="28" t="str">
        <x:v>кинза или фенхель</x:v>
      </x:c>
      <x:c r="W517" s="28" t="str">
        <x:v>севиче, маринад, beurre blanc, тартар или салат</x:v>
      </x:c>
      <x:c r="X517" s="28" t="str">
        <x:v>еда, соусы/маринады</x:v>
      </x:c>
      <x:c r="Y517" s="28" t="str">
        <x:v>Средняя</x:v>
      </x:c>
      <x:c r="Z517" s="28" t="str">
        <x:v>The Art &amp; Science of Foodpairing.pdf</x:v>
      </x:c>
      <x:c r="AA517" s="28" t="str">
        <x:v>The Art &amp; Science of Foodpairing.pdf: 370</x:v>
      </x:c>
      <x:c r="AB517" s="28" t="str">
        <x:v>Пара представлена в ароматической диаграмме Foodpairing на странице 370.</x:v>
      </x:c>
      <x:c r="AC517" s="28" t="n">
        <x:v>1</x:v>
      </x:c>
      <x:c r="AD517" s="28" t="n">
        <x:v>2</x:v>
      </x:c>
    </x:row>
    <x:row r="518" ht="58" customHeight="1">
      <x:c r="A518" s="28" t="str">
        <x:v>CIT-0517</x:v>
      </x:c>
      <x:c r="B518" s="28" t="str">
        <x:v>Универсальные</x:v>
      </x:c>
      <x:c r="C518" s="28" t="str">
        <x:v>лимонный сок</x:v>
      </x:c>
      <x:c r="D518" s="28" t="str">
        <x:v>lemon juice</x:v>
      </x:c>
      <x:c r="E518" s="28" t="str">
        <x:v>Цитрусовые</x:v>
      </x:c>
      <x:c r="F518" s="28" t="str">
        <x:v>устричный лист</x:v>
      </x:c>
      <x:c r="G518" s="28" t="str">
        <x:v>oyster leaf</x:v>
      </x:c>
      <x:c r="H518" s="28" t="str">
        <x:v>Прочее</x:v>
      </x:c>
      <x:c r="I518" s="28" t="str">
        <x:v>цитрусовый, свежий, цветочный, древесный</x:v>
      </x:c>
      <x:c r="J518" s="28" t="str">
        <x:v>нейтральный/специфический</x:v>
      </x:c>
      <x:c r="K518" s="28" t="str">
        <x:v>цитраль (гераниаль + нераль), лимонен, гамма-терпинен, бета-пинен</x:v>
      </x:c>
      <x:c r="L518" s="28" t="str">
        <x:v>нужен профиль конкретного продукта</x:v>
      </x:c>
      <x:c r="M518" s="28" t="str">
        <x:v>прямое семейное перекрытие не является главным механизмом</x:v>
      </x:c>
      <x:c r="N518" s="28" t="str">
        <x:v>надёжный общий маркер не заявлен; сочетание объясняется семействами и сенсорным балансом</x:v>
      </x:c>
      <x:c r="O518" s="28" t="str">
        <x:v>вкусовой баланс, тройничное восприятие</x:v>
      </x:c>
      <x:c r="P518" s="28" t="str">
        <x:v>Основной эффект определяется ароматическим контрастом и добавлением кислотной свежести; точный баланс зависит от дозировки и матрицы.</x:v>
      </x:c>
      <x:c r="Q518" s="28" t="str">
        <x:v>кислота усиливает слюноотделение; нет данных</x:v>
      </x:c>
      <x:c r="R518" s="28" t="str">
        <x:v>сок — водная кислая фаза; цедра — гидрофобное эфирное масло; зависит от формы продукта</x:v>
      </x:c>
      <x:c r="S5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18"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Устричный лист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518" s="28" t="str">
        <x:v>Избыток кислоты делает вкус плоско-резким; белая часть кожуры даёт лишнюю горечь.</x:v>
      </x:c>
      <x:c r="V518" s="28" t="str">
        <x:v>мёд или нейтральная жировая основа</x:v>
      </x:c>
      <x:c r="W518" s="28" t="str">
        <x:v>соус, напиток или десерт после пробной дегустации</x:v>
      </x:c>
      <x:c r="X518" s="28" t="str">
        <x:v>универсальное</x:v>
      </x:c>
      <x:c r="Y518" s="28" t="str">
        <x:v>Средняя</x:v>
      </x:c>
      <x:c r="Z518" s="28" t="str">
        <x:v>The Art &amp; Science of Foodpairing.pdf</x:v>
      </x:c>
      <x:c r="AA518" s="28" t="str">
        <x:v>The Art &amp; Science of Foodpairing.pdf: 370</x:v>
      </x:c>
      <x:c r="AB518" s="28" t="str">
        <x:v>Пара представлена в ароматической диаграмме Foodpairing на странице 370.</x:v>
      </x:c>
      <x:c r="AC518" s="28" t="n">
        <x:v>1</x:v>
      </x:c>
      <x:c r="AD518" s="28" t="n">
        <x:v>2</x:v>
      </x:c>
    </x:row>
    <x:row r="519" ht="58" customHeight="1">
      <x:c r="A519" s="28" t="str">
        <x:v>CIT-0518</x:v>
      </x:c>
      <x:c r="B519" s="28" t="str">
        <x:v>Десерты и выпечка</x:v>
      </x:c>
      <x:c r="C519" s="28" t="str">
        <x:v>лимонный тарт</x:v>
      </x:c>
      <x:c r="D519" s="28" t="str">
        <x:v>lemon tart</x:v>
      </x:c>
      <x:c r="E519" s="28" t="str">
        <x:v>Цитрусовые</x:v>
      </x:c>
      <x:c r="F519" s="28" t="str">
        <x:v>бойзенова ягода</x:v>
      </x:c>
      <x:c r="G519" s="28" t="str">
        <x:v>boysenberry</x:v>
      </x:c>
      <x:c r="H519" s="28" t="str">
        <x:v>Ягоды/косточковые</x:v>
      </x:c>
      <x:c r="I519" s="28" t="str">
        <x:v>цитрусовый, свежий, цветочный, древесный</x:v>
      </x:c>
      <x:c r="J519" s="28" t="str">
        <x:v>фруктовый, цветочный, зелёный, винный</x:v>
      </x:c>
      <x:c r="K519" s="28" t="str">
        <x:v>цитраль (гераниаль + нераль), лимонен, гамма-терпинен, бета-пинен</x:v>
      </x:c>
      <x:c r="L519" s="28" t="str">
        <x:v>иононы, дамасценон, эфиры, бензальдегид (для косточковых)</x:v>
      </x:c>
      <x:c r="M519" s="28" t="str">
        <x:v>цветочный</x:v>
      </x:c>
      <x:c r="N519" s="28" t="str">
        <x:v>надёжный общий маркер не заявлен; сочетание объясняется семействами и сенсорным балансом</x:v>
      </x:c>
      <x:c r="O519" s="28" t="str">
        <x:v>перекрытие ароматических семейств, вкусовой баланс</x:v>
      </x:c>
      <x:c r="P519" s="28" t="str">
        <x:v>Общая фруктовая сладость и летучие эфиры создают непрерывный ароматический профиль, а цитрусовая кислота повышает контраст и свежесть.</x:v>
      </x:c>
      <x:c r="Q519" s="28" t="str">
        <x:v>кислота усиливает слюноотделение; нет выраженного</x:v>
      </x:c>
      <x:c r="R519" s="28" t="str">
        <x:v>сок — водная кислая фаза; цедра — гидрофобное эфирное масло; водная матрица с антоцианами и полифенолами</x:v>
      </x:c>
      <x:c r="S51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19" s="28" t="str">
        <x:v>Лимонный тарт формирует профиль «цитрусовый, свежий, цветочный, древесный»; характерные маркеры: цитраль (гераниаль + нераль), лимонен, гамма-терпинен, бета-пинен. Бойзенова ягода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519" s="28" t="str">
        <x:v>Избыток кислоты делает вкус плоско-резким; белая часть кожуры даёт лишнюю горечь.</x:v>
      </x:c>
      <x:c r="V519" s="28" t="str">
        <x:v>ваниль или миндаль</x:v>
      </x:c>
      <x:c r="W519" s="28" t="str">
        <x:v>джем, сорбет, коктейль или соус</x:v>
      </x:c>
      <x:c r="X519" s="28" t="str">
        <x:v>напитки, десерты</x:v>
      </x:c>
      <x:c r="Y519" s="28" t="str">
        <x:v>Средняя</x:v>
      </x:c>
      <x:c r="Z519" s="28" t="str">
        <x:v>The Art &amp; Science of Foodpairing.pdf</x:v>
      </x:c>
      <x:c r="AA519" s="28" t="str">
        <x:v>The Art &amp; Science of Foodpairing.pdf: 74</x:v>
      </x:c>
      <x:c r="AB519" s="28" t="str">
        <x:v>Пара представлена в ароматической диаграмме Foodpairing на странице 74.</x:v>
      </x:c>
      <x:c r="AC519" s="28" t="n">
        <x:v>1</x:v>
      </x:c>
      <x:c r="AD519" s="28" t="n">
        <x:v>1</x:v>
      </x:c>
    </x:row>
    <x:row r="520" ht="58" customHeight="1">
      <x:c r="A520" s="28" t="str">
        <x:v>CIT-0519</x:v>
      </x:c>
      <x:c r="B520" s="28" t="str">
        <x:v>Универсальные</x:v>
      </x:c>
      <x:c r="C520" s="28" t="str">
        <x:v>лимонный тарт</x:v>
      </x:c>
      <x:c r="D520" s="28" t="str">
        <x:v>lemon tart</x:v>
      </x:c>
      <x:c r="E520" s="28" t="str">
        <x:v>Цитрусовые</x:v>
      </x:c>
      <x:c r="F520" s="28" t="str">
        <x:v>горчица</x:v>
      </x:c>
      <x:c r="G520" s="28" t="str">
        <x:v>mustard</x:v>
      </x:c>
      <x:c r="H520" s="28" t="str">
        <x:v>Прочее</x:v>
      </x:c>
      <x:c r="I520" s="28" t="str">
        <x:v>цитрусовый, свежий, цветочный, древесный</x:v>
      </x:c>
      <x:c r="J520" s="28" t="str">
        <x:v>нейтральный/специфический</x:v>
      </x:c>
      <x:c r="K520" s="28" t="str">
        <x:v>цитраль (гераниаль + нераль), лимонен, гамма-терпинен, бета-пинен</x:v>
      </x:c>
      <x:c r="L520" s="28" t="str">
        <x:v>нужен профиль конкретного продукта</x:v>
      </x:c>
      <x:c r="M520" s="28" t="str">
        <x:v>прямое семейное перекрытие не является главным механизмом</x:v>
      </x:c>
      <x:c r="N520" s="28" t="str">
        <x:v>надёжный общий маркер не заявлен; сочетание объясняется семействами и сенсорным балансом</x:v>
      </x:c>
      <x:c r="O520" s="28" t="str">
        <x:v>вкусовой баланс, тройничное восприятие</x:v>
      </x:c>
      <x:c r="P520" s="28" t="str">
        <x:v>Основной эффект определяется ароматическим контрастом и добавлением кислотной свежести; точный баланс зависит от дозировки и матрицы.</x:v>
      </x:c>
      <x:c r="Q520" s="28" t="str">
        <x:v>кислота усиливает слюноотделение; нет данных</x:v>
      </x:c>
      <x:c r="R520" s="28" t="str">
        <x:v>сок — водная кислая фаза; цедра — гидрофобное эфирное масло; зависит от формы продукта</x:v>
      </x:c>
      <x:c r="S52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20" s="28" t="str">
        <x:v>Лимонный тарт формирует профиль «цитрусовый, свежий, цветочный, древесный»; характерные маркеры: цитраль (гераниаль + нераль), лимонен, гамма-терпинен, бета-пинен. Горчица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520" s="28" t="str">
        <x:v>Избыток кислоты делает вкус плоско-резким; белая часть кожуры даёт лишнюю горечь.</x:v>
      </x:c>
      <x:c r="V520" s="28" t="str">
        <x:v>мёд или нейтральная жировая основа</x:v>
      </x:c>
      <x:c r="W520" s="28" t="str">
        <x:v>соус, напиток или десерт после пробной дегустации</x:v>
      </x:c>
      <x:c r="X520" s="28" t="str">
        <x:v>универсальное</x:v>
      </x:c>
      <x:c r="Y520" s="28" t="str">
        <x:v>Средняя</x:v>
      </x:c>
      <x:c r="Z520" s="28" t="str">
        <x:v>The Art &amp; Science of Foodpairing.pdf</x:v>
      </x:c>
      <x:c r="AA520" s="28" t="str">
        <x:v>The Art &amp; Science of Foodpairing.pdf: 88</x:v>
      </x:c>
      <x:c r="AB520" s="28" t="str">
        <x:v>Пара представлена в ароматической диаграмме Foodpairing на странице 88.</x:v>
      </x:c>
      <x:c r="AC520" s="28" t="n">
        <x:v>1</x:v>
      </x:c>
      <x:c r="AD520" s="28" t="n">
        <x:v>1</x:v>
      </x:c>
    </x:row>
    <x:row r="521" ht="58" customHeight="1">
      <x:c r="A521" s="28" t="str">
        <x:v>CIT-0520</x:v>
      </x:c>
      <x:c r="B521" s="28" t="str">
        <x:v>Универсальные</x:v>
      </x:c>
      <x:c r="C521" s="28" t="str">
        <x:v>лимонный тарт</x:v>
      </x:c>
      <x:c r="D521" s="28" t="str">
        <x:v>lemon tart</x:v>
      </x:c>
      <x:c r="E521" s="28" t="str">
        <x:v>Цитрусовые</x:v>
      </x:c>
      <x:c r="F521" s="28" t="str">
        <x:v>цукаты из дягиля</x:v>
      </x:c>
      <x:c r="G521" s="28" t="str">
        <x:v>candied angelica</x:v>
      </x:c>
      <x:c r="H521" s="28" t="str">
        <x:v>Прочее</x:v>
      </x:c>
      <x:c r="I521" s="28" t="str">
        <x:v>цитрусовый, свежий, цветочный, древесный</x:v>
      </x:c>
      <x:c r="J521" s="28" t="str">
        <x:v>нейтральный/специфический</x:v>
      </x:c>
      <x:c r="K521" s="28" t="str">
        <x:v>цитраль (гераниаль + нераль), лимонен, гамма-терпинен, бета-пинен</x:v>
      </x:c>
      <x:c r="L521" s="28" t="str">
        <x:v>нужен профиль конкретного продукта</x:v>
      </x:c>
      <x:c r="M521" s="28" t="str">
        <x:v>прямое семейное перекрытие не является главным механизмом</x:v>
      </x:c>
      <x:c r="N521" s="28" t="str">
        <x:v>надёжный общий маркер не заявлен; сочетание объясняется семействами и сенсорным балансом</x:v>
      </x:c>
      <x:c r="O521" s="28" t="str">
        <x:v>вкусовой баланс, тройничное восприятие</x:v>
      </x:c>
      <x:c r="P521" s="28" t="str">
        <x:v>Основной эффект определяется ароматическим контрастом и добавлением кислотной свежести; точный баланс зависит от дозировки и матрицы.</x:v>
      </x:c>
      <x:c r="Q521" s="28" t="str">
        <x:v>кислота усиливает слюноотделение; нет данных</x:v>
      </x:c>
      <x:c r="R521" s="28" t="str">
        <x:v>сок — водная кислая фаза; цедра — гидрофобное эфирное масло; зависит от формы продукта</x:v>
      </x:c>
      <x:c r="S52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21" s="28" t="str">
        <x:v>Лимонный тарт формирует профиль «цитрусовый, свежий, цветочный, древесный»; характерные маркеры: цитраль (гераниаль + нераль), лимонен, гамма-терпинен, бета-пинен. Цукаты из дягиля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521" s="28" t="str">
        <x:v>Избыток кислоты делает вкус плоско-резким; белая часть кожуры даёт лишнюю горечь.</x:v>
      </x:c>
      <x:c r="V521" s="28" t="str">
        <x:v>мёд или нейтральная жировая основа</x:v>
      </x:c>
      <x:c r="W521" s="28" t="str">
        <x:v>соус, напиток или десерт после пробной дегустации</x:v>
      </x:c>
      <x:c r="X521" s="28" t="str">
        <x:v>универсальное</x:v>
      </x:c>
      <x:c r="Y521" s="28" t="str">
        <x:v>Средняя</x:v>
      </x:c>
      <x:c r="Z521" s="28" t="str">
        <x:v>The Art &amp; Science of Foodpairing.pdf</x:v>
      </x:c>
      <x:c r="AA521" s="28" t="str">
        <x:v>The Art &amp; Science of Foodpairing.pdf: 88</x:v>
      </x:c>
      <x:c r="AB521" s="28" t="str">
        <x:v>Пара представлена в ароматической диаграмме Foodpairing на странице 88.</x:v>
      </x:c>
      <x:c r="AC521" s="28" t="n">
        <x:v>1</x:v>
      </x:c>
      <x:c r="AD521" s="28" t="n">
        <x:v>1</x:v>
      </x:c>
    </x:row>
    <x:row r="522" ht="58" customHeight="1">
      <x:c r="A522" s="28" t="str">
        <x:v>CIT-0521</x:v>
      </x:c>
      <x:c r="B522" s="28" t="str">
        <x:v>Десерты и выпечка</x:v>
      </x:c>
      <x:c r="C522" s="28" t="str">
        <x:v>лимончелло</x:v>
      </x:c>
      <x:c r="D522" s="28" t="str">
        <x:v>limoncello</x:v>
      </x:c>
      <x:c r="E522" s="28" t="str">
        <x:v>Цитрусовые</x:v>
      </x:c>
      <x:c r="F522" s="28" t="str">
        <x:v>бойзенова ягода</x:v>
      </x:c>
      <x:c r="G522" s="28" t="str">
        <x:v>boysenberry</x:v>
      </x:c>
      <x:c r="H522" s="28" t="str">
        <x:v>Ягоды/косточковые</x:v>
      </x:c>
      <x:c r="I522" s="28" t="str">
        <x:v>цитрусовый, свежий, цветочный, древесный</x:v>
      </x:c>
      <x:c r="J522" s="28" t="str">
        <x:v>фруктовый, цветочный, зелёный, винный</x:v>
      </x:c>
      <x:c r="K522" s="28" t="str">
        <x:v>цитраль (гераниаль + нераль), лимонен, гамма-терпинен, бета-пинен</x:v>
      </x:c>
      <x:c r="L522" s="28" t="str">
        <x:v>иононы, дамасценон, эфиры, бензальдегид (для косточковых)</x:v>
      </x:c>
      <x:c r="M522" s="28" t="str">
        <x:v>цветочный</x:v>
      </x:c>
      <x:c r="N522" s="28" t="str">
        <x:v>надёжный общий маркер не заявлен; сочетание объясняется семействами и сенсорным балансом</x:v>
      </x:c>
      <x:c r="O522" s="28" t="str">
        <x:v>перекрытие ароматических семейств, вкусовой баланс</x:v>
      </x:c>
      <x:c r="P522" s="28" t="str">
        <x:v>Общая фруктовая сладость и летучие эфиры создают непрерывный ароматический профиль, а цитрусовая кислота повышает контраст и свежесть.</x:v>
      </x:c>
      <x:c r="Q522" s="28" t="str">
        <x:v>кислота усиливает слюноотделение; нет выраженного</x:v>
      </x:c>
      <x:c r="R522" s="28" t="str">
        <x:v>сок — водная кислая фаза; цедра — гидрофобное эфирное масло; водная матрица с антоцианами и полифенолами</x:v>
      </x:c>
      <x:c r="S52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22"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Бойзенова ягода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522" s="28" t="str">
        <x:v>Избыток кислоты делает вкус плоско-резким; белая часть кожуры даёт лишнюю горечь.</x:v>
      </x:c>
      <x:c r="V522" s="28" t="str">
        <x:v>ваниль или миндаль</x:v>
      </x:c>
      <x:c r="W522" s="28" t="str">
        <x:v>джем, сорбет, коктейль или соус</x:v>
      </x:c>
      <x:c r="X522" s="28" t="str">
        <x:v>напитки, десерты</x:v>
      </x:c>
      <x:c r="Y522" s="28" t="str">
        <x:v>Средняя</x:v>
      </x:c>
      <x:c r="Z522" s="28" t="str">
        <x:v>The Art &amp; Science of Foodpairing.pdf</x:v>
      </x:c>
      <x:c r="AA522" s="28" t="str">
        <x:v>The Art &amp; Science of Foodpairing.pdf: 74</x:v>
      </x:c>
      <x:c r="AB522" s="28" t="str">
        <x:v>Пара представлена в ароматической диаграмме Foodpairing на странице 74.</x:v>
      </x:c>
      <x:c r="AC522" s="28" t="n">
        <x:v>1</x:v>
      </x:c>
      <x:c r="AD522" s="28" t="n">
        <x:v>1</x:v>
      </x:c>
    </x:row>
    <x:row r="523" ht="58" customHeight="1">
      <x:c r="A523" s="28" t="str">
        <x:v>CIT-0522</x:v>
      </x:c>
      <x:c r="B523" s="28" t="str">
        <x:v>Десерты и выпечка</x:v>
      </x:c>
      <x:c r="C523" s="28" t="str">
        <x:v>лимончелло</x:v>
      </x:c>
      <x:c r="D523" s="28" t="str">
        <x:v>limoncello</x:v>
      </x:c>
      <x:c r="E523" s="28" t="str">
        <x:v>Цитрусовые</x:v>
      </x:c>
      <x:c r="F523" s="28" t="str">
        <x:v>вересковый мёд</x:v>
      </x:c>
      <x:c r="G523" s="28" t="str">
        <x:v>heather honey</x:v>
      </x:c>
      <x:c r="H523" s="28" t="str">
        <x:v>Подсластители</x:v>
      </x:c>
      <x:c r="I523" s="28" t="str">
        <x:v>цитрусовый, свежий, цветочный, древесный</x:v>
      </x:c>
      <x:c r="J523" s="28" t="str">
        <x:v>медовый, цветочный, карамельный</x:v>
      </x:c>
      <x:c r="K523" s="28" t="str">
        <x:v>цитраль (гераниаль + нераль), лимонен, гамма-терпинен, бета-пинен</x:v>
      </x:c>
      <x:c r="L523" s="28" t="str">
        <x:v>фенилуксусные соединения, фураны, норизопреноиды</x:v>
      </x:c>
      <x:c r="M523" s="28" t="str">
        <x:v>цветочный</x:v>
      </x:c>
      <x:c r="N523" s="28" t="str">
        <x:v>надёжный общий маркер не заявлен; сочетание объясняется семействами и сенсорным балансом</x:v>
      </x:c>
      <x:c r="O523" s="28" t="str">
        <x:v>перекрытие ароматических семейств, вкусовой баланс</x:v>
      </x:c>
      <x:c r="P523" s="28" t="str">
        <x:v>Сладость подавляет воспринимаемую кислотность и горечь кожуры, а кислота не даёт сочетанию стать приторным.</x:v>
      </x:c>
      <x:c r="Q523" s="28" t="str">
        <x:v>кислота усиливает слюноотделение; нет выраженного</x:v>
      </x:c>
      <x:c r="R523" s="28" t="str">
        <x:v>сок — водная кислая фаза; цедра — гидрофобное эфирное масло; сахар повышает вязкость и снижает воспринимаемую кислотность</x:v>
      </x:c>
      <x:c r="S52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23"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Вересковый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Сок определяется цитралем и кислотностью, цедра — лимоненом и терпенами. Сладость балансирует кислоту и горечь кожуры; цветочные компоненты могут поддерживать цитрус.</x:v>
      </x:c>
      <x:c r="U523" s="28" t="str">
        <x:v>Избыток кислоты делает вкус плоско-резким; белая часть кожуры даёт лишнюю горечь.</x:v>
      </x:c>
      <x:c r="V523" s="28" t="str">
        <x:v>имбирь или ваниль</x:v>
      </x:c>
      <x:c r="W523" s="28" t="str">
        <x:v>сироп, мармелад, крем, глазурь или лимонад</x:v>
      </x:c>
      <x:c r="X523" s="28" t="str">
        <x:v>напитки, десерты</x:v>
      </x:c>
      <x:c r="Y523" s="28" t="str">
        <x:v>Средняя</x:v>
      </x:c>
      <x:c r="Z523" s="28" t="str">
        <x:v>The Art &amp; Science of Foodpairing.pdf</x:v>
      </x:c>
      <x:c r="AA523" s="28" t="str">
        <x:v>The Art &amp; Science of Foodpairing.pdf: 370</x:v>
      </x:c>
      <x:c r="AB523" s="28" t="str">
        <x:v>Пара представлена в ароматической диаграмме Foodpairing на странице 370.</x:v>
      </x:c>
      <x:c r="AC523" s="28" t="n">
        <x:v>1</x:v>
      </x:c>
      <x:c r="AD523" s="28" t="n">
        <x:v>1</x:v>
      </x:c>
    </x:row>
    <x:row r="524" ht="58" customHeight="1">
      <x:c r="A524" s="28" t="str">
        <x:v>CIT-0523</x:v>
      </x:c>
      <x:c r="B524" s="28" t="str">
        <x:v>Универсальные</x:v>
      </x:c>
      <x:c r="C524" s="28" t="str">
        <x:v>лимончелло</x:v>
      </x:c>
      <x:c r="D524" s="28" t="str">
        <x:v>limoncello</x:v>
      </x:c>
      <x:c r="E524" s="28" t="str">
        <x:v>Цитрусовые</x:v>
      </x:c>
      <x:c r="F524" s="28" t="str">
        <x:v>горгонзола</x:v>
      </x:c>
      <x:c r="G524" s="28" t="str">
        <x:v>Gorgonzola</x:v>
      </x:c>
      <x:c r="H524" s="28" t="str">
        <x:v>Прочее</x:v>
      </x:c>
      <x:c r="I524" s="28" t="str">
        <x:v>цитрусовый, свежий, цветочный, древесный</x:v>
      </x:c>
      <x:c r="J524" s="28" t="str">
        <x:v>нейтральный/специфический</x:v>
      </x:c>
      <x:c r="K524" s="28" t="str">
        <x:v>цитраль (гераниаль + нераль), лимонен, гамма-терпинен, бета-пинен</x:v>
      </x:c>
      <x:c r="L524" s="28" t="str">
        <x:v>нужен профиль конкретного продукта</x:v>
      </x:c>
      <x:c r="M524" s="28" t="str">
        <x:v>прямое семейное перекрытие не является главным механизмом</x:v>
      </x:c>
      <x:c r="N524" s="28" t="str">
        <x:v>надёжный общий маркер не заявлен; сочетание объясняется семействами и сенсорным балансом</x:v>
      </x:c>
      <x:c r="O524" s="28" t="str">
        <x:v>вкусовой баланс, тройничное восприятие</x:v>
      </x:c>
      <x:c r="P524" s="28" t="str">
        <x:v>Основной эффект определяется ароматическим контрастом и добавлением кислотной свежести; точный баланс зависит от дозировки и матрицы.</x:v>
      </x:c>
      <x:c r="Q524" s="28" t="str">
        <x:v>кислота усиливает слюноотделение; нет данных</x:v>
      </x:c>
      <x:c r="R524" s="28" t="str">
        <x:v>сок — водная кислая фаза; цедра — гидрофобное эфирное масло; зависит от формы продукта</x:v>
      </x:c>
      <x:c r="S52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24"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Горгонзола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524" s="28" t="str">
        <x:v>Избыток кислоты делает вкус плоско-резким; белая часть кожуры даёт лишнюю горечь.</x:v>
      </x:c>
      <x:c r="V524" s="28" t="str">
        <x:v>мёд или нейтральная жировая основа</x:v>
      </x:c>
      <x:c r="W524" s="28" t="str">
        <x:v>соус, напиток или десерт после пробной дегустации</x:v>
      </x:c>
      <x:c r="X524" s="28" t="str">
        <x:v>универсальное</x:v>
      </x:c>
      <x:c r="Y524" s="28" t="str">
        <x:v>Средняя</x:v>
      </x:c>
      <x:c r="Z524" s="28" t="str">
        <x:v>The Art &amp; Science of Foodpairing.pdf</x:v>
      </x:c>
      <x:c r="AA524" s="28" t="str">
        <x:v>The Art &amp; Science of Foodpairing.pdf: 370</x:v>
      </x:c>
      <x:c r="AB524" s="28" t="str">
        <x:v>Пара представлена в ароматической диаграмме Foodpairing на странице 370.</x:v>
      </x:c>
      <x:c r="AC524" s="28" t="n">
        <x:v>1</x:v>
      </x:c>
      <x:c r="AD524" s="28" t="n">
        <x:v>1</x:v>
      </x:c>
    </x:row>
    <x:row r="525" ht="58" customHeight="1">
      <x:c r="A525" s="28" t="str">
        <x:v>CIT-0524</x:v>
      </x:c>
      <x:c r="B525" s="28" t="str">
        <x:v>Универсальные</x:v>
      </x:c>
      <x:c r="C525" s="28" t="str">
        <x:v>лимончелло</x:v>
      </x:c>
      <x:c r="D525" s="28" t="str">
        <x:v>limoncello</x:v>
      </x:c>
      <x:c r="E525" s="28" t="str">
        <x:v>Цитрусовые</x:v>
      </x:c>
      <x:c r="F525" s="28" t="str">
        <x:v>канталупа</x:v>
      </x:c>
      <x:c r="G525" s="28" t="str">
        <x:v>cantaloupe</x:v>
      </x:c>
      <x:c r="H525" s="28" t="str">
        <x:v>Прочее</x:v>
      </x:c>
      <x:c r="I525" s="28" t="str">
        <x:v>цитрусовый, свежий, цветочный, древесный</x:v>
      </x:c>
      <x:c r="J525" s="28" t="str">
        <x:v>нейтральный/специфический</x:v>
      </x:c>
      <x:c r="K525" s="28" t="str">
        <x:v>цитраль (гераниаль + нераль), лимонен, гамма-терпинен, бета-пинен</x:v>
      </x:c>
      <x:c r="L525" s="28" t="str">
        <x:v>нужен профиль конкретного продукта</x:v>
      </x:c>
      <x:c r="M525" s="28" t="str">
        <x:v>прямое семейное перекрытие не является главным механизмом</x:v>
      </x:c>
      <x:c r="N525" s="28" t="str">
        <x:v>надёжный общий маркер не заявлен; сочетание объясняется семействами и сенсорным балансом</x:v>
      </x:c>
      <x:c r="O525" s="28" t="str">
        <x:v>вкусовой баланс, тройничное восприятие</x:v>
      </x:c>
      <x:c r="P525" s="28" t="str">
        <x:v>Основной эффект определяется ароматическим контрастом и добавлением кислотной свежести; точный баланс зависит от дозировки и матрицы.</x:v>
      </x:c>
      <x:c r="Q525" s="28" t="str">
        <x:v>кислота усиливает слюноотделение; нет данных</x:v>
      </x:c>
      <x:c r="R525" s="28" t="str">
        <x:v>сок — водная кислая фаза; цедра — гидрофобное эфирное масло; зависит от формы продукта</x:v>
      </x:c>
      <x:c r="S52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25"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Канталупа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525" s="28" t="str">
        <x:v>Избыток кислоты делает вкус плоско-резким; белая часть кожуры даёт лишнюю горечь.</x:v>
      </x:c>
      <x:c r="V525" s="28" t="str">
        <x:v>мёд или нейтральная жировая основа</x:v>
      </x:c>
      <x:c r="W525" s="28" t="str">
        <x:v>соус, напиток или десерт после пробной дегустации</x:v>
      </x:c>
      <x:c r="X525" s="28" t="str">
        <x:v>универсальное</x:v>
      </x:c>
      <x:c r="Y525" s="28" t="str">
        <x:v>Средняя</x:v>
      </x:c>
      <x:c r="Z525" s="28" t="str">
        <x:v>The Art &amp; Science of Foodpairing.pdf</x:v>
      </x:c>
      <x:c r="AA525" s="28" t="str">
        <x:v>The Art &amp; Science of Foodpairing.pdf: 370</x:v>
      </x:c>
      <x:c r="AB525" s="28" t="str">
        <x:v>Пара представлена в ароматической диаграмме Foodpairing на странице 370.</x:v>
      </x:c>
      <x:c r="AC525" s="28" t="n">
        <x:v>1</x:v>
      </x:c>
      <x:c r="AD525" s="28" t="n">
        <x:v>1</x:v>
      </x:c>
    </x:row>
    <x:row r="526" ht="58" customHeight="1">
      <x:c r="A526" s="28" t="str">
        <x:v>CIT-0525</x:v>
      </x:c>
      <x:c r="B526" s="28" t="str">
        <x:v>Универсальные</x:v>
      </x:c>
      <x:c r="C526" s="28" t="str">
        <x:v>лимончелло</x:v>
      </x:c>
      <x:c r="D526" s="28" t="str">
        <x:v>limoncello</x:v>
      </x:c>
      <x:c r="E526" s="28" t="str">
        <x:v>Цитрусовые</x:v>
      </x:c>
      <x:c r="F526" s="28" t="str">
        <x:v>морошка</x:v>
      </x:c>
      <x:c r="G526" s="28" t="str">
        <x:v>cloudberry</x:v>
      </x:c>
      <x:c r="H526" s="28" t="str">
        <x:v>Прочее</x:v>
      </x:c>
      <x:c r="I526" s="28" t="str">
        <x:v>цитрусовый, свежий, цветочный, древесный</x:v>
      </x:c>
      <x:c r="J526" s="28" t="str">
        <x:v>нейтральный/специфический</x:v>
      </x:c>
      <x:c r="K526" s="28" t="str">
        <x:v>цитраль (гераниаль + нераль), лимонен, гамма-терпинен, бета-пинен</x:v>
      </x:c>
      <x:c r="L526" s="28" t="str">
        <x:v>нужен профиль конкретного продукта</x:v>
      </x:c>
      <x:c r="M526" s="28" t="str">
        <x:v>прямое семейное перекрытие не является главным механизмом</x:v>
      </x:c>
      <x:c r="N526" s="28" t="str">
        <x:v>надёжный общий маркер не заявлен; сочетание объясняется семействами и сенсорным балансом</x:v>
      </x:c>
      <x:c r="O526" s="28" t="str">
        <x:v>вкусовой баланс, тройничное восприятие</x:v>
      </x:c>
      <x:c r="P526" s="28" t="str">
        <x:v>Основной эффект определяется ароматическим контрастом и добавлением кислотной свежести; точный баланс зависит от дозировки и матрицы.</x:v>
      </x:c>
      <x:c r="Q526" s="28" t="str">
        <x:v>кислота усиливает слюноотделение; нет данных</x:v>
      </x:c>
      <x:c r="R526" s="28" t="str">
        <x:v>сок — водная кислая фаза; цедра — гидрофобное эфирное масло; зависит от формы продукта</x:v>
      </x:c>
      <x:c r="S52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26"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Морошка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526" s="28" t="str">
        <x:v>Избыток кислоты делает вкус плоско-резким; белая часть кожуры даёт лишнюю горечь.</x:v>
      </x:c>
      <x:c r="V526" s="28" t="str">
        <x:v>мёд или нейтральная жировая основа</x:v>
      </x:c>
      <x:c r="W526" s="28" t="str">
        <x:v>соус, напиток или десерт после пробной дегустации</x:v>
      </x:c>
      <x:c r="X526" s="28" t="str">
        <x:v>универсальное</x:v>
      </x:c>
      <x:c r="Y526" s="28" t="str">
        <x:v>Средняя</x:v>
      </x:c>
      <x:c r="Z526" s="28" t="str">
        <x:v>The Art &amp; Science of Foodpairing.pdf</x:v>
      </x:c>
      <x:c r="AA526" s="28" t="str">
        <x:v>The Art &amp; Science of Foodpairing.pdf: 370</x:v>
      </x:c>
      <x:c r="AB526" s="28" t="str">
        <x:v>Пара представлена в ароматической диаграмме Foodpairing на странице 370.</x:v>
      </x:c>
      <x:c r="AC526" s="28" t="n">
        <x:v>1</x:v>
      </x:c>
      <x:c r="AD526" s="28" t="n">
        <x:v>1</x:v>
      </x:c>
    </x:row>
    <x:row r="527" ht="58" customHeight="1">
      <x:c r="A527" s="28" t="str">
        <x:v>CIT-0526</x:v>
      </x:c>
      <x:c r="B527" s="28" t="str">
        <x:v>Еда и соусы</x:v>
      </x:c>
      <x:c r="C527" s="28" t="str">
        <x:v>лимончелло</x:v>
      </x:c>
      <x:c r="D527" s="28" t="str">
        <x:v>limoncello</x:v>
      </x:c>
      <x:c r="E527" s="28" t="str">
        <x:v>Цитрусовые</x:v>
      </x:c>
      <x:c r="F527" s="28" t="str">
        <x:v>отварное мясо краба</x:v>
      </x:c>
      <x:c r="G527" s="28" t="str">
        <x:v>boiled brown crab meat</x:v>
      </x:c>
      <x:c r="H527" s="28" t="str">
        <x:v>Рыба и морепродукты</x:v>
      </x:c>
      <x:c r="I527" s="28" t="str">
        <x:v>цитрусовый, свежий, цветочный, древесный</x:v>
      </x:c>
      <x:c r="J527" s="28" t="str">
        <x:v>морской, йодистый, зелёный, жирный</x:v>
      </x:c>
      <x:c r="K527" s="28" t="str">
        <x:v>цитраль (гераниаль + нераль), лимонен, гамма-терпинен, бета-пинен</x:v>
      </x:c>
      <x:c r="L527" s="28" t="str">
        <x:v>альдегиды окисления липидов, бромфенолы, диметилсульфид, умами-соединения</x:v>
      </x:c>
      <x:c r="M527" s="28" t="str">
        <x:v>прямое семейное перекрытие не является главным механизмом</x:v>
      </x:c>
      <x:c r="N527" s="28" t="str">
        <x:v>надёжный общий маркер не заявлен; сочетание объясняется семействами и сенсорным балансом</x:v>
      </x:c>
      <x:c r="O527" s="28" t="str">
        <x:v>вкусовой баланс, влияние матрицы/растворимости</x:v>
      </x:c>
      <x:c r="P527" s="28" t="str">
        <x:v>Кислотность и лёгкая горечь цитруса снижают ощущение жирности; соль и умами, в свою очередь, делают фруктовую часть менее резкой.</x:v>
      </x:c>
      <x:c r="Q527" s="28" t="str">
        <x:v>кислота усиливает слюноотделение; нет выраженного</x:v>
      </x:c>
      <x:c r="R527" s="28" t="str">
        <x:v>сок — водная кислая фаза; цедра — гидрофобное эфирное масло; кислота может денатурировать поверхностные белки; жир рыбы удерживает терпены</x:v>
      </x:c>
      <x:c r="S52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527"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Отварное мясо краба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U527" s="28" t="str">
        <x:v>Избыток кислоты делает вкус плоско-резким; белая часть кожуры даёт лишнюю горечь; слишком долгая маринация ухудшает текстуру.</x:v>
      </x:c>
      <x:c r="V527" s="28" t="str">
        <x:v>кинза или фенхель</x:v>
      </x:c>
      <x:c r="W527" s="28" t="str">
        <x:v>севиче, маринад, beurre blanc, тартар или салат</x:v>
      </x:c>
      <x:c r="X527" s="28" t="str">
        <x:v>еда, соусы/маринады</x:v>
      </x:c>
      <x:c r="Y527" s="28" t="str">
        <x:v>Средняя</x:v>
      </x:c>
      <x:c r="Z527" s="28" t="str">
        <x:v>The Art &amp; Science of Foodpairing.pdf</x:v>
      </x:c>
      <x:c r="AA527" s="28" t="str">
        <x:v>The Art &amp; Science of Foodpairing.pdf: 370</x:v>
      </x:c>
      <x:c r="AB527" s="28" t="str">
        <x:v>Пара представлена в ароматической диаграмме Foodpairing на странице 370.</x:v>
      </x:c>
      <x:c r="AC527" s="28" t="n">
        <x:v>1</x:v>
      </x:c>
      <x:c r="AD527" s="28" t="n">
        <x:v>1</x:v>
      </x:c>
    </x:row>
    <x:row r="528" ht="58" customHeight="1">
      <x:c r="A528" s="28" t="str">
        <x:v>CIT-0527</x:v>
      </x:c>
      <x:c r="B528" s="28" t="str">
        <x:v>Универсальные</x:v>
      </x:c>
      <x:c r="C528" s="28" t="str">
        <x:v>лимончелло</x:v>
      </x:c>
      <x:c r="D528" s="28" t="str">
        <x:v>limoncello</x:v>
      </x:c>
      <x:c r="E528" s="28" t="str">
        <x:v>Цитрусовые</x:v>
      </x:c>
      <x:c r="F528" s="28" t="str">
        <x:v>паста тикка масала</x:v>
      </x:c>
      <x:c r="G528" s="28" t="str">
        <x:v>tikka masala paste</x:v>
      </x:c>
      <x:c r="H528" s="28" t="str">
        <x:v>Прочее</x:v>
      </x:c>
      <x:c r="I528" s="28" t="str">
        <x:v>цитрусовый, свежий, цветочный, древесный</x:v>
      </x:c>
      <x:c r="J528" s="28" t="str">
        <x:v>нейтральный/специфический</x:v>
      </x:c>
      <x:c r="K528" s="28" t="str">
        <x:v>цитраль (гераниаль + нераль), лимонен, гамма-терпинен, бета-пинен</x:v>
      </x:c>
      <x:c r="L528" s="28" t="str">
        <x:v>нужен профиль конкретного продукта</x:v>
      </x:c>
      <x:c r="M528" s="28" t="str">
        <x:v>прямое семейное перекрытие не является главным механизмом</x:v>
      </x:c>
      <x:c r="N528" s="28" t="str">
        <x:v>надёжный общий маркер не заявлен; сочетание объясняется семействами и сенсорным балансом</x:v>
      </x:c>
      <x:c r="O528" s="28" t="str">
        <x:v>вкусовой баланс, тройничное восприятие</x:v>
      </x:c>
      <x:c r="P528" s="28" t="str">
        <x:v>Основной эффект определяется ароматическим контрастом и добавлением кислотной свежести; точный баланс зависит от дозировки и матрицы.</x:v>
      </x:c>
      <x:c r="Q528" s="28" t="str">
        <x:v>кислота усиливает слюноотделение; нет данных</x:v>
      </x:c>
      <x:c r="R528" s="28" t="str">
        <x:v>сок — водная кислая фаза; цедра — гидрофобное эфирное масло; зависит от формы продукта</x:v>
      </x:c>
      <x:c r="S52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28"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Паста тикка масала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528" s="28" t="str">
        <x:v>Избыток кислоты делает вкус плоско-резким; белая часть кожуры даёт лишнюю горечь.</x:v>
      </x:c>
      <x:c r="V528" s="28" t="str">
        <x:v>мёд или нейтральная жировая основа</x:v>
      </x:c>
      <x:c r="W528" s="28" t="str">
        <x:v>соус, напиток или десерт после пробной дегустации</x:v>
      </x:c>
      <x:c r="X528" s="28" t="str">
        <x:v>универсальное</x:v>
      </x:c>
      <x:c r="Y528" s="28" t="str">
        <x:v>Средняя</x:v>
      </x:c>
      <x:c r="Z528" s="28" t="str">
        <x:v>The Art &amp; Science of Foodpairing.pdf</x:v>
      </x:c>
      <x:c r="AA528" s="28" t="str">
        <x:v>The Art &amp; Science of Foodpairing.pdf: 370</x:v>
      </x:c>
      <x:c r="AB528" s="28" t="str">
        <x:v>Пара представлена в ароматической диаграмме Foodpairing на странице 370.</x:v>
      </x:c>
      <x:c r="AC528" s="28" t="n">
        <x:v>1</x:v>
      </x:c>
      <x:c r="AD528" s="28" t="n">
        <x:v>1</x:v>
      </x:c>
    </x:row>
    <x:row r="529" ht="58" customHeight="1">
      <x:c r="A529" s="28" t="str">
        <x:v>CIT-0528</x:v>
      </x:c>
      <x:c r="B529" s="28" t="str">
        <x:v>Еда и соусы</x:v>
      </x:c>
      <x:c r="C529" s="28" t="str">
        <x:v>лимончелло</x:v>
      </x:c>
      <x:c r="D529" s="28" t="str">
        <x:v>limoncello</x:v>
      </x:c>
      <x:c r="E529" s="28" t="str">
        <x:v>Цитрусовые</x:v>
      </x:c>
      <x:c r="F529" s="28" t="str">
        <x:v>светлый соевый соус широ</x:v>
      </x:c>
      <x:c r="G529" s="28" t="str">
        <x:v>shiro (white soy sauce)</x:v>
      </x:c>
      <x:c r="H529" s="28" t="str">
        <x:v>Соусы и ферментированные продукты</x:v>
      </x:c>
      <x:c r="I529" s="28" t="str">
        <x:v>цитрусовый, свежий, цветочный, древесный</x:v>
      </x:c>
      <x:c r="J529" s="28" t="str">
        <x:v>кислый, умами, ферментированный, пряный</x:v>
      </x:c>
      <x:c r="K529" s="28" t="str">
        <x:v>цитраль (гераниаль + нераль), лимонен, гамма-терпинен, бета-пинен</x:v>
      </x:c>
      <x:c r="L529" s="28" t="str">
        <x:v>уксусная/молочная кислота, эфиры ферментации, пептиды умами</x:v>
      </x:c>
      <x:c r="M529" s="28" t="str">
        <x:v>прямое семейное перекрытие не является главным механизмом</x:v>
      </x:c>
      <x:c r="N529" s="28" t="str">
        <x:v>надёжный общий маркер не заявлен; сочетание объясняется семействами и сенсорным балансом</x:v>
      </x:c>
      <x:c r="O529" s="28" t="str">
        <x:v>вкусовой баланс, тройничное восприятие</x:v>
      </x:c>
      <x:c r="P529" s="28" t="str">
        <x:v>Цитрусовая кислота и аромат усиливают солёность и умами, но общий уровень кислоты необходимо контролировать.</x:v>
      </x:c>
      <x:c r="Q529" s="28" t="str">
        <x:v>кислота усиливает слюноотделение; в пряных соусах возможен капсаициновый жар</x:v>
      </x:c>
      <x:c r="R529" s="28" t="str">
        <x:v>сок — водная кислая фаза; цедра — гидрофобное эфирное масло; водная солёно-кислая матрица</x:v>
      </x:c>
      <x:c r="S52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29"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Светлый соевый соус широ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Сок определяется цитралем и кислотностью, цедра — лимоненом и терпенами. Цитрус добавляет верхние ноты и может заменить часть уксуса, но избыток кислоты нарушит баланс.</x:v>
      </x:c>
      <x:c r="U529" s="28" t="str">
        <x:v>Избыток кислоты делает вкус плоско-резким; белая часть кожуры даёт лишнюю горечь.</x:v>
      </x:c>
      <x:c r="V529" s="28" t="str">
        <x:v>имбирь или кунжут</x:v>
      </x:c>
      <x:c r="W529" s="28" t="str">
        <x:v>дрессинг, глазурь, чатни, маринад или ферментированный соус</x:v>
      </x:c>
      <x:c r="X529" s="28" t="str">
        <x:v>еда, соусы/маринады</x:v>
      </x:c>
      <x:c r="Y529" s="28" t="str">
        <x:v>Средняя</x:v>
      </x:c>
      <x:c r="Z529" s="28" t="str">
        <x:v>The Art &amp; Science of Foodpairing.pdf</x:v>
      </x:c>
      <x:c r="AA529" s="28" t="str">
        <x:v>The Art &amp; Science of Foodpairing.pdf: 370</x:v>
      </x:c>
      <x:c r="AB529" s="28" t="str">
        <x:v>Пара представлена в ароматической диаграмме Foodpairing на странице 370.</x:v>
      </x:c>
      <x:c r="AC529" s="28" t="n">
        <x:v>1</x:v>
      </x:c>
      <x:c r="AD529" s="28" t="n">
        <x:v>1</x:v>
      </x:c>
    </x:row>
    <x:row r="530" ht="58" customHeight="1">
      <x:c r="A530" s="28" t="str">
        <x:v>CIT-0529</x:v>
      </x:c>
      <x:c r="B530" s="28" t="str">
        <x:v>Десерты и выпечка</x:v>
      </x:c>
      <x:c r="C530" s="28" t="str">
        <x:v>лимончелло</x:v>
      </x:c>
      <x:c r="D530" s="28" t="str">
        <x:v>limoncello</x:v>
      </x:c>
      <x:c r="E530" s="28" t="str">
        <x:v>Цитрусовые</x:v>
      </x:c>
      <x:c r="F530" s="28" t="str">
        <x:v>сыровяленая ветчина Цзиньхуа</x:v>
      </x:c>
      <x:c r="G530" s="28" t="str">
        <x:v>Jinhua dry-cured ham</x:v>
      </x:c>
      <x:c r="H530" s="28" t="str">
        <x:v>Молочные продукты</x:v>
      </x:c>
      <x:c r="I530" s="28" t="str">
        <x:v>цитрусовый, свежий, цветочный, древесный</x:v>
      </x:c>
      <x:c r="J530" s="28" t="str">
        <x:v>сливочный, молочный, масляный, иногда животный</x:v>
      </x:c>
      <x:c r="K530" s="28" t="str">
        <x:v>цитраль (гераниаль + нераль), лимонен, гамма-терпинен, бета-пинен</x:v>
      </x:c>
      <x:c r="L530" s="28" t="str">
        <x:v>диацетил, молочные лактоны, свободные жирные кислоты</x:v>
      </x:c>
      <x:c r="M530" s="28" t="str">
        <x:v>прямое семейное перекрытие не является главным механизмом</x:v>
      </x:c>
      <x:c r="N530" s="28" t="str">
        <x:v>надёжный общий маркер не заявлен; сочетание объясняется семействами и сенсорным балансом</x:v>
      </x:c>
      <x:c r="O530" s="28" t="str">
        <x:v>вкусовой баланс, влияние матрицы/растворимости</x:v>
      </x:c>
      <x:c r="P530" s="28" t="str">
        <x:v>Кислотность и лёгкая горечь цитруса снижают ощущение жирности; соль и умами, в свою очередь, делают фруктовую часть менее резкой.</x:v>
      </x:c>
      <x:c r="Q530" s="28" t="str">
        <x:v>кислота усиливает слюноотделение; нет выраженного</x:v>
      </x:c>
      <x:c r="R530" s="28" t="str">
        <x:v>сок — водная кислая фаза; цедра — гидрофобное эфирное масло; жир растворяет терпены; кислота цитруса может коагулировать молочный белок</x:v>
      </x:c>
      <x:c r="S530"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530"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Сыровяленая ветчина цзиньхуа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U530" s="28" t="str">
        <x:v>Избыток кислоты делает вкус плоско-резким; белая часть кожуры даёт лишнюю горечь; возможна коагуляция белка.</x:v>
      </x:c>
      <x:c r="V530" s="28" t="str">
        <x:v>мёд или ваниль</x:v>
      </x:c>
      <x:c r="W530" s="28" t="str">
        <x:v>чизкейк, крем, мороженое, соус или салат</x:v>
      </x:c>
      <x:c r="X530" s="28" t="str">
        <x:v>десерты, еда</x:v>
      </x:c>
      <x:c r="Y530" s="28" t="str">
        <x:v>Средняя</x:v>
      </x:c>
      <x:c r="Z530" s="28" t="str">
        <x:v>The Art &amp; Science of Foodpairing.pdf</x:v>
      </x:c>
      <x:c r="AA530" s="28" t="str">
        <x:v>The Art &amp; Science of Foodpairing.pdf: 370</x:v>
      </x:c>
      <x:c r="AB530" s="28" t="str">
        <x:v>Пара представлена в ароматической диаграмме Foodpairing на странице 370.</x:v>
      </x:c>
      <x:c r="AC530" s="28" t="n">
        <x:v>1</x:v>
      </x:c>
      <x:c r="AD530" s="28" t="n">
        <x:v>1</x:v>
      </x:c>
    </x:row>
    <x:row r="531" ht="58" customHeight="1">
      <x:c r="A531" s="28" t="str">
        <x:v>CIT-0530</x:v>
      </x:c>
      <x:c r="B531" s="28" t="str">
        <x:v>Десерты и выпечка</x:v>
      </x:c>
      <x:c r="C531" s="28" t="str">
        <x:v>лимончелло</x:v>
      </x:c>
      <x:c r="D531" s="28" t="str">
        <x:v>limoncello</x:v>
      </x:c>
      <x:c r="E531" s="28" t="str">
        <x:v>Цитрусовые</x:v>
      </x:c>
      <x:c r="F531" s="28" t="str">
        <x:v>тёмный шоколад</x:v>
      </x:c>
      <x:c r="G531" s="28" t="str">
        <x:v>dark chocolate</x:v>
      </x:c>
      <x:c r="H531" s="28" t="str">
        <x:v>Шоколад/обжаренное</x:v>
      </x:c>
      <x:c r="I531" s="28" t="str">
        <x:v>цитрусовый, свежий, цветочный, древесный</x:v>
      </x:c>
      <x:c r="J531" s="28" t="str">
        <x:v>обжаренный, какао, ореховый, карамельный</x:v>
      </x:c>
      <x:c r="K531" s="28" t="str">
        <x:v>цитраль (гераниаль + нераль), лимонен, гамма-терпинен, бета-пинен</x:v>
      </x:c>
      <x:c r="L531" s="28" t="str">
        <x:v>пиразины, фураны, фенилуксусная кислота, ванилин</x:v>
      </x:c>
      <x:c r="M531" s="28" t="str">
        <x:v>прямое семейное перекрытие не является главным механизмом</x:v>
      </x:c>
      <x:c r="N531" s="28" t="str">
        <x:v>надёжный общий маркер не заявлен; сочетание объясняется семействами и сенсорным балансом</x:v>
      </x:c>
      <x:c r="O531" s="28" t="str">
        <x:v>вкусовой баланс</x:v>
      </x:c>
      <x:c r="P531" s="28" t="str">
        <x:v>Высокая кисло-ароматическая нота контрастирует с жареными, горькими и карамельными оттенками; сахар или жир связывает два регистра.</x:v>
      </x:c>
      <x:c r="Q531" s="28" t="str">
        <x:v>кислота усиливает слюноотделение; нет выраженного</x:v>
      </x:c>
      <x:c r="R531" s="28" t="str">
        <x:v>сок — водная кислая фаза; цедра — гидрофобное эфирное масло; жир какао удерживает гидрофобные терпены</x:v>
      </x:c>
      <x:c r="S53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31"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Тёмный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Сок определяется цитралем и кислотностью, цедра — лимоненом и терпенами. Цитрус даёт высокую свежую ноту на фоне тёмных жареных соединений.</x:v>
      </x:c>
      <x:c r="U531" s="28" t="str">
        <x:v>Избыток кислоты делает вкус плоско-резким; белая часть кожуры даёт лишнюю горечь.</x:v>
      </x:c>
      <x:c r="V531" s="28" t="str">
        <x:v>ваниль или кардамон</x:v>
      </x:c>
      <x:c r="W531" s="28" t="str">
        <x:v>ганаш, тарт, конфеты, кофейный напиток или биттер</x:v>
      </x:c>
      <x:c r="X531" s="28" t="str">
        <x:v>десерты</x:v>
      </x:c>
      <x:c r="Y531" s="28" t="str">
        <x:v>Средняя</x:v>
      </x:c>
      <x:c r="Z531" s="28" t="str">
        <x:v>The Art &amp; Science of Foodpairing.pdf</x:v>
      </x:c>
      <x:c r="AA531" s="28" t="str">
        <x:v>The Art &amp; Science of Foodpairing.pdf: 370</x:v>
      </x:c>
      <x:c r="AB531" s="28" t="str">
        <x:v>Пара представлена в ароматической диаграмме Foodpairing на странице 370.</x:v>
      </x:c>
      <x:c r="AC531" s="28" t="n">
        <x:v>1</x:v>
      </x:c>
      <x:c r="AD531" s="28" t="n">
        <x:v>1</x:v>
      </x:c>
    </x:row>
    <x:row r="532" ht="58" customHeight="1">
      <x:c r="A532" s="28" t="str">
        <x:v>CIT-0531</x:v>
      </x:c>
      <x:c r="B532" s="28" t="str">
        <x:v>Еда и соусы</x:v>
      </x:c>
      <x:c r="C532" s="28" t="str">
        <x:v>лимончелло</x:v>
      </x:c>
      <x:c r="D532" s="28" t="str">
        <x:v>limoncello</x:v>
      </x:c>
      <x:c r="E532" s="28" t="str">
        <x:v>Цитрусовые</x:v>
      </x:c>
      <x:c r="F532" s="28" t="str">
        <x:v>устрица</x:v>
      </x:c>
      <x:c r="G532" s="28" t="str">
        <x:v>oyster</x:v>
      </x:c>
      <x:c r="H532" s="28" t="str">
        <x:v>Рыба и морепродукты</x:v>
      </x:c>
      <x:c r="I532" s="28" t="str">
        <x:v>цитрусовый, свежий, цветочный, древесный</x:v>
      </x:c>
      <x:c r="J532" s="28" t="str">
        <x:v>морской, йодистый, зелёный, жирный</x:v>
      </x:c>
      <x:c r="K532" s="28" t="str">
        <x:v>цитраль (гераниаль + нераль), лимонен, гамма-терпинен, бета-пинен</x:v>
      </x:c>
      <x:c r="L532" s="28" t="str">
        <x:v>альдегиды окисления липидов, бромфенолы, диметилсульфид, умами-соединения</x:v>
      </x:c>
      <x:c r="M532" s="28" t="str">
        <x:v>прямое семейное перекрытие не является главным механизмом</x:v>
      </x:c>
      <x:c r="N532" s="28" t="str">
        <x:v>надёжный общий маркер не заявлен; сочетание объясняется семействами и сенсорным балансом</x:v>
      </x:c>
      <x:c r="O532" s="28" t="str">
        <x:v>вкусовой баланс, влияние матрицы/растворимости</x:v>
      </x:c>
      <x:c r="P532" s="28" t="str">
        <x:v>Кислотность и лёгкая горечь цитруса снижают ощущение жирности; соль и умами, в свою очередь, делают фруктовую часть менее резкой.</x:v>
      </x:c>
      <x:c r="Q532" s="28" t="str">
        <x:v>кислота усиливает слюноотделение; нет выраженного</x:v>
      </x:c>
      <x:c r="R532" s="28" t="str">
        <x:v>сок — водная кислая фаза; цедра — гидрофобное эфирное масло; кислота может денатурировать поверхностные белки; жир рыбы удерживает терпены</x:v>
      </x:c>
      <x:c r="S53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532"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Устрица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U532" s="28" t="str">
        <x:v>Избыток кислоты делает вкус плоско-резким; белая часть кожуры даёт лишнюю горечь; слишком долгая маринация ухудшает текстуру.</x:v>
      </x:c>
      <x:c r="V532" s="28" t="str">
        <x:v>кинза или фенхель</x:v>
      </x:c>
      <x:c r="W532" s="28" t="str">
        <x:v>севиче, маринад, beurre blanc, тартар или салат</x:v>
      </x:c>
      <x:c r="X532" s="28" t="str">
        <x:v>еда, соусы/маринады</x:v>
      </x:c>
      <x:c r="Y532" s="28" t="str">
        <x:v>Средняя</x:v>
      </x:c>
      <x:c r="Z532" s="28" t="str">
        <x:v>The Art &amp; Science of Foodpairing.pdf</x:v>
      </x:c>
      <x:c r="AA532" s="28" t="str">
        <x:v>The Art &amp; Science of Foodpairing.pdf: 370</x:v>
      </x:c>
      <x:c r="AB532" s="28" t="str">
        <x:v>Пара представлена в ароматической диаграмме Foodpairing на странице 370.</x:v>
      </x:c>
      <x:c r="AC532" s="28" t="n">
        <x:v>1</x:v>
      </x:c>
      <x:c r="AD532" s="28" t="n">
        <x:v>2</x:v>
      </x:c>
    </x:row>
    <x:row r="533" ht="58" customHeight="1">
      <x:c r="A533" s="28" t="str">
        <x:v>CIT-0532</x:v>
      </x:c>
      <x:c r="B533" s="28" t="str">
        <x:v>Универсальные</x:v>
      </x:c>
      <x:c r="C533" s="28" t="str">
        <x:v>лимончелло</x:v>
      </x:c>
      <x:c r="D533" s="28" t="str">
        <x:v>limoncello</x:v>
      </x:c>
      <x:c r="E533" s="28" t="str">
        <x:v>Цитрусовые</x:v>
      </x:c>
      <x:c r="F533" s="28" t="str">
        <x:v>устричный лист</x:v>
      </x:c>
      <x:c r="G533" s="28" t="str">
        <x:v>oyster leaf</x:v>
      </x:c>
      <x:c r="H533" s="28" t="str">
        <x:v>Прочее</x:v>
      </x:c>
      <x:c r="I533" s="28" t="str">
        <x:v>цитрусовый, свежий, цветочный, древесный</x:v>
      </x:c>
      <x:c r="J533" s="28" t="str">
        <x:v>нейтральный/специфический</x:v>
      </x:c>
      <x:c r="K533" s="28" t="str">
        <x:v>цитраль (гераниаль + нераль), лимонен, гамма-терпинен, бета-пинен</x:v>
      </x:c>
      <x:c r="L533" s="28" t="str">
        <x:v>нужен профиль конкретного продукта</x:v>
      </x:c>
      <x:c r="M533" s="28" t="str">
        <x:v>прямое семейное перекрытие не является главным механизмом</x:v>
      </x:c>
      <x:c r="N533" s="28" t="str">
        <x:v>надёжный общий маркер не заявлен; сочетание объясняется семействами и сенсорным балансом</x:v>
      </x:c>
      <x:c r="O533" s="28" t="str">
        <x:v>вкусовой баланс, тройничное восприятие</x:v>
      </x:c>
      <x:c r="P533" s="28" t="str">
        <x:v>Основной эффект определяется ароматическим контрастом и добавлением кислотной свежести; точный баланс зависит от дозировки и матрицы.</x:v>
      </x:c>
      <x:c r="Q533" s="28" t="str">
        <x:v>кислота усиливает слюноотделение; нет данных</x:v>
      </x:c>
      <x:c r="R533" s="28" t="str">
        <x:v>сок — водная кислая фаза; цедра — гидрофобное эфирное масло; зависит от формы продукта</x:v>
      </x:c>
      <x:c r="S53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33"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Устричный лист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533" s="28" t="str">
        <x:v>Избыток кислоты делает вкус плоско-резким; белая часть кожуры даёт лишнюю горечь.</x:v>
      </x:c>
      <x:c r="V533" s="28" t="str">
        <x:v>мёд или нейтральная жировая основа</x:v>
      </x:c>
      <x:c r="W533" s="28" t="str">
        <x:v>соус, напиток или десерт после пробной дегустации</x:v>
      </x:c>
      <x:c r="X533" s="28" t="str">
        <x:v>универсальное</x:v>
      </x:c>
      <x:c r="Y533" s="28" t="str">
        <x:v>Средняя</x:v>
      </x:c>
      <x:c r="Z533" s="28" t="str">
        <x:v>The Art &amp; Science of Foodpairing.pdf</x:v>
      </x:c>
      <x:c r="AA533" s="28" t="str">
        <x:v>The Art &amp; Science of Foodpairing.pdf: 370</x:v>
      </x:c>
      <x:c r="AB533" s="28" t="str">
        <x:v>Пара представлена в ароматической диаграмме Foodpairing на странице 370.</x:v>
      </x:c>
      <x:c r="AC533" s="28" t="n">
        <x:v>1</x:v>
      </x:c>
      <x:c r="AD533" s="28" t="n">
        <x:v>1</x:v>
      </x:c>
    </x:row>
    <x:row r="534" ht="58" customHeight="1">
      <x:c r="A534" s="28" t="str">
        <x:v>CIT-0533</x:v>
      </x:c>
      <x:c r="B534" s="28" t="str">
        <x:v>Универсальные</x:v>
      </x:c>
      <x:c r="C534" s="28" t="str">
        <x:v>лист кафир-лайма</x:v>
      </x:c>
      <x:c r="D534" s="28" t="str">
        <x:v>лист кафир-лайма</x:v>
      </x:c>
      <x:c r="E534" s="28" t="str">
        <x:v>Цитрусовые</x:v>
      </x:c>
      <x:c r="F534" s="28" t="str">
        <x:v>лемонграсс</x:v>
      </x:c>
      <x:c r="G534" s="28" t="str">
        <x:v>Лемонграсс</x:v>
      </x:c>
      <x:c r="H534" s="28" t="str">
        <x:v>Прочее</x:v>
      </x:c>
      <x:c r="I534" s="28" t="str">
        <x:v>цитрусовый, зелёный, травяной, камфорный</x:v>
      </x:c>
      <x:c r="J534" s="28" t="str">
        <x:v>нейтральный/специфический</x:v>
      </x:c>
      <x:c r="K534" s="28" t="str">
        <x:v>лимонен, гамма-терпинен, цитраль, бета-пинен, линалол</x:v>
      </x:c>
      <x:c r="L534" s="28" t="str">
        <x:v>нужен профиль конкретного продукта</x:v>
      </x:c>
      <x:c r="M534" s="28" t="str">
        <x:v>прямое семейное перекрытие не является главным механизмом</x:v>
      </x:c>
      <x:c r="N534" s="28" t="str">
        <x:v>надёжный общий маркер не заявлен; сочетание объясняется семействами и сенсорным балансом</x:v>
      </x:c>
      <x:c r="O534" s="28" t="str">
        <x:v>вкусовой баланс, тройничное восприятие</x:v>
      </x:c>
      <x:c r="P534" s="28" t="str">
        <x:v>Основной эффект определяется ароматическим контрастом и добавлением кислотной свежести; точный баланс зависит от дозировки и матрицы.</x:v>
      </x:c>
      <x:c r="Q534" s="28" t="str">
        <x:v>кислота усиливает слюноотделение; зелёные терпены создают ощущение прохлады; нет данных</x:v>
      </x:c>
      <x:c r="R534" s="28" t="str">
        <x:v>сок — водная кислая фаза; цедра — масляная терпеновая; зависит от формы продукта</x:v>
      </x:c>
      <x:c r="S53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34" s="28" t="str">
        <x:v>Лист кафир-лайма формирует профиль «цитрусовый, зелёный, травяной, камфорный»; характерные маркеры: лимонен, гамма-терпинен, цитраль, бета-пинен, линалол. Лемонграсс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534" s="28" t="str">
        <x:v>Избыток кислоты делает вкус плоско-резким; белая часть кожуры даёт лишнюю горечь.</x:v>
      </x:c>
      <x:c r="V534" s="28" t="str">
        <x:v>мёд или нейтральная жировая основа</x:v>
      </x:c>
      <x:c r="W534" s="28" t="str">
        <x:v>соус, напиток или десерт после пробной дегустации</x:v>
      </x:c>
      <x:c r="X534" s="28" t="str">
        <x:v>универсальное</x:v>
      </x:c>
      <x:c r="Y534" s="28" t="str">
        <x:v>Гипотеза / практическая</x:v>
      </x:c>
      <x:c r="Z534" s="28" t="str">
        <x:v>Таблица сочетания(1).pdf</x:v>
      </x:c>
      <x:c r="AA534" s="28" t="str">
        <x:v>Таблица сочетания(1).pdf: 11</x:v>
      </x:c>
      <x:c r="AB534" s="28" t="str">
        <x:v>Пара указана в таблице: «Лемонграсс» → колонка «Другое».</x:v>
      </x:c>
      <x:c r="AC534" s="28" t="n">
        <x:v>1</x:v>
      </x:c>
      <x:c r="AD534" s="28" t="n">
        <x:v>1</x:v>
      </x:c>
    </x:row>
    <x:row r="535" ht="58" customHeight="1">
      <x:c r="A535" s="28" t="str">
        <x:v>CIT-0534</x:v>
      </x:c>
      <x:c r="B535" s="28" t="str">
        <x:v>Десерты и выпечка</x:v>
      </x:c>
      <x:c r="C535" s="28" t="str">
        <x:v>лист лайма</x:v>
      </x:c>
      <x:c r="D535" s="28" t="str">
        <x:v>лист лайма</x:v>
      </x:c>
      <x:c r="E535" s="28" t="str">
        <x:v>Цитрусовые</x:v>
      </x:c>
      <x:c r="F535" s="28" t="str">
        <x:v>мускатный орех</x:v>
      </x:c>
      <x:c r="G535" s="28" t="str">
        <x:v>Мускатный орех</x:v>
      </x:c>
      <x:c r="H535" s="28" t="str">
        <x:v>Орехи и семена</x:v>
      </x:c>
      <x:c r="I535" s="28" t="str">
        <x:v>цитрусовый, зелёный, травяной, камфорный</x:v>
      </x:c>
      <x:c r="J535" s="28" t="str">
        <x:v>ореховый, обжаренный, жирный, зелёный</x:v>
      </x:c>
      <x:c r="K535" s="28" t="str">
        <x:v>лимонен, гамма-терпинен, цитраль, бета-пинен, линалол</x:v>
      </x:c>
      <x:c r="L535" s="28" t="str">
        <x:v>пиразины, альдегиды окисления жиров, бензальдегид (миндаль)</x:v>
      </x:c>
      <x:c r="M535" s="28" t="str">
        <x:v>зелёный</x:v>
      </x:c>
      <x:c r="N535" s="28" t="str">
        <x:v>надёжный общий маркер не заявлен; сочетание объясняется семействами и сенсорным балансом</x:v>
      </x:c>
      <x:c r="O535" s="28" t="str">
        <x:v>перекрытие ароматических семейств, вкусовой баланс, влияние матрицы/растворимости</x:v>
      </x:c>
      <x:c r="P535" s="28" t="str">
        <x:v>Кислотность и лёгкая горечь цитруса снижают ощущение жирности; соль и умами, в свою очередь, делают фруктовую часть менее резкой.</x:v>
      </x:c>
      <x:c r="Q535" s="28" t="str">
        <x:v>кислота усиливает слюноотделение; зелёные терпены создают ощущение прохлады; нет выраженного</x:v>
      </x:c>
      <x:c r="R535" s="28" t="str">
        <x:v>сок — водная кислая фаза; цедра — масляная терпеновая; высокая жирность растворяет терпеновые масла цитруса</x:v>
      </x:c>
      <x:c r="S535"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35" s="28" t="str">
        <x:v>Лист лайма формирует профиль «цитрусовый, зелёный, травяной, камфорный»; характерные маркеры: лимонен, гамма-терпинен, цитраль, бета-пинен, линалол. Мускатный орех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U535" s="28" t="str">
        <x:v>Избыток кислоты делает вкус плоско-резким; белая часть кожуры даёт лишнюю горечь.</x:v>
      </x:c>
      <x:c r="V535" s="28" t="str">
        <x:v>мёд или шоколад</x:v>
      </x:c>
      <x:c r="W535" s="28" t="str">
        <x:v>пралине, крем, выпечка, салат или ореховый соус</x:v>
      </x:c>
      <x:c r="X535" s="28" t="str">
        <x:v>десерты</x:v>
      </x:c>
      <x:c r="Y535" s="28" t="str">
        <x:v>Гипотеза / практическая</x:v>
      </x:c>
      <x:c r="Z535" s="28" t="str">
        <x:v>Таблица сочетания(1).pdf</x:v>
      </x:c>
      <x:c r="AA535" s="28" t="str">
        <x:v>Таблица сочетания(1).pdf: 14</x:v>
      </x:c>
      <x:c r="AB535" s="28" t="str">
        <x:v>Пара указана в таблице: «Мускатный орех» → колонка «Травы и специи».</x:v>
      </x:c>
      <x:c r="AC535" s="28" t="n">
        <x:v>1</x:v>
      </x:c>
      <x:c r="AD535" s="28" t="n">
        <x:v>1</x:v>
      </x:c>
    </x:row>
    <x:row r="536" ht="58" customHeight="1">
      <x:c r="A536" s="28" t="str">
        <x:v>CIT-0535</x:v>
      </x:c>
      <x:c r="B536" s="28" t="str">
        <x:v>Десерты и выпечка</x:v>
      </x:c>
      <x:c r="C536" s="28" t="str">
        <x:v>лист макрут-лайма</x:v>
      </x:c>
      <x:c r="D536" s="28" t="str">
        <x:v>makrut lime leaf</x:v>
      </x:c>
      <x:c r="E536" s="28" t="str">
        <x:v>Цитрусовые</x:v>
      </x:c>
      <x:c r="F536" s="28" t="str">
        <x:v>арахис</x:v>
      </x:c>
      <x:c r="G536" s="28" t="str">
        <x:v>peanut</x:v>
      </x:c>
      <x:c r="H536" s="28" t="str">
        <x:v>Орехи и семена</x:v>
      </x:c>
      <x:c r="I536" s="28" t="str">
        <x:v>цитрусовый, зелёный, травяной, камфорный</x:v>
      </x:c>
      <x:c r="J536" s="28" t="str">
        <x:v>ореховый, обжаренный, жирный, зелёный</x:v>
      </x:c>
      <x:c r="K536" s="28" t="str">
        <x:v>лимонен, гамма-терпинен, цитраль, бета-пинен, линалол</x:v>
      </x:c>
      <x:c r="L536" s="28" t="str">
        <x:v>пиразины, альдегиды окисления жиров, бензальдегид (миндаль)</x:v>
      </x:c>
      <x:c r="M536" s="28" t="str">
        <x:v>зелёный</x:v>
      </x:c>
      <x:c r="N536" s="28" t="str">
        <x:v>надёжный общий маркер не заявлен; сочетание объясняется семействами и сенсорным балансом</x:v>
      </x:c>
      <x:c r="O536" s="28" t="str">
        <x:v>перекрытие ароматических семейств, вкусовой баланс, влияние матрицы/растворимости</x:v>
      </x:c>
      <x:c r="P536" s="28" t="str">
        <x:v>Кислотность и лёгкая горечь цитруса снижают ощущение жирности; соль и умами, в свою очередь, делают фруктовую часть менее резкой.</x:v>
      </x:c>
      <x:c r="Q536" s="28" t="str">
        <x:v>кислота усиливает слюноотделение; зелёные терпены создают ощущение прохлады; нет выраженного</x:v>
      </x:c>
      <x:c r="R536" s="28" t="str">
        <x:v>сок — водная кислая фаза; цедра — масляная терпеновая; высокая жирность растворяет терпеновые масла цитруса</x:v>
      </x:c>
      <x:c r="S536"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36" s="28" t="str">
        <x:v>Лист макрут-лайма формирует профиль «цитрусовый, зелёный, травяной, камфорный»; характерные маркеры: лимонен, гамма-терпинен, цитраль, бета-пинен, линалол. Арахис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U536" s="28" t="str">
        <x:v>Избыток кислоты делает вкус плоско-резким; белая часть кожуры даёт лишнюю горечь.</x:v>
      </x:c>
      <x:c r="V536" s="28" t="str">
        <x:v>мёд или шоколад</x:v>
      </x:c>
      <x:c r="W536" s="28" t="str">
        <x:v>пралине, крем, выпечка, салат или ореховый соус</x:v>
      </x:c>
      <x:c r="X536" s="28" t="str">
        <x:v>десерты</x:v>
      </x:c>
      <x:c r="Y536" s="28" t="str">
        <x:v>Средняя</x:v>
      </x:c>
      <x:c r="Z536" s="28" t="str">
        <x:v>The Art &amp; Science of Foodpairing.pdf</x:v>
      </x:c>
      <x:c r="AA536" s="28" t="str">
        <x:v>The Art &amp; Science of Foodpairing.pdf: 62</x:v>
      </x:c>
      <x:c r="AB536" s="28" t="str">
        <x:v>Пара представлена в ароматической диаграмме Foodpairing на странице 62.</x:v>
      </x:c>
      <x:c r="AC536" s="28" t="n">
        <x:v>1</x:v>
      </x:c>
      <x:c r="AD536" s="28" t="n">
        <x:v>1</x:v>
      </x:c>
    </x:row>
    <x:row r="537" ht="58" customHeight="1">
      <x:c r="A537" s="28" t="str">
        <x:v>CIT-0536</x:v>
      </x:c>
      <x:c r="B537" s="28" t="str">
        <x:v>Универсальные</x:v>
      </x:c>
      <x:c r="C537" s="28" t="str">
        <x:v>лист макрут-лайма</x:v>
      </x:c>
      <x:c r="D537" s="28" t="str">
        <x:v>makrut lime leaf</x:v>
      </x:c>
      <x:c r="E537" s="28" t="str">
        <x:v>Цитрусовые</x:v>
      </x:c>
      <x:c r="F537" s="28" t="str">
        <x:v>бакури</x:v>
      </x:c>
      <x:c r="G537" s="28" t="str">
        <x:v>bacuri</x:v>
      </x:c>
      <x:c r="H537" s="28" t="str">
        <x:v>Прочее</x:v>
      </x:c>
      <x:c r="I537" s="28" t="str">
        <x:v>цитрусовый, зелёный, травяной, камфорный</x:v>
      </x:c>
      <x:c r="J537" s="28" t="str">
        <x:v>нейтральный/специфический</x:v>
      </x:c>
      <x:c r="K537" s="28" t="str">
        <x:v>лимонен, гамма-терпинен, цитраль, бета-пинен, линалол</x:v>
      </x:c>
      <x:c r="L537" s="28" t="str">
        <x:v>нужен профиль конкретного продукта</x:v>
      </x:c>
      <x:c r="M537" s="28" t="str">
        <x:v>прямое семейное перекрытие не является главным механизмом</x:v>
      </x:c>
      <x:c r="N537" s="28" t="str">
        <x:v>надёжный общий маркер не заявлен; сочетание объясняется семействами и сенсорным балансом</x:v>
      </x:c>
      <x:c r="O537" s="28" t="str">
        <x:v>вкусовой баланс, тройничное восприятие</x:v>
      </x:c>
      <x:c r="P537" s="28" t="str">
        <x:v>Основной эффект определяется ароматическим контрастом и добавлением кислотной свежести; точный баланс зависит от дозировки и матрицы.</x:v>
      </x:c>
      <x:c r="Q537" s="28" t="str">
        <x:v>кислота усиливает слюноотделение; зелёные терпены создают ощущение прохлады; нет данных</x:v>
      </x:c>
      <x:c r="R537" s="28" t="str">
        <x:v>сок — водная кислая фаза; цедра — масляная терпеновая; зависит от формы продукта</x:v>
      </x:c>
      <x:c r="S53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37" s="28" t="str">
        <x:v>Лист макрут-лайма формирует профиль «цитрусовый, зелёный, травяной, камфорный»; характерные маркеры: лимонен, гамма-терпинен, цитраль, бета-пинен, линалол. Бакури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537" s="28" t="str">
        <x:v>Избыток кислоты делает вкус плоско-резким; белая часть кожуры даёт лишнюю горечь.</x:v>
      </x:c>
      <x:c r="V537" s="28" t="str">
        <x:v>мёд или нейтральная жировая основа</x:v>
      </x:c>
      <x:c r="W537" s="28" t="str">
        <x:v>соус, напиток или десерт после пробной дегустации</x:v>
      </x:c>
      <x:c r="X537" s="28" t="str">
        <x:v>универсальное</x:v>
      </x:c>
      <x:c r="Y537" s="28" t="str">
        <x:v>Средняя</x:v>
      </x:c>
      <x:c r="Z537" s="28" t="str">
        <x:v>The Art &amp; Science of Foodpairing.pdf</x:v>
      </x:c>
      <x:c r="AA537" s="28" t="str">
        <x:v>The Art &amp; Science of Foodpairing.pdf: 274</x:v>
      </x:c>
      <x:c r="AB537" s="28" t="str">
        <x:v>Пара представлена в ароматической диаграмме Foodpairing на странице 274.</x:v>
      </x:c>
      <x:c r="AC537" s="28" t="n">
        <x:v>1</x:v>
      </x:c>
      <x:c r="AD537" s="28" t="n">
        <x:v>1</x:v>
      </x:c>
    </x:row>
    <x:row r="538" ht="58" customHeight="1">
      <x:c r="A538" s="28" t="str">
        <x:v>CIT-0537</x:v>
      </x:c>
      <x:c r="B538" s="28" t="str">
        <x:v>Универсальные</x:v>
      </x:c>
      <x:c r="C538" s="28" t="str">
        <x:v>лист макрут-лайма</x:v>
      </x:c>
      <x:c r="D538" s="28" t="str">
        <x:v>makrut lime leaf</x:v>
      </x:c>
      <x:c r="E538" s="28" t="str">
        <x:v>Цитрусовые</x:v>
      </x:c>
      <x:c r="F538" s="28" t="str">
        <x:v>коричневый куриный бульон</x:v>
      </x:c>
      <x:c r="G538" s="28" t="str">
        <x:v>brown chicken stock</x:v>
      </x:c>
      <x:c r="H538" s="28" t="str">
        <x:v>Прочее</x:v>
      </x:c>
      <x:c r="I538" s="28" t="str">
        <x:v>цитрусовый, зелёный, травяной, камфорный</x:v>
      </x:c>
      <x:c r="J538" s="28" t="str">
        <x:v>нейтральный/специфический</x:v>
      </x:c>
      <x:c r="K538" s="28" t="str">
        <x:v>лимонен, гамма-терпинен, цитраль, бета-пинен, линалол</x:v>
      </x:c>
      <x:c r="L538" s="28" t="str">
        <x:v>нужен профиль конкретного продукта</x:v>
      </x:c>
      <x:c r="M538" s="28" t="str">
        <x:v>прямое семейное перекрытие не является главным механизмом</x:v>
      </x:c>
      <x:c r="N538" s="28" t="str">
        <x:v>надёжный общий маркер не заявлен; сочетание объясняется семействами и сенсорным балансом</x:v>
      </x:c>
      <x:c r="O538" s="28" t="str">
        <x:v>вкусовой баланс, тройничное восприятие</x:v>
      </x:c>
      <x:c r="P538" s="28" t="str">
        <x:v>Основной эффект определяется ароматическим контрастом и добавлением кислотной свежести; точный баланс зависит от дозировки и матрицы.</x:v>
      </x:c>
      <x:c r="Q538" s="28" t="str">
        <x:v>кислота усиливает слюноотделение; зелёные терпены создают ощущение прохлады; нет данных</x:v>
      </x:c>
      <x:c r="R538" s="28" t="str">
        <x:v>сок — водная кислая фаза; цедра — масляная терпеновая; зависит от формы продукта</x:v>
      </x:c>
      <x:c r="S53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38" s="28" t="str">
        <x:v>Лист макрут-лайма формирует профиль «цитрусовый, зелёный, травяной, камфорный»; характерные маркеры: лимонен, гамма-терпинен, цитраль, бета-пинен, линалол. Коричневый куриный бульон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538" s="28" t="str">
        <x:v>Избыток кислоты делает вкус плоско-резким; белая часть кожуры даёт лишнюю горечь.</x:v>
      </x:c>
      <x:c r="V538" s="28" t="str">
        <x:v>мёд или нейтральная жировая основа</x:v>
      </x:c>
      <x:c r="W538" s="28" t="str">
        <x:v>соус, напиток или десерт после пробной дегустации</x:v>
      </x:c>
      <x:c r="X538" s="28" t="str">
        <x:v>универсальное</x:v>
      </x:c>
      <x:c r="Y538" s="28" t="str">
        <x:v>Средняя</x:v>
      </x:c>
      <x:c r="Z538" s="28" t="str">
        <x:v>The Art &amp; Science of Foodpairing.pdf</x:v>
      </x:c>
      <x:c r="AA538" s="28" t="str">
        <x:v>The Art &amp; Science of Foodpairing.pdf: 130</x:v>
      </x:c>
      <x:c r="AB538" s="28" t="str">
        <x:v>Пара представлена в ароматической диаграмме Foodpairing на странице 130.</x:v>
      </x:c>
      <x:c r="AC538" s="28" t="n">
        <x:v>1</x:v>
      </x:c>
      <x:c r="AD538" s="28" t="n">
        <x:v>1</x:v>
      </x:c>
    </x:row>
    <x:row r="539" ht="58" customHeight="1">
      <x:c r="A539" s="28" t="str">
        <x:v>CIT-0538</x:v>
      </x:c>
      <x:c r="B539" s="28" t="str">
        <x:v>Десерты и выпечка</x:v>
      </x:c>
      <x:c r="C539" s="28" t="str">
        <x:v>лист макрут-лайма</x:v>
      </x:c>
      <x:c r="D539" s="28" t="str">
        <x:v>makrut lime leaf</x:v>
      </x:c>
      <x:c r="E539" s="28" t="str">
        <x:v>Цитрусовые</x:v>
      </x:c>
      <x:c r="F539" s="28" t="str">
        <x:v>масло фундука</x:v>
      </x:c>
      <x:c r="G539" s="28" t="str">
        <x:v>hazelnut oil</x:v>
      </x:c>
      <x:c r="H539" s="28" t="str">
        <x:v>Орехи и семена</x:v>
      </x:c>
      <x:c r="I539" s="28" t="str">
        <x:v>цитрусовый, зелёный, травяной, камфорный</x:v>
      </x:c>
      <x:c r="J539" s="28" t="str">
        <x:v>ореховый, обжаренный, жирный, зелёный</x:v>
      </x:c>
      <x:c r="K539" s="28" t="str">
        <x:v>лимонен, гамма-терпинен, цитраль, бета-пинен, линалол</x:v>
      </x:c>
      <x:c r="L539" s="28" t="str">
        <x:v>пиразины, альдегиды окисления жиров, бензальдегид (миндаль)</x:v>
      </x:c>
      <x:c r="M539" s="28" t="str">
        <x:v>зелёный</x:v>
      </x:c>
      <x:c r="N539" s="28" t="str">
        <x:v>надёжный общий маркер не заявлен; сочетание объясняется семействами и сенсорным балансом</x:v>
      </x:c>
      <x:c r="O539" s="28" t="str">
        <x:v>перекрытие ароматических семейств, вкусовой баланс, влияние матрицы/растворимости</x:v>
      </x:c>
      <x:c r="P539" s="28" t="str">
        <x:v>Кислотность и лёгкая горечь цитруса снижают ощущение жирности; соль и умами, в свою очередь, делают фруктовую часть менее резкой.</x:v>
      </x:c>
      <x:c r="Q539" s="28" t="str">
        <x:v>кислота усиливает слюноотделение; зелёные терпены создают ощущение прохлады; нет выраженного</x:v>
      </x:c>
      <x:c r="R539" s="28" t="str">
        <x:v>сок — водная кислая фаза; цедра — масляная терпеновая; высокая жирность растворяет терпеновые масла цитруса</x:v>
      </x:c>
      <x:c r="S539"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39" s="28" t="str">
        <x:v>Лист макрут-лайма формирует профиль «цитрусовый, зелёный, травяной, камфорный»; характерные маркеры: лимонен, гамма-терпинен, цитраль, бета-пинен, линалол. Масло фундука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U539" s="28" t="str">
        <x:v>Избыток кислоты делает вкус плоско-резким; белая часть кожуры даёт лишнюю горечь.</x:v>
      </x:c>
      <x:c r="V539" s="28" t="str">
        <x:v>мёд или шоколад</x:v>
      </x:c>
      <x:c r="W539" s="28" t="str">
        <x:v>пралине, крем, выпечка, салат или ореховый соус</x:v>
      </x:c>
      <x:c r="X539" s="28" t="str">
        <x:v>десерты</x:v>
      </x:c>
      <x:c r="Y539" s="28" t="str">
        <x:v>Средняя</x:v>
      </x:c>
      <x:c r="Z539" s="28" t="str">
        <x:v>The Art &amp; Science of Foodpairing.pdf</x:v>
      </x:c>
      <x:c r="AA539" s="28" t="str">
        <x:v>The Art &amp; Science of Foodpairing.pdf: 152</x:v>
      </x:c>
      <x:c r="AB539" s="28" t="str">
        <x:v>Пара представлена в ароматической диаграмме Foodpairing на странице 152.</x:v>
      </x:c>
      <x:c r="AC539" s="28" t="n">
        <x:v>1</x:v>
      </x:c>
      <x:c r="AD539" s="28" t="n">
        <x:v>1</x:v>
      </x:c>
    </x:row>
    <x:row r="540" ht="58" customHeight="1">
      <x:c r="A540" s="28" t="str">
        <x:v>CIT-0539</x:v>
      </x:c>
      <x:c r="B540" s="28" t="str">
        <x:v>Универсальные</x:v>
      </x:c>
      <x:c r="C540" s="28" t="str">
        <x:v>лист макрут-лайма</x:v>
      </x:c>
      <x:c r="D540" s="28" t="str">
        <x:v>makrut lime leaf</x:v>
      </x:c>
      <x:c r="E540" s="28" t="str">
        <x:v>Цитрусовые</x:v>
      </x:c>
      <x:c r="F540" s="28" t="str">
        <x:v>сено</x:v>
      </x:c>
      <x:c r="G540" s="28" t="str">
        <x:v>hay</x:v>
      </x:c>
      <x:c r="H540" s="28" t="str">
        <x:v>Прочее</x:v>
      </x:c>
      <x:c r="I540" s="28" t="str">
        <x:v>цитрусовый, зелёный, травяной, камфорный</x:v>
      </x:c>
      <x:c r="J540" s="28" t="str">
        <x:v>нейтральный/специфический</x:v>
      </x:c>
      <x:c r="K540" s="28" t="str">
        <x:v>лимонен, гамма-терпинен, цитраль, бета-пинен, линалол</x:v>
      </x:c>
      <x:c r="L540" s="28" t="str">
        <x:v>нужен профиль конкретного продукта</x:v>
      </x:c>
      <x:c r="M540" s="28" t="str">
        <x:v>прямое семейное перекрытие не является главным механизмом</x:v>
      </x:c>
      <x:c r="N540" s="28" t="str">
        <x:v>надёжный общий маркер не заявлен; сочетание объясняется семействами и сенсорным балансом</x:v>
      </x:c>
      <x:c r="O540" s="28" t="str">
        <x:v>вкусовой баланс, тройничное восприятие</x:v>
      </x:c>
      <x:c r="P540" s="28" t="str">
        <x:v>Основной эффект определяется ароматическим контрастом и добавлением кислотной свежести; точный баланс зависит от дозировки и матрицы.</x:v>
      </x:c>
      <x:c r="Q540" s="28" t="str">
        <x:v>кислота усиливает слюноотделение; зелёные терпены создают ощущение прохлады; нет данных</x:v>
      </x:c>
      <x:c r="R540" s="28" t="str">
        <x:v>сок — водная кислая фаза; цедра — масляная терпеновая; зависит от формы продукта</x:v>
      </x:c>
      <x:c r="S54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40" s="28" t="str">
        <x:v>Лист макрут-лайма формирует профиль «цитрусовый, зелёный, травяной, камфорный»; характерные маркеры: лимонен, гамма-терпинен, цитраль, бета-пинен, линалол. Сено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540" s="28" t="str">
        <x:v>Избыток кислоты делает вкус плоско-резким; белая часть кожуры даёт лишнюю горечь.</x:v>
      </x:c>
      <x:c r="V540" s="28" t="str">
        <x:v>мёд или нейтральная жировая основа</x:v>
      </x:c>
      <x:c r="W540" s="28" t="str">
        <x:v>соус, напиток или десерт после пробной дегустации</x:v>
      </x:c>
      <x:c r="X540" s="28" t="str">
        <x:v>универсальное</x:v>
      </x:c>
      <x:c r="Y540" s="28" t="str">
        <x:v>Средняя</x:v>
      </x:c>
      <x:c r="Z540" s="28" t="str">
        <x:v>The Art &amp; Science of Foodpairing.pdf</x:v>
      </x:c>
      <x:c r="AA540" s="28" t="str">
        <x:v>The Art &amp; Science of Foodpairing.pdf: 47</x:v>
      </x:c>
      <x:c r="AB540" s="28" t="str">
        <x:v>Пара представлена в ароматической диаграмме Foodpairing на странице 47.</x:v>
      </x:c>
      <x:c r="AC540" s="28" t="n">
        <x:v>1</x:v>
      </x:c>
      <x:c r="AD540" s="28" t="n">
        <x:v>1</x:v>
      </x:c>
    </x:row>
    <x:row r="541" ht="58" customHeight="1">
      <x:c r="A541" s="28" t="str">
        <x:v>CIT-0540</x:v>
      </x:c>
      <x:c r="B541" s="28" t="str">
        <x:v>Универсальные</x:v>
      </x:c>
      <x:c r="C541" s="28" t="str">
        <x:v>лист макрут-лайма</x:v>
      </x:c>
      <x:c r="D541" s="28" t="str">
        <x:v>makrut lime leaf</x:v>
      </x:c>
      <x:c r="E541" s="28" t="str">
        <x:v>Цитрусовые</x:v>
      </x:c>
      <x:c r="F541" s="28" t="str">
        <x:v>цедра сатсумы</x:v>
      </x:c>
      <x:c r="G541" s="28" t="str">
        <x:v>satsuma zest</x:v>
      </x:c>
      <x:c r="H541" s="28" t="str">
        <x:v>Прочее</x:v>
      </x:c>
      <x:c r="I541" s="28" t="str">
        <x:v>цитрусовый, зелёный, травяной, камфорный</x:v>
      </x:c>
      <x:c r="J541" s="28" t="str">
        <x:v>нейтральный/специфический</x:v>
      </x:c>
      <x:c r="K541" s="28" t="str">
        <x:v>лимонен, гамма-терпинен, цитраль, бета-пинен, линалол</x:v>
      </x:c>
      <x:c r="L541" s="28" t="str">
        <x:v>нужен профиль конкретного продукта</x:v>
      </x:c>
      <x:c r="M541" s="28" t="str">
        <x:v>прямое семейное перекрытие не является главным механизмом</x:v>
      </x:c>
      <x:c r="N541" s="28" t="str">
        <x:v>надёжный общий маркер не заявлен; сочетание объясняется семействами и сенсорным балансом</x:v>
      </x:c>
      <x:c r="O541" s="28" t="str">
        <x:v>вкусовой баланс, тройничное восприятие</x:v>
      </x:c>
      <x:c r="P541" s="28" t="str">
        <x:v>Основной эффект определяется ароматическим контрастом и добавлением кислотной свежести; точный баланс зависит от дозировки и матрицы.</x:v>
      </x:c>
      <x:c r="Q541" s="28" t="str">
        <x:v>кислота усиливает слюноотделение; зелёные терпены создают ощущение прохлады; нет данных</x:v>
      </x:c>
      <x:c r="R541" s="28" t="str">
        <x:v>сок — водная кислая фаза; цедра — масляная терпеновая; зависит от формы продукта</x:v>
      </x:c>
      <x:c r="S54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41" s="28" t="str">
        <x:v>Лист макрут-лайма формирует профиль «цитрусовый, зелёный, травяной, камфорный»; характерные маркеры: лимонен, гамма-терпинен, цитраль, бета-пинен, линалол. Цедра сатсумы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541" s="28" t="str">
        <x:v>Избыток кислоты делает вкус плоско-резким; белая часть кожуры даёт лишнюю горечь.</x:v>
      </x:c>
      <x:c r="V541" s="28" t="str">
        <x:v>мёд или нейтральная жировая основа</x:v>
      </x:c>
      <x:c r="W541" s="28" t="str">
        <x:v>соус, напиток или десерт после пробной дегустации</x:v>
      </x:c>
      <x:c r="X541" s="28" t="str">
        <x:v>универсальное</x:v>
      </x:c>
      <x:c r="Y541" s="28" t="str">
        <x:v>Средняя</x:v>
      </x:c>
      <x:c r="Z541" s="28" t="str">
        <x:v>The Art &amp; Science of Foodpairing.pdf</x:v>
      </x:c>
      <x:c r="AA541" s="28" t="str">
        <x:v>The Art &amp; Science of Foodpairing.pdf: 324</x:v>
      </x:c>
      <x:c r="AB541" s="28" t="str">
        <x:v>Пара представлена в ароматической диаграмме Foodpairing на странице 324.</x:v>
      </x:c>
      <x:c r="AC541" s="28" t="n">
        <x:v>1</x:v>
      </x:c>
      <x:c r="AD541" s="28" t="n">
        <x:v>1</x:v>
      </x:c>
    </x:row>
    <x:row r="542" ht="58" customHeight="1">
      <x:c r="A542" s="28" t="str">
        <x:v>CIT-0541</x:v>
      </x:c>
      <x:c r="B542" s="28" t="str">
        <x:v>Универсальные</x:v>
      </x:c>
      <x:c r="C542" s="28" t="str">
        <x:v>лист макрут-лайма</x:v>
      </x:c>
      <x:c r="D542" s="28" t="str">
        <x:v>makrut lime leaf</x:v>
      </x:c>
      <x:c r="E542" s="28" t="str">
        <x:v>Цитрусовые</x:v>
      </x:c>
      <x:c r="F542" s="28" t="str">
        <x:v>японская петрушка</x:v>
      </x:c>
      <x:c r="G542" s="28" t="str">
        <x:v>Japanese parsley</x:v>
      </x:c>
      <x:c r="H542" s="28" t="str">
        <x:v>Прочее</x:v>
      </x:c>
      <x:c r="I542" s="28" t="str">
        <x:v>цитрусовый, зелёный, травяной, камфорный</x:v>
      </x:c>
      <x:c r="J542" s="28" t="str">
        <x:v>нейтральный/специфический</x:v>
      </x:c>
      <x:c r="K542" s="28" t="str">
        <x:v>лимонен, гамма-терпинен, цитраль, бета-пинен, линалол</x:v>
      </x:c>
      <x:c r="L542" s="28" t="str">
        <x:v>нужен профиль конкретного продукта</x:v>
      </x:c>
      <x:c r="M542" s="28" t="str">
        <x:v>прямое семейное перекрытие не является главным механизмом</x:v>
      </x:c>
      <x:c r="N542" s="28" t="str">
        <x:v>надёжный общий маркер не заявлен; сочетание объясняется семействами и сенсорным балансом</x:v>
      </x:c>
      <x:c r="O542" s="28" t="str">
        <x:v>вкусовой баланс, тройничное восприятие</x:v>
      </x:c>
      <x:c r="P542" s="28" t="str">
        <x:v>Основной эффект определяется ароматическим контрастом и добавлением кислотной свежести; точный баланс зависит от дозировки и матрицы.</x:v>
      </x:c>
      <x:c r="Q542" s="28" t="str">
        <x:v>кислота усиливает слюноотделение; зелёные терпены создают ощущение прохлады; нет данных</x:v>
      </x:c>
      <x:c r="R542" s="28" t="str">
        <x:v>сок — водная кислая фаза; цедра — масляная терпеновая; зависит от формы продукта</x:v>
      </x:c>
      <x:c r="S54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42" s="28" t="str">
        <x:v>Лист макрут-лайма формирует профиль «цитрусовый, зелёный, травяной, камфорный»; характерные маркеры: лимонен, гамма-терпинен, цитраль, бета-пинен, линалол. Японская петрушка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542" s="28" t="str">
        <x:v>Избыток кислоты делает вкус плоско-резким; белая часть кожуры даёт лишнюю горечь.</x:v>
      </x:c>
      <x:c r="V542" s="28" t="str">
        <x:v>мёд или нейтральная жировая основа</x:v>
      </x:c>
      <x:c r="W542" s="28" t="str">
        <x:v>соус, напиток или десерт после пробной дегустации</x:v>
      </x:c>
      <x:c r="X542" s="28" t="str">
        <x:v>универсальное</x:v>
      </x:c>
      <x:c r="Y542" s="28" t="str">
        <x:v>Средняя</x:v>
      </x:c>
      <x:c r="Z542" s="28" t="str">
        <x:v>The Art &amp; Science of Foodpairing.pdf</x:v>
      </x:c>
      <x:c r="AA542" s="28" t="str">
        <x:v>The Art &amp; Science of Foodpairing.pdf: 324</x:v>
      </x:c>
      <x:c r="AB542" s="28" t="str">
        <x:v>Пара представлена в ароматической диаграмме Foodpairing на странице 324.</x:v>
      </x:c>
      <x:c r="AC542" s="28" t="n">
        <x:v>1</x:v>
      </x:c>
      <x:c r="AD542" s="28" t="n">
        <x:v>1</x:v>
      </x:c>
    </x:row>
    <x:row r="543" ht="58" customHeight="1">
      <x:c r="A543" s="28" t="str">
        <x:v>CIT-0542</x:v>
      </x:c>
      <x:c r="B543" s="28" t="str">
        <x:v>Десерты и выпечка</x:v>
      </x:c>
      <x:c r="C543" s="28" t="str">
        <x:v>листья кафир-лайма</x:v>
      </x:c>
      <x:c r="D543" s="28" t="str">
        <x:v>листья кафир-лайма</x:v>
      </x:c>
      <x:c r="E543" s="28" t="str">
        <x:v>Цитрусовые</x:v>
      </x:c>
      <x:c r="F543" s="28" t="str">
        <x:v>гуава</x:v>
      </x:c>
      <x:c r="G543" s="28" t="str">
        <x:v>Гуава</x:v>
      </x:c>
      <x:c r="H543" s="28" t="str">
        <x:v>Тропические фрукты</x:v>
      </x:c>
      <x:c r="I543" s="28" t="str">
        <x:v>цитрусовый, зелёный, травяной, камфорный</x:v>
      </x:c>
      <x:c r="J543" s="28" t="str">
        <x:v>фруктовый, тропический, цветочный, сливочный</x:v>
      </x:c>
      <x:c r="K543" s="28" t="str">
        <x:v>лимонен, гамма-терпинен, цитраль, бета-пинен, линалол</x:v>
      </x:c>
      <x:c r="L543" s="28" t="str">
        <x:v>этилбутират, гексилацетат, лактоны, сернистые тиолы (у части фруктов)</x:v>
      </x:c>
      <x:c r="M543" s="28" t="str">
        <x:v>прямое семейное перекрытие не является главным механизмом</x:v>
      </x:c>
      <x:c r="N543" s="28" t="str">
        <x:v>надёжный общий маркер не заявлен; сочетание объясняется семействами и сенсорным балансом</x:v>
      </x:c>
      <x:c r="O543" s="28" t="str">
        <x:v>вкусовой баланс</x:v>
      </x:c>
      <x:c r="P543" s="28" t="str">
        <x:v>Общая фруктовая сладость и летучие эфиры создают непрерывный ароматический профиль, а цитрусовая кислота повышает контраст и свежесть.</x:v>
      </x:c>
      <x:c r="Q543" s="28" t="str">
        <x:v>кислота усиливает слюноотделение; зелёные терпены создают ощущение прохлады; нет выраженного</x:v>
      </x:c>
      <x:c r="R543" s="28" t="str">
        <x:v>сок — водная кислая фаза; цедра — масляная терпеновая; сочная или кремовая фруктовая матрица</x:v>
      </x:c>
      <x:c r="S54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43" s="28" t="str">
        <x:v>Листья кафир-лайма формирует профиль «цитрусовый, зелёный, травяной, камфорный»; характерные маркеры: лимонен, гамма-терпинен, цитраль, бета-пинен, линалол. Гуава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543" s="28" t="str">
        <x:v>Избыток кислоты делает вкус плоско-резким; белая часть кожуры даёт лишнюю горечь.</x:v>
      </x:c>
      <x:c r="V543" s="28" t="str">
        <x:v>кокос или имбирь</x:v>
      </x:c>
      <x:c r="W543" s="28" t="str">
        <x:v>смузи, кордиал, сорбет, чатни или коктейль</x:v>
      </x:c>
      <x:c r="X543" s="28" t="str">
        <x:v>напитки, десерты</x:v>
      </x:c>
      <x:c r="Y543" s="28" t="str">
        <x:v>Гипотеза / практическая</x:v>
      </x:c>
      <x:c r="Z543" s="28" t="str">
        <x:v>Таблица сочетания(1).pdf</x:v>
      </x:c>
      <x:c r="AA543" s="28" t="str">
        <x:v>Таблица сочетания(1).pdf: 9</x:v>
      </x:c>
      <x:c r="AB543" s="28" t="str">
        <x:v>Пара указана в таблице: «Гуава» → колонка «Другое».</x:v>
      </x:c>
      <x:c r="AC543" s="28" t="n">
        <x:v>1</x:v>
      </x:c>
      <x:c r="AD543" s="28" t="n">
        <x:v>1</x:v>
      </x:c>
    </x:row>
    <x:row r="544" ht="58" customHeight="1">
      <x:c r="A544" s="28" t="str">
        <x:v>CIT-0543</x:v>
      </x:c>
      <x:c r="B544" s="28" t="str">
        <x:v>Десерты и выпечка</x:v>
      </x:c>
      <x:c r="C544" s="28" t="str">
        <x:v>листья кафир-лайма</x:v>
      </x:c>
      <x:c r="D544" s="28" t="str">
        <x:v>листья кафир-лайма</x:v>
      </x:c>
      <x:c r="E544" s="28" t="str">
        <x:v>Цитрусовые</x:v>
      </x:c>
      <x:c r="F544" s="28" t="str">
        <x:v>кокос</x:v>
      </x:c>
      <x:c r="G544" s="28" t="str">
        <x:v>Кокос</x:v>
      </x:c>
      <x:c r="H544" s="28" t="str">
        <x:v>Тропические плоды</x:v>
      </x:c>
      <x:c r="I544" s="28" t="str">
        <x:v>цитрусовый, зелёный, травяной, камфорный</x:v>
      </x:c>
      <x:c r="J544" s="28" t="str">
        <x:v>сливочный, кокосовый, восковой, ореховый</x:v>
      </x:c>
      <x:c r="K544" s="28" t="str">
        <x:v>лимонен, гамма-терпинен, цитраль, бета-пинен, линалол</x:v>
      </x:c>
      <x:c r="L544" s="28" t="str">
        <x:v>гамма-ноналактон, дельта-декалактон, жирные кислоты</x:v>
      </x:c>
      <x:c r="M544" s="28" t="str">
        <x:v>прямое семейное перекрытие не является главным механизмом</x:v>
      </x:c>
      <x:c r="N544" s="28" t="str">
        <x:v>надёжный общий маркер не заявлен; сочетание объясняется семействами и сенсорным балансом</x:v>
      </x:c>
      <x:c r="O544" s="28" t="str">
        <x:v>вкусовой баланс</x:v>
      </x:c>
      <x:c r="P544" s="28" t="str">
        <x:v>Общая фруктовая сладость и летучие эфиры создают непрерывный ароматический профиль, а цитрусовая кислота повышает контраст и свежесть.</x:v>
      </x:c>
      <x:c r="Q544" s="28" t="str">
        <x:v>кислота усиливает слюноотделение; зелёные терпены создают ощущение прохлады; нет выраженного</x:v>
      </x:c>
      <x:c r="R544" s="28" t="str">
        <x:v>сок — водная кислая фаза; цедра — масляная терпеновая; жирная эмульсионная матрица хорошо удерживает терпены</x:v>
      </x:c>
      <x:c r="S54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44" s="28" t="str">
        <x:v>Листья кафир-лайма формирует профиль «цитрусовый, зелёный, травяной, камфорный»; характерные маркеры: лимонен, гамма-терпинен, цитраль, бета-пинен, линалол. Кокос относится к группе «тропические плоды» и даёт ноты «сливочный, кокосовый, восковой, ореховый».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Кокос округляет кислотность и продлевает цитрусовый аромат.</x:v>
      </x:c>
      <x:c r="U544" s="28" t="str">
        <x:v>Избыток кислоты делает вкус плоско-резким; белая часть кожуры даёт лишнюю горечь.</x:v>
      </x:c>
      <x:c r="V544" s="28" t="str">
        <x:v>имбирь или мята</x:v>
      </x:c>
      <x:c r="W544" s="28" t="str">
        <x:v>коктейль, крем, сорбет или соус</x:v>
      </x:c>
      <x:c r="X544" s="28" t="str">
        <x:v>напитки, десерты</x:v>
      </x:c>
      <x:c r="Y544" s="28" t="str">
        <x:v>Гипотеза / практическая</x:v>
      </x:c>
      <x:c r="Z544" s="28" t="str">
        <x:v>Таблица сочетания(1).pdf</x:v>
      </x:c>
      <x:c r="AA544" s="28" t="str">
        <x:v>Таблица сочетания(1).pdf: 5</x:v>
      </x:c>
      <x:c r="AB544" s="28" t="str">
        <x:v>Пара указана в таблице: «Кокос» → колонка «Другое».</x:v>
      </x:c>
      <x:c r="AC544" s="28" t="n">
        <x:v>1</x:v>
      </x:c>
      <x:c r="AD544" s="28" t="n">
        <x:v>1</x:v>
      </x:c>
    </x:row>
    <x:row r="545" ht="58" customHeight="1">
      <x:c r="A545" s="28" t="str">
        <x:v>CIT-0544</x:v>
      </x:c>
      <x:c r="B545" s="28" t="str">
        <x:v>Десерты и выпечка</x:v>
      </x:c>
      <x:c r="C545" s="28" t="str">
        <x:v>макрут-лайм</x:v>
      </x:c>
      <x:c r="D545" s="28" t="str">
        <x:v>makrutlime</x:v>
      </x:c>
      <x:c r="E545" s="28" t="str">
        <x:v>Цитрусовые</x:v>
      </x:c>
      <x:c r="F545" s="28" t="str">
        <x:v>приготовленный фрике</x:v>
      </x:c>
      <x:c r="G545" s="28" t="str">
        <x:v>cooked freekeh</x:v>
      </x:c>
      <x:c r="H545" s="28" t="str">
        <x:v>Злаки и хлеб</x:v>
      </x:c>
      <x:c r="I545" s="28" t="str">
        <x:v>цитрусовый, зелёный, травяной, камфорный</x:v>
      </x:c>
      <x:c r="J545" s="28" t="str">
        <x:v>зерновой, обжаренный, ореховый, дрожжевой</x:v>
      </x:c>
      <x:c r="K545" s="28" t="str">
        <x:v>лимонен, гамма-терпинен, цитраль, бета-пинен, линалол</x:v>
      </x:c>
      <x:c r="L545" s="28" t="str">
        <x:v>пиразины, мальтол, фураны, эфиры брожения</x:v>
      </x:c>
      <x:c r="M545" s="28" t="str">
        <x:v>прямое семейное перекрытие не является главным механизмом</x:v>
      </x:c>
      <x:c r="N545" s="28" t="str">
        <x:v>надёжный общий маркер не заявлен; сочетание объясняется семействами и сенсорным балансом</x:v>
      </x:c>
      <x:c r="O545" s="28" t="str">
        <x:v>вкусовой баланс</x:v>
      </x:c>
      <x:c r="P545" s="28" t="str">
        <x:v>Высокая кисло-ароматическая нота контрастирует с жареными, горькими и карамельными оттенками; сахар или жир связывает два регистра.</x:v>
      </x:c>
      <x:c r="Q545" s="28" t="str">
        <x:v>кислота усиливает слюноотделение; зелёные терпены создают ощущение прохлады; нет выраженного</x:v>
      </x:c>
      <x:c r="R545" s="28" t="str">
        <x:v>сок — водная кислая фаза; цедра — масляная терпеновая; крахмал смягчает кислотность; жир/масло помогает аромату цедры</x:v>
      </x:c>
      <x:c r="S54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45" s="28" t="str">
        <x:v>Макрут-лайм формирует профиль «цитрусовый, зелёный, травяной, камфорный»; характерные маркеры: лимонен, гамма-терпинен, цитраль, бета-пинен, линалол. Приготовленный фрике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освежает зерновой профиль и создаёт контраст с обжаренными нотами.</x:v>
      </x:c>
      <x:c r="U545" s="28" t="str">
        <x:v>Избыток кислоты делает вкус плоско-резким; белая часть кожуры даёт лишнюю горечь.</x:v>
      </x:c>
      <x:c r="V545" s="28" t="str">
        <x:v>сливочное масло или мёд</x:v>
      </x:c>
      <x:c r="W545" s="28" t="str">
        <x:v>кекс, каша, хлеб, крамбл или салат</x:v>
      </x:c>
      <x:c r="X545" s="28" t="str">
        <x:v>десерты, еда</x:v>
      </x:c>
      <x:c r="Y545" s="28" t="str">
        <x:v>Средняя</x:v>
      </x:c>
      <x:c r="Z545" s="28" t="str">
        <x:v>The Art &amp; Science of Foodpairing.pdf</x:v>
      </x:c>
      <x:c r="AA545" s="28" t="str">
        <x:v>The Art &amp; Science of Foodpairing.pdf: 78</x:v>
      </x:c>
      <x:c r="AB545" s="28" t="str">
        <x:v>Пара представлена в ароматической диаграмме Foodpairing на странице 78.</x:v>
      </x:c>
      <x:c r="AC545" s="28" t="n">
        <x:v>1</x:v>
      </x:c>
      <x:c r="AD545" s="28" t="n">
        <x:v>1</x:v>
      </x:c>
    </x:row>
    <x:row r="546" ht="58" customHeight="1">
      <x:c r="A546" s="28" t="str">
        <x:v>CIT-0545</x:v>
      </x:c>
      <x:c r="B546" s="28" t="str">
        <x:v>Универсальные</x:v>
      </x:c>
      <x:c r="C546" s="28" t="str">
        <x:v>мандарин</x:v>
      </x:c>
      <x:c r="D546" s="28" t="str">
        <x:v>Мандарин | мандарин</x:v>
      </x:c>
      <x:c r="E546" s="28" t="str">
        <x:v>Цитрусовые</x:v>
      </x:c>
      <x:c r="F546" s="28" t="str">
        <x:v>бадьян</x:v>
      </x:c>
      <x:c r="G546" s="28" t="str">
        <x:v>Бадьян | бадьян</x:v>
      </x:c>
      <x:c r="H546" s="28" t="str">
        <x:v>Прочее</x:v>
      </x:c>
      <x:c r="I546" s="28" t="str">
        <x:v>цитрусовый, фруктовый, цветочный, пряный</x:v>
      </x:c>
      <x:c r="J546" s="28" t="str">
        <x:v>нейтральный/специфический</x:v>
      </x:c>
      <x:c r="K546" s="28" t="str">
        <x:v>лимонен, гамма-терпинен, метил-N-метилантранилат, линалол</x:v>
      </x:c>
      <x:c r="L546" s="28" t="str">
        <x:v>нужен профиль конкретного продукта</x:v>
      </x:c>
      <x:c r="M546" s="28" t="str">
        <x:v>прямое семейное перекрытие не является главным механизмом</x:v>
      </x:c>
      <x:c r="N546" s="28" t="str">
        <x:v>надёжный общий маркер не заявлен; сочетание объясняется семействами и сенсорным балансом</x:v>
      </x:c>
      <x:c r="O546" s="28" t="str">
        <x:v>вкусовой баланс, тройничное восприятие</x:v>
      </x:c>
      <x:c r="P546" s="28" t="str">
        <x:v>Основной эффект определяется ароматическим контрастом и добавлением кислотной свежести; точный баланс зависит от дозировки и матрицы.</x:v>
      </x:c>
      <x:c r="Q546" s="28" t="str">
        <x:v>нет выраженного; нет данных</x:v>
      </x:c>
      <x:c r="R546" s="28" t="str">
        <x:v>сок водный; кожура богата эфирным маслом; зависит от формы продукта</x:v>
      </x:c>
      <x:c r="S54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46" s="28" t="str">
        <x:v>Мандарин формирует профиль «цитрусовый, фруктовый, цветочный, пряный»; характерные маркеры: лимонен, гамма-терпинен, метил-N-метилантранилат, линалол. Бадьян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46" s="28" t="str">
        <x:v>Избыток кислоты делает вкус плоско-резким; белая часть кожуры даёт лишнюю горечь.</x:v>
      </x:c>
      <x:c r="V546" s="28" t="str">
        <x:v>мёд или нейтральная жировая основа</x:v>
      </x:c>
      <x:c r="W546" s="28" t="str">
        <x:v>соус, напиток или десерт после пробной дегустации</x:v>
      </x:c>
      <x:c r="X546" s="28" t="str">
        <x:v>универсальное</x:v>
      </x:c>
      <x:c r="Y546" s="28" t="str">
        <x:v>Гипотеза / практическая</x:v>
      </x:c>
      <x:c r="Z546" s="28" t="str">
        <x:v>Таблица сочетания(1).pdf</x:v>
      </x:c>
      <x:c r="AA546" s="28" t="str">
        <x:v>Таблица сочетания(1).pdf: 12, 20</x:v>
      </x:c>
      <x:c r="AB546" s="28" t="str">
        <x:v>Пара указана в таблице: «Мандарин» → колонка «Травы и специи».</x:v>
      </x:c>
      <x:c r="AC546" s="28" t="n">
        <x:v>1</x:v>
      </x:c>
      <x:c r="AD546" s="28" t="n">
        <x:v>2</x:v>
      </x:c>
    </x:row>
    <x:row r="547" ht="58" customHeight="1">
      <x:c r="A547" s="28" t="str">
        <x:v>CIT-0546</x:v>
      </x:c>
      <x:c r="B547" s="28" t="str">
        <x:v>Еда и соусы</x:v>
      </x:c>
      <x:c r="C547" s="28" t="str">
        <x:v>мандарин</x:v>
      </x:c>
      <x:c r="D547" s="28" t="str">
        <x:v>mandarin</x:v>
      </x:c>
      <x:c r="E547" s="28" t="str">
        <x:v>Цитрусовые</x:v>
      </x:c>
      <x:c r="F547" s="28" t="str">
        <x:v>баранина</x:v>
      </x:c>
      <x:c r="G547" s="28" t="str">
        <x:v>lamb</x:v>
      </x:c>
      <x:c r="H547" s="28" t="str">
        <x:v>Мясо и птица</x:v>
      </x:c>
      <x:c r="I547" s="28" t="str">
        <x:v>цитрусовый, фруктовый, цветочный, пряный</x:v>
      </x:c>
      <x:c r="J547" s="28" t="str">
        <x:v>жареный, мясной, сернистый, жирный</x:v>
      </x:c>
      <x:c r="K547" s="28" t="str">
        <x:v>лимонен, гамма-терпинен, метил-N-метилантранилат, линалол</x:v>
      </x:c>
      <x:c r="L547" s="28" t="str">
        <x:v>пиразины, тиазолы, альдегиды жиров, сернистые соединения</x:v>
      </x:c>
      <x:c r="M547" s="28" t="str">
        <x:v>прямое семейное перекрытие не является главным механизмом</x:v>
      </x:c>
      <x:c r="N547" s="28" t="str">
        <x:v>надёжный общий маркер не заявлен; сочетание объясняется семействами и сенсорным балансом</x:v>
      </x:c>
      <x:c r="O547" s="28" t="str">
        <x:v>вкусовой баланс, влияние матрицы/растворимости</x:v>
      </x:c>
      <x:c r="P547" s="28" t="str">
        <x:v>Кислотность и лёгкая горечь цитруса снижают ощущение жирности; соль и умами, в свою очередь, делают фруктовую часть менее резкой.</x:v>
      </x:c>
      <x:c r="Q547" s="28" t="str">
        <x:v>нет выраженного; нет выраженного</x:v>
      </x:c>
      <x:c r="R547" s="28" t="str">
        <x:v>сок водный; кожура богата эфирным маслом; жир удерживает терпеновые масла; кислота снижает ощущение жирности</x:v>
      </x:c>
      <x:c r="S54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547" s="28" t="str">
        <x:v>Мандарин формирует профиль «цитрусовый, фруктовый, цветочный, пряный»; характерные маркеры: лимонен, гамма-терпинен, метил-N-метилантранилат, линалол. Баранина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создаёт контраст с реакциями Майяра и освежает мясную матрицу.</x:v>
      </x:c>
      <x:c r="U547" s="28" t="str">
        <x:v>Избыток кислоты делает вкус плоско-резким; белая часть кожуры даёт лишнюю горечь; слишком долгая маринация ухудшает текстуру.</x:v>
      </x:c>
      <x:c r="V547" s="28" t="str">
        <x:v>розмарин или чёрный перец</x:v>
      </x:c>
      <x:c r="W547" s="28" t="str">
        <x:v>маринад, глазурь, соус, жаркое или салат</x:v>
      </x:c>
      <x:c r="X547" s="28" t="str">
        <x:v>еда, соусы/маринады</x:v>
      </x:c>
      <x:c r="Y547" s="28" t="str">
        <x:v>Средняя</x:v>
      </x:c>
      <x:c r="Z547" s="28" t="str">
        <x:v>The Art &amp; Science of Foodpairing.pdf</x:v>
      </x:c>
      <x:c r="AA547" s="28" t="str">
        <x:v>The Art &amp; Science of Foodpairing.pdf: 273</x:v>
      </x:c>
      <x:c r="AB547" s="28" t="str">
        <x:v>Пара представлена в ароматической диаграмме Foodpairing на странице 273.</x:v>
      </x:c>
      <x:c r="AC547" s="28" t="n">
        <x:v>1</x:v>
      </x:c>
      <x:c r="AD547" s="28" t="n">
        <x:v>1</x:v>
      </x:c>
    </x:row>
    <x:row r="548" ht="58" customHeight="1">
      <x:c r="A548" s="28" t="str">
        <x:v>CIT-0547</x:v>
      </x:c>
      <x:c r="B548" s="28" t="str">
        <x:v>Универсальные</x:v>
      </x:c>
      <x:c r="C548" s="28" t="str">
        <x:v>мандарин</x:v>
      </x:c>
      <x:c r="D548" s="28" t="str">
        <x:v>мандарин</x:v>
      </x:c>
      <x:c r="E548" s="28" t="str">
        <x:v>Цитрусовые</x:v>
      </x:c>
      <x:c r="F548" s="28" t="str">
        <x:v>бузина</x:v>
      </x:c>
      <x:c r="G548" s="28" t="str">
        <x:v>Бузина</x:v>
      </x:c>
      <x:c r="H548" s="28" t="str">
        <x:v>Прочее</x:v>
      </x:c>
      <x:c r="I548" s="28" t="str">
        <x:v>цитрусовый, фруктовый, цветочный, пряный</x:v>
      </x:c>
      <x:c r="J548" s="28" t="str">
        <x:v>нейтральный/специфический</x:v>
      </x:c>
      <x:c r="K548" s="28" t="str">
        <x:v>лимонен, гамма-терпинен, метил-N-метилантранилат, линалол</x:v>
      </x:c>
      <x:c r="L548" s="28" t="str">
        <x:v>нужен профиль конкретного продукта</x:v>
      </x:c>
      <x:c r="M548" s="28" t="str">
        <x:v>прямое семейное перекрытие не является главным механизмом</x:v>
      </x:c>
      <x:c r="N548" s="28" t="str">
        <x:v>надёжный общий маркер не заявлен; сочетание объясняется семействами и сенсорным балансом</x:v>
      </x:c>
      <x:c r="O548" s="28" t="str">
        <x:v>вкусовой баланс, тройничное восприятие</x:v>
      </x:c>
      <x:c r="P548" s="28" t="str">
        <x:v>Основной эффект определяется ароматическим контрастом и добавлением кислотной свежести; точный баланс зависит от дозировки и матрицы.</x:v>
      </x:c>
      <x:c r="Q548" s="28" t="str">
        <x:v>нет выраженного; нет данных</x:v>
      </x:c>
      <x:c r="R548" s="28" t="str">
        <x:v>сок водный; кожура богата эфирным маслом; зависит от формы продукта</x:v>
      </x:c>
      <x:c r="S54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48" s="28" t="str">
        <x:v>Мандарин формирует профиль «цитрусовый, фруктовый, цветочный, пряный»; характерные маркеры: лимонен, гамма-терпинен, метил-N-метилантранилат, линалол. Бузина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48" s="28" t="str">
        <x:v>Избыток кислоты делает вкус плоско-резким; белая часть кожуры даёт лишнюю горечь.</x:v>
      </x:c>
      <x:c r="V548" s="28" t="str">
        <x:v>мёд или нейтральная жировая основа</x:v>
      </x:c>
      <x:c r="W548" s="28" t="str">
        <x:v>соус, напиток или десерт после пробной дегустации</x:v>
      </x:c>
      <x:c r="X548" s="28" t="str">
        <x:v>универсальное</x:v>
      </x:c>
      <x:c r="Y548" s="28" t="str">
        <x:v>Гипотеза / практическая</x:v>
      </x:c>
      <x:c r="Z548" s="28" t="str">
        <x:v>Таблица сочетания(1).pdf</x:v>
      </x:c>
      <x:c r="AA548" s="28" t="str">
        <x:v>Таблица сочетания(1).pdf: 7</x:v>
      </x:c>
      <x:c r="AB548" s="28" t="str">
        <x:v>Пара указана в таблице: «Бузина» → колонка «Фрукты».</x:v>
      </x:c>
      <x:c r="AC548" s="28" t="n">
        <x:v>1</x:v>
      </x:c>
      <x:c r="AD548" s="28" t="n">
        <x:v>1</x:v>
      </x:c>
    </x:row>
    <x:row r="549" ht="58" customHeight="1">
      <x:c r="A549" s="28" t="str">
        <x:v>CIT-0548</x:v>
      </x:c>
      <x:c r="B549" s="28" t="str">
        <x:v>Универсальные</x:v>
      </x:c>
      <x:c r="C549" s="28" t="str">
        <x:v>мандарин</x:v>
      </x:c>
      <x:c r="D549" s="28" t="str">
        <x:v>mandarin</x:v>
      </x:c>
      <x:c r="E549" s="28" t="str">
        <x:v>Цитрусовые</x:v>
      </x:c>
      <x:c r="F549" s="28" t="str">
        <x:v>быстро обжаренный пак-чой</x:v>
      </x:c>
      <x:c r="G549" s="28" t="str">
        <x:v>stir-fried pak choi</x:v>
      </x:c>
      <x:c r="H549" s="28" t="str">
        <x:v>Прочее</x:v>
      </x:c>
      <x:c r="I549" s="28" t="str">
        <x:v>цитрусовый, фруктовый, цветочный, пряный</x:v>
      </x:c>
      <x:c r="J549" s="28" t="str">
        <x:v>нейтральный/специфический</x:v>
      </x:c>
      <x:c r="K549" s="28" t="str">
        <x:v>лимонен, гамма-терпинен, метил-N-метилантранилат, линалол</x:v>
      </x:c>
      <x:c r="L549" s="28" t="str">
        <x:v>нужен профиль конкретного продукта</x:v>
      </x:c>
      <x:c r="M549" s="28" t="str">
        <x:v>прямое семейное перекрытие не является главным механизмом</x:v>
      </x:c>
      <x:c r="N549" s="28" t="str">
        <x:v>надёжный общий маркер не заявлен; сочетание объясняется семействами и сенсорным балансом</x:v>
      </x:c>
      <x:c r="O549" s="28" t="str">
        <x:v>вкусовой баланс, тройничное восприятие</x:v>
      </x:c>
      <x:c r="P549" s="28" t="str">
        <x:v>Основной эффект определяется ароматическим контрастом и добавлением кислотной свежести; точный баланс зависит от дозировки и матрицы.</x:v>
      </x:c>
      <x:c r="Q549" s="28" t="str">
        <x:v>нет выраженного; нет данных</x:v>
      </x:c>
      <x:c r="R549" s="28" t="str">
        <x:v>сок водный; кожура богата эфирным маслом; зависит от формы продукта</x:v>
      </x:c>
      <x:c r="S54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49" s="28" t="str">
        <x:v>Мандарин формирует профиль «цитрусовый, фруктовый, цветочный, пряный»; характерные маркеры: лимонен, гамма-терпинен, метил-N-метилантранилат, линалол. Быстро обжаренный пак-чой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49" s="28" t="str">
        <x:v>Избыток кислоты делает вкус плоско-резким; белая часть кожуры даёт лишнюю горечь.</x:v>
      </x:c>
      <x:c r="V549" s="28" t="str">
        <x:v>мёд или нейтральная жировая основа</x:v>
      </x:c>
      <x:c r="W549" s="28" t="str">
        <x:v>соус, напиток или десерт после пробной дегустации</x:v>
      </x:c>
      <x:c r="X549" s="28" t="str">
        <x:v>универсальное</x:v>
      </x:c>
      <x:c r="Y549" s="28" t="str">
        <x:v>Средняя</x:v>
      </x:c>
      <x:c r="Z549" s="28" t="str">
        <x:v>The Art &amp; Science of Foodpairing.pdf</x:v>
      </x:c>
      <x:c r="AA549" s="28" t="str">
        <x:v>The Art &amp; Science of Foodpairing.pdf: 273</x:v>
      </x:c>
      <x:c r="AB549" s="28" t="str">
        <x:v>Пара представлена в ароматической диаграмме Foodpairing на странице 273.</x:v>
      </x:c>
      <x:c r="AC549" s="28" t="n">
        <x:v>1</x:v>
      </x:c>
      <x:c r="AD549" s="28" t="n">
        <x:v>1</x:v>
      </x:c>
    </x:row>
    <x:row r="550" ht="58" customHeight="1">
      <x:c r="A550" s="28" t="str">
        <x:v>CIT-0549</x:v>
      </x:c>
      <x:c r="B550" s="28" t="str">
        <x:v>Универсальные</x:v>
      </x:c>
      <x:c r="C550" s="28" t="str">
        <x:v>мандарин</x:v>
      </x:c>
      <x:c r="D550" s="28" t="str">
        <x:v>Мандарин</x:v>
      </x:c>
      <x:c r="E550" s="28" t="str">
        <x:v>Цитрусовые</x:v>
      </x:c>
      <x:c r="F550" s="28" t="str">
        <x:v>ваниль</x:v>
      </x:c>
      <x:c r="G550" s="28" t="str">
        <x:v>ваниль</x:v>
      </x:c>
      <x:c r="H550" s="28" t="str">
        <x:v>Пряности</x:v>
      </x:c>
      <x:c r="I550" s="28" t="str">
        <x:v>цитрусовый, фруктовый, цветочный, пряный</x:v>
      </x:c>
      <x:c r="J550" s="28" t="str">
        <x:v>ванильный, бальзамический, сладкий, древесный</x:v>
      </x:c>
      <x:c r="K550" s="28" t="str">
        <x:v>лимонен, гамма-терпинен, метил-N-метилантранилат, линалол</x:v>
      </x:c>
      <x:c r="L550" s="28" t="str">
        <x:v>ванилин, п-гидроксибензальдегид, анисовый альдегид</x:v>
      </x:c>
      <x:c r="M550" s="28" t="str">
        <x:v>прямое семейное перекрытие не является главным механизмом</x:v>
      </x:c>
      <x:c r="N550" s="28" t="str">
        <x:v>надёжный общий маркер не заявлен; сочетание объясняется семействами и сенсорным балансом</x:v>
      </x:c>
      <x:c r="O550" s="28" t="str">
        <x:v>вкусовой баланс</x:v>
      </x:c>
      <x:c r="P550" s="28" t="str">
        <x:v>Кислота усиливает слюноотделение и делает пряный аромат ярче; терпены цитруса образуют мост с эфирными маслами травы или специи.</x:v>
      </x:c>
      <x:c r="Q550" s="28" t="str">
        <x:v>нет выраженного; нет выраженного</x:v>
      </x:c>
      <x:c r="R550" s="28" t="str">
        <x:v>сок водный; кожура богата эфирным маслом; ванилин растворим в спирте и частично в воде; жир продлевает аромат</x:v>
      </x:c>
      <x:c r="S55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50" s="28" t="str">
        <x:v>Мандарин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U550" s="28" t="str">
        <x:v>Избыток кислоты делает вкус плоско-резким; белая часть кожуры даёт лишнюю горечь.</x:v>
      </x:c>
      <x:c r="V550" s="28" t="str">
        <x:v>мёд или ваниль</x:v>
      </x:c>
      <x:c r="W550" s="28" t="str">
        <x:v>сироп, кордиал, чатни, маринад или пряный десерт</x:v>
      </x:c>
      <x:c r="X550" s="28" t="str">
        <x:v>напитки, еда, соусы/маринады</x:v>
      </x:c>
      <x:c r="Y550" s="28" t="str">
        <x:v>Гипотеза / практическая</x:v>
      </x:c>
      <x:c r="Z550" s="28" t="str">
        <x:v>Таблица сочетания(1).pdf</x:v>
      </x:c>
      <x:c r="AA550" s="28" t="str">
        <x:v>Таблица сочетания(1).pdf: 12</x:v>
      </x:c>
      <x:c r="AB550" s="28" t="str">
        <x:v>Пара указана в таблице: «Мандарин» → колонка «Другое».</x:v>
      </x:c>
      <x:c r="AC550" s="28" t="n">
        <x:v>1</x:v>
      </x:c>
      <x:c r="AD550" s="28" t="n">
        <x:v>1</x:v>
      </x:c>
    </x:row>
    <x:row r="551" ht="58" customHeight="1">
      <x:c r="A551" s="28" t="str">
        <x:v>CIT-0550</x:v>
      </x:c>
      <x:c r="B551" s="28" t="str">
        <x:v>Десерты и выпечка</x:v>
      </x:c>
      <x:c r="C551" s="28" t="str">
        <x:v>мандарин</x:v>
      </x:c>
      <x:c r="D551" s="28" t="str">
        <x:v>Мандарин</x:v>
      </x:c>
      <x:c r="E551" s="28" t="str">
        <x:v>Цитрусовые</x:v>
      </x:c>
      <x:c r="F551" s="28" t="str">
        <x:v>вишня</x:v>
      </x:c>
      <x:c r="G551" s="28" t="str">
        <x:v>вишня</x:v>
      </x:c>
      <x:c r="H551" s="28" t="str">
        <x:v>Ягоды/косточковые</x:v>
      </x:c>
      <x:c r="I551" s="28" t="str">
        <x:v>цитрусовый, фруктовый, цветочный, пряный</x:v>
      </x:c>
      <x:c r="J551" s="28" t="str">
        <x:v>фруктовый, цветочный, зелёный, винный</x:v>
      </x:c>
      <x:c r="K551" s="28" t="str">
        <x:v>лимонен, гамма-терпинен, метил-N-метилантранилат, линалол</x:v>
      </x:c>
      <x:c r="L551" s="28" t="str">
        <x:v>иононы, дамасценон, эфиры, бензальдегид (для косточковых)</x:v>
      </x:c>
      <x:c r="M551" s="28" t="str">
        <x:v>фруктовый, цветочный</x:v>
      </x:c>
      <x:c r="N551" s="28" t="str">
        <x:v>надёжный общий маркер не заявлен; сочетание объясняется семействами и сенсорным балансом</x:v>
      </x:c>
      <x:c r="O551" s="28" t="str">
        <x:v>перекрытие ароматических семейств, вкусовой баланс</x:v>
      </x:c>
      <x:c r="P551" s="28" t="str">
        <x:v>Общая фруктовая сладость и летучие эфиры создают непрерывный ароматический профиль, а цитрусовая кислота повышает контраст и свежесть.</x:v>
      </x:c>
      <x:c r="Q551" s="28" t="str">
        <x:v>нет выраженного; нет выраженного</x:v>
      </x:c>
      <x:c r="R551" s="28" t="str">
        <x:v>сок водный; кожура богата эфирным маслом; водная матрица с антоцианами и полифенолами</x:v>
      </x:c>
      <x:c r="S55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51" s="28" t="str">
        <x:v>Мандарин формирует профиль «цитрусовый, фруктовый, цветочный, пряный»; характерные маркеры: лимонен, гамма-терпинен, метил-N-метилантранилат, линалол.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U551" s="28" t="str">
        <x:v>Избыток кислоты делает вкус плоско-резким; белая часть кожуры даёт лишнюю горечь.</x:v>
      </x:c>
      <x:c r="V551" s="28" t="str">
        <x:v>ваниль или миндаль</x:v>
      </x:c>
      <x:c r="W551" s="28" t="str">
        <x:v>джем, сорбет, коктейль или соус</x:v>
      </x:c>
      <x:c r="X551" s="28" t="str">
        <x:v>напитки, десерты</x:v>
      </x:c>
      <x:c r="Y551" s="28" t="str">
        <x:v>Гипотеза / практическая</x:v>
      </x:c>
      <x:c r="Z551" s="28" t="str">
        <x:v>Таблица сочетания(1).pdf</x:v>
      </x:c>
      <x:c r="AA551" s="28" t="str">
        <x:v>Таблица сочетания(1).pdf: 12</x:v>
      </x:c>
      <x:c r="AB551" s="28" t="str">
        <x:v>Пара указана в таблице: «Мандарин» → колонка «Фрукты».</x:v>
      </x:c>
      <x:c r="AC551" s="28" t="n">
        <x:v>1</x:v>
      </x:c>
      <x:c r="AD551" s="28" t="n">
        <x:v>1</x:v>
      </x:c>
    </x:row>
    <x:row r="552" ht="58" customHeight="1">
      <x:c r="A552" s="28" t="str">
        <x:v>CIT-0551</x:v>
      </x:c>
      <x:c r="B552" s="28" t="str">
        <x:v>Универсальные</x:v>
      </x:c>
      <x:c r="C552" s="28" t="str">
        <x:v>мандарин</x:v>
      </x:c>
      <x:c r="D552" s="28" t="str">
        <x:v>mandarin</x:v>
      </x:c>
      <x:c r="E552" s="28" t="str">
        <x:v>Цитрусовые</x:v>
      </x:c>
      <x:c r="F552" s="28" t="str">
        <x:v>грюйер</x:v>
      </x:c>
      <x:c r="G552" s="28" t="str">
        <x:v>GruySre</x:v>
      </x:c>
      <x:c r="H552" s="28" t="str">
        <x:v>Прочее</x:v>
      </x:c>
      <x:c r="I552" s="28" t="str">
        <x:v>цитрусовый, фруктовый, цветочный, пряный</x:v>
      </x:c>
      <x:c r="J552" s="28" t="str">
        <x:v>нейтральный/специфический</x:v>
      </x:c>
      <x:c r="K552" s="28" t="str">
        <x:v>лимонен, гамма-терпинен, метил-N-метилантранилат, линалол</x:v>
      </x:c>
      <x:c r="L552" s="28" t="str">
        <x:v>нужен профиль конкретного продукта</x:v>
      </x:c>
      <x:c r="M552" s="28" t="str">
        <x:v>прямое семейное перекрытие не является главным механизмом</x:v>
      </x:c>
      <x:c r="N552" s="28" t="str">
        <x:v>надёжный общий маркер не заявлен; сочетание объясняется семействами и сенсорным балансом</x:v>
      </x:c>
      <x:c r="O552" s="28" t="str">
        <x:v>вкусовой баланс, тройничное восприятие</x:v>
      </x:c>
      <x:c r="P552" s="28" t="str">
        <x:v>Основной эффект определяется ароматическим контрастом и добавлением кислотной свежести; точный баланс зависит от дозировки и матрицы.</x:v>
      </x:c>
      <x:c r="Q552" s="28" t="str">
        <x:v>нет выраженного; нет данных</x:v>
      </x:c>
      <x:c r="R552" s="28" t="str">
        <x:v>сок водный; кожура богата эфирным маслом; зависит от формы продукта</x:v>
      </x:c>
      <x:c r="S55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52" s="28" t="str">
        <x:v>Мандарин формирует профиль «цитрусовый, фруктовый, цветочный, пряный»; характерные маркеры: лимонен, гамма-терпинен, метил-N-метилантранилат, линалол. Грюйер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52" s="28" t="str">
        <x:v>Избыток кислоты делает вкус плоско-резким; белая часть кожуры даёт лишнюю горечь.</x:v>
      </x:c>
      <x:c r="V552" s="28" t="str">
        <x:v>мёд или нейтральная жировая основа</x:v>
      </x:c>
      <x:c r="W552" s="28" t="str">
        <x:v>соус, напиток или десерт после пробной дегустации</x:v>
      </x:c>
      <x:c r="X552" s="28" t="str">
        <x:v>универсальное</x:v>
      </x:c>
      <x:c r="Y552" s="28" t="str">
        <x:v>Средняя</x:v>
      </x:c>
      <x:c r="Z552" s="28" t="str">
        <x:v>The Art &amp; Science of Foodpairing.pdf</x:v>
      </x:c>
      <x:c r="AA552" s="28" t="str">
        <x:v>The Art &amp; Science of Foodpairing.pdf: 273</x:v>
      </x:c>
      <x:c r="AB552" s="28" t="str">
        <x:v>Пара представлена в ароматической диаграмме Foodpairing на странице 273.</x:v>
      </x:c>
      <x:c r="AC552" s="28" t="n">
        <x:v>1</x:v>
      </x:c>
      <x:c r="AD552" s="28" t="n">
        <x:v>1</x:v>
      </x:c>
    </x:row>
    <x:row r="553" ht="58" customHeight="1">
      <x:c r="A553" s="28" t="str">
        <x:v>CIT-0552</x:v>
      </x:c>
      <x:c r="B553" s="28" t="str">
        <x:v>Напитки</x:v>
      </x:c>
      <x:c r="C553" s="28" t="str">
        <x:v>мандарин</x:v>
      </x:c>
      <x:c r="D553" s="28" t="str">
        <x:v>mandarin</x:v>
      </x:c>
      <x:c r="E553" s="28" t="str">
        <x:v>Цитрусовые</x:v>
      </x:c>
      <x:c r="F553" s="28" t="str">
        <x:v>джин де Маон</x:v>
      </x:c>
      <x:c r="G553" s="28" t="str">
        <x:v>Gin de Mahon</x:v>
      </x:c>
      <x:c r="H553" s="28" t="str">
        <x:v>Алкогольные напитки</x:v>
      </x:c>
      <x:c r="I553" s="28" t="str">
        <x:v>цитрусовый, фруктовый, цветочный, пряный</x:v>
      </x:c>
      <x:c r="J553" s="28" t="str">
        <x:v>зависит от основы, эфирный, древесный/пряный</x:v>
      </x:c>
      <x:c r="K553" s="28" t="str">
        <x:v>лимонен, гамма-терпинен, метил-N-метилантранилат, линалол</x:v>
      </x:c>
      <x:c r="L553" s="28" t="str">
        <x:v>этанол, эфиры, терпены/дубовые соединения</x:v>
      </x:c>
      <x:c r="M553" s="28" t="str">
        <x:v>прямое семейное перекрытие не является главным механизмом</x:v>
      </x:c>
      <x:c r="N553" s="28" t="str">
        <x:v>надёжный общий маркер не заявлен; сочетание объясняется семействами и сенсорным балансом</x:v>
      </x:c>
      <x:c r="O553" s="28" t="str">
        <x:v>вкусовой баланс, тройничное восприятие, влияние матрицы/растворимости</x:v>
      </x:c>
      <x:c r="P553" s="28" t="str">
        <x:v>Этанол усиливает летучесть терпенов и ощущение тепла; сахар и вода регулируют кислотность, горечь кожуры и спиртуозность.</x:v>
      </x:c>
      <x:c r="Q553" s="28" t="str">
        <x:v>нет выраженного; этанол усиливает тепло и летучесть аромата</x:v>
      </x:c>
      <x:c r="R553" s="28" t="str">
        <x:v>сок водный; кожура богата эфирным маслом; этанол — хороший растворитель гидрофобных эфирных масел</x:v>
      </x:c>
      <x:c r="S553"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553" s="28" t="str">
        <x:v>Мандарин формирует профиль «цитрусовый, фруктовый, цветочный, пряный»; характерные маркеры: лимонен, гамма-терпинен, метил-N-метилантранилат, линалол. Джин де маон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U553" s="28" t="str">
        <x:v>Избыток кислоты делает вкус плоско-резким; белая часть кожуры даёт лишнюю горечь.</x:v>
      </x:c>
      <x:c r="V553" s="28" t="str">
        <x:v>сахарный сироп или биттер</x:v>
      </x:c>
      <x:c r="W553" s="28" t="str">
        <x:v>коктейль, спритц, настойка, ликёр или кордиал</x:v>
      </x:c>
      <x:c r="X553" s="28" t="str">
        <x:v>напитки</x:v>
      </x:c>
      <x:c r="Y553" s="28" t="str">
        <x:v>Средняя</x:v>
      </x:c>
      <x:c r="Z553" s="28" t="str">
        <x:v>The Art &amp; Science of Foodpairing.pdf</x:v>
      </x:c>
      <x:c r="AA553" s="28" t="str">
        <x:v>The Art &amp; Science of Foodpairing.pdf: 215</x:v>
      </x:c>
      <x:c r="AB553" s="28" t="str">
        <x:v>Пара представлена в ароматической диаграмме Foodpairing на странице 215.</x:v>
      </x:c>
      <x:c r="AC553" s="28" t="n">
        <x:v>1</x:v>
      </x:c>
      <x:c r="AD553" s="28" t="n">
        <x:v>1</x:v>
      </x:c>
    </x:row>
    <x:row r="554" ht="58" customHeight="1">
      <x:c r="A554" s="28" t="str">
        <x:v>CIT-0553</x:v>
      </x:c>
      <x:c r="B554" s="28" t="str">
        <x:v>Еда и соусы</x:v>
      </x:c>
      <x:c r="C554" s="28" t="str">
        <x:v>мандарин</x:v>
      </x:c>
      <x:c r="D554" s="28" t="str">
        <x:v>mandarin</x:v>
      </x:c>
      <x:c r="E554" s="28" t="str">
        <x:v>Цитрусовые</x:v>
      </x:c>
      <x:c r="F554" s="28" t="str">
        <x:v>жареная курица</x:v>
      </x:c>
      <x:c r="G554" s="28" t="str">
        <x:v>roast chicken</x:v>
      </x:c>
      <x:c r="H554" s="28" t="str">
        <x:v>Мясо и птица</x:v>
      </x:c>
      <x:c r="I554" s="28" t="str">
        <x:v>цитрусовый, фруктовый, цветочный, пряный</x:v>
      </x:c>
      <x:c r="J554" s="28" t="str">
        <x:v>жареный, мясной, сернистый, жирный</x:v>
      </x:c>
      <x:c r="K554" s="28" t="str">
        <x:v>лимонен, гамма-терпинен, метил-N-метилантранилат, линалол</x:v>
      </x:c>
      <x:c r="L554" s="28" t="str">
        <x:v>пиразины, тиазолы, альдегиды жиров, сернистые соединения</x:v>
      </x:c>
      <x:c r="M554" s="28" t="str">
        <x:v>прямое семейное перекрытие не является главным механизмом</x:v>
      </x:c>
      <x:c r="N554" s="28" t="str">
        <x:v>надёжный общий маркер не заявлен; сочетание объясняется семействами и сенсорным балансом</x:v>
      </x:c>
      <x:c r="O554" s="28" t="str">
        <x:v>вкусовой баланс, влияние матрицы/растворимости</x:v>
      </x:c>
      <x:c r="P554" s="28" t="str">
        <x:v>Кислотность и лёгкая горечь цитруса снижают ощущение жирности; соль и умами, в свою очередь, делают фруктовую часть менее резкой.</x:v>
      </x:c>
      <x:c r="Q554" s="28" t="str">
        <x:v>нет выраженного; нет выраженного</x:v>
      </x:c>
      <x:c r="R554" s="28" t="str">
        <x:v>сок водный; кожура богата эфирным маслом; жир удерживает терпеновые масла; кислота снижает ощущение жирности</x:v>
      </x:c>
      <x:c r="S55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554" s="28" t="str">
        <x:v>Мандарин формирует профиль «цитрусовый, фруктовый, цветочный, пряный»; характерные маркеры: лимонен, гамма-терпинен, метил-N-метилантранилат, линалол. Жареная курица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создаёт контраст с реакциями Майяра и освежает мясную матрицу.</x:v>
      </x:c>
      <x:c r="U554" s="28" t="str">
        <x:v>Избыток кислоты делает вкус плоско-резким; белая часть кожуры даёт лишнюю горечь; слишком долгая маринация ухудшает текстуру.</x:v>
      </x:c>
      <x:c r="V554" s="28" t="str">
        <x:v>розмарин или чёрный перец</x:v>
      </x:c>
      <x:c r="W554" s="28" t="str">
        <x:v>маринад, глазурь, соус, жаркое или салат</x:v>
      </x:c>
      <x:c r="X554" s="28" t="str">
        <x:v>еда, соусы/маринады</x:v>
      </x:c>
      <x:c r="Y554" s="28" t="str">
        <x:v>Средняя</x:v>
      </x:c>
      <x:c r="Z554" s="28" t="str">
        <x:v>The Art &amp; Science of Foodpairing.pdf</x:v>
      </x:c>
      <x:c r="AA554" s="28" t="str">
        <x:v>The Art &amp; Science of Foodpairing.pdf: 273</x:v>
      </x:c>
      <x:c r="AB554" s="28" t="str">
        <x:v>Пара представлена в ароматической диаграмме Foodpairing на странице 273.</x:v>
      </x:c>
      <x:c r="AC554" s="28" t="n">
        <x:v>1</x:v>
      </x:c>
      <x:c r="AD554" s="28" t="n">
        <x:v>1</x:v>
      </x:c>
    </x:row>
    <x:row r="555" ht="58" customHeight="1">
      <x:c r="A555" s="28" t="str">
        <x:v>CIT-0554</x:v>
      </x:c>
      <x:c r="B555" s="28" t="str">
        <x:v>Еда и соусы</x:v>
      </x:c>
      <x:c r="C555" s="28" t="str">
        <x:v>мандарин</x:v>
      </x:c>
      <x:c r="D555" s="28" t="str">
        <x:v>mandarin</x:v>
      </x:c>
      <x:c r="E555" s="28" t="str">
        <x:v>Цитрусовые</x:v>
      </x:c>
      <x:c r="F555" s="28" t="str">
        <x:v>икра</x:v>
      </x:c>
      <x:c r="G555" s="28" t="str">
        <x:v>caviar</x:v>
      </x:c>
      <x:c r="H555" s="28" t="str">
        <x:v>Рыба и морепродукты</x:v>
      </x:c>
      <x:c r="I555" s="28" t="str">
        <x:v>цитрусовый, фруктовый, цветочный, пряный</x:v>
      </x:c>
      <x:c r="J555" s="28" t="str">
        <x:v>морской, йодистый, зелёный, жирный</x:v>
      </x:c>
      <x:c r="K555" s="28" t="str">
        <x:v>лимонен, гамма-терпинен, метил-N-метилантранилат, линалол</x:v>
      </x:c>
      <x:c r="L555" s="28" t="str">
        <x:v>альдегиды окисления липидов, бромфенолы, диметилсульфид, умами-соединения</x:v>
      </x:c>
      <x:c r="M555" s="28" t="str">
        <x:v>прямое семейное перекрытие не является главным механизмом</x:v>
      </x:c>
      <x:c r="N555" s="28" t="str">
        <x:v>надёжный общий маркер не заявлен; сочетание объясняется семействами и сенсорным балансом</x:v>
      </x:c>
      <x:c r="O555" s="28" t="str">
        <x:v>вкусовой баланс, влияние матрицы/растворимости</x:v>
      </x:c>
      <x:c r="P555" s="28" t="str">
        <x:v>Кислотность и лёгкая горечь цитруса снижают ощущение жирности; соль и умами, в свою очередь, делают фруктовую часть менее резкой.</x:v>
      </x:c>
      <x:c r="Q555" s="28" t="str">
        <x:v>нет выраженного; нет выраженного</x:v>
      </x:c>
      <x:c r="R555" s="28" t="str">
        <x:v>сок водный; кожура богата эфирным маслом; кислота может денатурировать поверхностные белки; жир рыбы удерживает терпены</x:v>
      </x:c>
      <x:c r="S55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555" s="28" t="str">
        <x:v>Мандарин формирует профиль «цитрусовый, фруктовый, цветочный, пряный»; характерные маркеры: лимонен, гамма-терпинен, метил-N-метилантранилат, линалол. Икра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уменьшает восприятие жирности и рыбных нот, усиливая свежесть и слюноотделение.</x:v>
      </x:c>
      <x:c r="U555" s="28" t="str">
        <x:v>Избыток кислоты делает вкус плоско-резким; белая часть кожуры даёт лишнюю горечь; слишком долгая маринация ухудшает текстуру.</x:v>
      </x:c>
      <x:c r="V555" s="28" t="str">
        <x:v>кинза или фенхель</x:v>
      </x:c>
      <x:c r="W555" s="28" t="str">
        <x:v>севиче, маринад, beurre blanc, тартар или салат</x:v>
      </x:c>
      <x:c r="X555" s="28" t="str">
        <x:v>еда, соусы/маринады</x:v>
      </x:c>
      <x:c r="Y555" s="28" t="str">
        <x:v>Средняя</x:v>
      </x:c>
      <x:c r="Z555" s="28" t="str">
        <x:v>The Art &amp; Science of Foodpairing.pdf</x:v>
      </x:c>
      <x:c r="AA555" s="28" t="str">
        <x:v>The Art &amp; Science of Foodpairing.pdf: 273</x:v>
      </x:c>
      <x:c r="AB555" s="28" t="str">
        <x:v>Пара представлена в ароматической диаграмме Foodpairing на странице 273.</x:v>
      </x:c>
      <x:c r="AC555" s="28" t="n">
        <x:v>1</x:v>
      </x:c>
      <x:c r="AD555" s="28" t="n">
        <x:v>1</x:v>
      </x:c>
    </x:row>
    <x:row r="556" ht="58" customHeight="1">
      <x:c r="A556" s="28" t="str">
        <x:v>CIT-0555</x:v>
      </x:c>
      <x:c r="B556" s="28" t="str">
        <x:v>Универсальные</x:v>
      </x:c>
      <x:c r="C556" s="28" t="str">
        <x:v>мандарин</x:v>
      </x:c>
      <x:c r="D556" s="28" t="str">
        <x:v>Мандарин</x:v>
      </x:c>
      <x:c r="E556" s="28" t="str">
        <x:v>Цитрусовые</x:v>
      </x:c>
      <x:c r="F556" s="28" t="str">
        <x:v>имбирь</x:v>
      </x:c>
      <x:c r="G556" s="28" t="str">
        <x:v>имбирь</x:v>
      </x:c>
      <x:c r="H556" s="28" t="str">
        <x:v>Пряности</x:v>
      </x:c>
      <x:c r="I556" s="28" t="str">
        <x:v>цитрусовый, фруктовый, цветочный, пряный</x:v>
      </x:c>
      <x:c r="J556" s="28" t="str">
        <x:v>цитрусовый, пряный, древесный, тёплый</x:v>
      </x:c>
      <x:c r="K556" s="28" t="str">
        <x:v>лимонен, гамма-терпинен, метил-N-метилантранилат, линалол</x:v>
      </x:c>
      <x:c r="L556" s="28" t="str">
        <x:v>зингиберен, цитраль, гераниол, гингеролы/шогаолы</x:v>
      </x:c>
      <x:c r="M556" s="28" t="str">
        <x:v>пряный, цитрусовый</x:v>
      </x:c>
      <x:c r="N556" s="28" t="str">
        <x:v>надёжный общий маркер не заявлен; сочетание объясняется семействами и сенсорным балансом</x:v>
      </x:c>
      <x:c r="O556" s="28" t="str">
        <x:v>перекрытие ароматических семейств, вкусовой баланс, тройничное восприятие</x:v>
      </x:c>
      <x:c r="P556" s="28" t="str">
        <x:v>Кислота усиливает слюноотделение и делает пряный аромат ярче; терпены цитруса образуют мост с эфирными маслами травы или специи.</x:v>
      </x:c>
      <x:c r="Q556" s="28" t="str">
        <x:v>нет выраженного; гингеролы и шогаолы активируют TRPV1 и дают тепло</x:v>
      </x:c>
      <x:c r="R556" s="28" t="str">
        <x:v>сок водный; кожура богата эфирным маслом; ароматические терпены лучше извлекаются этанолом и жиром</x:v>
      </x:c>
      <x:c r="S55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56" s="28" t="str">
        <x:v>Мандарин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U556" s="28" t="str">
        <x:v>Избыток кислоты делает вкус плоско-резким; белая часть кожуры даёт лишнюю горечь.</x:v>
      </x:c>
      <x:c r="V556" s="28" t="str">
        <x:v>мёд или ваниль</x:v>
      </x:c>
      <x:c r="W556" s="28" t="str">
        <x:v>сироп, кордиал, чатни, маринад или пряный десерт</x:v>
      </x:c>
      <x:c r="X556" s="28" t="str">
        <x:v>напитки, еда, соусы/маринады</x:v>
      </x:c>
      <x:c r="Y556" s="28" t="str">
        <x:v>Гипотеза / практическая</x:v>
      </x:c>
      <x:c r="Z556" s="28" t="str">
        <x:v>Таблица сочетания(1).pdf</x:v>
      </x:c>
      <x:c r="AA556" s="28" t="str">
        <x:v>Таблица сочетания(1).pdf: 12</x:v>
      </x:c>
      <x:c r="AB556" s="28" t="str">
        <x:v>Пара указана в таблице: «Мандарин» → колонка «Травы и специи».</x:v>
      </x:c>
      <x:c r="AC556" s="28" t="n">
        <x:v>1</x:v>
      </x:c>
      <x:c r="AD556" s="28" t="n">
        <x:v>1</x:v>
      </x:c>
    </x:row>
    <x:row r="557" ht="58" customHeight="1">
      <x:c r="A557" s="28" t="str">
        <x:v>CIT-0556</x:v>
      </x:c>
      <x:c r="B557" s="28" t="str">
        <x:v>Универсальные</x:v>
      </x:c>
      <x:c r="C557" s="28" t="str">
        <x:v>мандарин</x:v>
      </x:c>
      <x:c r="D557" s="28" t="str">
        <x:v>Мандарин</x:v>
      </x:c>
      <x:c r="E557" s="28" t="str">
        <x:v>Цитрусовые</x:v>
      </x:c>
      <x:c r="F557" s="28" t="str">
        <x:v>инжир</x:v>
      </x:c>
      <x:c r="G557" s="28" t="str">
        <x:v>инжир</x:v>
      </x:c>
      <x:c r="H557" s="28" t="str">
        <x:v>Прочее</x:v>
      </x:c>
      <x:c r="I557" s="28" t="str">
        <x:v>цитрусовый, фруктовый, цветочный, пряный</x:v>
      </x:c>
      <x:c r="J557" s="28" t="str">
        <x:v>нейтральный/специфический</x:v>
      </x:c>
      <x:c r="K557" s="28" t="str">
        <x:v>лимонен, гамма-терпинен, метил-N-метилантранилат, линалол</x:v>
      </x:c>
      <x:c r="L557" s="28" t="str">
        <x:v>нужен профиль конкретного продукта</x:v>
      </x:c>
      <x:c r="M557" s="28" t="str">
        <x:v>прямое семейное перекрытие не является главным механизмом</x:v>
      </x:c>
      <x:c r="N557" s="28" t="str">
        <x:v>надёжный общий маркер не заявлен; сочетание объясняется семействами и сенсорным балансом</x:v>
      </x:c>
      <x:c r="O557" s="28" t="str">
        <x:v>вкусовой баланс, тройничное восприятие</x:v>
      </x:c>
      <x:c r="P557" s="28" t="str">
        <x:v>Основной эффект определяется ароматическим контрастом и добавлением кислотной свежести; точный баланс зависит от дозировки и матрицы.</x:v>
      </x:c>
      <x:c r="Q557" s="28" t="str">
        <x:v>нет выраженного; нет данных</x:v>
      </x:c>
      <x:c r="R557" s="28" t="str">
        <x:v>сок водный; кожура богата эфирным маслом; зависит от формы продукта</x:v>
      </x:c>
      <x:c r="S55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57" s="28" t="str">
        <x:v>Мандарин формирует профиль «цитрусовый, фруктовый, цветочный, пряный»; характерные маркеры: лимонен, гамма-терпинен, метил-N-метилантранилат, линалол. Инжир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57" s="28" t="str">
        <x:v>Избыток кислоты делает вкус плоско-резким; белая часть кожуры даёт лишнюю горечь.</x:v>
      </x:c>
      <x:c r="V557" s="28" t="str">
        <x:v>мёд или нейтральная жировая основа</x:v>
      </x:c>
      <x:c r="W557" s="28" t="str">
        <x:v>соус, напиток или десерт после пробной дегустации</x:v>
      </x:c>
      <x:c r="X557" s="28" t="str">
        <x:v>универсальное</x:v>
      </x:c>
      <x:c r="Y557" s="28" t="str">
        <x:v>Гипотеза / практическая</x:v>
      </x:c>
      <x:c r="Z557" s="28" t="str">
        <x:v>Таблица сочетания(1).pdf</x:v>
      </x:c>
      <x:c r="AA557" s="28" t="str">
        <x:v>Таблица сочетания(1).pdf: 12</x:v>
      </x:c>
      <x:c r="AB557" s="28" t="str">
        <x:v>Пара указана в таблице: «Мандарин» → колонка «Фрукты».</x:v>
      </x:c>
      <x:c r="AC557" s="28" t="n">
        <x:v>1</x:v>
      </x:c>
      <x:c r="AD557" s="28" t="n">
        <x:v>1</x:v>
      </x:c>
    </x:row>
    <x:row r="558" ht="58" customHeight="1">
      <x:c r="A558" s="28" t="str">
        <x:v>CIT-0557</x:v>
      </x:c>
      <x:c r="B558" s="28" t="str">
        <x:v>Десерты и выпечка</x:v>
      </x:c>
      <x:c r="C558" s="28" t="str">
        <x:v>мандарин</x:v>
      </x:c>
      <x:c r="D558" s="28" t="str">
        <x:v>мандарин</x:v>
      </x:c>
      <x:c r="E558" s="28" t="str">
        <x:v>Цитрусовые</x:v>
      </x:c>
      <x:c r="F558" s="28" t="str">
        <x:v>карамель</x:v>
      </x:c>
      <x:c r="G558" s="28" t="str">
        <x:v>Карамель</x:v>
      </x:c>
      <x:c r="H558" s="28" t="str">
        <x:v>Подсластители</x:v>
      </x:c>
      <x:c r="I558" s="28" t="str">
        <x:v>цитрусовый, фруктовый, цветочный, пряный</x:v>
      </x:c>
      <x:c r="J558" s="28" t="str">
        <x:v>медовый, цветочный, карамельный</x:v>
      </x:c>
      <x:c r="K558" s="28" t="str">
        <x:v>лимонен, гамма-терпинен, метил-N-метилантранилат, линалол</x:v>
      </x:c>
      <x:c r="L558" s="28" t="str">
        <x:v>фенилуксусные соединения, фураны, норизопреноиды</x:v>
      </x:c>
      <x:c r="M558" s="28" t="str">
        <x:v>цветочный</x:v>
      </x:c>
      <x:c r="N558" s="28" t="str">
        <x:v>надёжный общий маркер не заявлен; сочетание объясняется семействами и сенсорным балансом</x:v>
      </x:c>
      <x:c r="O558" s="28" t="str">
        <x:v>перекрытие ароматических семейств, вкусовой баланс</x:v>
      </x:c>
      <x:c r="P558" s="28" t="str">
        <x:v>Сладость подавляет воспринимаемую кислотность и горечь кожуры, а кислота не даёт сочетанию стать приторным.</x:v>
      </x:c>
      <x:c r="Q558" s="28" t="str">
        <x:v>нет выраженного; нет выраженного</x:v>
      </x:c>
      <x:c r="R558" s="28" t="str">
        <x:v>сок водный; кожура богата эфирным маслом; сахар повышает вязкость и снижает воспринимаемую кислотность</x:v>
      </x:c>
      <x:c r="S55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58" s="28" t="str">
        <x:v>Мандарин формирует профиль «цитрусовый, фруктовый, цветочный, пряный»; характерные маркеры: лимонен, гамма-терпинен, метил-N-метилантранилат, линалол. Карамель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U558" s="28" t="str">
        <x:v>Избыток кислоты делает вкус плоско-резким; белая часть кожуры даёт лишнюю горечь.</x:v>
      </x:c>
      <x:c r="V558" s="28" t="str">
        <x:v>имбирь или ваниль</x:v>
      </x:c>
      <x:c r="W558" s="28" t="str">
        <x:v>сироп, мармелад, крем, глазурь или лимонад</x:v>
      </x:c>
      <x:c r="X558" s="28" t="str">
        <x:v>напитки, десерты</x:v>
      </x:c>
      <x:c r="Y558" s="28" t="str">
        <x:v>Гипотеза / практическая</x:v>
      </x:c>
      <x:c r="Z558" s="28" t="str">
        <x:v>Таблица сочетания(1).pdf</x:v>
      </x:c>
      <x:c r="AA558" s="28" t="str">
        <x:v>Таблица сочетания(1).pdf: 3</x:v>
      </x:c>
      <x:c r="AB558" s="28" t="str">
        <x:v>Пара указана в таблице: «Карамель» → колонка «Фрукты».</x:v>
      </x:c>
      <x:c r="AC558" s="28" t="n">
        <x:v>1</x:v>
      </x:c>
      <x:c r="AD558" s="28" t="n">
        <x:v>1</x:v>
      </x:c>
    </x:row>
    <x:row r="559" ht="58" customHeight="1">
      <x:c r="A559" s="28" t="str">
        <x:v>CIT-0558</x:v>
      </x:c>
      <x:c r="B559" s="28" t="str">
        <x:v>Универсальные</x:v>
      </x:c>
      <x:c r="C559" s="28" t="str">
        <x:v>мандарин</x:v>
      </x:c>
      <x:c r="D559" s="28" t="str">
        <x:v>Мандарин</x:v>
      </x:c>
      <x:c r="E559" s="28" t="str">
        <x:v>Цитрусовые</x:v>
      </x:c>
      <x:c r="F559" s="28" t="str">
        <x:v>кардамон</x:v>
      </x:c>
      <x:c r="G559" s="28" t="str">
        <x:v>кардамон</x:v>
      </x:c>
      <x:c r="H559" s="28" t="str">
        <x:v>Пряности</x:v>
      </x:c>
      <x:c r="I559" s="28" t="str">
        <x:v>цитрусовый, фруктовый, цветочный, пряный</x:v>
      </x:c>
      <x:c r="J559" s="28" t="str">
        <x:v>цитрусовый, камфорный, цветочный, эвкалиптовый</x:v>
      </x:c>
      <x:c r="K559" s="28" t="str">
        <x:v>лимонен, гамма-терпинен, метил-N-метилантранилат, линалол</x:v>
      </x:c>
      <x:c r="L559" s="28" t="str">
        <x:v>1,8-цинеол, альфа-терпинилацетат, линалол, лимонен</x:v>
      </x:c>
      <x:c r="M559" s="28" t="str">
        <x:v>цветочный, цитрусовый</x:v>
      </x:c>
      <x:c r="N559" s="28" t="str">
        <x:v>лимонен, линалол</x:v>
      </x:c>
      <x:c r="O559" s="28" t="str">
        <x:v>общие ароматические молекулы, перекрытие ароматических семейств, вкусовой баланс, тройничное восприятие</x:v>
      </x:c>
      <x:c r="P559" s="28" t="str">
        <x:v>Кислота усиливает слюноотделение и делает пряный аромат ярче; терпены цитруса образуют мост с эфирными маслами травы или специи.</x:v>
      </x:c>
      <x:c r="Q559" s="28" t="str">
        <x:v>нет выраженного; 1,8-цинеол создаёт прохладно-камфорное ощущение</x:v>
      </x:c>
      <x:c r="R559" s="28" t="str">
        <x:v>сок водный; кожура богата эфирным маслом; эфирные масла гидрофобны, хорошо переходят в жир и спирт</x:v>
      </x:c>
      <x:c r="S55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59" s="28" t="str">
        <x:v>Мандарин формирует профиль «цитрусовый, фруктовый, цветочный, пряный»; характерные маркеры: лимонен, гамма-терпинен, метил-N-метилантранилат, линалол.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Кардамон часто служит мостом между цитрусом, цветами и древесными нотами.</x:v>
      </x:c>
      <x:c r="U559" s="28" t="str">
        <x:v>Избыток кислоты делает вкус плоско-резким; белая часть кожуры даёт лишнюю горечь.</x:v>
      </x:c>
      <x:c r="V559" s="28" t="str">
        <x:v>мёд или ваниль</x:v>
      </x:c>
      <x:c r="W559" s="28" t="str">
        <x:v>сироп, кордиал, чатни, маринад или пряный десерт</x:v>
      </x:c>
      <x:c r="X559" s="28" t="str">
        <x:v>напитки, еда, соусы/маринады</x:v>
      </x:c>
      <x:c r="Y559" s="28" t="str">
        <x:v>Средняя</x:v>
      </x:c>
      <x:c r="Z559" s="28" t="str">
        <x:v>Таблица сочетания(1).pdf</x:v>
      </x:c>
      <x:c r="AA559" s="28" t="str">
        <x:v>Таблица сочетания(1).pdf: 12</x:v>
      </x:c>
      <x:c r="AB559" s="28" t="str">
        <x:v>Пара указана в таблице: «Мандарин» → колонка «Травы и специи».</x:v>
      </x:c>
      <x:c r="AC559" s="28" t="n">
        <x:v>1</x:v>
      </x:c>
      <x:c r="AD559" s="28" t="n">
        <x:v>1</x:v>
      </x:c>
    </x:row>
    <x:row r="560" ht="58" customHeight="1">
      <x:c r="A560" s="28" t="str">
        <x:v>CIT-0559</x:v>
      </x:c>
      <x:c r="B560" s="28" t="str">
        <x:v>Универсальные</x:v>
      </x:c>
      <x:c r="C560" s="28" t="str">
        <x:v>мандарин</x:v>
      </x:c>
      <x:c r="D560" s="28" t="str">
        <x:v>мандарин</x:v>
      </x:c>
      <x:c r="E560" s="28" t="str">
        <x:v>Цитрусовые</x:v>
      </x:c>
      <x:c r="F560" s="28" t="str">
        <x:v>киви</x:v>
      </x:c>
      <x:c r="G560" s="28" t="str">
        <x:v>Киви</x:v>
      </x:c>
      <x:c r="H560" s="28" t="str">
        <x:v>Прочее</x:v>
      </x:c>
      <x:c r="I560" s="28" t="str">
        <x:v>цитрусовый, фруктовый, цветочный, пряный</x:v>
      </x:c>
      <x:c r="J560" s="28" t="str">
        <x:v>нейтральный/специфический</x:v>
      </x:c>
      <x:c r="K560" s="28" t="str">
        <x:v>лимонен, гамма-терпинен, метил-N-метилантранилат, линалол</x:v>
      </x:c>
      <x:c r="L560" s="28" t="str">
        <x:v>нужен профиль конкретного продукта</x:v>
      </x:c>
      <x:c r="M560" s="28" t="str">
        <x:v>прямое семейное перекрытие не является главным механизмом</x:v>
      </x:c>
      <x:c r="N560" s="28" t="str">
        <x:v>надёжный общий маркер не заявлен; сочетание объясняется семействами и сенсорным балансом</x:v>
      </x:c>
      <x:c r="O560" s="28" t="str">
        <x:v>вкусовой баланс, тройничное восприятие</x:v>
      </x:c>
      <x:c r="P560" s="28" t="str">
        <x:v>Основной эффект определяется ароматическим контрастом и добавлением кислотной свежести; точный баланс зависит от дозировки и матрицы.</x:v>
      </x:c>
      <x:c r="Q560" s="28" t="str">
        <x:v>нет выраженного; нет данных</x:v>
      </x:c>
      <x:c r="R560" s="28" t="str">
        <x:v>сок водный; кожура богата эфирным маслом; зависит от формы продукта</x:v>
      </x:c>
      <x:c r="S56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60" s="28" t="str">
        <x:v>Мандарин формирует профиль «цитрусовый, фруктовый, цветочный, пряный»; характерные маркеры: лимонен, гамма-терпинен, метил-N-метилантранилат, линалол. Киви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60" s="28" t="str">
        <x:v>Избыток кислоты делает вкус плоско-резким; белая часть кожуры даёт лишнюю горечь.</x:v>
      </x:c>
      <x:c r="V560" s="28" t="str">
        <x:v>мёд или нейтральная жировая основа</x:v>
      </x:c>
      <x:c r="W560" s="28" t="str">
        <x:v>соус, напиток или десерт после пробной дегустации</x:v>
      </x:c>
      <x:c r="X560" s="28" t="str">
        <x:v>универсальное</x:v>
      </x:c>
      <x:c r="Y560" s="28" t="str">
        <x:v>Гипотеза / практическая</x:v>
      </x:c>
      <x:c r="Z560" s="28" t="str">
        <x:v>Таблица сочетания(1).pdf</x:v>
      </x:c>
      <x:c r="AA560" s="28" t="str">
        <x:v>Таблица сочетания(1).pdf: 10</x:v>
      </x:c>
      <x:c r="AB560" s="28" t="str">
        <x:v>Пара указана в таблице: «Киви» → колонка «Фрукты».</x:v>
      </x:c>
      <x:c r="AC560" s="28" t="n">
        <x:v>1</x:v>
      </x:c>
      <x:c r="AD560" s="28" t="n">
        <x:v>1</x:v>
      </x:c>
    </x:row>
    <x:row r="561" ht="58" customHeight="1">
      <x:c r="A561" s="28" t="str">
        <x:v>CIT-0560</x:v>
      </x:c>
      <x:c r="B561" s="28" t="str">
        <x:v>Универсальные</x:v>
      </x:c>
      <x:c r="C561" s="28" t="str">
        <x:v>мандарин</x:v>
      </x:c>
      <x:c r="D561" s="28" t="str">
        <x:v>Мандарин</x:v>
      </x:c>
      <x:c r="E561" s="28" t="str">
        <x:v>Цитрусовые</x:v>
      </x:c>
      <x:c r="F561" s="28" t="str">
        <x:v>кленовый сироп</x:v>
      </x:c>
      <x:c r="G561" s="28" t="str">
        <x:v>кленовый сироп</x:v>
      </x:c>
      <x:c r="H561" s="28" t="str">
        <x:v>Прочее</x:v>
      </x:c>
      <x:c r="I561" s="28" t="str">
        <x:v>цитрусовый, фруктовый, цветочный, пряный</x:v>
      </x:c>
      <x:c r="J561" s="28" t="str">
        <x:v>нейтральный/специфический</x:v>
      </x:c>
      <x:c r="K561" s="28" t="str">
        <x:v>лимонен, гамма-терпинен, метил-N-метилантранилат, линалол</x:v>
      </x:c>
      <x:c r="L561" s="28" t="str">
        <x:v>нужен профиль конкретного продукта</x:v>
      </x:c>
      <x:c r="M561" s="28" t="str">
        <x:v>прямое семейное перекрытие не является главным механизмом</x:v>
      </x:c>
      <x:c r="N561" s="28" t="str">
        <x:v>надёжный общий маркер не заявлен; сочетание объясняется семействами и сенсорным балансом</x:v>
      </x:c>
      <x:c r="O561" s="28" t="str">
        <x:v>вкусовой баланс, тройничное восприятие</x:v>
      </x:c>
      <x:c r="P561" s="28" t="str">
        <x:v>Основной эффект определяется ароматическим контрастом и добавлением кислотной свежести; точный баланс зависит от дозировки и матрицы.</x:v>
      </x:c>
      <x:c r="Q561" s="28" t="str">
        <x:v>нет выраженного; нет данных</x:v>
      </x:c>
      <x:c r="R561" s="28" t="str">
        <x:v>сок водный; кожура богата эфирным маслом; зависит от формы продукта</x:v>
      </x:c>
      <x:c r="S56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61" s="28" t="str">
        <x:v>Мандарин формирует профиль «цитрусовый, фруктовый, цветочный, пряный»; характерные маркеры: лимонен, гамма-терпинен, метил-N-метилантранилат, линалол. Кленовый сироп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61" s="28" t="str">
        <x:v>Избыток кислоты делает вкус плоско-резким; белая часть кожуры даёт лишнюю горечь.</x:v>
      </x:c>
      <x:c r="V561" s="28" t="str">
        <x:v>мёд или нейтральная жировая основа</x:v>
      </x:c>
      <x:c r="W561" s="28" t="str">
        <x:v>соус, напиток или десерт после пробной дегустации</x:v>
      </x:c>
      <x:c r="X561" s="28" t="str">
        <x:v>универсальное</x:v>
      </x:c>
      <x:c r="Y561" s="28" t="str">
        <x:v>Гипотеза / практическая</x:v>
      </x:c>
      <x:c r="Z561" s="28" t="str">
        <x:v>Таблица сочетания(1).pdf</x:v>
      </x:c>
      <x:c r="AA561" s="28" t="str">
        <x:v>Таблица сочетания(1).pdf: 12</x:v>
      </x:c>
      <x:c r="AB561" s="28" t="str">
        <x:v>Пара указана в таблице: «Мандарин» → колонка «Другое».</x:v>
      </x:c>
      <x:c r="AC561" s="28" t="n">
        <x:v>1</x:v>
      </x:c>
      <x:c r="AD561" s="28" t="n">
        <x:v>1</x:v>
      </x:c>
    </x:row>
    <x:row r="562" ht="58" customHeight="1">
      <x:c r="A562" s="28" t="str">
        <x:v>CIT-0561</x:v>
      </x:c>
      <x:c r="B562" s="28" t="str">
        <x:v>Универсальные</x:v>
      </x:c>
      <x:c r="C562" s="28" t="str">
        <x:v>мандарин</x:v>
      </x:c>
      <x:c r="D562" s="28" t="str">
        <x:v>Мандарин</x:v>
      </x:c>
      <x:c r="E562" s="28" t="str">
        <x:v>Цитрусовые</x:v>
      </x:c>
      <x:c r="F562" s="28" t="str">
        <x:v>корица</x:v>
      </x:c>
      <x:c r="G562" s="28" t="str">
        <x:v>корица</x:v>
      </x:c>
      <x:c r="H562" s="28" t="str">
        <x:v>Пряности</x:v>
      </x:c>
      <x:c r="I562" s="28" t="str">
        <x:v>цитрусовый, фруктовый, цветочный, пряный</x:v>
      </x:c>
      <x:c r="J562" s="28" t="str">
        <x:v>сладко-пряный, древесный, тёплый</x:v>
      </x:c>
      <x:c r="K562" s="28" t="str">
        <x:v>лимонен, гамма-терпинен, метил-N-метилантранилат, линалол</x:v>
      </x:c>
      <x:c r="L562" s="28" t="str">
        <x:v>коричный альдегид, эвгенол, кумарин</x:v>
      </x:c>
      <x:c r="M562" s="28" t="str">
        <x:v>прямое семейное перекрытие не является главным механизмом</x:v>
      </x:c>
      <x:c r="N562" s="28" t="str">
        <x:v>надёжный общий маркер не заявлен; сочетание объясняется семействами и сенсорным балансом</x:v>
      </x:c>
      <x:c r="O562" s="28" t="str">
        <x:v>вкусовой баланс, тройничное восприятие</x:v>
      </x:c>
      <x:c r="P562" s="28" t="str">
        <x:v>Кислота усиливает слюноотделение и делает пряный аромат ярче; терпены цитруса образуют мост с эфирными маслами травы или специи.</x:v>
      </x:c>
      <x:c r="Q562" s="28" t="str">
        <x:v>нет выраженного; коричный альдегид активирует TRPA1 и создаёт тепло</x:v>
      </x:c>
      <x:c r="R562" s="28" t="str">
        <x:v>сок водный; кожура богата эфирным маслом; лучше раскрывается в жире, сахаре и спирте</x:v>
      </x:c>
      <x:c r="S56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62" s="28" t="str">
        <x:v>Мандарин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U562" s="28" t="str">
        <x:v>Избыток кислоты делает вкус плоско-резким; белая часть кожуры даёт лишнюю горечь.</x:v>
      </x:c>
      <x:c r="V562" s="28" t="str">
        <x:v>мёд или ваниль</x:v>
      </x:c>
      <x:c r="W562" s="28" t="str">
        <x:v>сироп, кордиал, чатни, маринад или пряный десерт</x:v>
      </x:c>
      <x:c r="X562" s="28" t="str">
        <x:v>напитки, еда, соусы/маринады</x:v>
      </x:c>
      <x:c r="Y562" s="28" t="str">
        <x:v>Гипотеза / практическая</x:v>
      </x:c>
      <x:c r="Z562" s="28" t="str">
        <x:v>Таблица сочетания(1).pdf</x:v>
      </x:c>
      <x:c r="AA562" s="28" t="str">
        <x:v>Таблица сочетания(1).pdf: 12</x:v>
      </x:c>
      <x:c r="AB562" s="28" t="str">
        <x:v>Пара указана в таблице: «Мандарин» → колонка «Травы и специи».</x:v>
      </x:c>
      <x:c r="AC562" s="28" t="n">
        <x:v>1</x:v>
      </x:c>
      <x:c r="AD562" s="28" t="n">
        <x:v>1</x:v>
      </x:c>
    </x:row>
    <x:row r="563" ht="58" customHeight="1">
      <x:c r="A563" s="28" t="str">
        <x:v>CIT-0562</x:v>
      </x:c>
      <x:c r="B563" s="28" t="str">
        <x:v>Десерты и выпечка</x:v>
      </x:c>
      <x:c r="C563" s="28" t="str">
        <x:v>мандарин</x:v>
      </x:c>
      <x:c r="D563" s="28" t="str">
        <x:v>Мандарин</x:v>
      </x:c>
      <x:c r="E563" s="28" t="str">
        <x:v>Цитрусовые</x:v>
      </x:c>
      <x:c r="F563" s="28" t="str">
        <x:v>кофе</x:v>
      </x:c>
      <x:c r="G563" s="28" t="str">
        <x:v>кофе</x:v>
      </x:c>
      <x:c r="H563" s="28" t="str">
        <x:v>Кофе/обжаренное</x:v>
      </x:c>
      <x:c r="I563" s="28" t="str">
        <x:v>цитрусовый, фруктовый, цветочный, пряный</x:v>
      </x:c>
      <x:c r="J563" s="28" t="str">
        <x:v>обжаренный, карамельный, ореховый, сернистый</x:v>
      </x:c>
      <x:c r="K563" s="28" t="str">
        <x:v>лимонен, гамма-терпинен, метил-N-метилантранилат, линалол</x:v>
      </x:c>
      <x:c r="L563" s="28" t="str">
        <x:v>фурантиолы, пиразины, фураны, гуаякол</x:v>
      </x:c>
      <x:c r="M563" s="28" t="str">
        <x:v>прямое семейное перекрытие не является главным механизмом</x:v>
      </x:c>
      <x:c r="N563" s="28" t="str">
        <x:v>надёжный общий маркер не заявлен; сочетание объясняется семействами и сенсорным балансом</x:v>
      </x:c>
      <x:c r="O563" s="28" t="str">
        <x:v>вкусовой баланс</x:v>
      </x:c>
      <x:c r="P563" s="28" t="str">
        <x:v>Высокая кисло-ароматическая нота контрастирует с жареными, горькими и карамельными оттенками; сахар или жир связывает два регистра.</x:v>
      </x:c>
      <x:c r="Q563" s="28" t="str">
        <x:v>нет выраженного; нет выраженного</x:v>
      </x:c>
      <x:c r="R563" s="28" t="str">
        <x:v>сок водный; кожура богата эфирным маслом; водная или молочная матрица; масла кофе удерживают аромат</x:v>
      </x:c>
      <x:c r="S56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63" s="28" t="str">
        <x:v>Мандарин формирует профиль «цитрусовый, фруктовый, цветочный, пряный»; характерные маркеры: лимонен, гамма-терпинен, метил-N-метилантранилат, линалол. Кофе относится к группе «кофе/обжаренное» и даёт ноты «обжаренный, карамельный, ореховый,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может подчеркнуть естественную кислотность и связаться с фруктовыми нотами кофе.</x:v>
      </x:c>
      <x:c r="U563" s="28" t="str">
        <x:v>Избыток кислоты делает вкус плоско-резким; белая часть кожуры даёт лишнюю горечь.</x:v>
      </x:c>
      <x:c r="V563" s="28" t="str">
        <x:v>шоколад или кардамон</x:v>
      </x:c>
      <x:c r="W563" s="28" t="str">
        <x:v>кофейный напиток, тирамису, ликёр или десертный соус</x:v>
      </x:c>
      <x:c r="X563" s="28" t="str">
        <x:v>десерты</x:v>
      </x:c>
      <x:c r="Y563" s="28" t="str">
        <x:v>Гипотеза / практическая</x:v>
      </x:c>
      <x:c r="Z563" s="28" t="str">
        <x:v>Таблица сочетания(1).pdf</x:v>
      </x:c>
      <x:c r="AA563" s="28" t="str">
        <x:v>Таблица сочетания(1).pdf: 12</x:v>
      </x:c>
      <x:c r="AB563" s="28" t="str">
        <x:v>Пара указана в таблице: «Мандарин» → колонка «Другое».</x:v>
      </x:c>
      <x:c r="AC563" s="28" t="n">
        <x:v>1</x:v>
      </x:c>
      <x:c r="AD563" s="28" t="n">
        <x:v>1</x:v>
      </x:c>
    </x:row>
    <x:row r="564" ht="58" customHeight="1">
      <x:c r="A564" s="28" t="str">
        <x:v>CIT-0563</x:v>
      </x:c>
      <x:c r="B564" s="28" t="str">
        <x:v>Универсальные</x:v>
      </x:c>
      <x:c r="C564" s="28" t="str">
        <x:v>мандарин</x:v>
      </x:c>
      <x:c r="D564" s="28" t="str">
        <x:v>Мандарин</x:v>
      </x:c>
      <x:c r="E564" s="28" t="str">
        <x:v>Цитрусовые</x:v>
      </x:c>
      <x:c r="F564" s="28" t="str">
        <x:v>лимонный тимьян</x:v>
      </x:c>
      <x:c r="G564" s="28" t="str">
        <x:v>лимонный тимьян</x:v>
      </x:c>
      <x:c r="H564" s="28" t="str">
        <x:v>Травы</x:v>
      </x:c>
      <x:c r="I564" s="28" t="str">
        <x:v>цитрусовый, фруктовый, цветочный, пряный</x:v>
      </x:c>
      <x:c r="J564" s="28" t="str">
        <x:v>травяной, хвойный, камфорный, древесный</x:v>
      </x:c>
      <x:c r="K564" s="28" t="str">
        <x:v>лимонен, гамма-терпинен, метил-N-метилантранилат, линалол</x:v>
      </x:c>
      <x:c r="L564" s="28" t="str">
        <x:v>1,8-цинеол, камфора, тимол/карвакрол, альфа-пинен</x:v>
      </x:c>
      <x:c r="M564" s="28" t="str">
        <x:v>прямое семейное перекрытие не является главным механизмом</x:v>
      </x:c>
      <x:c r="N564" s="28" t="str">
        <x:v>надёжный общий маркер не заявлен; сочетание объясняется семействами и сенсорным балансом</x:v>
      </x:c>
      <x:c r="O564" s="28" t="str">
        <x:v>вкусовой баланс, тройничное восприятие</x:v>
      </x:c>
      <x:c r="P564" s="28" t="str">
        <x:v>Кислота усиливает слюноотделение и делает пряный аромат ярче; терпены цитруса образуют мост с эфирными маслами травы или специи.</x:v>
      </x:c>
      <x:c r="Q564" s="28" t="str">
        <x:v>нет выраженного; камфора и цинеол дают прохладно-камфорное ощущение</x:v>
      </x:c>
      <x:c r="R564" s="28" t="str">
        <x:v>сок водный; кожура богата эфирным маслом; эфирные масла лучше раскрываются в жире и спирте</x:v>
      </x:c>
      <x:c r="S56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64" s="28" t="str">
        <x:v>Мандарин формирует профиль «цитрусовый, фруктовый, цветочный, пряный»; характерные маркеры: лимонен, гамма-терпинен, метил-N-метилантранилат, линалол.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U564" s="28" t="str">
        <x:v>Избыток кислоты делает вкус плоско-резким; белая часть кожуры даёт лишнюю горечь; цитрус легко подавляет деликатный аромат партнёра.</x:v>
      </x:c>
      <x:c r="V564" s="28" t="str">
        <x:v>оливковое масло или огурец</x:v>
      </x:c>
      <x:c r="W564" s="28" t="str">
        <x:v>лимонад, кордиал, салатная заправка или зелёный соус</x:v>
      </x:c>
      <x:c r="X564" s="28" t="str">
        <x:v>напитки, еда, соусы/маринады</x:v>
      </x:c>
      <x:c r="Y564" s="28" t="str">
        <x:v>Гипотеза / практическая</x:v>
      </x:c>
      <x:c r="Z564" s="28" t="str">
        <x:v>Таблица сочетания(1).pdf</x:v>
      </x:c>
      <x:c r="AA564" s="28" t="str">
        <x:v>Таблица сочетания(1).pdf: 13</x:v>
      </x:c>
      <x:c r="AB564" s="28" t="str">
        <x:v>Пара указана в таблице: «Мандарин» → колонка «Травы и специи».</x:v>
      </x:c>
      <x:c r="AC564" s="28" t="n">
        <x:v>1</x:v>
      </x:c>
      <x:c r="AD564" s="28" t="n">
        <x:v>1</x:v>
      </x:c>
    </x:row>
    <x:row r="565" ht="58" customHeight="1">
      <x:c r="A565" s="28" t="str">
        <x:v>CIT-0564</x:v>
      </x:c>
      <x:c r="B565" s="28" t="str">
        <x:v>Десерты и выпечка</x:v>
      </x:c>
      <x:c r="C565" s="28" t="str">
        <x:v>мандарин</x:v>
      </x:c>
      <x:c r="D565" s="28" t="str">
        <x:v>mandarin</x:v>
      </x:c>
      <x:c r="E565" s="28" t="str">
        <x:v>Цитрусовые</x:v>
      </x:c>
      <x:c r="F565" s="28" t="str">
        <x:v>макадамия</x:v>
      </x:c>
      <x:c r="G565" s="28" t="str">
        <x:v>macadamia nut</x:v>
      </x:c>
      <x:c r="H565" s="28" t="str">
        <x:v>Орехи и семена</x:v>
      </x:c>
      <x:c r="I565" s="28" t="str">
        <x:v>цитрусовый, фруктовый, цветочный, пряный</x:v>
      </x:c>
      <x:c r="J565" s="28" t="str">
        <x:v>ореховый, обжаренный, жирный, зелёный</x:v>
      </x:c>
      <x:c r="K565" s="28" t="str">
        <x:v>лимонен, гамма-терпинен, метил-N-метилантранилат, линалол</x:v>
      </x:c>
      <x:c r="L565" s="28" t="str">
        <x:v>пиразины, альдегиды окисления жиров, бензальдегид (миндаль)</x:v>
      </x:c>
      <x:c r="M565" s="28" t="str">
        <x:v>прямое семейное перекрытие не является главным механизмом</x:v>
      </x:c>
      <x:c r="N565" s="28" t="str">
        <x:v>надёжный общий маркер не заявлен; сочетание объясняется семействами и сенсорным балансом</x:v>
      </x:c>
      <x:c r="O565" s="28" t="str">
        <x:v>вкусовой баланс, влияние матрицы/растворимости</x:v>
      </x:c>
      <x:c r="P565" s="28" t="str">
        <x:v>Кислотность и лёгкая горечь цитруса снижают ощущение жирности; соль и умами, в свою очередь, делают фруктовую часть менее резкой.</x:v>
      </x:c>
      <x:c r="Q565" s="28" t="str">
        <x:v>нет выраженного; нет выраженного</x:v>
      </x:c>
      <x:c r="R565" s="28" t="str">
        <x:v>сок водный; кожура богата эфирным маслом; высокая жирность растворяет терпеновые масла цитруса</x:v>
      </x:c>
      <x:c r="S565"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65" s="28" t="str">
        <x:v>Мандарин формирует профиль «цитрусовый, фруктовый, цветочный, пряный»; характерные маркеры: лимонен, гамма-терпинен, метил-N-метилантранилат, линалол. Макадамия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U565" s="28" t="str">
        <x:v>Избыток кислоты делает вкус плоско-резким; белая часть кожуры даёт лишнюю горечь.</x:v>
      </x:c>
      <x:c r="V565" s="28" t="str">
        <x:v>мёд или шоколад</x:v>
      </x:c>
      <x:c r="W565" s="28" t="str">
        <x:v>пралине, крем, выпечка, салат или ореховый соус</x:v>
      </x:c>
      <x:c r="X565" s="28" t="str">
        <x:v>десерты</x:v>
      </x:c>
      <x:c r="Y565" s="28" t="str">
        <x:v>Средняя</x:v>
      </x:c>
      <x:c r="Z565" s="28" t="str">
        <x:v>The Art &amp; Science of Foodpairing.pdf</x:v>
      </x:c>
      <x:c r="AA565" s="28" t="str">
        <x:v>The Art &amp; Science of Foodpairing.pdf: 188</x:v>
      </x:c>
      <x:c r="AB565" s="28" t="str">
        <x:v>Пара представлена в ароматической диаграмме Foodpairing на странице 188.</x:v>
      </x:c>
      <x:c r="AC565" s="28" t="n">
        <x:v>1</x:v>
      </x:c>
      <x:c r="AD565" s="28" t="n">
        <x:v>1</x:v>
      </x:c>
    </x:row>
    <x:row r="566" ht="58" customHeight="1">
      <x:c r="A566" s="28" t="str">
        <x:v>CIT-0565</x:v>
      </x:c>
      <x:c r="B566" s="28" t="str">
        <x:v>Десерты и выпечка</x:v>
      </x:c>
      <x:c r="C566" s="28" t="str">
        <x:v>мандарин</x:v>
      </x:c>
      <x:c r="D566" s="28" t="str">
        <x:v>мандарин</x:v>
      </x:c>
      <x:c r="E566" s="28" t="str">
        <x:v>Цитрусовые</x:v>
      </x:c>
      <x:c r="F566" s="28" t="str">
        <x:v>манго</x:v>
      </x:c>
      <x:c r="G566" s="28" t="str">
        <x:v>Манго</x:v>
      </x:c>
      <x:c r="H566" s="28" t="str">
        <x:v>Тропические фрукты</x:v>
      </x:c>
      <x:c r="I566" s="28" t="str">
        <x:v>цитрусовый, фруктовый, цветочный, пряный</x:v>
      </x:c>
      <x:c r="J566" s="28" t="str">
        <x:v>фруктовый, тропический, цветочный, сливочный</x:v>
      </x:c>
      <x:c r="K566" s="28" t="str">
        <x:v>лимонен, гамма-терпинен, метил-N-метилантранилат, линалол</x:v>
      </x:c>
      <x:c r="L566" s="28" t="str">
        <x:v>этилбутират, гексилацетат, лактоны, сернистые тиолы (у части фруктов)</x:v>
      </x:c>
      <x:c r="M566" s="28" t="str">
        <x:v>фруктовый, цветочный</x:v>
      </x:c>
      <x:c r="N566" s="28" t="str">
        <x:v>надёжный общий маркер не заявлен; сочетание объясняется семействами и сенсорным балансом</x:v>
      </x:c>
      <x:c r="O566" s="28" t="str">
        <x:v>перекрытие ароматических семейств, вкусовой баланс</x:v>
      </x:c>
      <x:c r="P566" s="28" t="str">
        <x:v>Общая фруктовая сладость и летучие эфиры создают непрерывный ароматический профиль, а цитрусовая кислота повышает контраст и свежесть.</x:v>
      </x:c>
      <x:c r="Q566" s="28" t="str">
        <x:v>нет выраженного; нет выраженного</x:v>
      </x:c>
      <x:c r="R566" s="28" t="str">
        <x:v>сок водный; кожура богата эфирным маслом; сочная или кремовая фруктовая матрица</x:v>
      </x:c>
      <x:c r="S56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66" s="28" t="str">
        <x:v>Мандарин формирует профиль «цитрусовый, фруктовый, цветочный, пряный»; характерные маркеры: лимонен, гамма-терпинен, метил-N-метилантранилат, линалол.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U566" s="28" t="str">
        <x:v>Избыток кислоты делает вкус плоско-резким; белая часть кожуры даёт лишнюю горечь.</x:v>
      </x:c>
      <x:c r="V566" s="28" t="str">
        <x:v>кокос или имбирь</x:v>
      </x:c>
      <x:c r="W566" s="28" t="str">
        <x:v>смузи, кордиал, сорбет, чатни или коктейль</x:v>
      </x:c>
      <x:c r="X566" s="28" t="str">
        <x:v>напитки, десерты</x:v>
      </x:c>
      <x:c r="Y566" s="28" t="str">
        <x:v>Гипотеза / практическая</x:v>
      </x:c>
      <x:c r="Z566" s="28" t="str">
        <x:v>Таблица сочетания(1).pdf</x:v>
      </x:c>
      <x:c r="AA566" s="28" t="str">
        <x:v>Таблица сочетания(1).pdf: 13</x:v>
      </x:c>
      <x:c r="AB566" s="28" t="str">
        <x:v>Пара указана в таблице: «Манго» → колонка «Фрукты».</x:v>
      </x:c>
      <x:c r="AC566" s="28" t="n">
        <x:v>1</x:v>
      </x:c>
      <x:c r="AD566" s="28" t="n">
        <x:v>1</x:v>
      </x:c>
    </x:row>
    <x:row r="567" ht="58" customHeight="1">
      <x:c r="A567" s="28" t="str">
        <x:v>CIT-0566</x:v>
      </x:c>
      <x:c r="B567" s="28" t="str">
        <x:v>Десерты и выпечка</x:v>
      </x:c>
      <x:c r="C567" s="28" t="str">
        <x:v>мандарин</x:v>
      </x:c>
      <x:c r="D567" s="28" t="str">
        <x:v>Мандарин</x:v>
      </x:c>
      <x:c r="E567" s="28" t="str">
        <x:v>Цитрусовые</x:v>
      </x:c>
      <x:c r="F567" s="28" t="str">
        <x:v>мёд</x:v>
      </x:c>
      <x:c r="G567" s="28" t="str">
        <x:v>мёд</x:v>
      </x:c>
      <x:c r="H567" s="28" t="str">
        <x:v>Подсластители</x:v>
      </x:c>
      <x:c r="I567" s="28" t="str">
        <x:v>цитрусовый, фруктовый, цветочный, пряный</x:v>
      </x:c>
      <x:c r="J567" s="28" t="str">
        <x:v>медовый, цветочный, карамельный</x:v>
      </x:c>
      <x:c r="K567" s="28" t="str">
        <x:v>лимонен, гамма-терпинен, метил-N-метилантранилат, линалол</x:v>
      </x:c>
      <x:c r="L567" s="28" t="str">
        <x:v>фенилуксусные соединения, фураны, норизопреноиды</x:v>
      </x:c>
      <x:c r="M567" s="28" t="str">
        <x:v>цветочный</x:v>
      </x:c>
      <x:c r="N567" s="28" t="str">
        <x:v>надёжный общий маркер не заявлен; сочетание объясняется семействами и сенсорным балансом</x:v>
      </x:c>
      <x:c r="O567" s="28" t="str">
        <x:v>перекрытие ароматических семейств, вкусовой баланс</x:v>
      </x:c>
      <x:c r="P567" s="28" t="str">
        <x:v>Сладость подавляет воспринимаемую кислотность и горечь кожуры, а кислота не даёт сочетанию стать приторным.</x:v>
      </x:c>
      <x:c r="Q567" s="28" t="str">
        <x:v>нет выраженного; нет выраженного</x:v>
      </x:c>
      <x:c r="R567" s="28" t="str">
        <x:v>сок водный; кожура богата эфирным маслом; сахар повышает вязкость и снижает воспринимаемую кислотность</x:v>
      </x:c>
      <x:c r="S56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67" s="28" t="str">
        <x:v>Мандарин формирует профиль «цитрусовый, фруктовый, цветочный, пряный»; характерные маркеры: лимонен, гамма-терпинен, метил-N-метилантранилат, линалол.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U567" s="28" t="str">
        <x:v>Избыток кислоты делает вкус плоско-резким; белая часть кожуры даёт лишнюю горечь.</x:v>
      </x:c>
      <x:c r="V567" s="28" t="str">
        <x:v>имбирь или ваниль</x:v>
      </x:c>
      <x:c r="W567" s="28" t="str">
        <x:v>сироп, мармелад, крем, глазурь или лимонад</x:v>
      </x:c>
      <x:c r="X567" s="28" t="str">
        <x:v>напитки, десерты</x:v>
      </x:c>
      <x:c r="Y567" s="28" t="str">
        <x:v>Гипотеза / практическая</x:v>
      </x:c>
      <x:c r="Z567" s="28" t="str">
        <x:v>Таблица сочетания(1).pdf</x:v>
      </x:c>
      <x:c r="AA567" s="28" t="str">
        <x:v>Таблица сочетания(1).pdf: 12</x:v>
      </x:c>
      <x:c r="AB567" s="28" t="str">
        <x:v>Пара указана в таблице: «Мандарин» → колонка «Другое».</x:v>
      </x:c>
      <x:c r="AC567" s="28" t="n">
        <x:v>1</x:v>
      </x:c>
      <x:c r="AD567" s="28" t="n">
        <x:v>1</x:v>
      </x:c>
    </x:row>
    <x:row r="568" ht="58" customHeight="1">
      <x:c r="A568" s="28" t="str">
        <x:v>CIT-0567</x:v>
      </x:c>
      <x:c r="B568" s="28" t="str">
        <x:v>Десерты и выпечка</x:v>
      </x:c>
      <x:c r="C568" s="28" t="str">
        <x:v>мандарин</x:v>
      </x:c>
      <x:c r="D568" s="28" t="str">
        <x:v>Мандарин</x:v>
      </x:c>
      <x:c r="E568" s="28" t="str">
        <x:v>Цитрусовые</x:v>
      </x:c>
      <x:c r="F568" s="28" t="str">
        <x:v>мускатный орех</x:v>
      </x:c>
      <x:c r="G568" s="28" t="str">
        <x:v>мускатный орех</x:v>
      </x:c>
      <x:c r="H568" s="28" t="str">
        <x:v>Орехи и семена</x:v>
      </x:c>
      <x:c r="I568" s="28" t="str">
        <x:v>цитрусовый, фруктовый, цветочный, пряный</x:v>
      </x:c>
      <x:c r="J568" s="28" t="str">
        <x:v>ореховый, обжаренный, жирный, зелёный</x:v>
      </x:c>
      <x:c r="K568" s="28" t="str">
        <x:v>лимонен, гамма-терпинен, метил-N-метилантранилат, линалол</x:v>
      </x:c>
      <x:c r="L568" s="28" t="str">
        <x:v>пиразины, альдегиды окисления жиров, бензальдегид (миндаль)</x:v>
      </x:c>
      <x:c r="M568" s="28" t="str">
        <x:v>прямое семейное перекрытие не является главным механизмом</x:v>
      </x:c>
      <x:c r="N568" s="28" t="str">
        <x:v>надёжный общий маркер не заявлен; сочетание объясняется семействами и сенсорным балансом</x:v>
      </x:c>
      <x:c r="O568" s="28" t="str">
        <x:v>вкусовой баланс, влияние матрицы/растворимости</x:v>
      </x:c>
      <x:c r="P568" s="28" t="str">
        <x:v>Кислотность и лёгкая горечь цитруса снижают ощущение жирности; соль и умами, в свою очередь, делают фруктовую часть менее резкой.</x:v>
      </x:c>
      <x:c r="Q568" s="28" t="str">
        <x:v>нет выраженного; нет выраженного</x:v>
      </x:c>
      <x:c r="R568" s="28" t="str">
        <x:v>сок водный; кожура богата эфирным маслом; высокая жирность растворяет терпеновые масла цитруса</x:v>
      </x:c>
      <x:c r="S56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68" s="28" t="str">
        <x:v>Мандарин формирует профиль «цитрусовый, фруктовый, цветочный, пряный»; характерные маркеры: лимонен, гамма-терпинен, метил-N-метилантранилат, линалол. Мускатный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U568" s="28" t="str">
        <x:v>Избыток кислоты делает вкус плоско-резким; белая часть кожуры даёт лишнюю горечь.</x:v>
      </x:c>
      <x:c r="V568" s="28" t="str">
        <x:v>мёд или шоколад</x:v>
      </x:c>
      <x:c r="W568" s="28" t="str">
        <x:v>пралине, крем, выпечка, салат или ореховый соус</x:v>
      </x:c>
      <x:c r="X568" s="28" t="str">
        <x:v>десерты</x:v>
      </x:c>
      <x:c r="Y568" s="28" t="str">
        <x:v>Гипотеза / практическая</x:v>
      </x:c>
      <x:c r="Z568" s="28" t="str">
        <x:v>Таблица сочетания(1).pdf</x:v>
      </x:c>
      <x:c r="AA568" s="28" t="str">
        <x:v>Таблица сочетания(1).pdf: 12</x:v>
      </x:c>
      <x:c r="AB568" s="28" t="str">
        <x:v>Пара указана в таблице: «Мандарин» → колонка «Травы и специи».</x:v>
      </x:c>
      <x:c r="AC568" s="28" t="n">
        <x:v>1</x:v>
      </x:c>
      <x:c r="AD568" s="28" t="n">
        <x:v>1</x:v>
      </x:c>
    </x:row>
    <x:row r="569" ht="58" customHeight="1">
      <x:c r="A569" s="28" t="str">
        <x:v>CIT-0568</x:v>
      </x:c>
      <x:c r="B569" s="28" t="str">
        <x:v>Универсальные</x:v>
      </x:c>
      <x:c r="C569" s="28" t="str">
        <x:v>мандарин</x:v>
      </x:c>
      <x:c r="D569" s="28" t="str">
        <x:v>Мандарин</x:v>
      </x:c>
      <x:c r="E569" s="28" t="str">
        <x:v>Цитрусовые</x:v>
      </x:c>
      <x:c r="F569" s="28" t="str">
        <x:v>мята</x:v>
      </x:c>
      <x:c r="G569" s="28" t="str">
        <x:v>мята</x:v>
      </x:c>
      <x:c r="H569" s="28" t="str">
        <x:v>Травы</x:v>
      </x:c>
      <x:c r="I569" s="28" t="str">
        <x:v>цитрусовый, фруктовый, цветочный, пряный</x:v>
      </x:c>
      <x:c r="J569" s="28" t="str">
        <x:v>мятный, зелёный, свежий</x:v>
      </x:c>
      <x:c r="K569" s="28" t="str">
        <x:v>лимонен, гамма-терпинен, метил-N-метилантранилат, линалол</x:v>
      </x:c>
      <x:c r="L569" s="28" t="str">
        <x:v>ментол, ментон, 1,8-цинеол</x:v>
      </x:c>
      <x:c r="M569" s="28" t="str">
        <x:v>прямое семейное перекрытие не является главным механизмом</x:v>
      </x:c>
      <x:c r="N569" s="28" t="str">
        <x:v>надёжный общий маркер не заявлен; сочетание объясняется семействами и сенсорным балансом</x:v>
      </x:c>
      <x:c r="O569" s="28" t="str">
        <x:v>вкусовой баланс, тройничное восприятие</x:v>
      </x:c>
      <x:c r="P569" s="28" t="str">
        <x:v>Кислота усиливает слюноотделение и делает пряный аромат ярче; терпены цитруса образуют мост с эфирными маслами травы или специи.</x:v>
      </x:c>
      <x:c r="Q569" s="28" t="str">
        <x:v>нет выраженного; ментол активирует TRPM8 и создаёт охлаждение</x:v>
      </x:c>
      <x:c r="R569" s="28" t="str">
        <x:v>сок водный; кожура богата эфирным маслом; эфирные масла извлекаются спиртом; длительный нагрев снижает свежесть</x:v>
      </x:c>
      <x:c r="S56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69" s="28" t="str">
        <x:v>Мандарин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U569" s="28" t="str">
        <x:v>Избыток кислоты делает вкус плоско-резким; белая часть кожуры даёт лишнюю горечь; цитрус легко подавляет деликатный аромат партнёра.</x:v>
      </x:c>
      <x:c r="V569" s="28" t="str">
        <x:v>оливковое масло или огурец</x:v>
      </x:c>
      <x:c r="W569" s="28" t="str">
        <x:v>лимонад, кордиал, салатная заправка или зелёный соус</x:v>
      </x:c>
      <x:c r="X569" s="28" t="str">
        <x:v>напитки, еда, соусы/маринады</x:v>
      </x:c>
      <x:c r="Y569" s="28" t="str">
        <x:v>Гипотеза / практическая</x:v>
      </x:c>
      <x:c r="Z569" s="28" t="str">
        <x:v>Таблица сочетания(1).pdf</x:v>
      </x:c>
      <x:c r="AA569" s="28" t="str">
        <x:v>Таблица сочетания(1).pdf: 13</x:v>
      </x:c>
      <x:c r="AB569" s="28" t="str">
        <x:v>Пара указана в таблице: «Мандарин» → колонка «Травы и специи».</x:v>
      </x:c>
      <x:c r="AC569" s="28" t="n">
        <x:v>1</x:v>
      </x:c>
      <x:c r="AD569" s="28" t="n">
        <x:v>1</x:v>
      </x:c>
    </x:row>
    <x:row r="570" ht="58" customHeight="1">
      <x:c r="A570" s="28" t="str">
        <x:v>CIT-0569</x:v>
      </x:c>
      <x:c r="B570" s="28" t="str">
        <x:v>Еда и соусы</x:v>
      </x:c>
      <x:c r="C570" s="28" t="str">
        <x:v>мандарин</x:v>
      </x:c>
      <x:c r="D570" s="28" t="str">
        <x:v>mandarin</x:v>
      </x:c>
      <x:c r="E570" s="28" t="str">
        <x:v>Цитрусовые</x:v>
      </x:c>
      <x:c r="F570" s="28" t="str">
        <x:v>пастернак</x:v>
      </x:c>
      <x:c r="G570" s="28" t="str">
        <x:v>parsnip</x:v>
      </x:c>
      <x:c r="H570" s="28" t="str">
        <x:v>Овощи</x:v>
      </x:c>
      <x:c r="I570" s="28" t="str">
        <x:v>цитрусовый, фруктовый, цветочный, пряный</x:v>
      </x:c>
      <x:c r="J570" s="28" t="str">
        <x:v>зелёный, землистый, растительный, иногда сернистый</x:v>
      </x:c>
      <x:c r="K570" s="28" t="str">
        <x:v>лимонен, гамма-терпинен, метил-N-метилантранилат, линалол</x:v>
      </x:c>
      <x:c r="L570" s="28" t="str">
        <x:v>C6-альдегиды, метоксипиразины, геосмин (землистые), сернистые соединения</x:v>
      </x:c>
      <x:c r="M570" s="28" t="str">
        <x:v>прямое семейное перекрытие не является главным механизмом</x:v>
      </x:c>
      <x:c r="N570" s="28" t="str">
        <x:v>надёжный общий маркер не заявлен; сочетание объясняется семействами и сенсорным балансом</x:v>
      </x:c>
      <x:c r="O570" s="28" t="str">
        <x:v>вкусовой баланс</x:v>
      </x:c>
      <x:c r="P570" s="28" t="str">
        <x:v>Кислота подчёркивает природную сладость овоща, сокращает землистое/сернистое послевкусие и повышает слюноотделение.</x:v>
      </x:c>
      <x:c r="Q570" s="28" t="str">
        <x:v>нет выраженного; нет выраженного</x:v>
      </x:c>
      <x:c r="R570" s="28" t="str">
        <x:v>сок водный; кожура богата эфирным маслом; водная/крахмальная матрица; масло помогает распределить цедру</x:v>
      </x:c>
      <x:c r="S57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70" s="28" t="str">
        <x:v>Мандарин формирует профиль «цитрусовый, фруктовый, цветочный, пряный»; характерные маркеры: лимонен, гамма-терпинен, метил-N-метилантранилат, линалол. Пастернак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U570" s="28" t="str">
        <x:v>Избыток кислоты делает вкус плоско-резким; белая часть кожуры даёт лишнюю горечь.</x:v>
      </x:c>
      <x:c r="V570" s="28" t="str">
        <x:v>оливковое масло или базилик</x:v>
      </x:c>
      <x:c r="W570" s="28" t="str">
        <x:v>винегрет, салат, пюре, запечённое блюдо или овощной соус</x:v>
      </x:c>
      <x:c r="X570" s="28" t="str">
        <x:v>еда, соусы/маринады</x:v>
      </x:c>
      <x:c r="Y570" s="28" t="str">
        <x:v>Средняя</x:v>
      </x:c>
      <x:c r="Z570" s="28" t="str">
        <x:v>The Art &amp; Science of Foodpairing.pdf</x:v>
      </x:c>
      <x:c r="AA570" s="28" t="str">
        <x:v>The Art &amp; Science of Foodpairing.pdf: 260</x:v>
      </x:c>
      <x:c r="AB570" s="28" t="str">
        <x:v>Пара представлена в ароматической диаграмме Foodpairing на странице 260.</x:v>
      </x:c>
      <x:c r="AC570" s="28" t="n">
        <x:v>1</x:v>
      </x:c>
      <x:c r="AD570" s="28" t="n">
        <x:v>1</x:v>
      </x:c>
    </x:row>
    <x:row r="571" ht="58" customHeight="1">
      <x:c r="A571" s="28" t="str">
        <x:v>CIT-0570</x:v>
      </x:c>
      <x:c r="B571" s="28" t="str">
        <x:v>Универсальные</x:v>
      </x:c>
      <x:c r="C571" s="28" t="str">
        <x:v>мандарин</x:v>
      </x:c>
      <x:c r="D571" s="28" t="str">
        <x:v>mandarin</x:v>
      </x:c>
      <x:c r="E571" s="28" t="str">
        <x:v>Цитрусовые</x:v>
      </x:c>
      <x:c r="F571" s="28" t="str">
        <x:v>перец горошком</x:v>
      </x:c>
      <x:c r="G571" s="28" t="str">
        <x:v>peppercorns</x:v>
      </x:c>
      <x:c r="H571" s="28" t="str">
        <x:v>Пряности</x:v>
      </x:c>
      <x:c r="I571" s="28" t="str">
        <x:v>цитрусовый, фруктовый, цветочный, пряный</x:v>
      </x:c>
      <x:c r="J571" s="28" t="str">
        <x:v>пряный, древесный, цитрусовый</x:v>
      </x:c>
      <x:c r="K571" s="28" t="str">
        <x:v>лимонен, гамма-терпинен, метил-N-метилантранилат, линалол</x:v>
      </x:c>
      <x:c r="L571" s="28" t="str">
        <x:v>пиперин, лимонен, сабинен, бета-кариофиллен</x:v>
      </x:c>
      <x:c r="M571" s="28" t="str">
        <x:v>пряный, цитрусовый</x:v>
      </x:c>
      <x:c r="N571" s="28" t="str">
        <x:v>лимонен</x:v>
      </x:c>
      <x:c r="O571" s="28" t="str">
        <x:v>общие ароматические молекулы, перекрытие ароматических семейств, вкусовой баланс, тройничное восприятие</x:v>
      </x:c>
      <x:c r="P571" s="28" t="str">
        <x:v>Кислота усиливает слюноотделение и делает пряный аромат ярче; терпены цитруса образуют мост с эфирными маслами травы или специи.</x:v>
      </x:c>
      <x:c r="Q571" s="28" t="str">
        <x:v>нет выраженного; пиперин создаёт длительное тепло; сычуаньский перец — покалывание</x:v>
      </x:c>
      <x:c r="R571" s="28" t="str">
        <x:v>сок водный; кожура богата эфирным маслом; ароматические масла и пиперин лучше раскрываются в жире/спирте</x:v>
      </x:c>
      <x:c r="S57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71" s="28" t="str">
        <x:v>Мандарин формирует профиль «цитрусовый, фруктовый, цветочный, пряный»; характерные маркеры: лимонен, гамма-терпинен, метил-N-метилантранилат, линалол. Перец горошком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U571" s="28" t="str">
        <x:v>Избыток кислоты делает вкус плоско-резким; белая часть кожуры даёт лишнюю горечь.</x:v>
      </x:c>
      <x:c r="V571" s="28" t="str">
        <x:v>мёд или ваниль</x:v>
      </x:c>
      <x:c r="W571" s="28" t="str">
        <x:v>сироп, кордиал, чатни, маринад или пряный десерт</x:v>
      </x:c>
      <x:c r="X571" s="28" t="str">
        <x:v>напитки, еда, соусы/маринады</x:v>
      </x:c>
      <x:c r="Y571" s="28" t="str">
        <x:v>Средняя</x:v>
      </x:c>
      <x:c r="Z571" s="28" t="str">
        <x:v>The Art &amp; Science of Foodpairing.pdf</x:v>
      </x:c>
      <x:c r="AA571" s="28" t="str">
        <x:v>The Art &amp; Science of Foodpairing.pdf: 273</x:v>
      </x:c>
      <x:c r="AB571" s="28" t="str">
        <x:v>Пара представлена в ароматической диаграмме Foodpairing на странице 273.</x:v>
      </x:c>
      <x:c r="AC571" s="28" t="n">
        <x:v>1</x:v>
      </x:c>
      <x:c r="AD571" s="28" t="n">
        <x:v>1</x:v>
      </x:c>
    </x:row>
    <x:row r="572" ht="58" customHeight="1">
      <x:c r="A572" s="28" t="str">
        <x:v>CIT-0571</x:v>
      </x:c>
      <x:c r="B572" s="28" t="str">
        <x:v>Десерты и выпечка</x:v>
      </x:c>
      <x:c r="C572" s="28" t="str">
        <x:v>мандарин</x:v>
      </x:c>
      <x:c r="D572" s="28" t="str">
        <x:v>mandarin</x:v>
      </x:c>
      <x:c r="E572" s="28" t="str">
        <x:v>Цитрусовые</x:v>
      </x:c>
      <x:c r="F572" s="28" t="str">
        <x:v>приготовленный чёрный рис</x:v>
      </x:c>
      <x:c r="G572" s="28" t="str">
        <x:v>cooked black rice</x:v>
      </x:c>
      <x:c r="H572" s="28" t="str">
        <x:v>Злаки и хлеб</x:v>
      </x:c>
      <x:c r="I572" s="28" t="str">
        <x:v>цитрусовый, фруктовый, цветочный, пряный</x:v>
      </x:c>
      <x:c r="J572" s="28" t="str">
        <x:v>зерновой, обжаренный, ореховый, дрожжевой</x:v>
      </x:c>
      <x:c r="K572" s="28" t="str">
        <x:v>лимонен, гамма-терпинен, метил-N-метилантранилат, линалол</x:v>
      </x:c>
      <x:c r="L572" s="28" t="str">
        <x:v>пиразины, мальтол, фураны, эфиры брожения</x:v>
      </x:c>
      <x:c r="M572" s="28" t="str">
        <x:v>прямое семейное перекрытие не является главным механизмом</x:v>
      </x:c>
      <x:c r="N572" s="28" t="str">
        <x:v>надёжный общий маркер не заявлен; сочетание объясняется семействами и сенсорным балансом</x:v>
      </x:c>
      <x:c r="O572" s="28" t="str">
        <x:v>вкусовой баланс</x:v>
      </x:c>
      <x:c r="P572" s="28" t="str">
        <x:v>Высокая кисло-ароматическая нота контрастирует с жареными, горькими и карамельными оттенками; сахар или жир связывает два регистра.</x:v>
      </x:c>
      <x:c r="Q572" s="28" t="str">
        <x:v>нет выраженного; нет выраженного</x:v>
      </x:c>
      <x:c r="R572" s="28" t="str">
        <x:v>сок водный; кожура богата эфирным маслом; крахмал смягчает кислотность; жир/масло помогает аромату цедры</x:v>
      </x:c>
      <x:c r="S57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72" s="28" t="str">
        <x:v>Мандарин формирует профиль «цитрусовый, фруктовый, цветочный, пряный»; характерные маркеры: лимонен, гамма-терпинен, метил-N-метилантранилат, линалол. Приготовленный чёрный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U572" s="28" t="str">
        <x:v>Избыток кислоты делает вкус плоско-резким; белая часть кожуры даёт лишнюю горечь.</x:v>
      </x:c>
      <x:c r="V572" s="28" t="str">
        <x:v>сливочное масло или мёд</x:v>
      </x:c>
      <x:c r="W572" s="28" t="str">
        <x:v>кекс, каша, хлеб, крамбл или салат</x:v>
      </x:c>
      <x:c r="X572" s="28" t="str">
        <x:v>десерты, еда</x:v>
      </x:c>
      <x:c r="Y572" s="28" t="str">
        <x:v>Средняя</x:v>
      </x:c>
      <x:c r="Z572" s="28" t="str">
        <x:v>The Art &amp; Science of Foodpairing.pdf</x:v>
      </x:c>
      <x:c r="AA572" s="28" t="str">
        <x:v>The Art &amp; Science of Foodpairing.pdf: 273</x:v>
      </x:c>
      <x:c r="AB572" s="28" t="str">
        <x:v>Пара представлена в ароматической диаграмме Foodpairing на странице 273.</x:v>
      </x:c>
      <x:c r="AC572" s="28" t="n">
        <x:v>1</x:v>
      </x:c>
      <x:c r="AD572" s="28" t="n">
        <x:v>1</x:v>
      </x:c>
    </x:row>
    <x:row r="573" ht="58" customHeight="1">
      <x:c r="A573" s="28" t="str">
        <x:v>CIT-0572</x:v>
      </x:c>
      <x:c r="B573" s="28" t="str">
        <x:v>Десерты и выпечка</x:v>
      </x:c>
      <x:c r="C573" s="28" t="str">
        <x:v>мандарин</x:v>
      </x:c>
      <x:c r="D573" s="28" t="str">
        <x:v>mandarin</x:v>
      </x:c>
      <x:c r="E573" s="28" t="str">
        <x:v>Цитрусовые</x:v>
      </x:c>
      <x:c r="F573" s="28" t="str">
        <x:v>рапсовое масло</x:v>
      </x:c>
      <x:c r="G573" s="28" t="str">
        <x:v>rapeseed oil</x:v>
      </x:c>
      <x:c r="H573" s="28" t="str">
        <x:v>Молочные продукты</x:v>
      </x:c>
      <x:c r="I573" s="28" t="str">
        <x:v>цитрусовый, фруктовый, цветочный, пряный</x:v>
      </x:c>
      <x:c r="J573" s="28" t="str">
        <x:v>сливочный, молочный, масляный, иногда животный</x:v>
      </x:c>
      <x:c r="K573" s="28" t="str">
        <x:v>лимонен, гамма-терпинен, метил-N-метилантранилат, линалол</x:v>
      </x:c>
      <x:c r="L573" s="28" t="str">
        <x:v>диацетил, молочные лактоны, свободные жирные кислоты</x:v>
      </x:c>
      <x:c r="M573" s="28" t="str">
        <x:v>прямое семейное перекрытие не является главным механизмом</x:v>
      </x:c>
      <x:c r="N573" s="28" t="str">
        <x:v>надёжный общий маркер не заявлен; сочетание объясняется семействами и сенсорным балансом</x:v>
      </x:c>
      <x:c r="O573" s="28" t="str">
        <x:v>вкусовой баланс, влияние матрицы/растворимости</x:v>
      </x:c>
      <x:c r="P573" s="28" t="str">
        <x:v>Кислотность и лёгкая горечь цитруса снижают ощущение жирности; соль и умами, в свою очередь, делают фруктовую часть менее резкой.</x:v>
      </x:c>
      <x:c r="Q573" s="28" t="str">
        <x:v>нет выраженного; нет выраженного</x:v>
      </x:c>
      <x:c r="R573" s="28" t="str">
        <x:v>сок водный; кожура богата эфирным маслом; жир растворяет терпены; кислота цитруса может коагулировать молочный белок</x:v>
      </x:c>
      <x:c r="S573"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573" s="28" t="str">
        <x:v>Мандарин формирует профиль «цитрусовый, фруктовый, цветочный, пряный»; характерные маркеры: лимонен, гамма-терпинен, метил-N-метилантранилат, линалол. Рапсовое масло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режет жирность и освежает, а молочная матрица смягчает кислотность.</x:v>
      </x:c>
      <x:c r="U573" s="28" t="str">
        <x:v>Избыток кислоты делает вкус плоско-резким; белая часть кожуры даёт лишнюю горечь; возможна коагуляция белка.</x:v>
      </x:c>
      <x:c r="V573" s="28" t="str">
        <x:v>мёд или ваниль</x:v>
      </x:c>
      <x:c r="W573" s="28" t="str">
        <x:v>чизкейк, крем, мороженое, соус или салат</x:v>
      </x:c>
      <x:c r="X573" s="28" t="str">
        <x:v>десерты, еда</x:v>
      </x:c>
      <x:c r="Y573" s="28" t="str">
        <x:v>Средняя</x:v>
      </x:c>
      <x:c r="Z573" s="28" t="str">
        <x:v>The Art &amp; Science of Foodpairing.pdf</x:v>
      </x:c>
      <x:c r="AA573" s="28" t="str">
        <x:v>The Art &amp; Science of Foodpairing.pdf: 273</x:v>
      </x:c>
      <x:c r="AB573" s="28" t="str">
        <x:v>Пара представлена в ароматической диаграмме Foodpairing на странице 273.</x:v>
      </x:c>
      <x:c r="AC573" s="28" t="n">
        <x:v>1</x:v>
      </x:c>
      <x:c r="AD573" s="28" t="n">
        <x:v>1</x:v>
      </x:c>
    </x:row>
    <x:row r="574" ht="58" customHeight="1">
      <x:c r="A574" s="28" t="str">
        <x:v>CIT-0573</x:v>
      </x:c>
      <x:c r="B574" s="28" t="str">
        <x:v>Универсальные</x:v>
      </x:c>
      <x:c r="C574" s="28" t="str">
        <x:v>мандарин</x:v>
      </x:c>
      <x:c r="D574" s="28" t="str">
        <x:v>Мандарин</x:v>
      </x:c>
      <x:c r="E574" s="28" t="str">
        <x:v>Цитрусовые</x:v>
      </x:c>
      <x:c r="F574" s="28" t="str">
        <x:v>розмарин</x:v>
      </x:c>
      <x:c r="G574" s="28" t="str">
        <x:v>розмарин</x:v>
      </x:c>
      <x:c r="H574" s="28" t="str">
        <x:v>Травы</x:v>
      </x:c>
      <x:c r="I574" s="28" t="str">
        <x:v>цитрусовый, фруктовый, цветочный, пряный</x:v>
      </x:c>
      <x:c r="J574" s="28" t="str">
        <x:v>травяной, хвойный, камфорный, древесный</x:v>
      </x:c>
      <x:c r="K574" s="28" t="str">
        <x:v>лимонен, гамма-терпинен, метил-N-метилантранилат, линалол</x:v>
      </x:c>
      <x:c r="L574" s="28" t="str">
        <x:v>1,8-цинеол, камфора, тимол/карвакрол, альфа-пинен</x:v>
      </x:c>
      <x:c r="M574" s="28" t="str">
        <x:v>прямое семейное перекрытие не является главным механизмом</x:v>
      </x:c>
      <x:c r="N574" s="28" t="str">
        <x:v>надёжный общий маркер не заявлен; сочетание объясняется семействами и сенсорным балансом</x:v>
      </x:c>
      <x:c r="O574" s="28" t="str">
        <x:v>вкусовой баланс, тройничное восприятие</x:v>
      </x:c>
      <x:c r="P574" s="28" t="str">
        <x:v>Кислота усиливает слюноотделение и делает пряный аромат ярче; терпены цитруса образуют мост с эфирными маслами травы или специи.</x:v>
      </x:c>
      <x:c r="Q574" s="28" t="str">
        <x:v>нет выраженного; камфора и цинеол дают прохладно-камфорное ощущение</x:v>
      </x:c>
      <x:c r="R574" s="28" t="str">
        <x:v>сок водный; кожура богата эфирным маслом; эфирные масла лучше раскрываются в жире и спирте</x:v>
      </x:c>
      <x:c r="S57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74" s="28" t="str">
        <x:v>Мандарин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U574" s="28" t="str">
        <x:v>Избыток кислоты делает вкус плоско-резким; белая часть кожуры даёт лишнюю горечь; цитрус легко подавляет деликатный аромат партнёра.</x:v>
      </x:c>
      <x:c r="V574" s="28" t="str">
        <x:v>оливковое масло или огурец</x:v>
      </x:c>
      <x:c r="W574" s="28" t="str">
        <x:v>лимонад, кордиал, салатная заправка или зелёный соус</x:v>
      </x:c>
      <x:c r="X574" s="28" t="str">
        <x:v>напитки, еда, соусы/маринады</x:v>
      </x:c>
      <x:c r="Y574" s="28" t="str">
        <x:v>Гипотеза / практическая</x:v>
      </x:c>
      <x:c r="Z574" s="28" t="str">
        <x:v>Таблица сочетания(1).pdf</x:v>
      </x:c>
      <x:c r="AA574" s="28" t="str">
        <x:v>Таблица сочетания(1).pdf: 13</x:v>
      </x:c>
      <x:c r="AB574" s="28" t="str">
        <x:v>Пара указана в таблице: «Мандарин» → колонка «Травы и специи».</x:v>
      </x:c>
      <x:c r="AC574" s="28" t="n">
        <x:v>1</x:v>
      </x:c>
      <x:c r="AD574" s="28" t="n">
        <x:v>1</x:v>
      </x:c>
    </x:row>
    <x:row r="575" ht="58" customHeight="1">
      <x:c r="A575" s="28" t="str">
        <x:v>CIT-0574</x:v>
      </x:c>
      <x:c r="B575" s="28" t="str">
        <x:v>Напитки</x:v>
      </x:c>
      <x:c r="C575" s="28" t="str">
        <x:v>мандарин</x:v>
      </x:c>
      <x:c r="D575" s="28" t="str">
        <x:v>мандарин</x:v>
      </x:c>
      <x:c r="E575" s="28" t="str">
        <x:v>Цитрусовые</x:v>
      </x:c>
      <x:c r="F575" s="28" t="str">
        <x:v>ромашка</x:v>
      </x:c>
      <x:c r="G575" s="28" t="str">
        <x:v>Ромашка</x:v>
      </x:c>
      <x:c r="H575" s="28" t="str">
        <x:v>Алкогольные напитки</x:v>
      </x:c>
      <x:c r="I575" s="28" t="str">
        <x:v>цитрусовый, фруктовый, цветочный, пряный</x:v>
      </x:c>
      <x:c r="J575" s="28" t="str">
        <x:v>зависит от основы, эфирный, древесный/пряный</x:v>
      </x:c>
      <x:c r="K575" s="28" t="str">
        <x:v>лимонен, гамма-терпинен, метил-N-метилантранилат, линалол</x:v>
      </x:c>
      <x:c r="L575" s="28" t="str">
        <x:v>этанол, эфиры, терпены/дубовые соединения</x:v>
      </x:c>
      <x:c r="M575" s="28" t="str">
        <x:v>прямое семейное перекрытие не является главным механизмом</x:v>
      </x:c>
      <x:c r="N575" s="28" t="str">
        <x:v>надёжный общий маркер не заявлен; сочетание объясняется семействами и сенсорным балансом</x:v>
      </x:c>
      <x:c r="O575" s="28" t="str">
        <x:v>вкусовой баланс, тройничное восприятие, влияние матрицы/растворимости</x:v>
      </x:c>
      <x:c r="P575" s="28" t="str">
        <x:v>Этанол усиливает летучесть терпенов и ощущение тепла; сахар и вода регулируют кислотность, горечь кожуры и спиртуозность.</x:v>
      </x:c>
      <x:c r="Q575" s="28" t="str">
        <x:v>нет выраженного; этанол усиливает тепло и летучесть аромата</x:v>
      </x:c>
      <x:c r="R575" s="28" t="str">
        <x:v>сок водный; кожура богата эфирным маслом; этанол — хороший растворитель гидрофобных эфирных масел</x:v>
      </x:c>
      <x:c r="S575"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575" s="28" t="str">
        <x:v>Мандарин формирует профиль «цитрусовый, фруктовый, цветочный, пряный»; характерные маркеры: лимонен, гамма-терпинен, метил-N-метилантранилат, линалол. Ромашка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U575" s="28" t="str">
        <x:v>Избыток кислоты делает вкус плоско-резким; белая часть кожуры даёт лишнюю горечь.</x:v>
      </x:c>
      <x:c r="V575" s="28" t="str">
        <x:v>сахарный сироп или биттер</x:v>
      </x:c>
      <x:c r="W575" s="28" t="str">
        <x:v>коктейль, спритц, настойка, ликёр или кордиал</x:v>
      </x:c>
      <x:c r="X575" s="28" t="str">
        <x:v>напитки</x:v>
      </x:c>
      <x:c r="Y575" s="28" t="str">
        <x:v>Гипотеза / практическая</x:v>
      </x:c>
      <x:c r="Z575" s="28" t="str">
        <x:v>Таблица сочетания(1).pdf</x:v>
      </x:c>
      <x:c r="AA575" s="28" t="str">
        <x:v>Таблица сочетания(1).pdf: 4</x:v>
      </x:c>
      <x:c r="AB575" s="28" t="str">
        <x:v>Пара указана в таблице: «Ромашка» → колонка «Фрукты».</x:v>
      </x:c>
      <x:c r="AC575" s="28" t="n">
        <x:v>1</x:v>
      </x:c>
      <x:c r="AD575" s="28" t="n">
        <x:v>1</x:v>
      </x:c>
    </x:row>
    <x:row r="576" ht="58" customHeight="1">
      <x:c r="A576" s="28" t="str">
        <x:v>CIT-0575</x:v>
      </x:c>
      <x:c r="B576" s="28" t="str">
        <x:v>Универсальные</x:v>
      </x:c>
      <x:c r="C576" s="28" t="str">
        <x:v>мандарин</x:v>
      </x:c>
      <x:c r="D576" s="28" t="str">
        <x:v>mandarin</x:v>
      </x:c>
      <x:c r="E576" s="28" t="str">
        <x:v>Цитрусовые</x:v>
      </x:c>
      <x:c r="F576" s="28" t="str">
        <x:v>скрэмбл</x:v>
      </x:c>
      <x:c r="G576" s="28" t="str">
        <x:v>scrambled egg</x:v>
      </x:c>
      <x:c r="H576" s="28" t="str">
        <x:v>Прочее</x:v>
      </x:c>
      <x:c r="I576" s="28" t="str">
        <x:v>цитрусовый, фруктовый, цветочный, пряный</x:v>
      </x:c>
      <x:c r="J576" s="28" t="str">
        <x:v>нейтральный/специфический</x:v>
      </x:c>
      <x:c r="K576" s="28" t="str">
        <x:v>лимонен, гамма-терпинен, метил-N-метилантранилат, линалол</x:v>
      </x:c>
      <x:c r="L576" s="28" t="str">
        <x:v>нужен профиль конкретного продукта</x:v>
      </x:c>
      <x:c r="M576" s="28" t="str">
        <x:v>прямое семейное перекрытие не является главным механизмом</x:v>
      </x:c>
      <x:c r="N576" s="28" t="str">
        <x:v>надёжный общий маркер не заявлен; сочетание объясняется семействами и сенсорным балансом</x:v>
      </x:c>
      <x:c r="O576" s="28" t="str">
        <x:v>вкусовой баланс, тройничное восприятие</x:v>
      </x:c>
      <x:c r="P576" s="28" t="str">
        <x:v>Основной эффект определяется ароматическим контрастом и добавлением кислотной свежести; точный баланс зависит от дозировки и матрицы.</x:v>
      </x:c>
      <x:c r="Q576" s="28" t="str">
        <x:v>нет выраженного; нет данных</x:v>
      </x:c>
      <x:c r="R576" s="28" t="str">
        <x:v>сок водный; кожура богата эфирным маслом; зависит от формы продукта</x:v>
      </x:c>
      <x:c r="S57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76" s="28" t="str">
        <x:v>Мандарин формирует профиль «цитрусовый, фруктовый, цветочный, пряный»; характерные маркеры: лимонен, гамма-терпинен, метил-N-метилантранилат, линалол. Скрэмбл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76" s="28" t="str">
        <x:v>Избыток кислоты делает вкус плоско-резким; белая часть кожуры даёт лишнюю горечь.</x:v>
      </x:c>
      <x:c r="V576" s="28" t="str">
        <x:v>мёд или нейтральная жировая основа</x:v>
      </x:c>
      <x:c r="W576" s="28" t="str">
        <x:v>соус, напиток или десерт после пробной дегустации</x:v>
      </x:c>
      <x:c r="X576" s="28" t="str">
        <x:v>универсальное</x:v>
      </x:c>
      <x:c r="Y576" s="28" t="str">
        <x:v>Средняя</x:v>
      </x:c>
      <x:c r="Z576" s="28" t="str">
        <x:v>The Art &amp; Science of Foodpairing.pdf</x:v>
      </x:c>
      <x:c r="AA576" s="28" t="str">
        <x:v>The Art &amp; Science of Foodpairing.pdf: 273</x:v>
      </x:c>
      <x:c r="AB576" s="28" t="str">
        <x:v>Пара представлена в ароматической диаграмме Foodpairing на странице 273.</x:v>
      </x:c>
      <x:c r="AC576" s="28" t="n">
        <x:v>1</x:v>
      </x:c>
      <x:c r="AD576" s="28" t="n">
        <x:v>1</x:v>
      </x:c>
    </x:row>
    <x:row r="577" ht="58" customHeight="1">
      <x:c r="A577" s="28" t="str">
        <x:v>CIT-0576</x:v>
      </x:c>
      <x:c r="B577" s="28" t="str">
        <x:v>Универсальные</x:v>
      </x:c>
      <x:c r="C577" s="28" t="str">
        <x:v>мандарин</x:v>
      </x:c>
      <x:c r="D577" s="28" t="str">
        <x:v>mandarin</x:v>
      </x:c>
      <x:c r="E577" s="28" t="str">
        <x:v>Цитрусовые</x:v>
      </x:c>
      <x:c r="F577" s="28" t="str">
        <x:v>сметана</x:v>
      </x:c>
      <x:c r="G577" s="28" t="str">
        <x:v>sour cream</x:v>
      </x:c>
      <x:c r="H577" s="28" t="str">
        <x:v>Прочее</x:v>
      </x:c>
      <x:c r="I577" s="28" t="str">
        <x:v>цитрусовый, фруктовый, цветочный, пряный</x:v>
      </x:c>
      <x:c r="J577" s="28" t="str">
        <x:v>нейтральный/специфический</x:v>
      </x:c>
      <x:c r="K577" s="28" t="str">
        <x:v>лимонен, гамма-терпинен, метил-N-метилантранилат, линалол</x:v>
      </x:c>
      <x:c r="L577" s="28" t="str">
        <x:v>нужен профиль конкретного продукта</x:v>
      </x:c>
      <x:c r="M577" s="28" t="str">
        <x:v>прямое семейное перекрытие не является главным механизмом</x:v>
      </x:c>
      <x:c r="N577" s="28" t="str">
        <x:v>надёжный общий маркер не заявлен; сочетание объясняется семействами и сенсорным балансом</x:v>
      </x:c>
      <x:c r="O577" s="28" t="str">
        <x:v>вкусовой баланс, тройничное восприятие</x:v>
      </x:c>
      <x:c r="P577" s="28" t="str">
        <x:v>Основной эффект определяется ароматическим контрастом и добавлением кислотной свежести; точный баланс зависит от дозировки и матрицы.</x:v>
      </x:c>
      <x:c r="Q577" s="28" t="str">
        <x:v>нет выраженного; нет данных</x:v>
      </x:c>
      <x:c r="R577" s="28" t="str">
        <x:v>сок водный; кожура богата эфирным маслом; зависит от формы продукта</x:v>
      </x:c>
      <x:c r="S57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77" s="28" t="str">
        <x:v>Мандарин формирует профиль «цитрусовый, фруктовый, цветочный, пряный»; характерные маркеры: лимонен, гамма-терпинен, метил-N-метилантранилат, линалол. Сметана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77" s="28" t="str">
        <x:v>Избыток кислоты делает вкус плоско-резким; белая часть кожуры даёт лишнюю горечь.</x:v>
      </x:c>
      <x:c r="V577" s="28" t="str">
        <x:v>мёд или нейтральная жировая основа</x:v>
      </x:c>
      <x:c r="W577" s="28" t="str">
        <x:v>соус, напиток или десерт после пробной дегустации</x:v>
      </x:c>
      <x:c r="X577" s="28" t="str">
        <x:v>универсальное</x:v>
      </x:c>
      <x:c r="Y577" s="28" t="str">
        <x:v>Средняя</x:v>
      </x:c>
      <x:c r="Z577" s="28" t="str">
        <x:v>The Art &amp; Science of Foodpairing.pdf</x:v>
      </x:c>
      <x:c r="AA577" s="28" t="str">
        <x:v>The Art &amp; Science of Foodpairing.pdf: 273</x:v>
      </x:c>
      <x:c r="AB577" s="28" t="str">
        <x:v>Пара представлена в ароматической диаграмме Foodpairing на странице 273.</x:v>
      </x:c>
      <x:c r="AC577" s="28" t="n">
        <x:v>1</x:v>
      </x:c>
      <x:c r="AD577" s="28" t="n">
        <x:v>1</x:v>
      </x:c>
    </x:row>
    <x:row r="578" ht="58" customHeight="1">
      <x:c r="A578" s="28" t="str">
        <x:v>CIT-0577</x:v>
      </x:c>
      <x:c r="B578" s="28" t="str">
        <x:v>Универсальные</x:v>
      </x:c>
      <x:c r="C578" s="28" t="str">
        <x:v>мандарин</x:v>
      </x:c>
      <x:c r="D578" s="28" t="str">
        <x:v>Мандарин</x:v>
      </x:c>
      <x:c r="E578" s="28" t="str">
        <x:v>Цитрусовые</x:v>
      </x:c>
      <x:c r="F578" s="28" t="str">
        <x:v>тимьян</x:v>
      </x:c>
      <x:c r="G578" s="28" t="str">
        <x:v>тимьян</x:v>
      </x:c>
      <x:c r="H578" s="28" t="str">
        <x:v>Травы</x:v>
      </x:c>
      <x:c r="I578" s="28" t="str">
        <x:v>цитрусовый, фруктовый, цветочный, пряный</x:v>
      </x:c>
      <x:c r="J578" s="28" t="str">
        <x:v>травяной, хвойный, камфорный, древесный</x:v>
      </x:c>
      <x:c r="K578" s="28" t="str">
        <x:v>лимонен, гамма-терпинен, метил-N-метилантранилат, линалол</x:v>
      </x:c>
      <x:c r="L578" s="28" t="str">
        <x:v>1,8-цинеол, камфора, тимол/карвакрол, альфа-пинен</x:v>
      </x:c>
      <x:c r="M578" s="28" t="str">
        <x:v>прямое семейное перекрытие не является главным механизмом</x:v>
      </x:c>
      <x:c r="N578" s="28" t="str">
        <x:v>надёжный общий маркер не заявлен; сочетание объясняется семействами и сенсорным балансом</x:v>
      </x:c>
      <x:c r="O578" s="28" t="str">
        <x:v>вкусовой баланс, тройничное восприятие</x:v>
      </x:c>
      <x:c r="P578" s="28" t="str">
        <x:v>Кислота усиливает слюноотделение и делает пряный аромат ярче; терпены цитруса образуют мост с эфирными маслами травы или специи.</x:v>
      </x:c>
      <x:c r="Q578" s="28" t="str">
        <x:v>нет выраженного; камфора и цинеол дают прохладно-камфорное ощущение</x:v>
      </x:c>
      <x:c r="R578" s="28" t="str">
        <x:v>сок водный; кожура богата эфирным маслом; эфирные масла лучше раскрываются в жире и спирте</x:v>
      </x:c>
      <x:c r="S57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78" s="28" t="str">
        <x:v>Мандарин формирует профиль «цитрусовый, фруктовый, цветочный, пряный»; характерные маркеры: лимонен, гамма-терпинен, метил-N-метилантранилат, линалол.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U578" s="28" t="str">
        <x:v>Избыток кислоты делает вкус плоско-резким; белая часть кожуры даёт лишнюю горечь; цитрус легко подавляет деликатный аромат партнёра.</x:v>
      </x:c>
      <x:c r="V578" s="28" t="str">
        <x:v>оливковое масло или огурец</x:v>
      </x:c>
      <x:c r="W578" s="28" t="str">
        <x:v>лимонад, кордиал, салатная заправка или зелёный соус</x:v>
      </x:c>
      <x:c r="X578" s="28" t="str">
        <x:v>напитки, еда, соусы/маринады</x:v>
      </x:c>
      <x:c r="Y578" s="28" t="str">
        <x:v>Гипотеза / практическая</x:v>
      </x:c>
      <x:c r="Z578" s="28" t="str">
        <x:v>Таблица сочетания(1).pdf</x:v>
      </x:c>
      <x:c r="AA578" s="28" t="str">
        <x:v>Таблица сочетания(1).pdf: 12</x:v>
      </x:c>
      <x:c r="AB578" s="28" t="str">
        <x:v>Пара указана в таблице: «Мандарин» → колонка «Травы и специи».</x:v>
      </x:c>
      <x:c r="AC578" s="28" t="n">
        <x:v>1</x:v>
      </x:c>
      <x:c r="AD578" s="28" t="n">
        <x:v>1</x:v>
      </x:c>
    </x:row>
    <x:row r="579" ht="58" customHeight="1">
      <x:c r="A579" s="28" t="str">
        <x:v>CIT-0578</x:v>
      </x:c>
      <x:c r="B579" s="28" t="str">
        <x:v>Универсальные</x:v>
      </x:c>
      <x:c r="C579" s="28" t="str">
        <x:v>мандарин</x:v>
      </x:c>
      <x:c r="D579" s="28" t="str">
        <x:v>Мандарин</x:v>
      </x:c>
      <x:c r="E579" s="28" t="str">
        <x:v>Цитрусовые</x:v>
      </x:c>
      <x:c r="F579" s="28" t="str">
        <x:v>тропические фрукты</x:v>
      </x:c>
      <x:c r="G579" s="28" t="str">
        <x:v>тропические фрукты</x:v>
      </x:c>
      <x:c r="H579" s="28" t="str">
        <x:v>Прочее</x:v>
      </x:c>
      <x:c r="I579" s="28" t="str">
        <x:v>цитрусовый, фруктовый, цветочный, пряный</x:v>
      </x:c>
      <x:c r="J579" s="28" t="str">
        <x:v>нейтральный/специфический</x:v>
      </x:c>
      <x:c r="K579" s="28" t="str">
        <x:v>лимонен, гамма-терпинен, метил-N-метилантранилат, линалол</x:v>
      </x:c>
      <x:c r="L579" s="28" t="str">
        <x:v>нужен профиль конкретного продукта</x:v>
      </x:c>
      <x:c r="M579" s="28" t="str">
        <x:v>прямое семейное перекрытие не является главным механизмом</x:v>
      </x:c>
      <x:c r="N579" s="28" t="str">
        <x:v>надёжный общий маркер не заявлен; сочетание объясняется семействами и сенсорным балансом</x:v>
      </x:c>
      <x:c r="O579" s="28" t="str">
        <x:v>вкусовой баланс, тройничное восприятие</x:v>
      </x:c>
      <x:c r="P579" s="28" t="str">
        <x:v>Основной эффект определяется ароматическим контрастом и добавлением кислотной свежести; точный баланс зависит от дозировки и матрицы.</x:v>
      </x:c>
      <x:c r="Q579" s="28" t="str">
        <x:v>нет выраженного; нет данных</x:v>
      </x:c>
      <x:c r="R579" s="28" t="str">
        <x:v>сок водный; кожура богата эфирным маслом; зависит от формы продукта</x:v>
      </x:c>
      <x:c r="S57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79" s="28" t="str">
        <x:v>Мандарин формирует профиль «цитрусовый, фруктовый, цветочный, пряный»; характерные маркеры: лимонен, гамма-терпинен, метил-N-метилантранилат, линалол. Тропические фрукты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79" s="28" t="str">
        <x:v>Избыток кислоты делает вкус плоско-резким; белая часть кожуры даёт лишнюю горечь.</x:v>
      </x:c>
      <x:c r="V579" s="28" t="str">
        <x:v>мёд или нейтральная жировая основа</x:v>
      </x:c>
      <x:c r="W579" s="28" t="str">
        <x:v>соус, напиток или десерт после пробной дегустации</x:v>
      </x:c>
      <x:c r="X579" s="28" t="str">
        <x:v>универсальное</x:v>
      </x:c>
      <x:c r="Y579" s="28" t="str">
        <x:v>Гипотеза / практическая</x:v>
      </x:c>
      <x:c r="Z579" s="28" t="str">
        <x:v>Таблица сочетания(1).pdf</x:v>
      </x:c>
      <x:c r="AA579" s="28" t="str">
        <x:v>Таблица сочетания(1).pdf: 12</x:v>
      </x:c>
      <x:c r="AB579" s="28" t="str">
        <x:v>Пара указана в таблице: «Мандарин» → колонка «Фрукты».</x:v>
      </x:c>
      <x:c r="AC579" s="28" t="n">
        <x:v>1</x:v>
      </x:c>
      <x:c r="AD579" s="28" t="n">
        <x:v>1</x:v>
      </x:c>
    </x:row>
    <x:row r="580" ht="58" customHeight="1">
      <x:c r="A580" s="28" t="str">
        <x:v>CIT-0579</x:v>
      </x:c>
      <x:c r="B580" s="28" t="str">
        <x:v>Универсальные</x:v>
      </x:c>
      <x:c r="C580" s="28" t="str">
        <x:v>мандарин</x:v>
      </x:c>
      <x:c r="D580" s="28" t="str">
        <x:v>мандарин</x:v>
      </x:c>
      <x:c r="E580" s="28" t="str">
        <x:v>Цитрусовые</x:v>
      </x:c>
      <x:c r="F580" s="28" t="str">
        <x:v>финик</x:v>
      </x:c>
      <x:c r="G580" s="28" t="str">
        <x:v>Финик</x:v>
      </x:c>
      <x:c r="H580" s="28" t="str">
        <x:v>Прочее</x:v>
      </x:c>
      <x:c r="I580" s="28" t="str">
        <x:v>цитрусовый, фруктовый, цветочный, пряный</x:v>
      </x:c>
      <x:c r="J580" s="28" t="str">
        <x:v>нейтральный/специфический</x:v>
      </x:c>
      <x:c r="K580" s="28" t="str">
        <x:v>лимонен, гамма-терпинен, метил-N-метилантранилат, линалол</x:v>
      </x:c>
      <x:c r="L580" s="28" t="str">
        <x:v>нужен профиль конкретного продукта</x:v>
      </x:c>
      <x:c r="M580" s="28" t="str">
        <x:v>прямое семейное перекрытие не является главным механизмом</x:v>
      </x:c>
      <x:c r="N580" s="28" t="str">
        <x:v>надёжный общий маркер не заявлен; сочетание объясняется семействами и сенсорным балансом</x:v>
      </x:c>
      <x:c r="O580" s="28" t="str">
        <x:v>вкусовой баланс, тройничное восприятие</x:v>
      </x:c>
      <x:c r="P580" s="28" t="str">
        <x:v>Основной эффект определяется ароматическим контрастом и добавлением кислотной свежести; точный баланс зависит от дозировки и матрицы.</x:v>
      </x:c>
      <x:c r="Q580" s="28" t="str">
        <x:v>нет выраженного; нет данных</x:v>
      </x:c>
      <x:c r="R580" s="28" t="str">
        <x:v>сок водный; кожура богата эфирным маслом; зависит от формы продукта</x:v>
      </x:c>
      <x:c r="S58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80" s="28" t="str">
        <x:v>Мандарин формирует профиль «цитрусовый, фруктовый, цветочный, пряный»; характерные маркеры: лимонен, гамма-терпинен, метил-N-метилантранилат, линалол. Финик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80" s="28" t="str">
        <x:v>Избыток кислоты делает вкус плоско-резким; белая часть кожуры даёт лишнюю горечь.</x:v>
      </x:c>
      <x:c r="V580" s="28" t="str">
        <x:v>мёд или нейтральная жировая основа</x:v>
      </x:c>
      <x:c r="W580" s="28" t="str">
        <x:v>соус, напиток или десерт после пробной дегустации</x:v>
      </x:c>
      <x:c r="X580" s="28" t="str">
        <x:v>универсальное</x:v>
      </x:c>
      <x:c r="Y580" s="28" t="str">
        <x:v>Гипотеза / практическая</x:v>
      </x:c>
      <x:c r="Z580" s="28" t="str">
        <x:v>Таблица сочетания(1).pdf</x:v>
      </x:c>
      <x:c r="AA580" s="28" t="str">
        <x:v>Таблица сочетания(1).pdf: 7</x:v>
      </x:c>
      <x:c r="AB580" s="28" t="str">
        <x:v>Пара указана в таблице: «Финик» → колонка «Фрукты».</x:v>
      </x:c>
      <x:c r="AC580" s="28" t="n">
        <x:v>1</x:v>
      </x:c>
      <x:c r="AD580" s="28" t="n">
        <x:v>1</x:v>
      </x:c>
    </x:row>
    <x:row r="581" ht="58" customHeight="1">
      <x:c r="A581" s="28" t="str">
        <x:v>CIT-0580</x:v>
      </x:c>
      <x:c r="B581" s="28" t="str">
        <x:v>Универсальные</x:v>
      </x:c>
      <x:c r="C581" s="28" t="str">
        <x:v>мандарин</x:v>
      </x:c>
      <x:c r="D581" s="28" t="str">
        <x:v>mandarin</x:v>
      </x:c>
      <x:c r="E581" s="28" t="str">
        <x:v>Цитрусовые</x:v>
      </x:c>
      <x:c r="F581" s="28" t="str">
        <x:v>чёрная оливка Пикуаль</x:v>
      </x:c>
      <x:c r="G581" s="28" t="str">
        <x:v>Picual black olive</x:v>
      </x:c>
      <x:c r="H581" s="28" t="str">
        <x:v>Прочее</x:v>
      </x:c>
      <x:c r="I581" s="28" t="str">
        <x:v>цитрусовый, фруктовый, цветочный, пряный</x:v>
      </x:c>
      <x:c r="J581" s="28" t="str">
        <x:v>нейтральный/специфический</x:v>
      </x:c>
      <x:c r="K581" s="28" t="str">
        <x:v>лимонен, гамма-терпинен, метил-N-метилантранилат, линалол</x:v>
      </x:c>
      <x:c r="L581" s="28" t="str">
        <x:v>нужен профиль конкретного продукта</x:v>
      </x:c>
      <x:c r="M581" s="28" t="str">
        <x:v>прямое семейное перекрытие не является главным механизмом</x:v>
      </x:c>
      <x:c r="N581" s="28" t="str">
        <x:v>надёжный общий маркер не заявлен; сочетание объясняется семействами и сенсорным балансом</x:v>
      </x:c>
      <x:c r="O581" s="28" t="str">
        <x:v>вкусовой баланс, тройничное восприятие</x:v>
      </x:c>
      <x:c r="P581" s="28" t="str">
        <x:v>Основной эффект определяется ароматическим контрастом и добавлением кислотной свежести; точный баланс зависит от дозировки и матрицы.</x:v>
      </x:c>
      <x:c r="Q581" s="28" t="str">
        <x:v>нет выраженного; нет данных</x:v>
      </x:c>
      <x:c r="R581" s="28" t="str">
        <x:v>сок водный; кожура богата эфирным маслом; зависит от формы продукта</x:v>
      </x:c>
      <x:c r="S58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81" s="28" t="str">
        <x:v>Мандарин формирует профиль «цитрусовый, фруктовый, цветочный, пряный»; характерные маркеры: лимонен, гамма-терпинен, метил-N-метилантранилат, линалол. Чёрная оливка пикуаль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81" s="28" t="str">
        <x:v>Избыток кислоты делает вкус плоско-резким; белая часть кожуры даёт лишнюю горечь.</x:v>
      </x:c>
      <x:c r="V581" s="28" t="str">
        <x:v>мёд или нейтральная жировая основа</x:v>
      </x:c>
      <x:c r="W581" s="28" t="str">
        <x:v>соус, напиток или десерт после пробной дегустации</x:v>
      </x:c>
      <x:c r="X581" s="28" t="str">
        <x:v>универсальное</x:v>
      </x:c>
      <x:c r="Y581" s="28" t="str">
        <x:v>Средняя</x:v>
      </x:c>
      <x:c r="Z581" s="28" t="str">
        <x:v>The Art &amp; Science of Foodpairing.pdf</x:v>
      </x:c>
      <x:c r="AA581" s="28" t="str">
        <x:v>The Art &amp; Science of Foodpairing.pdf: 273</x:v>
      </x:c>
      <x:c r="AB581" s="28" t="str">
        <x:v>Пара представлена в ароматической диаграмме Foodpairing на странице 273.</x:v>
      </x:c>
      <x:c r="AC581" s="28" t="n">
        <x:v>1</x:v>
      </x:c>
      <x:c r="AD581" s="28" t="n">
        <x:v>1</x:v>
      </x:c>
    </x:row>
    <x:row r="582" ht="58" customHeight="1">
      <x:c r="A582" s="28" t="str">
        <x:v>CIT-0581</x:v>
      </x:c>
      <x:c r="B582" s="28" t="str">
        <x:v>Универсальные</x:v>
      </x:c>
      <x:c r="C582" s="28" t="str">
        <x:v>мандарин</x:v>
      </x:c>
      <x:c r="D582" s="28" t="str">
        <x:v>Мандарин</x:v>
      </x:c>
      <x:c r="E582" s="28" t="str">
        <x:v>Цитрусовые</x:v>
      </x:c>
      <x:c r="F582" s="28" t="str">
        <x:v>шалфей</x:v>
      </x:c>
      <x:c r="G582" s="28" t="str">
        <x:v>шалфей</x:v>
      </x:c>
      <x:c r="H582" s="28" t="str">
        <x:v>Травы</x:v>
      </x:c>
      <x:c r="I582" s="28" t="str">
        <x:v>цитрусовый, фруктовый, цветочный, пряный</x:v>
      </x:c>
      <x:c r="J582" s="28" t="str">
        <x:v>травяной, хвойный, камфорный, древесный</x:v>
      </x:c>
      <x:c r="K582" s="28" t="str">
        <x:v>лимонен, гамма-терпинен, метил-N-метилантранилат, линалол</x:v>
      </x:c>
      <x:c r="L582" s="28" t="str">
        <x:v>1,8-цинеол, камфора, тимол/карвакрол, альфа-пинен</x:v>
      </x:c>
      <x:c r="M582" s="28" t="str">
        <x:v>прямое семейное перекрытие не является главным механизмом</x:v>
      </x:c>
      <x:c r="N582" s="28" t="str">
        <x:v>надёжный общий маркер не заявлен; сочетание объясняется семействами и сенсорным балансом</x:v>
      </x:c>
      <x:c r="O582" s="28" t="str">
        <x:v>вкусовой баланс, тройничное восприятие</x:v>
      </x:c>
      <x:c r="P582" s="28" t="str">
        <x:v>Кислота усиливает слюноотделение и делает пряный аромат ярче; терпены цитруса образуют мост с эфирными маслами травы или специи.</x:v>
      </x:c>
      <x:c r="Q582" s="28" t="str">
        <x:v>нет выраженного; камфора и цинеол дают прохладно-камфорное ощущение</x:v>
      </x:c>
      <x:c r="R582" s="28" t="str">
        <x:v>сок водный; кожура богата эфирным маслом; эфирные масла лучше раскрываются в жире и спирте</x:v>
      </x:c>
      <x:c r="S58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82" s="28" t="str">
        <x:v>Мандарин формирует профиль «цитрусовый, фруктовый, цветочный, пряный»; характерные маркеры: лимонен, гамма-терпинен, метил-N-метилантранилат, линалол. Шалфей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U582" s="28" t="str">
        <x:v>Избыток кислоты делает вкус плоско-резким; белая часть кожуры даёт лишнюю горечь; цитрус легко подавляет деликатный аромат партнёра.</x:v>
      </x:c>
      <x:c r="V582" s="28" t="str">
        <x:v>оливковое масло или огурец</x:v>
      </x:c>
      <x:c r="W582" s="28" t="str">
        <x:v>лимонад, кордиал, салатная заправка или зелёный соус</x:v>
      </x:c>
      <x:c r="X582" s="28" t="str">
        <x:v>напитки, еда, соусы/маринады</x:v>
      </x:c>
      <x:c r="Y582" s="28" t="str">
        <x:v>Гипотеза / практическая</x:v>
      </x:c>
      <x:c r="Z582" s="28" t="str">
        <x:v>Таблица сочетания(1).pdf</x:v>
      </x:c>
      <x:c r="AA582" s="28" t="str">
        <x:v>Таблица сочетания(1).pdf: 13</x:v>
      </x:c>
      <x:c r="AB582" s="28" t="str">
        <x:v>Пара указана в таблице: «Мандарин» → колонка «Травы и специи».</x:v>
      </x:c>
      <x:c r="AC582" s="28" t="n">
        <x:v>1</x:v>
      </x:c>
      <x:c r="AD582" s="28" t="n">
        <x:v>1</x:v>
      </x:c>
    </x:row>
    <x:row r="583" ht="58" customHeight="1">
      <x:c r="A583" s="28" t="str">
        <x:v>CIT-0582</x:v>
      </x:c>
      <x:c r="B583" s="28" t="str">
        <x:v>Десерты и выпечка</x:v>
      </x:c>
      <x:c r="C583" s="28" t="str">
        <x:v>мандарин</x:v>
      </x:c>
      <x:c r="D583" s="28" t="str">
        <x:v>Мандарин</x:v>
      </x:c>
      <x:c r="E583" s="28" t="str">
        <x:v>Цитрусовые</x:v>
      </x:c>
      <x:c r="F583" s="28" t="str">
        <x:v>шоколад</x:v>
      </x:c>
      <x:c r="G583" s="28" t="str">
        <x:v>шоколад</x:v>
      </x:c>
      <x:c r="H583" s="28" t="str">
        <x:v>Шоколад/обжаренное</x:v>
      </x:c>
      <x:c r="I583" s="28" t="str">
        <x:v>цитрусовый, фруктовый, цветочный, пряный</x:v>
      </x:c>
      <x:c r="J583" s="28" t="str">
        <x:v>обжаренный, какао, ореховый, карамельный</x:v>
      </x:c>
      <x:c r="K583" s="28" t="str">
        <x:v>лимонен, гамма-терпинен, метил-N-метилантранилат, линалол</x:v>
      </x:c>
      <x:c r="L583" s="28" t="str">
        <x:v>пиразины, фураны, фенилуксусная кислота, ванилин</x:v>
      </x:c>
      <x:c r="M583" s="28" t="str">
        <x:v>прямое семейное перекрытие не является главным механизмом</x:v>
      </x:c>
      <x:c r="N583" s="28" t="str">
        <x:v>надёжный общий маркер не заявлен; сочетание объясняется семействами и сенсорным балансом</x:v>
      </x:c>
      <x:c r="O583" s="28" t="str">
        <x:v>вкусовой баланс</x:v>
      </x:c>
      <x:c r="P583" s="28" t="str">
        <x:v>Высокая кисло-ароматическая нота контрастирует с жареными, горькими и карамельными оттенками; сахар или жир связывает два регистра.</x:v>
      </x:c>
      <x:c r="Q583" s="28" t="str">
        <x:v>нет выраженного; нет выраженного</x:v>
      </x:c>
      <x:c r="R583" s="28" t="str">
        <x:v>сок водный; кожура богата эфирным маслом; жир какао удерживает гидрофобные терпены</x:v>
      </x:c>
      <x:c r="S58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83" s="28" t="str">
        <x:v>Мандарин формирует профиль «цитрусовый, фруктовый, цветочный, пряный»; характерные маркеры: лимонен, гамма-терпинен, метил-N-метилантранилат, линалол.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даёт высокую свежую ноту на фоне тёмных жареных соединений.</x:v>
      </x:c>
      <x:c r="U583" s="28" t="str">
        <x:v>Избыток кислоты делает вкус плоско-резким; белая часть кожуры даёт лишнюю горечь.</x:v>
      </x:c>
      <x:c r="V583" s="28" t="str">
        <x:v>ваниль или кардамон</x:v>
      </x:c>
      <x:c r="W583" s="28" t="str">
        <x:v>ганаш, тарт, конфеты, кофейный напиток или биттер</x:v>
      </x:c>
      <x:c r="X583" s="28" t="str">
        <x:v>десерты</x:v>
      </x:c>
      <x:c r="Y583" s="28" t="str">
        <x:v>Гипотеза / практическая</x:v>
      </x:c>
      <x:c r="Z583" s="28" t="str">
        <x:v>Таблица сочетания(1).pdf</x:v>
      </x:c>
      <x:c r="AA583" s="28" t="str">
        <x:v>Таблица сочетания(1).pdf: 12</x:v>
      </x:c>
      <x:c r="AB583" s="28" t="str">
        <x:v>Пара указана в таблице: «Мандарин» → колонка «Другое».</x:v>
      </x:c>
      <x:c r="AC583" s="28" t="n">
        <x:v>1</x:v>
      </x:c>
      <x:c r="AD583" s="28" t="n">
        <x:v>1</x:v>
      </x:c>
    </x:row>
    <x:row r="584" ht="58" customHeight="1">
      <x:c r="A584" s="28" t="str">
        <x:v>CIT-0583</x:v>
      </x:c>
      <x:c r="B584" s="28" t="str">
        <x:v>Универсальные</x:v>
      </x:c>
      <x:c r="C584" s="28" t="str">
        <x:v>мандариновое пюре</x:v>
      </x:c>
      <x:c r="D584" s="28" t="str">
        <x:v>mandarin puree</x:v>
      </x:c>
      <x:c r="E584" s="28" t="str">
        <x:v>Цитрусовые</x:v>
      </x:c>
      <x:c r="F584" s="28" t="str">
        <x:v>ростбиф</x:v>
      </x:c>
      <x:c r="G584" s="28" t="str">
        <x:v>roast beef</x:v>
      </x:c>
      <x:c r="H584" s="28" t="str">
        <x:v>Прочее</x:v>
      </x:c>
      <x:c r="I584" s="28" t="str">
        <x:v>цитрусовый, фруктовый, цветочный, пряный</x:v>
      </x:c>
      <x:c r="J584" s="28" t="str">
        <x:v>нейтральный/специфический</x:v>
      </x:c>
      <x:c r="K584" s="28" t="str">
        <x:v>лимонен, гамма-терпинен, метил-N-метилантранилат, линалол</x:v>
      </x:c>
      <x:c r="L584" s="28" t="str">
        <x:v>нужен профиль конкретного продукта</x:v>
      </x:c>
      <x:c r="M584" s="28" t="str">
        <x:v>прямое семейное перекрытие не является главным механизмом</x:v>
      </x:c>
      <x:c r="N584" s="28" t="str">
        <x:v>надёжный общий маркер не заявлен; сочетание объясняется семействами и сенсорным балансом</x:v>
      </x:c>
      <x:c r="O584" s="28" t="str">
        <x:v>вкусовой баланс, тройничное восприятие</x:v>
      </x:c>
      <x:c r="P584" s="28" t="str">
        <x:v>Основной эффект определяется ароматическим контрастом и добавлением кислотной свежести; точный баланс зависит от дозировки и матрицы.</x:v>
      </x:c>
      <x:c r="Q584" s="28" t="str">
        <x:v>нет выраженного; нет данных</x:v>
      </x:c>
      <x:c r="R584" s="28" t="str">
        <x:v>сок водный; кожура богата эфирным маслом; зависит от формы продукта</x:v>
      </x:c>
      <x:c r="S58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84" s="28" t="str">
        <x:v>Мандариновое пюре формирует профиль «цитрусовый, фруктовый, цветочный, пряный»; характерные маркеры: лимонен, гамма-терпинен, метил-N-метилантранилат, линалол. Ростбиф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584" s="28" t="str">
        <x:v>Избыток кислоты делает вкус плоско-резким; белая часть кожуры даёт лишнюю горечь.</x:v>
      </x:c>
      <x:c r="V584" s="28" t="str">
        <x:v>мёд или нейтральная жировая основа</x:v>
      </x:c>
      <x:c r="W584" s="28" t="str">
        <x:v>соус, напиток или десерт после пробной дегустации</x:v>
      </x:c>
      <x:c r="X584" s="28" t="str">
        <x:v>универсальное</x:v>
      </x:c>
      <x:c r="Y584" s="28" t="str">
        <x:v>Средняя</x:v>
      </x:c>
      <x:c r="Z584" s="28" t="str">
        <x:v>The Art &amp; Science of Foodpairing.pdf</x:v>
      </x:c>
      <x:c r="AA584" s="28" t="str">
        <x:v>The Art &amp; Science of Foodpairing.pdf: 94</x:v>
      </x:c>
      <x:c r="AB584" s="28" t="str">
        <x:v>Пара представлена в ароматической диаграмме Foodpairing на странице 94.</x:v>
      </x:c>
      <x:c r="AC584" s="28" t="n">
        <x:v>1</x:v>
      </x:c>
      <x:c r="AD584" s="28" t="n">
        <x:v>1</x:v>
      </x:c>
    </x:row>
    <x:row r="585" ht="58" customHeight="1">
      <x:c r="A585" s="28" t="str">
        <x:v>CIT-0584</x:v>
      </x:c>
      <x:c r="B585" s="28" t="str">
        <x:v>Десерты и выпечка</x:v>
      </x:c>
      <x:c r="C585" s="28" t="str">
        <x:v>нацумкан</x:v>
      </x:c>
      <x:c r="D585" s="28" t="str">
        <x:v>natsumikan citrus fruit</x:v>
      </x:c>
      <x:c r="E585" s="28" t="str">
        <x:v>Прочее</x:v>
      </x:c>
      <x:c r="F585" s="28" t="str">
        <x:v>приготовленный бурый рис</x:v>
      </x:c>
      <x:c r="G585" s="28" t="str">
        <x:v>cooked brown rice</x:v>
      </x:c>
      <x:c r="H585" s="28" t="str">
        <x:v>Злаки и хлеб</x:v>
      </x:c>
      <x:c r="I585" s="28" t="str">
        <x:v>нейтральный/специфический</x:v>
      </x:c>
      <x:c r="J585" s="28" t="str">
        <x:v>зерновой, обжаренный, ореховый, дрожжевой</x:v>
      </x:c>
      <x:c r="K585" s="28" t="str">
        <x:v>нужен профиль конкретного продукта</x:v>
      </x:c>
      <x:c r="L585" s="28" t="str">
        <x:v>пиразины, мальтол, фураны, эфиры брожения</x:v>
      </x:c>
      <x:c r="M585" s="28" t="str">
        <x:v>прямое семейное перекрытие не является главным механизмом</x:v>
      </x:c>
      <x:c r="N585" s="28" t="str">
        <x:v>надёжный общий маркер не заявлен; сочетание объясняется семействами и сенсорным балансом</x:v>
      </x:c>
      <x:c r="O585" s="28" t="str">
        <x:v>вкусовой баланс</x:v>
      </x:c>
      <x:c r="P585" s="28" t="str">
        <x:v>Высокая кисло-ароматическая нота контрастирует с жареными, горькими и карамельными оттенками; сахар или жир связывает два регистра.</x:v>
      </x:c>
      <x:c r="Q585" s="28" t="str">
        <x:v>нет данных; нет выраженного</x:v>
      </x:c>
      <x:c r="R585" s="28" t="str">
        <x:v>зависит от формы продукта; крахмал смягчает кислотность; жир/масло помогает аромату цедры</x:v>
      </x:c>
      <x:c r="S58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85" s="28" t="str">
        <x:v>Нацумкан формирует профиль «нейтральный/специфический»; характерные маркеры: . Приготовленный бурый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освежает зерновой профиль и создаёт контраст с обжаренными нотами.</x:v>
      </x:c>
      <x:c r="U585" s="28" t="str">
        <x:v>Избыток кислоты делает вкус плоско-резким; белая часть кожуры даёт лишнюю горечь.</x:v>
      </x:c>
      <x:c r="V585" s="28" t="str">
        <x:v>сливочное масло или мёд</x:v>
      </x:c>
      <x:c r="W585" s="28" t="str">
        <x:v>кекс, каша, хлеб, крамбл или салат</x:v>
      </x:c>
      <x:c r="X585" s="28" t="str">
        <x:v>десерты, еда</x:v>
      </x:c>
      <x:c r="Y585" s="28" t="str">
        <x:v>Средняя</x:v>
      </x:c>
      <x:c r="Z585" s="28" t="str">
        <x:v>The Art &amp; Science of Foodpairing.pdf</x:v>
      </x:c>
      <x:c r="AA585" s="28" t="str">
        <x:v>The Art &amp; Science of Foodpairing.pdf: 108</x:v>
      </x:c>
      <x:c r="AB585" s="28" t="str">
        <x:v>Пара представлена в ароматической диаграмме Foodpairing на странице 108.</x:v>
      </x:c>
      <x:c r="AC585" s="28" t="n">
        <x:v>1</x:v>
      </x:c>
      <x:c r="AD585" s="28" t="n">
        <x:v>1</x:v>
      </x:c>
    </x:row>
    <x:row r="586" ht="58" customHeight="1">
      <x:c r="A586" s="28" t="str">
        <x:v>CIT-0585</x:v>
      </x:c>
      <x:c r="B586" s="28" t="str">
        <x:v>Универсальные</x:v>
      </x:c>
      <x:c r="C586" s="28" t="str">
        <x:v>нацумкан</x:v>
      </x:c>
      <x:c r="D586" s="28" t="str">
        <x:v>natsumikan citrus fruit</x:v>
      </x:c>
      <x:c r="E586" s="28" t="str">
        <x:v>Прочее</x:v>
      </x:c>
      <x:c r="F586" s="28" t="str">
        <x:v>сушёный корень дягиля</x:v>
      </x:c>
      <x:c r="G586" s="28" t="str">
        <x:v>dried angelica root</x:v>
      </x:c>
      <x:c r="H586" s="28" t="str">
        <x:v>Прочее</x:v>
      </x:c>
      <x:c r="I586" s="28" t="str">
        <x:v>нейтральный/специфический</x:v>
      </x:c>
      <x:c r="J586" s="28" t="str">
        <x:v>нейтральный/специфический</x:v>
      </x:c>
      <x:c r="K586" s="28" t="str">
        <x:v>нужен профиль конкретного продукта</x:v>
      </x:c>
      <x:c r="L586" s="28" t="str">
        <x:v>нужен профиль конкретного продукта</x:v>
      </x:c>
      <x:c r="M586" s="28" t="str">
        <x:v>нейтральный/специфический</x:v>
      </x:c>
      <x:c r="N586" s="28" t="str">
        <x:v>надёжный общий маркер не заявлен; сочетание объясняется семействами и сенсорным балансом</x:v>
      </x:c>
      <x:c r="O586" s="28" t="str">
        <x:v>перекрытие ароматических семейств, вкусовой баланс, тройничное восприятие</x:v>
      </x:c>
      <x:c r="P586" s="28" t="str">
        <x:v>Основной эффект определяется ароматическим контрастом и добавлением кислотной свежести; точный баланс зависит от дозировки и матрицы.</x:v>
      </x:c>
      <x:c r="Q586" s="28" t="str">
        <x:v>нет данных; нет данных</x:v>
      </x:c>
      <x:c r="R586" s="28" t="str">
        <x:v>зависит от формы продукта; зависит от формы продукта</x:v>
      </x:c>
      <x:c r="S58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86" s="28" t="str">
        <x:v>Нацумкан формирует профиль «нейтральный/специфический»; характерные маркеры: . Сушёный корень дягиля относится к группе «прочее» и даёт ноты «нейтральный/специфический». Прямой общий ключевой одорант из доступных профилей не фиксируется, однако продукты пересекаются на уровне семейств: нейтральный/специфический. Поэтому связь лучше описывать как сочетание близких ароматических направлений, а не как действие единственной доказанной молекулы. Основной эффект определяется ароматическим контрастом и добавлением кислотной свежести; точный баланс зависит от дозировки и матрицы. Для точного молекулярного вывода нужен профиль конкретного ингредиента и способа обработки. Для точного молекулярного вывода нужен профиль конкретного ингредиента и способа обработки.</x:v>
      </x:c>
      <x:c r="U586" s="28" t="str">
        <x:v>Избыток кислоты делает вкус плоско-резким; белая часть кожуры даёт лишнюю горечь.</x:v>
      </x:c>
      <x:c r="V586" s="28" t="str">
        <x:v>мёд или нейтральная жировая основа</x:v>
      </x:c>
      <x:c r="W586" s="28" t="str">
        <x:v>соус, напиток или десерт после пробной дегустации</x:v>
      </x:c>
      <x:c r="X586" s="28" t="str">
        <x:v>универсальное</x:v>
      </x:c>
      <x:c r="Y586" s="28" t="str">
        <x:v>Средняя</x:v>
      </x:c>
      <x:c r="Z586" s="28" t="str">
        <x:v>The Art &amp; Science of Foodpairing.pdf</x:v>
      </x:c>
      <x:c r="AA586" s="28" t="str">
        <x:v>The Art &amp; Science of Foodpairing.pdf: 274</x:v>
      </x:c>
      <x:c r="AB586" s="28" t="str">
        <x:v>Пара представлена в ароматической диаграмме Foodpairing на странице 274.</x:v>
      </x:c>
      <x:c r="AC586" s="28" t="n">
        <x:v>1</x:v>
      </x:c>
      <x:c r="AD586" s="28" t="n">
        <x:v>1</x:v>
      </x:c>
    </x:row>
    <x:row r="587" ht="58" customHeight="1">
      <x:c r="A587" s="28" t="str">
        <x:v>CIT-0586</x:v>
      </x:c>
      <x:c r="B587" s="28" t="str">
        <x:v>Универсальные</x:v>
      </x:c>
      <x:c r="C587" s="28" t="str">
        <x:v>пальчиковый лайм</x:v>
      </x:c>
      <x:c r="D587" s="28" t="str">
        <x:v>finger lime</x:v>
      </x:c>
      <x:c r="E587" s="28" t="str">
        <x:v>Цитрусовые</x:v>
      </x:c>
      <x:c r="F587" s="28" t="str">
        <x:v>душистый перец</x:v>
      </x:c>
      <x:c r="G587" s="28" t="str">
        <x:v>allspice</x:v>
      </x:c>
      <x:c r="H587" s="28" t="str">
        <x:v>Пряности</x:v>
      </x:c>
      <x:c r="I587" s="28" t="str">
        <x:v>цитрусовый, зелёный, травяной, камфорный</x:v>
      </x:c>
      <x:c r="J587" s="28" t="str">
        <x:v>пряный, древесный, цитрусовый</x:v>
      </x:c>
      <x:c r="K587" s="28" t="str">
        <x:v>лимонен, гамма-терпинен, цитраль, бета-пинен, линалол</x:v>
      </x:c>
      <x:c r="L587" s="28" t="str">
        <x:v>пиперин, лимонен, сабинен, бета-кариофиллен</x:v>
      </x:c>
      <x:c r="M587" s="28" t="str">
        <x:v>цитрусовый</x:v>
      </x:c>
      <x:c r="N587" s="28" t="str">
        <x:v>лимонен</x:v>
      </x:c>
      <x:c r="O587" s="28" t="str">
        <x:v>общие ароматические молекулы, перекрытие ароматических семейств, вкусовой баланс, тройничное восприятие</x:v>
      </x:c>
      <x:c r="P587" s="28" t="str">
        <x:v>Кислота усиливает слюноотделение и делает пряный аромат ярче; терпены цитруса образуют мост с эфирными маслами травы или специи.</x:v>
      </x:c>
      <x:c r="Q587" s="28" t="str">
        <x:v>кислота усиливает слюноотделение; зелёные терпены создают ощущение прохлады; пиперин создаёт длительное тепло; сычуаньский перец — покалывание</x:v>
      </x:c>
      <x:c r="R587" s="28" t="str">
        <x:v>сок — водная кислая фаза; цедра — масляная терпеновая; ароматические масла и пиперин лучше раскрываются в жире/спирте</x:v>
      </x:c>
      <x:c r="S58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587"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Душистый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Перец добавляет сухую пряность и усиливает яркость цедры.</x:v>
      </x:c>
      <x:c r="U587" s="28" t="str">
        <x:v>Избыток кислоты делает вкус плоско-резким; белая часть кожуры даёт лишнюю горечь.</x:v>
      </x:c>
      <x:c r="V587" s="28" t="str">
        <x:v>мёд или ваниль</x:v>
      </x:c>
      <x:c r="W587" s="28" t="str">
        <x:v>сироп, кордиал, чатни, маринад или пряный десерт</x:v>
      </x:c>
      <x:c r="X587" s="28" t="str">
        <x:v>напитки, еда, соусы/маринады</x:v>
      </x:c>
      <x:c r="Y587" s="28" t="str">
        <x:v>Средняя</x:v>
      </x:c>
      <x:c r="Z587" s="28" t="str">
        <x:v>The Art &amp; Science of Foodpairing.pdf</x:v>
      </x:c>
      <x:c r="AA587" s="28" t="str">
        <x:v>The Art &amp; Science of Foodpairing.pdf: 332</x:v>
      </x:c>
      <x:c r="AB587" s="28" t="str">
        <x:v>Пара представлена в ароматической диаграмме Foodpairing на странице 332.</x:v>
      </x:c>
      <x:c r="AC587" s="28" t="n">
        <x:v>1</x:v>
      </x:c>
      <x:c r="AD587" s="28" t="n">
        <x:v>1</x:v>
      </x:c>
    </x:row>
    <x:row r="588" ht="58" customHeight="1">
      <x:c r="A588" s="28" t="str">
        <x:v>CIT-0587</x:v>
      </x:c>
      <x:c r="B588" s="28" t="str">
        <x:v>Универсальные</x:v>
      </x:c>
      <x:c r="C588" s="28" t="str">
        <x:v>пальчиковый лайм</x:v>
      </x:c>
      <x:c r="D588" s="28" t="str">
        <x:v>finger lime</x:v>
      </x:c>
      <x:c r="E588" s="28" t="str">
        <x:v>Цитрусовые</x:v>
      </x:c>
      <x:c r="F588" s="28" t="str">
        <x:v>кейл</x:v>
      </x:c>
      <x:c r="G588" s="28" t="str">
        <x:v>kale</x:v>
      </x:c>
      <x:c r="H588" s="28" t="str">
        <x:v>Прочее</x:v>
      </x:c>
      <x:c r="I588" s="28" t="str">
        <x:v>цитрусовый, зелёный, травяной, камфорный</x:v>
      </x:c>
      <x:c r="J588" s="28" t="str">
        <x:v>нейтральный/специфический</x:v>
      </x:c>
      <x:c r="K588" s="28" t="str">
        <x:v>лимонен, гамма-терпинен, цитраль, бета-пинен, линалол</x:v>
      </x:c>
      <x:c r="L588" s="28" t="str">
        <x:v>нужен профиль конкретного продукта</x:v>
      </x:c>
      <x:c r="M588" s="28" t="str">
        <x:v>прямое семейное перекрытие не является главным механизмом</x:v>
      </x:c>
      <x:c r="N588" s="28" t="str">
        <x:v>надёжный общий маркер не заявлен; сочетание объясняется семействами и сенсорным балансом</x:v>
      </x:c>
      <x:c r="O588" s="28" t="str">
        <x:v>вкусовой баланс, тройничное восприятие</x:v>
      </x:c>
      <x:c r="P588" s="28" t="str">
        <x:v>Основной эффект определяется ароматическим контрастом и добавлением кислотной свежести; точный баланс зависит от дозировки и матрицы.</x:v>
      </x:c>
      <x:c r="Q588" s="28" t="str">
        <x:v>кислота усиливает слюноотделение; зелёные терпены создают ощущение прохлады; нет данных</x:v>
      </x:c>
      <x:c r="R588" s="28" t="str">
        <x:v>сок — водная кислая фаза; цедра — масляная терпеновая; зависит от формы продукта</x:v>
      </x:c>
      <x:c r="S58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88"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Кейл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588" s="28" t="str">
        <x:v>Избыток кислоты делает вкус плоско-резким; белая часть кожуры даёт лишнюю горечь.</x:v>
      </x:c>
      <x:c r="V588" s="28" t="str">
        <x:v>мёд или нейтральная жировая основа</x:v>
      </x:c>
      <x:c r="W588" s="28" t="str">
        <x:v>соус, напиток или десерт после пробной дегустации</x:v>
      </x:c>
      <x:c r="X588" s="28" t="str">
        <x:v>универсальное</x:v>
      </x:c>
      <x:c r="Y588" s="28" t="str">
        <x:v>Средняя</x:v>
      </x:c>
      <x:c r="Z588" s="28" t="str">
        <x:v>The Art &amp; Science of Foodpairing.pdf</x:v>
      </x:c>
      <x:c r="AA588" s="28" t="str">
        <x:v>The Art &amp; Science of Foodpairing.pdf: 332</x:v>
      </x:c>
      <x:c r="AB588" s="28" t="str">
        <x:v>Пара представлена в ароматической диаграмме Foodpairing на странице 332.</x:v>
      </x:c>
      <x:c r="AC588" s="28" t="n">
        <x:v>1</x:v>
      </x:c>
      <x:c r="AD588" s="28" t="n">
        <x:v>1</x:v>
      </x:c>
    </x:row>
    <x:row r="589" ht="58" customHeight="1">
      <x:c r="A589" s="28" t="str">
        <x:v>CIT-0588</x:v>
      </x:c>
      <x:c r="B589" s="28" t="str">
        <x:v>Десерты и выпечка</x:v>
      </x:c>
      <x:c r="C589" s="28" t="str">
        <x:v>пальчиковый лайм</x:v>
      </x:c>
      <x:c r="D589" s="28" t="str">
        <x:v>finger lime</x:v>
      </x:c>
      <x:c r="E589" s="28" t="str">
        <x:v>Цитрусовые</x:v>
      </x:c>
      <x:c r="F589" s="28" t="str">
        <x:v>моцарелла из буйволиного молока</x:v>
      </x:c>
      <x:c r="G589" s="28" t="str">
        <x:v>buffalo mozzarella</x:v>
      </x:c>
      <x:c r="H589" s="28" t="str">
        <x:v>Молочные продукты</x:v>
      </x:c>
      <x:c r="I589" s="28" t="str">
        <x:v>цитрусовый, зелёный, травяной, камфорный</x:v>
      </x:c>
      <x:c r="J589" s="28" t="str">
        <x:v>сливочный, молочный, масляный, иногда животный</x:v>
      </x:c>
      <x:c r="K589" s="28" t="str">
        <x:v>лимонен, гамма-терпинен, цитраль, бета-пинен, линалол</x:v>
      </x:c>
      <x:c r="L589" s="28" t="str">
        <x:v>диацетил, молочные лактоны, свободные жирные кислоты</x:v>
      </x:c>
      <x:c r="M589" s="28" t="str">
        <x:v>прямое семейное перекрытие не является главным механизмом</x:v>
      </x:c>
      <x:c r="N589" s="28" t="str">
        <x:v>надёжный общий маркер не заявлен; сочетание объясняется семействами и сенсорным балансом</x:v>
      </x:c>
      <x:c r="O589" s="28" t="str">
        <x:v>вкусовой баланс, влияние матрицы/растворимости</x:v>
      </x:c>
      <x:c r="P589" s="28" t="str">
        <x:v>Кислотность и лёгкая горечь цитруса снижают ощущение жирности; соль и умами, в свою очередь, делают фруктовую часть менее резкой.</x:v>
      </x:c>
      <x:c r="Q589" s="28" t="str">
        <x:v>кислота усиливает слюноотделение; зелёные терпены создают ощущение прохлады; нет выраженного</x:v>
      </x:c>
      <x:c r="R589" s="28" t="str">
        <x:v>сок — водная кислая фаза; цедра — масляная терпеновая; жир растворяет терпены; кислота цитруса может коагулировать молочный белок</x:v>
      </x:c>
      <x:c r="S589"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589"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Моцарелла из буйволиного молока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режет жирность и освежает, а молочная матрица смягчает кислотность.</x:v>
      </x:c>
      <x:c r="U589" s="28" t="str">
        <x:v>Избыток кислоты делает вкус плоско-резким; белая часть кожуры даёт лишнюю горечь; возможна коагуляция белка.</x:v>
      </x:c>
      <x:c r="V589" s="28" t="str">
        <x:v>мёд или ваниль</x:v>
      </x:c>
      <x:c r="W589" s="28" t="str">
        <x:v>чизкейк, крем, мороженое, соус или салат</x:v>
      </x:c>
      <x:c r="X589" s="28" t="str">
        <x:v>десерты, еда</x:v>
      </x:c>
      <x:c r="Y589" s="28" t="str">
        <x:v>Средняя</x:v>
      </x:c>
      <x:c r="Z589" s="28" t="str">
        <x:v>The Art &amp; Science of Foodpairing.pdf</x:v>
      </x:c>
      <x:c r="AA589" s="28" t="str">
        <x:v>The Art &amp; Science of Foodpairing.pdf: 332</x:v>
      </x:c>
      <x:c r="AB589" s="28" t="str">
        <x:v>Пара представлена в ароматической диаграмме Foodpairing на странице 332.</x:v>
      </x:c>
      <x:c r="AC589" s="28" t="n">
        <x:v>1</x:v>
      </x:c>
      <x:c r="AD589" s="28" t="n">
        <x:v>1</x:v>
      </x:c>
    </x:row>
    <x:row r="590" ht="58" customHeight="1">
      <x:c r="A590" s="28" t="str">
        <x:v>CIT-0589</x:v>
      </x:c>
      <x:c r="B590" s="28" t="str">
        <x:v>Десерты и выпечка</x:v>
      </x:c>
      <x:c r="C590" s="28" t="str">
        <x:v>пальчиковый лайм</x:v>
      </x:c>
      <x:c r="D590" s="28" t="str">
        <x:v>finger lime</x:v>
      </x:c>
      <x:c r="E590" s="28" t="str">
        <x:v>Цитрусовые</x:v>
      </x:c>
      <x:c r="F590" s="28" t="str">
        <x:v>мускатный орех</x:v>
      </x:c>
      <x:c r="G590" s="28" t="str">
        <x:v>nutmeg</x:v>
      </x:c>
      <x:c r="H590" s="28" t="str">
        <x:v>Орехи и семена</x:v>
      </x:c>
      <x:c r="I590" s="28" t="str">
        <x:v>цитрусовый, зелёный, травяной, камфорный</x:v>
      </x:c>
      <x:c r="J590" s="28" t="str">
        <x:v>ореховый, обжаренный, жирный, зелёный</x:v>
      </x:c>
      <x:c r="K590" s="28" t="str">
        <x:v>лимонен, гамма-терпинен, цитраль, бета-пинен, линалол</x:v>
      </x:c>
      <x:c r="L590" s="28" t="str">
        <x:v>пиразины, альдегиды окисления жиров, бензальдегид (миндаль)</x:v>
      </x:c>
      <x:c r="M590" s="28" t="str">
        <x:v>зелёный</x:v>
      </x:c>
      <x:c r="N590" s="28" t="str">
        <x:v>надёжный общий маркер не заявлен; сочетание объясняется семействами и сенсорным балансом</x:v>
      </x:c>
      <x:c r="O590" s="28" t="str">
        <x:v>перекрытие ароматических семейств, вкусовой баланс, влияние матрицы/растворимости</x:v>
      </x:c>
      <x:c r="P590" s="28" t="str">
        <x:v>Кислотность и лёгкая горечь цитруса снижают ощущение жирности; соль и умами, в свою очередь, делают фруктовую часть менее резкой.</x:v>
      </x:c>
      <x:c r="Q590" s="28" t="str">
        <x:v>кислота усиливает слюноотделение; зелёные терпены создают ощущение прохлады; нет выраженного</x:v>
      </x:c>
      <x:c r="R590" s="28" t="str">
        <x:v>сок — водная кислая фаза; цедра — масляная терпеновая; высокая жирность растворяет терпеновые масла цитруса</x:v>
      </x:c>
      <x:c r="S590"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90"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Мускатный орех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U590" s="28" t="str">
        <x:v>Избыток кислоты делает вкус плоско-резким; белая часть кожуры даёт лишнюю горечь.</x:v>
      </x:c>
      <x:c r="V590" s="28" t="str">
        <x:v>мёд или шоколад</x:v>
      </x:c>
      <x:c r="W590" s="28" t="str">
        <x:v>пралине, крем, выпечка, салат или ореховый соус</x:v>
      </x:c>
      <x:c r="X590" s="28" t="str">
        <x:v>десерты</x:v>
      </x:c>
      <x:c r="Y590" s="28" t="str">
        <x:v>Средняя</x:v>
      </x:c>
      <x:c r="Z590" s="28" t="str">
        <x:v>The Art &amp; Science of Foodpairing.pdf</x:v>
      </x:c>
      <x:c r="AA590" s="28" t="str">
        <x:v>The Art &amp; Science of Foodpairing.pdf: 332</x:v>
      </x:c>
      <x:c r="AB590" s="28" t="str">
        <x:v>Пара представлена в ароматической диаграмме Foodpairing на странице 332.</x:v>
      </x:c>
      <x:c r="AC590" s="28" t="n">
        <x:v>1</x:v>
      </x:c>
      <x:c r="AD590" s="28" t="n">
        <x:v>1</x:v>
      </x:c>
    </x:row>
    <x:row r="591" ht="58" customHeight="1">
      <x:c r="A591" s="28" t="str">
        <x:v>CIT-0590</x:v>
      </x:c>
      <x:c r="B591" s="28" t="str">
        <x:v>Еда и соусы</x:v>
      </x:c>
      <x:c r="C591" s="28" t="str">
        <x:v>пальчиковый лайм</x:v>
      </x:c>
      <x:c r="D591" s="28" t="str">
        <x:v>finger lime</x:v>
      </x:c>
      <x:c r="E591" s="28" t="str">
        <x:v>Цитрусовые</x:v>
      </x:c>
      <x:c r="F591" s="28" t="str">
        <x:v>обжаренная свёкла</x:v>
      </x:c>
      <x:c r="G591" s="28" t="str">
        <x:v>pan-fried beetroot</x:v>
      </x:c>
      <x:c r="H591" s="28" t="str">
        <x:v>Овощи</x:v>
      </x:c>
      <x:c r="I591" s="28" t="str">
        <x:v>цитрусовый, зелёный, травяной, камфорный</x:v>
      </x:c>
      <x:c r="J591" s="28" t="str">
        <x:v>зелёный, землистый, растительный, иногда сернистый</x:v>
      </x:c>
      <x:c r="K591" s="28" t="str">
        <x:v>лимонен, гамма-терпинен, цитраль, бета-пинен, линалол</x:v>
      </x:c>
      <x:c r="L591" s="28" t="str">
        <x:v>C6-альдегиды, метоксипиразины, геосмин (землистые), сернистые соединения</x:v>
      </x:c>
      <x:c r="M591" s="28" t="str">
        <x:v>зелёный</x:v>
      </x:c>
      <x:c r="N591" s="28" t="str">
        <x:v>надёжный общий маркер не заявлен; сочетание объясняется семействами и сенсорным балансом</x:v>
      </x:c>
      <x:c r="O591" s="28" t="str">
        <x:v>перекрытие ароматических семейств, вкусовой баланс</x:v>
      </x:c>
      <x:c r="P591" s="28" t="str">
        <x:v>Кислота подчёркивает природную сладость овоща, сокращает землистое/сернистое послевкусие и повышает слюноотделение.</x:v>
      </x:c>
      <x:c r="Q591" s="28" t="str">
        <x:v>кислота усиливает слюноотделение; зелёные терпены создают ощущение прохлады; нет выраженного</x:v>
      </x:c>
      <x:c r="R591" s="28" t="str">
        <x:v>сок — водная кислая фаза; цедра — масляная терпеновая; водная/крахмальная матрица; масло помогает распределить цедру</x:v>
      </x:c>
      <x:c r="S59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91"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Обжаренная свёкла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U591" s="28" t="str">
        <x:v>Избыток кислоты делает вкус плоско-резким; белая часть кожуры даёт лишнюю горечь.</x:v>
      </x:c>
      <x:c r="V591" s="28" t="str">
        <x:v>оливковое масло или базилик</x:v>
      </x:c>
      <x:c r="W591" s="28" t="str">
        <x:v>винегрет, салат, пюре, запечённое блюдо или овощной соус</x:v>
      </x:c>
      <x:c r="X591" s="28" t="str">
        <x:v>еда, соусы/маринады</x:v>
      </x:c>
      <x:c r="Y591" s="28" t="str">
        <x:v>Средняя</x:v>
      </x:c>
      <x:c r="Z591" s="28" t="str">
        <x:v>The Art &amp; Science of Foodpairing.pdf</x:v>
      </x:c>
      <x:c r="AA591" s="28" t="str">
        <x:v>The Art &amp; Science of Foodpairing.pdf: 332</x:v>
      </x:c>
      <x:c r="AB591" s="28" t="str">
        <x:v>Пара представлена в ароматической диаграмме Foodpairing на странице 332.</x:v>
      </x:c>
      <x:c r="AC591" s="28" t="n">
        <x:v>1</x:v>
      </x:c>
      <x:c r="AD591" s="28" t="n">
        <x:v>1</x:v>
      </x:c>
    </x:row>
    <x:row r="592" ht="58" customHeight="1">
      <x:c r="A592" s="28" t="str">
        <x:v>CIT-0591</x:v>
      </x:c>
      <x:c r="B592" s="28" t="str">
        <x:v>Еда и соусы</x:v>
      </x:c>
      <x:c r="C592" s="28" t="str">
        <x:v>пальчиковый лайм</x:v>
      </x:c>
      <x:c r="D592" s="28" t="str">
        <x:v>finger lime</x:v>
      </x:c>
      <x:c r="E592" s="28" t="str">
        <x:v>Цитрусовые</x:v>
      </x:c>
      <x:c r="F592" s="28" t="str">
        <x:v>припущенное филе трески</x:v>
      </x:c>
      <x:c r="G592" s="28" t="str">
        <x:v>poached cod fillet</x:v>
      </x:c>
      <x:c r="H592" s="28" t="str">
        <x:v>Рыба и морепродукты</x:v>
      </x:c>
      <x:c r="I592" s="28" t="str">
        <x:v>цитрусовый, зелёный, травяной, камфорный</x:v>
      </x:c>
      <x:c r="J592" s="28" t="str">
        <x:v>морской, йодистый, зелёный, жирный</x:v>
      </x:c>
      <x:c r="K592" s="28" t="str">
        <x:v>лимонен, гамма-терпинен, цитраль, бета-пинен, линалол</x:v>
      </x:c>
      <x:c r="L592" s="28" t="str">
        <x:v>альдегиды окисления липидов, бромфенолы, диметилсульфид, умами-соединения</x:v>
      </x:c>
      <x:c r="M592" s="28" t="str">
        <x:v>зелёный</x:v>
      </x:c>
      <x:c r="N592" s="28" t="str">
        <x:v>надёжный общий маркер не заявлен; сочетание объясняется семействами и сенсорным балансом</x:v>
      </x:c>
      <x:c r="O592" s="28" t="str">
        <x:v>перекрытие ароматических семейств, вкусовой баланс, влияние матрицы/растворимости</x:v>
      </x:c>
      <x:c r="P592" s="28" t="str">
        <x:v>Кислотность и лёгкая горечь цитруса снижают ощущение жирности; соль и умами, в свою очередь, делают фруктовую часть менее резкой.</x:v>
      </x:c>
      <x:c r="Q592" s="28" t="str">
        <x:v>кислота усиливает слюноотделение; зелёные терпены создают ощущение прохлады; нет выраженного</x:v>
      </x:c>
      <x:c r="R592" s="28" t="str">
        <x:v>сок — водная кислая фаза; цедра — масляная терпеновая; кислота может денатурировать поверхностные белки; жир рыбы удерживает терпены</x:v>
      </x:c>
      <x:c r="S59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592"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Припущенное филе трески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U592" s="28" t="str">
        <x:v>Избыток кислоты делает вкус плоско-резким; белая часть кожуры даёт лишнюю горечь; слишком долгая маринация ухудшает текстуру.</x:v>
      </x:c>
      <x:c r="V592" s="28" t="str">
        <x:v>кинза или фенхель</x:v>
      </x:c>
      <x:c r="W592" s="28" t="str">
        <x:v>севиче, маринад, beurre blanc, тартар или салат</x:v>
      </x:c>
      <x:c r="X592" s="28" t="str">
        <x:v>еда, соусы/маринады</x:v>
      </x:c>
      <x:c r="Y592" s="28" t="str">
        <x:v>Средняя</x:v>
      </x:c>
      <x:c r="Z592" s="28" t="str">
        <x:v>The Art &amp; Science of Foodpairing.pdf</x:v>
      </x:c>
      <x:c r="AA592" s="28" t="str">
        <x:v>The Art &amp; Science of Foodpairing.pdf: 332</x:v>
      </x:c>
      <x:c r="AB592" s="28" t="str">
        <x:v>Пара представлена в ароматической диаграмме Foodpairing на странице 332.</x:v>
      </x:c>
      <x:c r="AC592" s="28" t="n">
        <x:v>1</x:v>
      </x:c>
      <x:c r="AD592" s="28" t="n">
        <x:v>1</x:v>
      </x:c>
    </x:row>
    <x:row r="593" ht="58" customHeight="1">
      <x:c r="A593" s="28" t="str">
        <x:v>CIT-0592</x:v>
      </x:c>
      <x:c r="B593" s="28" t="str">
        <x:v>Универсальные</x:v>
      </x:c>
      <x:c r="C593" s="28" t="str">
        <x:v>пальчиковый лайм</x:v>
      </x:c>
      <x:c r="D593" s="28" t="str">
        <x:v>finger lime</x:v>
      </x:c>
      <x:c r="E593" s="28" t="str">
        <x:v>Цитрусовые</x:v>
      </x:c>
      <x:c r="F593" s="28" t="str">
        <x:v>сок бузины</x:v>
      </x:c>
      <x:c r="G593" s="28" t="str">
        <x:v>elderberry juice</x:v>
      </x:c>
      <x:c r="H593" s="28" t="str">
        <x:v>Прочее</x:v>
      </x:c>
      <x:c r="I593" s="28" t="str">
        <x:v>цитрусовый, зелёный, травяной, камфорный</x:v>
      </x:c>
      <x:c r="J593" s="28" t="str">
        <x:v>нейтральный/специфический</x:v>
      </x:c>
      <x:c r="K593" s="28" t="str">
        <x:v>лимонен, гамма-терпинен, цитраль, бета-пинен, линалол</x:v>
      </x:c>
      <x:c r="L593" s="28" t="str">
        <x:v>нужен профиль конкретного продукта</x:v>
      </x:c>
      <x:c r="M593" s="28" t="str">
        <x:v>прямое семейное перекрытие не является главным механизмом</x:v>
      </x:c>
      <x:c r="N593" s="28" t="str">
        <x:v>надёжный общий маркер не заявлен; сочетание объясняется семействами и сенсорным балансом</x:v>
      </x:c>
      <x:c r="O593" s="28" t="str">
        <x:v>вкусовой баланс, тройничное восприятие</x:v>
      </x:c>
      <x:c r="P593" s="28" t="str">
        <x:v>Основной эффект определяется ароматическим контрастом и добавлением кислотной свежести; точный баланс зависит от дозировки и матрицы.</x:v>
      </x:c>
      <x:c r="Q593" s="28" t="str">
        <x:v>кислота усиливает слюноотделение; зелёные терпены создают ощущение прохлады; нет данных</x:v>
      </x:c>
      <x:c r="R593" s="28" t="str">
        <x:v>сок — водная кислая фаза; цедра — масляная терпеновая; зависит от формы продукта</x:v>
      </x:c>
      <x:c r="S59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93" s="28" t="str">
        <x:v>Пальчиковый лайм формирует профиль «цитрусовый, зелёный, травяной, камфорный»; характерные маркеры: лимонен, гамма-терпинен, цитраль, бета-пинен, линалол. Сок бузины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593" s="28" t="str">
        <x:v>Избыток кислоты делает вкус плоско-резким; белая часть кожуры даёт лишнюю горечь.</x:v>
      </x:c>
      <x:c r="V593" s="28" t="str">
        <x:v>мёд или нейтральная жировая основа</x:v>
      </x:c>
      <x:c r="W593" s="28" t="str">
        <x:v>соус, напиток или десерт после пробной дегустации</x:v>
      </x:c>
      <x:c r="X593" s="28" t="str">
        <x:v>универсальное</x:v>
      </x:c>
      <x:c r="Y593" s="28" t="str">
        <x:v>Средняя</x:v>
      </x:c>
      <x:c r="Z593" s="28" t="str">
        <x:v>The Art &amp; Science of Foodpairing.pdf</x:v>
      </x:c>
      <x:c r="AA593" s="28" t="str">
        <x:v>The Art &amp; Science of Foodpairing.pdf: 332</x:v>
      </x:c>
      <x:c r="AB593" s="28" t="str">
        <x:v>Пара представлена в ароматической диаграмме Foodpairing на странице 332.</x:v>
      </x:c>
      <x:c r="AC593" s="28" t="n">
        <x:v>1</x:v>
      </x:c>
      <x:c r="AD593" s="28" t="n">
        <x:v>1</x:v>
      </x:c>
    </x:row>
    <x:row r="594" ht="58" customHeight="1">
      <x:c r="A594" s="28" t="str">
        <x:v>CIT-0593</x:v>
      </x:c>
      <x:c r="B594" s="28" t="str">
        <x:v>Десерты и выпечка</x:v>
      </x:c>
      <x:c r="C594" s="28" t="str">
        <x:v>пальчиковый лайм</x:v>
      </x:c>
      <x:c r="D594" s="28" t="str">
        <x:v>finger lime</x:v>
      </x:c>
      <x:c r="E594" s="28" t="str">
        <x:v>Цитрусовые</x:v>
      </x:c>
      <x:c r="F594" s="28" t="str">
        <x:v>тёмный шоколад</x:v>
      </x:c>
      <x:c r="G594" s="28" t="str">
        <x:v>dark chocolate</x:v>
      </x:c>
      <x:c r="H594" s="28" t="str">
        <x:v>Шоколад/обжаренное</x:v>
      </x:c>
      <x:c r="I594" s="28" t="str">
        <x:v>цитрусовый, зелёный, травяной, камфорный</x:v>
      </x:c>
      <x:c r="J594" s="28" t="str">
        <x:v>обжаренный, какао, ореховый, карамельный</x:v>
      </x:c>
      <x:c r="K594" s="28" t="str">
        <x:v>лимонен, гамма-терпинен, цитраль, бета-пинен, линалол</x:v>
      </x:c>
      <x:c r="L594" s="28" t="str">
        <x:v>пиразины, фураны, фенилуксусная кислота, ванилин</x:v>
      </x:c>
      <x:c r="M594" s="28" t="str">
        <x:v>прямое семейное перекрытие не является главным механизмом</x:v>
      </x:c>
      <x:c r="N594" s="28" t="str">
        <x:v>надёжный общий маркер не заявлен; сочетание объясняется семействами и сенсорным балансом</x:v>
      </x:c>
      <x:c r="O594" s="28" t="str">
        <x:v>вкусовой баланс</x:v>
      </x:c>
      <x:c r="P594" s="28" t="str">
        <x:v>Высокая кисло-ароматическая нота контрастирует с жареными, горькими и карамельными оттенками; сахар или жир связывает два регистра.</x:v>
      </x:c>
      <x:c r="Q594" s="28" t="str">
        <x:v>кислота усиливает слюноотделение; зелёные терпены создают ощущение прохлады; нет выраженного</x:v>
      </x:c>
      <x:c r="R594" s="28" t="str">
        <x:v>сок — водная кислая фаза; цедра — масляная терпеновая; жир какао удерживает гидрофобные терпены</x:v>
      </x:c>
      <x:c r="S59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94" s="28" t="str">
        <x:v>Пальчиковый лайм формирует профиль «цитрусовый, зелёный, травяной, камфорный»; характерные маркеры: лимонен, гамма-терпинен, цитраль, бета-пинен, линалол. Тёмный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даёт высокую свежую ноту на фоне тёмных жареных соединений.</x:v>
      </x:c>
      <x:c r="U594" s="28" t="str">
        <x:v>Избыток кислоты делает вкус плоско-резким; белая часть кожуры даёт лишнюю горечь.</x:v>
      </x:c>
      <x:c r="V594" s="28" t="str">
        <x:v>ваниль или кардамон</x:v>
      </x:c>
      <x:c r="W594" s="28" t="str">
        <x:v>ганаш, тарт, конфеты, кофейный напиток или биттер</x:v>
      </x:c>
      <x:c r="X594" s="28" t="str">
        <x:v>десерты</x:v>
      </x:c>
      <x:c r="Y594" s="28" t="str">
        <x:v>Средняя</x:v>
      </x:c>
      <x:c r="Z594" s="28" t="str">
        <x:v>The Art &amp; Science of Foodpairing.pdf</x:v>
      </x:c>
      <x:c r="AA594" s="28" t="str">
        <x:v>The Art &amp; Science of Foodpairing.pdf: 332</x:v>
      </x:c>
      <x:c r="AB594" s="28" t="str">
        <x:v>Пара представлена в ароматической диаграмме Foodpairing на странице 332.</x:v>
      </x:c>
      <x:c r="AC594" s="28" t="n">
        <x:v>1</x:v>
      </x:c>
      <x:c r="AD594" s="28" t="n">
        <x:v>1</x:v>
      </x:c>
    </x:row>
    <x:row r="595" ht="58" customHeight="1">
      <x:c r="A595" s="28" t="str">
        <x:v>CIT-0594</x:v>
      </x:c>
      <x:c r="B595" s="28" t="str">
        <x:v>Десерты и выпечка</x:v>
      </x:c>
      <x:c r="C595" s="28" t="str">
        <x:v>пальчиковый лайм</x:v>
      </x:c>
      <x:c r="D595" s="28" t="str">
        <x:v>finger lime</x:v>
      </x:c>
      <x:c r="E595" s="28" t="str">
        <x:v>Цитрусовые</x:v>
      </x:c>
      <x:c r="F595" s="28" t="str">
        <x:v>фундук</x:v>
      </x:c>
      <x:c r="G595" s="28" t="str">
        <x:v>hazelnut</x:v>
      </x:c>
      <x:c r="H595" s="28" t="str">
        <x:v>Орехи и семена</x:v>
      </x:c>
      <x:c r="I595" s="28" t="str">
        <x:v>цитрусовый, зелёный, травяной, камфорный</x:v>
      </x:c>
      <x:c r="J595" s="28" t="str">
        <x:v>ореховый, обжаренный, жирный, зелёный</x:v>
      </x:c>
      <x:c r="K595" s="28" t="str">
        <x:v>лимонен, гамма-терпинен, цитраль, бета-пинен, линалол</x:v>
      </x:c>
      <x:c r="L595" s="28" t="str">
        <x:v>пиразины, альдегиды окисления жиров, бензальдегид (миндаль)</x:v>
      </x:c>
      <x:c r="M595" s="28" t="str">
        <x:v>зелёный</x:v>
      </x:c>
      <x:c r="N595" s="28" t="str">
        <x:v>надёжный общий маркер не заявлен; сочетание объясняется семействами и сенсорным балансом</x:v>
      </x:c>
      <x:c r="O595" s="28" t="str">
        <x:v>перекрытие ароматических семейств, вкусовой баланс, влияние матрицы/растворимости</x:v>
      </x:c>
      <x:c r="P595" s="28" t="str">
        <x:v>Кислотность и лёгкая горечь цитруса снижают ощущение жирности; соль и умами, в свою очередь, делают фруктовую часть менее резкой.</x:v>
      </x:c>
      <x:c r="Q595" s="28" t="str">
        <x:v>кислота усиливает слюноотделение; зелёные терпены создают ощущение прохлады; нет выраженного</x:v>
      </x:c>
      <x:c r="R595" s="28" t="str">
        <x:v>сок — водная кислая фаза; цедра — масляная терпеновая; высокая жирность растворяет терпеновые масла цитруса</x:v>
      </x:c>
      <x:c r="S595"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595" s="28" t="str">
        <x:v>Пальчиковый лайм формирует профиль «цитрусовый, зелёный, травяной, камфорный»; характерные маркеры: лимонен, гамма-терпинен, цитраль, бета-пинен, линалол. Фундук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U595" s="28" t="str">
        <x:v>Избыток кислоты делает вкус плоско-резким; белая часть кожуры даёт лишнюю горечь.</x:v>
      </x:c>
      <x:c r="V595" s="28" t="str">
        <x:v>мёд или шоколад</x:v>
      </x:c>
      <x:c r="W595" s="28" t="str">
        <x:v>пралине, крем, выпечка, салат или ореховый соус</x:v>
      </x:c>
      <x:c r="X595" s="28" t="str">
        <x:v>десерты</x:v>
      </x:c>
      <x:c r="Y595" s="28" t="str">
        <x:v>Средняя</x:v>
      </x:c>
      <x:c r="Z595" s="28" t="str">
        <x:v>The Art &amp; Science of Foodpairing.pdf</x:v>
      </x:c>
      <x:c r="AA595" s="28" t="str">
        <x:v>The Art &amp; Science of Foodpairing.pdf: 332</x:v>
      </x:c>
      <x:c r="AB595" s="28" t="str">
        <x:v>Пара представлена в ароматической диаграмме Foodpairing на странице 332.</x:v>
      </x:c>
      <x:c r="AC595" s="28" t="n">
        <x:v>1</x:v>
      </x:c>
      <x:c r="AD595" s="28" t="n">
        <x:v>2</x:v>
      </x:c>
    </x:row>
    <x:row r="596" ht="58" customHeight="1">
      <x:c r="A596" s="28" t="str">
        <x:v>CIT-0595</x:v>
      </x:c>
      <x:c r="B596" s="28" t="str">
        <x:v>Универсальные</x:v>
      </x:c>
      <x:c r="C596" s="28" t="str">
        <x:v>помело</x:v>
      </x:c>
      <x:c r="D596" s="28" t="str">
        <x:v>pomelo</x:v>
      </x:c>
      <x:c r="E596" s="28" t="str">
        <x:v>Цитрусовые</x:v>
      </x:c>
      <x:c r="F596" s="28" t="str">
        <x:v>гигантский иссоп</x:v>
      </x:c>
      <x:c r="G596" s="28" t="str">
        <x:v>blue giant hyssop</x:v>
      </x:c>
      <x:c r="H596" s="28" t="str">
        <x:v>Прочее</x:v>
      </x:c>
      <x:c r="I596" s="28" t="str">
        <x:v>цитрусовый, горький, свежий, сернистый</x:v>
      </x:c>
      <x:c r="J596" s="28" t="str">
        <x:v>нейтральный/специфический</x:v>
      </x:c>
      <x:c r="K596" s="28" t="str">
        <x:v>лимонен, нооткатон, грейпфрутовые тиолы, нарингин</x:v>
      </x:c>
      <x:c r="L596" s="28" t="str">
        <x:v>нужен профиль конкретного продукта</x:v>
      </x:c>
      <x:c r="M596" s="28" t="str">
        <x:v>прямое семейное перекрытие не является главным механизмом</x:v>
      </x:c>
      <x:c r="N596" s="28" t="str">
        <x:v>надёжный общий маркер не заявлен; сочетание объясняется семействами и сенсорным балансом</x:v>
      </x:c>
      <x:c r="O596" s="28" t="str">
        <x:v>вкусовой баланс, тройничное восприятие</x:v>
      </x:c>
      <x:c r="P596" s="28" t="str">
        <x:v>Основной эффект определяется ароматическим контрастом и добавлением кислотной свежести; точный баланс зависит от дозировки и матрицы.</x:v>
      </x:c>
      <x:c r="Q596" s="28" t="str">
        <x:v>нет выраженного; кислота усиливает слюноотделение; нет данных</x:v>
      </x:c>
      <x:c r="R596" s="28" t="str">
        <x:v>водная фаза сока + гидрофобные масла кожуры; зависит от формы продукта</x:v>
      </x:c>
      <x:c r="S59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596" s="28" t="str">
        <x:v>Помело формирует профиль «цитрусовый, горький, свежий, сернистый»; характерные маркеры: лимонен, нооткатон, грейпфрутовые тиолы, нарингин. Гигантский иссоп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596" s="28" t="str">
        <x:v>Избыток кислоты делает вкус плоско-резким; белая часть кожуры даёт лишнюю горечь.</x:v>
      </x:c>
      <x:c r="V596" s="28" t="str">
        <x:v>мёд или нейтральная жировая основа</x:v>
      </x:c>
      <x:c r="W596" s="28" t="str">
        <x:v>соус, напиток или десерт после пробной дегустации</x:v>
      </x:c>
      <x:c r="X596" s="28" t="str">
        <x:v>универсальное</x:v>
      </x:c>
      <x:c r="Y596" s="28" t="str">
        <x:v>Средняя</x:v>
      </x:c>
      <x:c r="Z596" s="28" t="str">
        <x:v>The Art &amp; Science of Foodpairing.pdf</x:v>
      </x:c>
      <x:c r="AA596" s="28" t="str">
        <x:v>The Art &amp; Science of Foodpairing.pdf: 350</x:v>
      </x:c>
      <x:c r="AB596" s="28" t="str">
        <x:v>Пара представлена в ароматической диаграмме Foodpairing на странице 350.</x:v>
      </x:c>
      <x:c r="AC596" s="28" t="n">
        <x:v>1</x:v>
      </x:c>
      <x:c r="AD596" s="28" t="n">
        <x:v>1</x:v>
      </x:c>
    </x:row>
    <x:row r="597" ht="58" customHeight="1">
      <x:c r="A597" s="28" t="str">
        <x:v>CIT-0596</x:v>
      </x:c>
      <x:c r="B597" s="28" t="str">
        <x:v>Еда и соусы</x:v>
      </x:c>
      <x:c r="C597" s="28" t="str">
        <x:v>помело</x:v>
      </x:c>
      <x:c r="D597" s="28" t="str">
        <x:v>pomelo</x:v>
      </x:c>
      <x:c r="E597" s="28" t="str">
        <x:v>Цитрусовые</x:v>
      </x:c>
      <x:c r="F597" s="28" t="str">
        <x:v>говядина сухой выдержки</x:v>
      </x:c>
      <x:c r="G597" s="28" t="str">
        <x:v>dry-aged beef</x:v>
      </x:c>
      <x:c r="H597" s="28" t="str">
        <x:v>Мясо и птица</x:v>
      </x:c>
      <x:c r="I597" s="28" t="str">
        <x:v>цитрусовый, горький, свежий, сернистый</x:v>
      </x:c>
      <x:c r="J597" s="28" t="str">
        <x:v>жареный, мясной, сернистый, жирный</x:v>
      </x:c>
      <x:c r="K597" s="28" t="str">
        <x:v>лимонен, нооткатон, грейпфрутовые тиолы, нарингин</x:v>
      </x:c>
      <x:c r="L597" s="28" t="str">
        <x:v>пиразины, тиазолы, альдегиды жиров, сернистые соединения</x:v>
      </x:c>
      <x:c r="M597" s="28" t="str">
        <x:v>сернистый</x:v>
      </x:c>
      <x:c r="N597" s="28" t="str">
        <x:v>надёжный общий маркер не заявлен; сочетание объясняется семействами и сенсорным балансом</x:v>
      </x:c>
      <x:c r="O597" s="28" t="str">
        <x:v>перекрытие ароматических семейств, вкусовой баланс, влияние матрицы/растворимости</x:v>
      </x:c>
      <x:c r="P597" s="28" t="str">
        <x:v>Кислотность и лёгкая горечь цитруса снижают ощущение жирности; соль и умами, в свою очередь, делают фруктовую часть менее резкой.</x:v>
      </x:c>
      <x:c r="Q597" s="28" t="str">
        <x:v>нет выраженного; кислота усиливает слюноотделение; нет выраженного</x:v>
      </x:c>
      <x:c r="R597" s="28" t="str">
        <x:v>водная фаза сока + гидрофобные масла кожуры; жир удерживает терпеновые масла; кислота снижает ощущение жирности</x:v>
      </x:c>
      <x:c r="S59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597" s="28" t="str">
        <x:v>Помело формирует профиль «цитрусовый, горький, свежий, сернистый»; характерные маркеры: лимонен, нооткатон, грейпфрутовые тиолы, нарингин. Говядина сухой выдержки относится к группе «мясо и птица» и даёт ноты «жареный, мясной, сернистый, жирный». Прямой общий ключевой одорант из доступных профилей не фиксируется, однако продукты пересекаются на уровне семейств: сернистый.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создаёт контраст с реакциями Майяра и освежает мясную матрицу.</x:v>
      </x:c>
      <x:c r="U597" s="28" t="str">
        <x:v>Избыток кислоты делает вкус плоско-резким; белая часть кожуры даёт лишнюю горечь; слишком долгая маринация ухудшает текстуру.</x:v>
      </x:c>
      <x:c r="V597" s="28" t="str">
        <x:v>розмарин или чёрный перец</x:v>
      </x:c>
      <x:c r="W597" s="28" t="str">
        <x:v>маринад, глазурь, соус, жаркое или салат</x:v>
      </x:c>
      <x:c r="X597" s="28" t="str">
        <x:v>еда, соусы/маринады</x:v>
      </x:c>
      <x:c r="Y597" s="28" t="str">
        <x:v>Средняя</x:v>
      </x:c>
      <x:c r="Z597" s="28" t="str">
        <x:v>The Art &amp; Science of Foodpairing.pdf</x:v>
      </x:c>
      <x:c r="AA597" s="28" t="str">
        <x:v>The Art &amp; Science of Foodpairing.pdf: 251</x:v>
      </x:c>
      <x:c r="AB597" s="28" t="str">
        <x:v>Пара представлена в ароматической диаграмме Foodpairing на странице 251.</x:v>
      </x:c>
      <x:c r="AC597" s="28" t="n">
        <x:v>1</x:v>
      </x:c>
      <x:c r="AD597" s="28" t="n">
        <x:v>1</x:v>
      </x:c>
    </x:row>
    <x:row r="598" ht="58" customHeight="1">
      <x:c r="A598" s="28" t="str">
        <x:v>CIT-0597</x:v>
      </x:c>
      <x:c r="B598" s="28" t="str">
        <x:v>Десерты и выпечка</x:v>
      </x:c>
      <x:c r="C598" s="28" t="str">
        <x:v>помело</x:v>
      </x:c>
      <x:c r="D598" s="28" t="str">
        <x:v>pomelo</x:v>
      </x:c>
      <x:c r="E598" s="28" t="str">
        <x:v>Цитрусовые</x:v>
      </x:c>
      <x:c r="F598" s="28" t="str">
        <x:v>груша</x:v>
      </x:c>
      <x:c r="G598" s="28" t="str">
        <x:v>pear</x:v>
      </x:c>
      <x:c r="H598" s="28" t="str">
        <x:v>Фрукты</x:v>
      </x:c>
      <x:c r="I598" s="28" t="str">
        <x:v>цитрусовый, горький, свежий, сернистый</x:v>
      </x:c>
      <x:c r="J598" s="28" t="str">
        <x:v>фруктовый, цветочный, восковой</x:v>
      </x:c>
      <x:c r="K598" s="28" t="str">
        <x:v>лимонен, нооткатон, грейпфрутовые тиолы, нарингин</x:v>
      </x:c>
      <x:c r="L598" s="28" t="str">
        <x:v>этилацетат, гексилацетат, декановые эфиры, дамасценон</x:v>
      </x:c>
      <x:c r="M598" s="28" t="str">
        <x:v>прямое семейное перекрытие не является главным механизмом</x:v>
      </x:c>
      <x:c r="N598" s="28" t="str">
        <x:v>надёжный общий маркер не заявлен; сочетание объясняется семействами и сенсорным балансом</x:v>
      </x:c>
      <x:c r="O598" s="28" t="str">
        <x:v>вкусовой баланс</x:v>
      </x:c>
      <x:c r="P598" s="28" t="str">
        <x:v>Общая фруктовая сладость и летучие эфиры создают непрерывный ароматический профиль, а цитрусовая кислота повышает контраст и свежесть.</x:v>
      </x:c>
      <x:c r="Q598" s="28" t="str">
        <x:v>нет выраженного; кислота усиливает слюноотделение; нет выраженного</x:v>
      </x:c>
      <x:c r="R598" s="28" t="str">
        <x:v>водная фаза сока + гидрофобные масла кожуры; сочная водная матрица</x:v>
      </x:c>
      <x:c r="S59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98" s="28" t="str">
        <x:v>Помело формирует профиль «цитрусовый, горький, свежий, сернистый»; характерные маркеры: лимонен, нооткатон, грейпфрутовые тиолы, нарингин. Груша относится к группе «фрукты» и даёт ноты «фруктовый, цветочный, восковой».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Груша мягкая и сладкая, поэтому цитрус добавляет ей контур и свежесть.</x:v>
      </x:c>
      <x:c r="U598" s="28" t="str">
        <x:v>Избыток кислоты делает вкус плоско-резким; белая часть кожуры даёт лишнюю горечь.</x:v>
      </x:c>
      <x:c r="V598" s="28" t="str">
        <x:v>мята или имбирь</x:v>
      </x:c>
      <x:c r="W598" s="28" t="str">
        <x:v>лимонад, сорбет, компот, салат или фруктовый кордиал</x:v>
      </x:c>
      <x:c r="X598" s="28" t="str">
        <x:v>напитки, десерты</x:v>
      </x:c>
      <x:c r="Y598" s="28" t="str">
        <x:v>Средняя</x:v>
      </x:c>
      <x:c r="Z598" s="28" t="str">
        <x:v>The Art &amp; Science of Foodpairing.pdf</x:v>
      </x:c>
      <x:c r="AA598" s="28" t="str">
        <x:v>The Art &amp; Science of Foodpairing.pdf: 350</x:v>
      </x:c>
      <x:c r="AB598" s="28" t="str">
        <x:v>Пара представлена в ароматической диаграмме Foodpairing на странице 350.</x:v>
      </x:c>
      <x:c r="AC598" s="28" t="n">
        <x:v>1</x:v>
      </x:c>
      <x:c r="AD598" s="28" t="n">
        <x:v>1</x:v>
      </x:c>
    </x:row>
    <x:row r="599" ht="58" customHeight="1">
      <x:c r="A599" s="28" t="str">
        <x:v>CIT-0598</x:v>
      </x:c>
      <x:c r="B599" s="28" t="str">
        <x:v>Десерты и выпечка</x:v>
      </x:c>
      <x:c r="C599" s="28" t="str">
        <x:v>помело</x:v>
      </x:c>
      <x:c r="D599" s="28" t="str">
        <x:v>pomelo</x:v>
      </x:c>
      <x:c r="E599" s="28" t="str">
        <x:v>Цитрусовые</x:v>
      </x:c>
      <x:c r="F599" s="28" t="str">
        <x:v>груша Вильямс</x:v>
      </x:c>
      <x:c r="G599" s="28" t="str">
        <x:v>Williams pear</x:v>
      </x:c>
      <x:c r="H599" s="28" t="str">
        <x:v>Фрукты</x:v>
      </x:c>
      <x:c r="I599" s="28" t="str">
        <x:v>цитрусовый, горький, свежий, сернистый</x:v>
      </x:c>
      <x:c r="J599" s="28" t="str">
        <x:v>фруктовый, цветочный, восковой</x:v>
      </x:c>
      <x:c r="K599" s="28" t="str">
        <x:v>лимонен, нооткатон, грейпфрутовые тиолы, нарингин</x:v>
      </x:c>
      <x:c r="L599" s="28" t="str">
        <x:v>этилацетат, гексилацетат, декановые эфиры, дамасценон</x:v>
      </x:c>
      <x:c r="M599" s="28" t="str">
        <x:v>прямое семейное перекрытие не является главным механизмом</x:v>
      </x:c>
      <x:c r="N599" s="28" t="str">
        <x:v>надёжный общий маркер не заявлен; сочетание объясняется семействами и сенсорным балансом</x:v>
      </x:c>
      <x:c r="O599" s="28" t="str">
        <x:v>вкусовой баланс</x:v>
      </x:c>
      <x:c r="P599" s="28" t="str">
        <x:v>Общая фруктовая сладость и летучие эфиры создают непрерывный ароматический профиль, а цитрусовая кислота повышает контраст и свежесть.</x:v>
      </x:c>
      <x:c r="Q599" s="28" t="str">
        <x:v>нет выраженного; кислота усиливает слюноотделение; нет выраженного</x:v>
      </x:c>
      <x:c r="R599" s="28" t="str">
        <x:v>водная фаза сока + гидрофобные масла кожуры; сочная водная матрица</x:v>
      </x:c>
      <x:c r="S59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599" s="28" t="str">
        <x:v>Помело формирует профиль «цитрусовый, горький, свежий, сернистый»; характерные маркеры: лимонен, нооткатон, грейпфрутовые тиолы, нарингин. Груша вильямс относится к группе «фрукты» и даёт ноты «фруктовый, цветочный, восковой».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Груша мягкая и сладкая, поэтому цитрус добавляет ей контур и свежесть.</x:v>
      </x:c>
      <x:c r="U599" s="28" t="str">
        <x:v>Избыток кислоты делает вкус плоско-резким; белая часть кожуры даёт лишнюю горечь.</x:v>
      </x:c>
      <x:c r="V599" s="28" t="str">
        <x:v>мята или имбирь</x:v>
      </x:c>
      <x:c r="W599" s="28" t="str">
        <x:v>лимонад, сорбет, компот, салат или фруктовый кордиал</x:v>
      </x:c>
      <x:c r="X599" s="28" t="str">
        <x:v>напитки, десерты</x:v>
      </x:c>
      <x:c r="Y599" s="28" t="str">
        <x:v>Средняя</x:v>
      </x:c>
      <x:c r="Z599" s="28" t="str">
        <x:v>The Art &amp; Science of Foodpairing.pdf</x:v>
      </x:c>
      <x:c r="AA599" s="28" t="str">
        <x:v>The Art &amp; Science of Foodpairing.pdf: 347</x:v>
      </x:c>
      <x:c r="AB599" s="28" t="str">
        <x:v>Пара представлена в ароматической диаграмме Foodpairing на странице 347.</x:v>
      </x:c>
      <x:c r="AC599" s="28" t="n">
        <x:v>1</x:v>
      </x:c>
      <x:c r="AD599" s="28" t="n">
        <x:v>1</x:v>
      </x:c>
    </x:row>
    <x:row r="600" ht="58" customHeight="1">
      <x:c r="A600" s="28" t="str">
        <x:v>CIT-0599</x:v>
      </x:c>
      <x:c r="B600" s="28" t="str">
        <x:v>Десерты и выпечка</x:v>
      </x:c>
      <x:c r="C600" s="28" t="str">
        <x:v>помело</x:v>
      </x:c>
      <x:c r="D600" s="28" t="str">
        <x:v>pomelo</x:v>
      </x:c>
      <x:c r="E600" s="28" t="str">
        <x:v>Цитрусовые</x:v>
      </x:c>
      <x:c r="F600" s="28" t="str">
        <x:v>груша Вильямс (Бартлетт)</x:v>
      </x:c>
      <x:c r="G600" s="28" t="str">
        <x:v>Williams pear (Bartlett pear)</x:v>
      </x:c>
      <x:c r="H600" s="28" t="str">
        <x:v>Фрукты</x:v>
      </x:c>
      <x:c r="I600" s="28" t="str">
        <x:v>цитрусовый, горький, свежий, сернистый</x:v>
      </x:c>
      <x:c r="J600" s="28" t="str">
        <x:v>фруктовый, цветочный, восковой</x:v>
      </x:c>
      <x:c r="K600" s="28" t="str">
        <x:v>лимонен, нооткатон, грейпфрутовые тиолы, нарингин</x:v>
      </x:c>
      <x:c r="L600" s="28" t="str">
        <x:v>этилацетат, гексилацетат, декановые эфиры, дамасценон</x:v>
      </x:c>
      <x:c r="M600" s="28" t="str">
        <x:v>прямое семейное перекрытие не является главным механизмом</x:v>
      </x:c>
      <x:c r="N600" s="28" t="str">
        <x:v>надёжный общий маркер не заявлен; сочетание объясняется семействами и сенсорным балансом</x:v>
      </x:c>
      <x:c r="O600" s="28" t="str">
        <x:v>вкусовой баланс</x:v>
      </x:c>
      <x:c r="P600" s="28" t="str">
        <x:v>Общая фруктовая сладость и летучие эфиры создают непрерывный ароматический профиль, а цитрусовая кислота повышает контраст и свежесть.</x:v>
      </x:c>
      <x:c r="Q600" s="28" t="str">
        <x:v>нет выраженного; кислота усиливает слюноотделение; нет выраженного</x:v>
      </x:c>
      <x:c r="R600" s="28" t="str">
        <x:v>водная фаза сока + гидрофобные масла кожуры; сочная водная матрица</x:v>
      </x:c>
      <x:c r="S60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00" s="28" t="str">
        <x:v>Помело формирует профиль «цитрусовый, горький, свежий, сернистый»; характерные маркеры: лимонен, нооткатон, грейпфрутовые тиолы, нарингин. Груша вильямс (бартлетт) относится к группе «фрукты» и даёт ноты «фруктовый, цветочный, восковой».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Груша мягкая и сладкая, поэтому цитрус добавляет ей контур и свежесть.</x:v>
      </x:c>
      <x:c r="U600" s="28" t="str">
        <x:v>Избыток кислоты делает вкус плоско-резким; белая часть кожуры даёт лишнюю горечь.</x:v>
      </x:c>
      <x:c r="V600" s="28" t="str">
        <x:v>мята или имбирь</x:v>
      </x:c>
      <x:c r="W600" s="28" t="str">
        <x:v>лимонад, сорбет, компот, салат или фруктовый кордиал</x:v>
      </x:c>
      <x:c r="X600" s="28" t="str">
        <x:v>напитки, десерты</x:v>
      </x:c>
      <x:c r="Y600" s="28" t="str">
        <x:v>Средняя</x:v>
      </x:c>
      <x:c r="Z600" s="28" t="str">
        <x:v>The Art &amp; Science of Foodpairing.pdf</x:v>
      </x:c>
      <x:c r="AA600" s="28" t="str">
        <x:v>The Art &amp; Science of Foodpairing.pdf: 350</x:v>
      </x:c>
      <x:c r="AB600" s="28" t="str">
        <x:v>Пара представлена в ароматической диаграмме Foodpairing на странице 350.</x:v>
      </x:c>
      <x:c r="AC600" s="28" t="n">
        <x:v>1</x:v>
      </x:c>
      <x:c r="AD600" s="28" t="n">
        <x:v>1</x:v>
      </x:c>
    </x:row>
    <x:row r="601" ht="58" customHeight="1">
      <x:c r="A601" s="28" t="str">
        <x:v>CIT-0600</x:v>
      </x:c>
      <x:c r="B601" s="28" t="str">
        <x:v>Универсальные</x:v>
      </x:c>
      <x:c r="C601" s="28" t="str">
        <x:v>помело</x:v>
      </x:c>
      <x:c r="D601" s="28" t="str">
        <x:v>pomelo</x:v>
      </x:c>
      <x:c r="E601" s="28" t="str">
        <x:v>Цитрусовые</x:v>
      </x:c>
      <x:c r="F601" s="28" t="str">
        <x:v>дикая бузина</x:v>
      </x:c>
      <x:c r="G601" s="28" t="str">
        <x:v>wild elderberry</x:v>
      </x:c>
      <x:c r="H601" s="28" t="str">
        <x:v>Прочее</x:v>
      </x:c>
      <x:c r="I601" s="28" t="str">
        <x:v>цитрусовый, горький, свежий, сернистый</x:v>
      </x:c>
      <x:c r="J601" s="28" t="str">
        <x:v>нейтральный/специфический</x:v>
      </x:c>
      <x:c r="K601" s="28" t="str">
        <x:v>лимонен, нооткатон, грейпфрутовые тиолы, нарингин</x:v>
      </x:c>
      <x:c r="L601" s="28" t="str">
        <x:v>нужен профиль конкретного продукта</x:v>
      </x:c>
      <x:c r="M601" s="28" t="str">
        <x:v>прямое семейное перекрытие не является главным механизмом</x:v>
      </x:c>
      <x:c r="N601" s="28" t="str">
        <x:v>надёжный общий маркер не заявлен; сочетание объясняется семействами и сенсорным балансом</x:v>
      </x:c>
      <x:c r="O601" s="28" t="str">
        <x:v>вкусовой баланс, тройничное восприятие</x:v>
      </x:c>
      <x:c r="P601" s="28" t="str">
        <x:v>Основной эффект определяется ароматическим контрастом и добавлением кислотной свежести; точный баланс зависит от дозировки и матрицы.</x:v>
      </x:c>
      <x:c r="Q601" s="28" t="str">
        <x:v>нет выраженного; кислота усиливает слюноотделение; нет данных</x:v>
      </x:c>
      <x:c r="R601" s="28" t="str">
        <x:v>водная фаза сока + гидрофобные масла кожуры; зависит от формы продукта</x:v>
      </x:c>
      <x:c r="S60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01" s="28" t="str">
        <x:v>Помело формирует профиль «цитрусовый, горький, свежий, сернистый»; характерные маркеры: лимонен, нооткатон, грейпфрутовые тиолы, нарингин. Дикая бузина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601" s="28" t="str">
        <x:v>Избыток кислоты делает вкус плоско-резким; белая часть кожуры даёт лишнюю горечь.</x:v>
      </x:c>
      <x:c r="V601" s="28" t="str">
        <x:v>мёд или нейтральная жировая основа</x:v>
      </x:c>
      <x:c r="W601" s="28" t="str">
        <x:v>соус, напиток или десерт после пробной дегустации</x:v>
      </x:c>
      <x:c r="X601" s="28" t="str">
        <x:v>универсальное</x:v>
      </x:c>
      <x:c r="Y601" s="28" t="str">
        <x:v>Средняя</x:v>
      </x:c>
      <x:c r="Z601" s="28" t="str">
        <x:v>The Art &amp; Science of Foodpairing.pdf</x:v>
      </x:c>
      <x:c r="AA601" s="28" t="str">
        <x:v>The Art &amp; Science of Foodpairing.pdf: 350</x:v>
      </x:c>
      <x:c r="AB601" s="28" t="str">
        <x:v>Пара представлена в ароматической диаграмме Foodpairing на странице 350.</x:v>
      </x:c>
      <x:c r="AC601" s="28" t="n">
        <x:v>1</x:v>
      </x:c>
      <x:c r="AD601" s="28" t="n">
        <x:v>1</x:v>
      </x:c>
    </x:row>
    <x:row r="602" ht="58" customHeight="1">
      <x:c r="A602" s="28" t="str">
        <x:v>CIT-0601</x:v>
      </x:c>
      <x:c r="B602" s="28" t="str">
        <x:v>Универсальные</x:v>
      </x:c>
      <x:c r="C602" s="28" t="str">
        <x:v>помело</x:v>
      </x:c>
      <x:c r="D602" s="28" t="str">
        <x:v>pomelo</x:v>
      </x:c>
      <x:c r="E602" s="28" t="str">
        <x:v>Цитрусовые</x:v>
      </x:c>
      <x:c r="F602" s="28" t="str">
        <x:v>каму-каму</x:v>
      </x:c>
      <x:c r="G602" s="28" t="str">
        <x:v>camu camu berry</x:v>
      </x:c>
      <x:c r="H602" s="28" t="str">
        <x:v>Прочее</x:v>
      </x:c>
      <x:c r="I602" s="28" t="str">
        <x:v>цитрусовый, горький, свежий, сернистый</x:v>
      </x:c>
      <x:c r="J602" s="28" t="str">
        <x:v>нейтральный/специфический</x:v>
      </x:c>
      <x:c r="K602" s="28" t="str">
        <x:v>лимонен, нооткатон, грейпфрутовые тиолы, нарингин</x:v>
      </x:c>
      <x:c r="L602" s="28" t="str">
        <x:v>нужен профиль конкретного продукта</x:v>
      </x:c>
      <x:c r="M602" s="28" t="str">
        <x:v>прямое семейное перекрытие не является главным механизмом</x:v>
      </x:c>
      <x:c r="N602" s="28" t="str">
        <x:v>надёжный общий маркер не заявлен; сочетание объясняется семействами и сенсорным балансом</x:v>
      </x:c>
      <x:c r="O602" s="28" t="str">
        <x:v>вкусовой баланс, тройничное восприятие</x:v>
      </x:c>
      <x:c r="P602" s="28" t="str">
        <x:v>Основной эффект определяется ароматическим контрастом и добавлением кислотной свежести; точный баланс зависит от дозировки и матрицы.</x:v>
      </x:c>
      <x:c r="Q602" s="28" t="str">
        <x:v>нет выраженного; кислота усиливает слюноотделение; нет данных</x:v>
      </x:c>
      <x:c r="R602" s="28" t="str">
        <x:v>водная фаза сока + гидрофобные масла кожуры; зависит от формы продукта</x:v>
      </x:c>
      <x:c r="S60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02" s="28" t="str">
        <x:v>Помело формирует профиль «цитрусовый, горький, свежий, сернистый»; характерные маркеры: лимонен, нооткатон, грейпфрутовые тиолы, нарингин. Каму-каму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602" s="28" t="str">
        <x:v>Избыток кислоты делает вкус плоско-резким; белая часть кожуры даёт лишнюю горечь.</x:v>
      </x:c>
      <x:c r="V602" s="28" t="str">
        <x:v>мёд или нейтральная жировая основа</x:v>
      </x:c>
      <x:c r="W602" s="28" t="str">
        <x:v>соус, напиток или десерт после пробной дегустации</x:v>
      </x:c>
      <x:c r="X602" s="28" t="str">
        <x:v>универсальное</x:v>
      </x:c>
      <x:c r="Y602" s="28" t="str">
        <x:v>Средняя</x:v>
      </x:c>
      <x:c r="Z602" s="28" t="str">
        <x:v>The Art &amp; Science of Foodpairing.pdf</x:v>
      </x:c>
      <x:c r="AA602" s="28" t="str">
        <x:v>The Art &amp; Science of Foodpairing.pdf: 273</x:v>
      </x:c>
      <x:c r="AB602" s="28" t="str">
        <x:v>Пара представлена в ароматической диаграмме Foodpairing на странице 273.</x:v>
      </x:c>
      <x:c r="AC602" s="28" t="n">
        <x:v>1</x:v>
      </x:c>
      <x:c r="AD602" s="28" t="n">
        <x:v>1</x:v>
      </x:c>
    </x:row>
    <x:row r="603" ht="58" customHeight="1">
      <x:c r="A603" s="28" t="str">
        <x:v>CIT-0602</x:v>
      </x:c>
      <x:c r="B603" s="28" t="str">
        <x:v>Еда и соусы</x:v>
      </x:c>
      <x:c r="C603" s="28" t="str">
        <x:v>помело</x:v>
      </x:c>
      <x:c r="D603" s="28" t="str">
        <x:v>pomelo</x:v>
      </x:c>
      <x:c r="E603" s="28" t="str">
        <x:v>Цитрусовые</x:v>
      </x:c>
      <x:c r="F603" s="28" t="str">
        <x:v>коричневая креветка</x:v>
      </x:c>
      <x:c r="G603" s="28" t="str">
        <x:v>brown shrimp</x:v>
      </x:c>
      <x:c r="H603" s="28" t="str">
        <x:v>Рыба и морепродукты</x:v>
      </x:c>
      <x:c r="I603" s="28" t="str">
        <x:v>цитрусовый, горький, свежий, сернистый</x:v>
      </x:c>
      <x:c r="J603" s="28" t="str">
        <x:v>морской, йодистый, зелёный, жирный</x:v>
      </x:c>
      <x:c r="K603" s="28" t="str">
        <x:v>лимонен, нооткатон, грейпфрутовые тиолы, нарингин</x:v>
      </x:c>
      <x:c r="L603" s="28" t="str">
        <x:v>альдегиды окисления липидов, бромфенолы, диметилсульфид, умами-соединения</x:v>
      </x:c>
      <x:c r="M603" s="28" t="str">
        <x:v>прямое семейное перекрытие не является главным механизмом</x:v>
      </x:c>
      <x:c r="N603" s="28" t="str">
        <x:v>надёжный общий маркер не заявлен; сочетание объясняется семействами и сенсорным балансом</x:v>
      </x:c>
      <x:c r="O603" s="28" t="str">
        <x:v>вкусовой баланс, влияние матрицы/растворимости</x:v>
      </x:c>
      <x:c r="P603" s="28" t="str">
        <x:v>Кислотность и лёгкая горечь цитруса снижают ощущение жирности; соль и умами, в свою очередь, делают фруктовую часть менее резкой.</x:v>
      </x:c>
      <x:c r="Q603" s="28" t="str">
        <x:v>нет выраженного; кислота усиливает слюноотделение; нет выраженного</x:v>
      </x:c>
      <x:c r="R603" s="28" t="str">
        <x:v>водная фаза сока + гидрофобные масла кожуры; кислота может денатурировать поверхностные белки; жир рыбы удерживает терпены</x:v>
      </x:c>
      <x:c r="S603"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603" s="28" t="str">
        <x:v>Помело формирует профиль «цитрусовый, горький, свежий, сернистый»; характерные маркеры: лимонен, нооткатон, грейпфрутовые тиолы, нарингин. Коричневая креветка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уменьшает восприятие жирности и рыбных нот, усиливая свежесть и слюноотделение.</x:v>
      </x:c>
      <x:c r="U603" s="28" t="str">
        <x:v>Избыток кислоты делает вкус плоско-резким; белая часть кожуры даёт лишнюю горечь; слишком долгая маринация ухудшает текстуру.</x:v>
      </x:c>
      <x:c r="V603" s="28" t="str">
        <x:v>кинза или фенхель</x:v>
      </x:c>
      <x:c r="W603" s="28" t="str">
        <x:v>севиче, маринад, beurre blanc, тартар или салат</x:v>
      </x:c>
      <x:c r="X603" s="28" t="str">
        <x:v>еда, соусы/маринады</x:v>
      </x:c>
      <x:c r="Y603" s="28" t="str">
        <x:v>Средняя</x:v>
      </x:c>
      <x:c r="Z603" s="28" t="str">
        <x:v>The Art &amp; Science of Foodpairing.pdf</x:v>
      </x:c>
      <x:c r="AA603" s="28" t="str">
        <x:v>The Art &amp; Science of Foodpairing.pdf: 350</x:v>
      </x:c>
      <x:c r="AB603" s="28" t="str">
        <x:v>Пара представлена в ароматической диаграмме Foodpairing на странице 350.</x:v>
      </x:c>
      <x:c r="AC603" s="28" t="n">
        <x:v>1</x:v>
      </x:c>
      <x:c r="AD603" s="28" t="n">
        <x:v>1</x:v>
      </x:c>
    </x:row>
    <x:row r="604" ht="58" customHeight="1">
      <x:c r="A604" s="28" t="str">
        <x:v>CIT-0603</x:v>
      </x:c>
      <x:c r="B604" s="28" t="str">
        <x:v>Универсальные</x:v>
      </x:c>
      <x:c r="C604" s="28" t="str">
        <x:v>помело</x:v>
      </x:c>
      <x:c r="D604" s="28" t="str">
        <x:v>pomelo</x:v>
      </x:c>
      <x:c r="E604" s="28" t="str">
        <x:v>Цитрусовые</x:v>
      </x:c>
      <x:c r="F604" s="28" t="str">
        <x:v>лист любистока</x:v>
      </x:c>
      <x:c r="G604" s="28" t="str">
        <x:v>lovageleaf</x:v>
      </x:c>
      <x:c r="H604" s="28" t="str">
        <x:v>Прочее</x:v>
      </x:c>
      <x:c r="I604" s="28" t="str">
        <x:v>цитрусовый, горький, свежий, сернистый</x:v>
      </x:c>
      <x:c r="J604" s="28" t="str">
        <x:v>нейтральный/специфический</x:v>
      </x:c>
      <x:c r="K604" s="28" t="str">
        <x:v>лимонен, нооткатон, грейпфрутовые тиолы, нарингин</x:v>
      </x:c>
      <x:c r="L604" s="28" t="str">
        <x:v>нужен профиль конкретного продукта</x:v>
      </x:c>
      <x:c r="M604" s="28" t="str">
        <x:v>прямое семейное перекрытие не является главным механизмом</x:v>
      </x:c>
      <x:c r="N604" s="28" t="str">
        <x:v>надёжный общий маркер не заявлен; сочетание объясняется семействами и сенсорным балансом</x:v>
      </x:c>
      <x:c r="O604" s="28" t="str">
        <x:v>вкусовой баланс, тройничное восприятие</x:v>
      </x:c>
      <x:c r="P604" s="28" t="str">
        <x:v>Основной эффект определяется ароматическим контрастом и добавлением кислотной свежести; точный баланс зависит от дозировки и матрицы.</x:v>
      </x:c>
      <x:c r="Q604" s="28" t="str">
        <x:v>нет выраженного; кислота усиливает слюноотделение; нет данных</x:v>
      </x:c>
      <x:c r="R604" s="28" t="str">
        <x:v>водная фаза сока + гидрофобные масла кожуры; зависит от формы продукта</x:v>
      </x:c>
      <x:c r="S60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04" s="28" t="str">
        <x:v>Помело формирует профиль «цитрусовый, горький, свежий, сернистый»; характерные маркеры: лимонен, нооткатон, грейпфрутовые тиолы, нарингин. Лист любистока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604" s="28" t="str">
        <x:v>Избыток кислоты делает вкус плоско-резким; белая часть кожуры даёт лишнюю горечь.</x:v>
      </x:c>
      <x:c r="V604" s="28" t="str">
        <x:v>мёд или нейтральная жировая основа</x:v>
      </x:c>
      <x:c r="W604" s="28" t="str">
        <x:v>соус, напиток или десерт после пробной дегустации</x:v>
      </x:c>
      <x:c r="X604" s="28" t="str">
        <x:v>универсальное</x:v>
      </x:c>
      <x:c r="Y604" s="28" t="str">
        <x:v>Средняя</x:v>
      </x:c>
      <x:c r="Z604" s="28" t="str">
        <x:v>The Art &amp; Science of Foodpairing.pdf</x:v>
      </x:c>
      <x:c r="AA604" s="28" t="str">
        <x:v>The Art &amp; Science of Foodpairing.pdf: 350</x:v>
      </x:c>
      <x:c r="AB604" s="28" t="str">
        <x:v>Пара представлена в ароматической диаграмме Foodpairing на странице 350.</x:v>
      </x:c>
      <x:c r="AC604" s="28" t="n">
        <x:v>1</x:v>
      </x:c>
      <x:c r="AD604" s="28" t="n">
        <x:v>1</x:v>
      </x:c>
    </x:row>
    <x:row r="605" ht="58" customHeight="1">
      <x:c r="A605" s="28" t="str">
        <x:v>CIT-0604</x:v>
      </x:c>
      <x:c r="B605" s="28" t="str">
        <x:v>Десерты и выпечка</x:v>
      </x:c>
      <x:c r="C605" s="28" t="str">
        <x:v>помело</x:v>
      </x:c>
      <x:c r="D605" s="28" t="str">
        <x:v>pomelo</x:v>
      </x:c>
      <x:c r="E605" s="28" t="str">
        <x:v>Цитрусовые</x:v>
      </x:c>
      <x:c r="F605" s="28" t="str">
        <x:v>манго Кейтт</x:v>
      </x:c>
      <x:c r="G605" s="28" t="str">
        <x:v>Keitt mango</x:v>
      </x:c>
      <x:c r="H605" s="28" t="str">
        <x:v>Тропические фрукты</x:v>
      </x:c>
      <x:c r="I605" s="28" t="str">
        <x:v>цитрусовый, горький, свежий, сернистый</x:v>
      </x:c>
      <x:c r="J605" s="28" t="str">
        <x:v>фруктовый, тропический, цветочный, сливочный</x:v>
      </x:c>
      <x:c r="K605" s="28" t="str">
        <x:v>лимонен, нооткатон, грейпфрутовые тиолы, нарингин</x:v>
      </x:c>
      <x:c r="L605" s="28" t="str">
        <x:v>этилбутират, гексилацетат, лактоны, сернистые тиолы (у части фруктов)</x:v>
      </x:c>
      <x:c r="M605" s="28" t="str">
        <x:v>прямое семейное перекрытие не является главным механизмом</x:v>
      </x:c>
      <x:c r="N605" s="28" t="str">
        <x:v>надёжный общий маркер не заявлен; сочетание объясняется семействами и сенсорным балансом</x:v>
      </x:c>
      <x:c r="O605" s="28" t="str">
        <x:v>вкусовой баланс</x:v>
      </x:c>
      <x:c r="P605" s="28" t="str">
        <x:v>Общая фруктовая сладость и летучие эфиры создают непрерывный ароматический профиль, а цитрусовая кислота повышает контраст и свежесть.</x:v>
      </x:c>
      <x:c r="Q605" s="28" t="str">
        <x:v>нет выраженного; кислота усиливает слюноотделение; нет выраженного</x:v>
      </x:c>
      <x:c r="R605" s="28" t="str">
        <x:v>водная фаза сока + гидрофобные масла кожуры; сочная или кремовая фруктовая матрица</x:v>
      </x:c>
      <x:c r="S60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05" s="28" t="str">
        <x:v>Помело формирует профиль «цитрусовый, горький, свежий, сернистый»; характерные маркеры: лимонен, нооткатон, грейпфрутовые тиолы, нарингин. Манго кейтт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снижает ощущение приторности и усиливает летучие фруктовые эфиры.</x:v>
      </x:c>
      <x:c r="U605" s="28" t="str">
        <x:v>Избыток кислоты делает вкус плоско-резким; белая часть кожуры даёт лишнюю горечь.</x:v>
      </x:c>
      <x:c r="V605" s="28" t="str">
        <x:v>кокос или имбирь</x:v>
      </x:c>
      <x:c r="W605" s="28" t="str">
        <x:v>смузи, кордиал, сорбет, чатни или коктейль</x:v>
      </x:c>
      <x:c r="X605" s="28" t="str">
        <x:v>напитки, десерты</x:v>
      </x:c>
      <x:c r="Y605" s="28" t="str">
        <x:v>Средняя</x:v>
      </x:c>
      <x:c r="Z605" s="28" t="str">
        <x:v>The Art &amp; Science of Foodpairing.pdf</x:v>
      </x:c>
      <x:c r="AA605" s="28" t="str">
        <x:v>The Art &amp; Science of Foodpairing.pdf: 228</x:v>
      </x:c>
      <x:c r="AB605" s="28" t="str">
        <x:v>Пара представлена в ароматической диаграмме Foodpairing на странице 228.</x:v>
      </x:c>
      <x:c r="AC605" s="28" t="n">
        <x:v>1</x:v>
      </x:c>
      <x:c r="AD605" s="28" t="n">
        <x:v>1</x:v>
      </x:c>
    </x:row>
    <x:row r="606" ht="58" customHeight="1">
      <x:c r="A606" s="28" t="str">
        <x:v>CIT-0605</x:v>
      </x:c>
      <x:c r="B606" s="28" t="str">
        <x:v>Еда и соусы</x:v>
      </x:c>
      <x:c r="C606" s="28" t="str">
        <x:v>помело</x:v>
      </x:c>
      <x:c r="D606" s="28" t="str">
        <x:v>pomelo</x:v>
      </x:c>
      <x:c r="E606" s="28" t="str">
        <x:v>Цитрусовые</x:v>
      </x:c>
      <x:c r="F606" s="28" t="str">
        <x:v>морской ёж</x:v>
      </x:c>
      <x:c r="G606" s="28" t="str">
        <x:v>sea urchin</x:v>
      </x:c>
      <x:c r="H606" s="28" t="str">
        <x:v>Рыба и морепродукты</x:v>
      </x:c>
      <x:c r="I606" s="28" t="str">
        <x:v>цитрусовый, горький, свежий, сернистый</x:v>
      </x:c>
      <x:c r="J606" s="28" t="str">
        <x:v>морской, йодистый, зелёный, жирный</x:v>
      </x:c>
      <x:c r="K606" s="28" t="str">
        <x:v>лимонен, нооткатон, грейпфрутовые тиолы, нарингин</x:v>
      </x:c>
      <x:c r="L606" s="28" t="str">
        <x:v>альдегиды окисления липидов, бромфенолы, диметилсульфид, умами-соединения</x:v>
      </x:c>
      <x:c r="M606" s="28" t="str">
        <x:v>прямое семейное перекрытие не является главным механизмом</x:v>
      </x:c>
      <x:c r="N606" s="28" t="str">
        <x:v>надёжный общий маркер не заявлен; сочетание объясняется семействами и сенсорным балансом</x:v>
      </x:c>
      <x:c r="O606" s="28" t="str">
        <x:v>вкусовой баланс, влияние матрицы/растворимости</x:v>
      </x:c>
      <x:c r="P606" s="28" t="str">
        <x:v>Кислотность и лёгкая горечь цитруса снижают ощущение жирности; соль и умами, в свою очередь, делают фруктовую часть менее резкой.</x:v>
      </x:c>
      <x:c r="Q606" s="28" t="str">
        <x:v>нет выраженного; кислота усиливает слюноотделение; нет выраженного</x:v>
      </x:c>
      <x:c r="R606" s="28" t="str">
        <x:v>водная фаза сока + гидрофобные масла кожуры; кислота может денатурировать поверхностные белки; жир рыбы удерживает терпены</x:v>
      </x:c>
      <x:c r="S60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606" s="28" t="str">
        <x:v>Помело формирует профиль «цитрусовый, горький, свежий, сернистый»; характерные маркеры: лимонен, нооткатон, грейпфрутовые тиолы, нарингин. Морской ёж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уменьшает восприятие жирности и рыбных нот, усиливая свежесть и слюноотделение.</x:v>
      </x:c>
      <x:c r="U606" s="28" t="str">
        <x:v>Избыток кислоты делает вкус плоско-резким; белая часть кожуры даёт лишнюю горечь; слишком долгая маринация ухудшает текстуру.</x:v>
      </x:c>
      <x:c r="V606" s="28" t="str">
        <x:v>кинза или фенхель</x:v>
      </x:c>
      <x:c r="W606" s="28" t="str">
        <x:v>севиче, маринад, beurre blanc, тартар или салат</x:v>
      </x:c>
      <x:c r="X606" s="28" t="str">
        <x:v>еда, соусы/маринады</x:v>
      </x:c>
      <x:c r="Y606" s="28" t="str">
        <x:v>Средняя</x:v>
      </x:c>
      <x:c r="Z606" s="28" t="str">
        <x:v>The Art &amp; Science of Foodpairing.pdf</x:v>
      </x:c>
      <x:c r="AA606" s="28" t="str">
        <x:v>The Art &amp; Science of Foodpairing.pdf: 94, 350</x:v>
      </x:c>
      <x:c r="AB606" s="28" t="str">
        <x:v>Пара представлена в ароматической диаграмме Foodpairing на странице 350.</x:v>
      </x:c>
      <x:c r="AC606" s="28" t="n">
        <x:v>1</x:v>
      </x:c>
      <x:c r="AD606" s="28" t="n">
        <x:v>2</x:v>
      </x:c>
    </x:row>
    <x:row r="607" ht="58" customHeight="1">
      <x:c r="A607" s="28" t="str">
        <x:v>CIT-0606</x:v>
      </x:c>
      <x:c r="B607" s="28" t="str">
        <x:v>Универсальные</x:v>
      </x:c>
      <x:c r="C607" s="28" t="str">
        <x:v>помело</x:v>
      </x:c>
      <x:c r="D607" s="28" t="str">
        <x:v>pomelo</x:v>
      </x:c>
      <x:c r="E607" s="28" t="str">
        <x:v>Цитрусовые</x:v>
      </x:c>
      <x:c r="F607" s="28" t="str">
        <x:v>морской фенхель</x:v>
      </x:c>
      <x:c r="G607" s="28" t="str">
        <x:v>sea fennel (rock samphire)</x:v>
      </x:c>
      <x:c r="H607" s="28" t="str">
        <x:v>Пряности/травы</x:v>
      </x:c>
      <x:c r="I607" s="28" t="str">
        <x:v>цитрусовый, горький, свежий, сернистый</x:v>
      </x:c>
      <x:c r="J607" s="28" t="str">
        <x:v>анисовый, сладко-пряный, зелёный</x:v>
      </x:c>
      <x:c r="K607" s="28" t="str">
        <x:v>лимонен, нооткатон, грейпфрутовые тиолы, нарингин</x:v>
      </x:c>
      <x:c r="L607" s="28" t="str">
        <x:v>транс-анетол, фенхон, эстрагол</x:v>
      </x:c>
      <x:c r="M607" s="28" t="str">
        <x:v>прямое семейное перекрытие не является главным механизмом</x:v>
      </x:c>
      <x:c r="N607" s="28" t="str">
        <x:v>надёжный общий маркер не заявлен; сочетание объясняется семействами и сенсорным балансом</x:v>
      </x:c>
      <x:c r="O607" s="28" t="str">
        <x:v>вкусовой баланс, тройничное восприятие</x:v>
      </x:c>
      <x:c r="P607" s="28" t="str">
        <x:v>Основной эффект определяется ароматическим контрастом и добавлением кислотной свежести; точный баланс зависит от дозировки и матрицы.</x:v>
      </x:c>
      <x:c r="Q607" s="28" t="str">
        <x:v>нет выраженного; кислота усиливает слюноотделение; анетол создаёт охлаждающе-сладкое впечатление</x:v>
      </x:c>
      <x:c r="R607" s="28" t="str">
        <x:v>водная фаза сока + гидрофобные масла кожуры; анетол гидрофобен и мутнеет при разбавлении спиртовых настоев водой</x:v>
      </x:c>
      <x:c r="S60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07" s="28" t="str">
        <x:v>Помело формирует профиль «цитрусовый, горький, свежий, сернистый»; характерные маркеры: лимонен, нооткатон, грейпфрутовые тиолы, нарингин. Морской фенхель относится к группе «пряности/травы» и даёт ноты «анисовый, сладко-пряный,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Анисовые соединения дают сильный ароматический мост с цветочными и цитрусовыми терпенами.</x:v>
      </x:c>
      <x:c r="U607" s="28" t="str">
        <x:v>Избыток кислоты делает вкус плоско-резким; белая часть кожуры даёт лишнюю горечь.</x:v>
      </x:c>
      <x:c r="V607" s="28" t="str">
        <x:v>мёд или нейтральная жировая основа</x:v>
      </x:c>
      <x:c r="W607" s="28" t="str">
        <x:v>соус, напиток или десерт после пробной дегустации</x:v>
      </x:c>
      <x:c r="X607" s="28" t="str">
        <x:v>универсальное</x:v>
      </x:c>
      <x:c r="Y607" s="28" t="str">
        <x:v>Средняя</x:v>
      </x:c>
      <x:c r="Z607" s="28" t="str">
        <x:v>The Art &amp; Science of Foodpairing.pdf</x:v>
      </x:c>
      <x:c r="AA607" s="28" t="str">
        <x:v>The Art &amp; Science of Foodpairing.pdf: 350</x:v>
      </x:c>
      <x:c r="AB607" s="28" t="str">
        <x:v>Пара представлена в ароматической диаграмме Foodpairing на странице 350.</x:v>
      </x:c>
      <x:c r="AC607" s="28" t="n">
        <x:v>1</x:v>
      </x:c>
      <x:c r="AD607" s="28" t="n">
        <x:v>1</x:v>
      </x:c>
    </x:row>
    <x:row r="608" ht="58" customHeight="1">
      <x:c r="A608" s="28" t="str">
        <x:v>CIT-0607</x:v>
      </x:c>
      <x:c r="B608" s="28" t="str">
        <x:v>Еда и соусы</x:v>
      </x:c>
      <x:c r="C608" s="28" t="str">
        <x:v>помело</x:v>
      </x:c>
      <x:c r="D608" s="28" t="str">
        <x:v>pomelo</x:v>
      </x:c>
      <x:c r="E608" s="28" t="str">
        <x:v>Цитрусовые</x:v>
      </x:c>
      <x:c r="F608" s="28" t="str">
        <x:v>паста карри мадрас</x:v>
      </x:c>
      <x:c r="G608" s="28" t="str">
        <x:v>Madras curry paste</x:v>
      </x:c>
      <x:c r="H608" s="28" t="str">
        <x:v>Соусы и ферментированные продукты</x:v>
      </x:c>
      <x:c r="I608" s="28" t="str">
        <x:v>цитрусовый, горький, свежий, сернистый</x:v>
      </x:c>
      <x:c r="J608" s="28" t="str">
        <x:v>кислый, умами, ферментированный, пряный</x:v>
      </x:c>
      <x:c r="K608" s="28" t="str">
        <x:v>лимонен, нооткатон, грейпфрутовые тиолы, нарингин</x:v>
      </x:c>
      <x:c r="L608" s="28" t="str">
        <x:v>уксусная/молочная кислота, эфиры ферментации, пептиды умами</x:v>
      </x:c>
      <x:c r="M608" s="28" t="str">
        <x:v>прямое семейное перекрытие не является главным механизмом</x:v>
      </x:c>
      <x:c r="N608" s="28" t="str">
        <x:v>надёжный общий маркер не заявлен; сочетание объясняется семействами и сенсорным балансом</x:v>
      </x:c>
      <x:c r="O608" s="28" t="str">
        <x:v>вкусовой баланс, тройничное восприятие</x:v>
      </x:c>
      <x:c r="P608" s="28" t="str">
        <x:v>Цитрусовая кислота и аромат усиливают солёность и умами, но общий уровень кислоты необходимо контролировать.</x:v>
      </x:c>
      <x:c r="Q608" s="28" t="str">
        <x:v>нет выраженного; кислота усиливает слюноотделение; в пряных соусах возможен капсаициновый жар</x:v>
      </x:c>
      <x:c r="R608" s="28" t="str">
        <x:v>водная фаза сока + гидрофобные масла кожуры; водная солёно-кислая матрица</x:v>
      </x:c>
      <x:c r="S60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08" s="28" t="str">
        <x:v>Помело формирует профиль «цитрусовый, горький, свежий, сернистый»; характерные маркеры: лимонен, нооткатон, грейпфрутовые тиолы, нарингин. Паста карри мадрас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Горечь задают флавоноиды, аромат кожуры — терпены и следовые тиолы. Цитрус добавляет верхние ноты и может заменить часть уксуса, но избыток кислоты нарушит баланс.</x:v>
      </x:c>
      <x:c r="U608" s="28" t="str">
        <x:v>Избыток кислоты делает вкус плоско-резким; белая часть кожуры даёт лишнюю горечь.</x:v>
      </x:c>
      <x:c r="V608" s="28" t="str">
        <x:v>имбирь или кунжут</x:v>
      </x:c>
      <x:c r="W608" s="28" t="str">
        <x:v>дрессинг, глазурь, чатни, маринад или ферментированный соус</x:v>
      </x:c>
      <x:c r="X608" s="28" t="str">
        <x:v>еда, соусы/маринады</x:v>
      </x:c>
      <x:c r="Y608" s="28" t="str">
        <x:v>Средняя</x:v>
      </x:c>
      <x:c r="Z608" s="28" t="str">
        <x:v>The Art &amp; Science of Foodpairing.pdf</x:v>
      </x:c>
      <x:c r="AA608" s="28" t="str">
        <x:v>The Art &amp; Science of Foodpairing.pdf: 312</x:v>
      </x:c>
      <x:c r="AB608" s="28" t="str">
        <x:v>Пара представлена в ароматической диаграмме Foodpairing на странице 312.</x:v>
      </x:c>
      <x:c r="AC608" s="28" t="n">
        <x:v>1</x:v>
      </x:c>
      <x:c r="AD608" s="28" t="n">
        <x:v>1</x:v>
      </x:c>
    </x:row>
    <x:row r="609" ht="58" customHeight="1">
      <x:c r="A609" s="28" t="str">
        <x:v>CIT-0608</x:v>
      </x:c>
      <x:c r="B609" s="28" t="str">
        <x:v>Еда и соусы</x:v>
      </x:c>
      <x:c r="C609" s="28" t="str">
        <x:v>помело</x:v>
      </x:c>
      <x:c r="D609" s="28" t="str">
        <x:v>pomelo</x:v>
      </x:c>
      <x:c r="E609" s="28" t="str">
        <x:v>Цитрусовые</x:v>
      </x:c>
      <x:c r="F609" s="28" t="str">
        <x:v>приготовленная зелёная чечевица</x:v>
      </x:c>
      <x:c r="G609" s="28" t="str">
        <x:v>cooked green lentils</x:v>
      </x:c>
      <x:c r="H609" s="28" t="str">
        <x:v>Овощи</x:v>
      </x:c>
      <x:c r="I609" s="28" t="str">
        <x:v>цитрусовый, горький, свежий, сернистый</x:v>
      </x:c>
      <x:c r="J609" s="28" t="str">
        <x:v>зелёный, землистый, растительный, иногда сернистый</x:v>
      </x:c>
      <x:c r="K609" s="28" t="str">
        <x:v>лимонен, нооткатон, грейпфрутовые тиолы, нарингин</x:v>
      </x:c>
      <x:c r="L609" s="28" t="str">
        <x:v>C6-альдегиды, метоксипиразины, геосмин (землистые), сернистые соединения</x:v>
      </x:c>
      <x:c r="M609" s="28" t="str">
        <x:v>прямое семейное перекрытие не является главным механизмом</x:v>
      </x:c>
      <x:c r="N609" s="28" t="str">
        <x:v>надёжный общий маркер не заявлен; сочетание объясняется семействами и сенсорным балансом</x:v>
      </x:c>
      <x:c r="O609" s="28" t="str">
        <x:v>вкусовой баланс</x:v>
      </x:c>
      <x:c r="P609" s="28" t="str">
        <x:v>Кислота подчёркивает природную сладость овоща, сокращает землистое/сернистое послевкусие и повышает слюноотделение.</x:v>
      </x:c>
      <x:c r="Q609" s="28" t="str">
        <x:v>нет выраженного; кислота усиливает слюноотделение; нет выраженного</x:v>
      </x:c>
      <x:c r="R609" s="28" t="str">
        <x:v>водная фаза сока + гидрофобные масла кожуры; водная/крахмальная матрица; масло помогает распределить цедру</x:v>
      </x:c>
      <x:c r="S60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09" s="28" t="str">
        <x:v>Помело формирует профиль «цитрусовый, горький, свежий, сернистый»; характерные маркеры: лимонен, нооткатон, грейпфрутовые тиолы, нарингин. Приготовленная зелёная чечевица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Горечь задают флавоноиды, аромат кожуры — терпены и следовые тиолы. Кислота подчёркивает сладость овощей и сокращает землистое или сернистое послевкусие.</x:v>
      </x:c>
      <x:c r="U609" s="28" t="str">
        <x:v>Избыток кислоты делает вкус плоско-резким; белая часть кожуры даёт лишнюю горечь.</x:v>
      </x:c>
      <x:c r="V609" s="28" t="str">
        <x:v>оливковое масло или базилик</x:v>
      </x:c>
      <x:c r="W609" s="28" t="str">
        <x:v>винегрет, салат, пюре, запечённое блюдо или овощной соус</x:v>
      </x:c>
      <x:c r="X609" s="28" t="str">
        <x:v>еда, соусы/маринады</x:v>
      </x:c>
      <x:c r="Y609" s="28" t="str">
        <x:v>Средняя</x:v>
      </x:c>
      <x:c r="Z609" s="28" t="str">
        <x:v>The Art &amp; Science of Foodpairing.pdf</x:v>
      </x:c>
      <x:c r="AA609" s="28" t="str">
        <x:v>The Art &amp; Science of Foodpairing.pdf: 350</x:v>
      </x:c>
      <x:c r="AB609" s="28" t="str">
        <x:v>Пара представлена в ароматической диаграмме Foodpairing на странице 350.</x:v>
      </x:c>
      <x:c r="AC609" s="28" t="n">
        <x:v>1</x:v>
      </x:c>
      <x:c r="AD609" s="28" t="n">
        <x:v>1</x:v>
      </x:c>
    </x:row>
    <x:row r="610" ht="58" customHeight="1">
      <x:c r="A610" s="28" t="str">
        <x:v>CIT-0609</x:v>
      </x:c>
      <x:c r="B610" s="28" t="str">
        <x:v>Универсальные</x:v>
      </x:c>
      <x:c r="C610" s="28" t="str">
        <x:v>помело</x:v>
      </x:c>
      <x:c r="D610" s="28" t="str">
        <x:v>pomelo</x:v>
      </x:c>
      <x:c r="E610" s="28" t="str">
        <x:v>Цитрусовые</x:v>
      </x:c>
      <x:c r="F610" s="28" t="str">
        <x:v>приготовленный скорцонер</x:v>
      </x:c>
      <x:c r="G610" s="28" t="str">
        <x:v>cooked black salsify</x:v>
      </x:c>
      <x:c r="H610" s="28" t="str">
        <x:v>Прочее</x:v>
      </x:c>
      <x:c r="I610" s="28" t="str">
        <x:v>цитрусовый, горький, свежий, сернистый</x:v>
      </x:c>
      <x:c r="J610" s="28" t="str">
        <x:v>нейтральный/специфический</x:v>
      </x:c>
      <x:c r="K610" s="28" t="str">
        <x:v>лимонен, нооткатон, грейпфрутовые тиолы, нарингин</x:v>
      </x:c>
      <x:c r="L610" s="28" t="str">
        <x:v>нужен профиль конкретного продукта</x:v>
      </x:c>
      <x:c r="M610" s="28" t="str">
        <x:v>прямое семейное перекрытие не является главным механизмом</x:v>
      </x:c>
      <x:c r="N610" s="28" t="str">
        <x:v>надёжный общий маркер не заявлен; сочетание объясняется семействами и сенсорным балансом</x:v>
      </x:c>
      <x:c r="O610" s="28" t="str">
        <x:v>вкусовой баланс, тройничное восприятие</x:v>
      </x:c>
      <x:c r="P610" s="28" t="str">
        <x:v>Основной эффект определяется ароматическим контрастом и добавлением кислотной свежести; точный баланс зависит от дозировки и матрицы.</x:v>
      </x:c>
      <x:c r="Q610" s="28" t="str">
        <x:v>нет выраженного; кислота усиливает слюноотделение; нет данных</x:v>
      </x:c>
      <x:c r="R610" s="28" t="str">
        <x:v>водная фаза сока + гидрофобные масла кожуры; зависит от формы продукта</x:v>
      </x:c>
      <x:c r="S61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10" s="28" t="str">
        <x:v>Помело формирует профиль «цитрусовый, горький, свежий, сернистый»; характерные маркеры: лимонен, нооткатон, грейпфрутовые тиолы, нарингин. Приготовленный скорцонер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610" s="28" t="str">
        <x:v>Избыток кислоты делает вкус плоско-резким; белая часть кожуры даёт лишнюю горечь.</x:v>
      </x:c>
      <x:c r="V610" s="28" t="str">
        <x:v>мёд или нейтральная жировая основа</x:v>
      </x:c>
      <x:c r="W610" s="28" t="str">
        <x:v>соус, напиток или десерт после пробной дегустации</x:v>
      </x:c>
      <x:c r="X610" s="28" t="str">
        <x:v>универсальное</x:v>
      </x:c>
      <x:c r="Y610" s="28" t="str">
        <x:v>Средняя</x:v>
      </x:c>
      <x:c r="Z610" s="28" t="str">
        <x:v>The Art &amp; Science of Foodpairing.pdf</x:v>
      </x:c>
      <x:c r="AA610" s="28" t="str">
        <x:v>The Art &amp; Science of Foodpairing.pdf: 350</x:v>
      </x:c>
      <x:c r="AB610" s="28" t="str">
        <x:v>Пара представлена в ароматической диаграмме Foodpairing на странице 350.</x:v>
      </x:c>
      <x:c r="AC610" s="28" t="n">
        <x:v>1</x:v>
      </x:c>
      <x:c r="AD610" s="28" t="n">
        <x:v>1</x:v>
      </x:c>
    </x:row>
    <x:row r="611" ht="58" customHeight="1">
      <x:c r="A611" s="28" t="str">
        <x:v>CIT-0610</x:v>
      </x:c>
      <x:c r="B611" s="28" t="str">
        <x:v>Десерты и выпечка</x:v>
      </x:c>
      <x:c r="C611" s="28" t="str">
        <x:v>помело</x:v>
      </x:c>
      <x:c r="D611" s="28" t="str">
        <x:v>pomelo</x:v>
      </x:c>
      <x:c r="E611" s="28" t="str">
        <x:v>Цитрусовые</x:v>
      </x:c>
      <x:c r="F611" s="28" t="str">
        <x:v>сушёные семена сельдерея</x:v>
      </x:c>
      <x:c r="G611" s="28" t="str">
        <x:v>dried celery seeds</x:v>
      </x:c>
      <x:c r="H611" s="28" t="str">
        <x:v>Орехи и семена</x:v>
      </x:c>
      <x:c r="I611" s="28" t="str">
        <x:v>цитрусовый, горький, свежий, сернистый</x:v>
      </x:c>
      <x:c r="J611" s="28" t="str">
        <x:v>ореховый, обжаренный, жирный, зелёный</x:v>
      </x:c>
      <x:c r="K611" s="28" t="str">
        <x:v>лимонен, нооткатон, грейпфрутовые тиолы, нарингин</x:v>
      </x:c>
      <x:c r="L611" s="28" t="str">
        <x:v>пиразины, альдегиды окисления жиров, бензальдегид (миндаль)</x:v>
      </x:c>
      <x:c r="M611" s="28" t="str">
        <x:v>прямое семейное перекрытие не является главным механизмом</x:v>
      </x:c>
      <x:c r="N611" s="28" t="str">
        <x:v>надёжный общий маркер не заявлен; сочетание объясняется семействами и сенсорным балансом</x:v>
      </x:c>
      <x:c r="O611" s="28" t="str">
        <x:v>вкусовой баланс, влияние матрицы/растворимости</x:v>
      </x:c>
      <x:c r="P611" s="28" t="str">
        <x:v>Кислотность и лёгкая горечь цитруса снижают ощущение жирности; соль и умами, в свою очередь, делают фруктовую часть менее резкой.</x:v>
      </x:c>
      <x:c r="Q611" s="28" t="str">
        <x:v>нет выраженного; кислота усиливает слюноотделение; нет выраженного</x:v>
      </x:c>
      <x:c r="R611" s="28" t="str">
        <x:v>водная фаза сока + гидрофобные масла кожуры; высокая жирность растворяет терпеновые масла цитруса</x:v>
      </x:c>
      <x:c r="S61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611" s="28" t="str">
        <x:v>Помело формирует профиль «цитрусовый, горький, свежий, сернистый»; характерные маркеры: лимонен, нооткатон, грейпфрутовые тиолы, нарингин. Сушёные семена сельдерея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Кислота режет жирность, а цедра связывается с обжаренными и цветочными нотами.</x:v>
      </x:c>
      <x:c r="U611" s="28" t="str">
        <x:v>Избыток кислоты делает вкус плоско-резким; белая часть кожуры даёт лишнюю горечь.</x:v>
      </x:c>
      <x:c r="V611" s="28" t="str">
        <x:v>мёд или шоколад</x:v>
      </x:c>
      <x:c r="W611" s="28" t="str">
        <x:v>пралине, крем, выпечка, салат или ореховый соус</x:v>
      </x:c>
      <x:c r="X611" s="28" t="str">
        <x:v>десерты</x:v>
      </x:c>
      <x:c r="Y611" s="28" t="str">
        <x:v>Средняя</x:v>
      </x:c>
      <x:c r="Z611" s="28" t="str">
        <x:v>The Art &amp; Science of Foodpairing.pdf</x:v>
      </x:c>
      <x:c r="AA611" s="28" t="str">
        <x:v>The Art &amp; Science of Foodpairing.pdf: 350</x:v>
      </x:c>
      <x:c r="AB611" s="28" t="str">
        <x:v>Пара представлена в ароматической диаграмме Foodpairing на странице 350.</x:v>
      </x:c>
      <x:c r="AC611" s="28" t="n">
        <x:v>1</x:v>
      </x:c>
      <x:c r="AD611" s="28" t="n">
        <x:v>1</x:v>
      </x:c>
    </x:row>
    <x:row r="612" ht="58" customHeight="1">
      <x:c r="A612" s="28" t="str">
        <x:v>CIT-0611</x:v>
      </x:c>
      <x:c r="B612" s="28" t="str">
        <x:v>Универсальные</x:v>
      </x:c>
      <x:c r="C612" s="28" t="str">
        <x:v>помело</x:v>
      </x:c>
      <x:c r="D612" s="28" t="str">
        <x:v>pomelo</x:v>
      </x:c>
      <x:c r="E612" s="28" t="str">
        <x:v>Цитрусовые</x:v>
      </x:c>
      <x:c r="F612" s="28" t="str">
        <x:v>тюрбо на гриле</x:v>
      </x:c>
      <x:c r="G612" s="28" t="str">
        <x:v>grilled turbot</x:v>
      </x:c>
      <x:c r="H612" s="28" t="str">
        <x:v>Прочее</x:v>
      </x:c>
      <x:c r="I612" s="28" t="str">
        <x:v>цитрусовый, горький, свежий, сернистый</x:v>
      </x:c>
      <x:c r="J612" s="28" t="str">
        <x:v>нейтральный/специфический</x:v>
      </x:c>
      <x:c r="K612" s="28" t="str">
        <x:v>лимонен, нооткатон, грейпфрутовые тиолы, нарингин</x:v>
      </x:c>
      <x:c r="L612" s="28" t="str">
        <x:v>нужен профиль конкретного продукта</x:v>
      </x:c>
      <x:c r="M612" s="28" t="str">
        <x:v>прямое семейное перекрытие не является главным механизмом</x:v>
      </x:c>
      <x:c r="N612" s="28" t="str">
        <x:v>надёжный общий маркер не заявлен; сочетание объясняется семействами и сенсорным балансом</x:v>
      </x:c>
      <x:c r="O612" s="28" t="str">
        <x:v>вкусовой баланс, тройничное восприятие</x:v>
      </x:c>
      <x:c r="P612" s="28" t="str">
        <x:v>Основной эффект определяется ароматическим контрастом и добавлением кислотной свежести; точный баланс зависит от дозировки и матрицы.</x:v>
      </x:c>
      <x:c r="Q612" s="28" t="str">
        <x:v>нет выраженного; кислота усиливает слюноотделение; нет данных</x:v>
      </x:c>
      <x:c r="R612" s="28" t="str">
        <x:v>водная фаза сока + гидрофобные масла кожуры; зависит от формы продукта</x:v>
      </x:c>
      <x:c r="S61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12" s="28" t="str">
        <x:v>Помело формирует профиль «цитрусовый, горький, свежий, сернистый»; характерные маркеры: лимонен, нооткатон, грейпфрутовые тиолы, нарингин. Тюрбо на гриле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Горечь задают флавоноиды, аромат кожуры — терпены и следовые тиолы. Для точного молекулярного вывода нужен профиль конкретного ингредиента и способа обработки.</x:v>
      </x:c>
      <x:c r="U612" s="28" t="str">
        <x:v>Избыток кислоты делает вкус плоско-резким; белая часть кожуры даёт лишнюю горечь.</x:v>
      </x:c>
      <x:c r="V612" s="28" t="str">
        <x:v>мёд или нейтральная жировая основа</x:v>
      </x:c>
      <x:c r="W612" s="28" t="str">
        <x:v>соус, напиток или десерт после пробной дегустации</x:v>
      </x:c>
      <x:c r="X612" s="28" t="str">
        <x:v>универсальное</x:v>
      </x:c>
      <x:c r="Y612" s="28" t="str">
        <x:v>Средняя</x:v>
      </x:c>
      <x:c r="Z612" s="28" t="str">
        <x:v>The Art &amp; Science of Foodpairing.pdf</x:v>
      </x:c>
      <x:c r="AA612" s="28" t="str">
        <x:v>The Art &amp; Science of Foodpairing.pdf: 67</x:v>
      </x:c>
      <x:c r="AB612" s="28" t="str">
        <x:v>Пара представлена в ароматической диаграмме Foodpairing на странице 67.</x:v>
      </x:c>
      <x:c r="AC612" s="28" t="n">
        <x:v>1</x:v>
      </x:c>
      <x:c r="AD612" s="28" t="n">
        <x:v>1</x:v>
      </x:c>
    </x:row>
    <x:row r="613" ht="58" customHeight="1">
      <x:c r="A613" s="28" t="str">
        <x:v>CIT-0612</x:v>
      </x:c>
      <x:c r="B613" s="28" t="str">
        <x:v>Еда и соусы</x:v>
      </x:c>
      <x:c r="C613" s="28" t="str">
        <x:v>пюре юдзу</x:v>
      </x:c>
      <x:c r="D613" s="28" t="str">
        <x:v>fruit puree yuzu</x:v>
      </x:c>
      <x:c r="E613" s="28" t="str">
        <x:v>Цитрусовые</x:v>
      </x:c>
      <x:c r="F613" s="28" t="str">
        <x:v>телячий бульон</x:v>
      </x:c>
      <x:c r="G613" s="28" t="str">
        <x:v>veal stock</x:v>
      </x:c>
      <x:c r="H613" s="28" t="str">
        <x:v>Мясо и птица</x:v>
      </x:c>
      <x:c r="I613" s="28" t="str">
        <x:v>цитрусовый, зелёный, травяной, камфорный</x:v>
      </x:c>
      <x:c r="J613" s="28" t="str">
        <x:v>жареный, мясной, сернистый, жирный</x:v>
      </x:c>
      <x:c r="K613" s="28" t="str">
        <x:v>лимонен, гамма-терпинен, цитраль, бета-пинен, линалол</x:v>
      </x:c>
      <x:c r="L613" s="28" t="str">
        <x:v>пиразины, тиазолы, альдегиды жиров, сернистые соединения</x:v>
      </x:c>
      <x:c r="M613" s="28" t="str">
        <x:v>прямое семейное перекрытие не является главным механизмом</x:v>
      </x:c>
      <x:c r="N613" s="28" t="str">
        <x:v>надёжный общий маркер не заявлен; сочетание объясняется семействами и сенсорным балансом</x:v>
      </x:c>
      <x:c r="O613" s="28" t="str">
        <x:v>вкусовой баланс, влияние матрицы/растворимости</x:v>
      </x:c>
      <x:c r="P613" s="28" t="str">
        <x:v>Кислотность и лёгкая горечь цитруса снижают ощущение жирности; соль и умами, в свою очередь, делают фруктовую часть менее резкой.</x:v>
      </x:c>
      <x:c r="Q613" s="28" t="str">
        <x:v>кислота усиливает слюноотделение; зелёные терпены создают ощущение прохлады; нет выраженного</x:v>
      </x:c>
      <x:c r="R613" s="28" t="str">
        <x:v>сок — водная кислая фаза; цедра — масляная терпеновая; жир удерживает терпеновые масла; кислота снижает ощущение жирности</x:v>
      </x:c>
      <x:c r="S613"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613" s="28" t="str">
        <x:v>Пюре юдзу формирует профиль «цитрусовый, зелёный, травяной, камфорный»; характерные маркеры: лимонен, гамма-терпинен, цитраль, бета-пинен, линалол. Телячий бульон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U613" s="28" t="str">
        <x:v>Избыток кислоты делает вкус плоско-резким; белая часть кожуры даёт лишнюю горечь; слишком долгая маринация ухудшает текстуру.</x:v>
      </x:c>
      <x:c r="V613" s="28" t="str">
        <x:v>розмарин или чёрный перец</x:v>
      </x:c>
      <x:c r="W613" s="28" t="str">
        <x:v>маринад, глазурь, соус, жаркое или салат</x:v>
      </x:c>
      <x:c r="X613" s="28" t="str">
        <x:v>еда, соусы/маринады</x:v>
      </x:c>
      <x:c r="Y613" s="28" t="str">
        <x:v>Средняя</x:v>
      </x:c>
      <x:c r="Z613" s="28" t="str">
        <x:v>The Art &amp; Science of Foodpairing.pdf</x:v>
      </x:c>
      <x:c r="AA613" s="28" t="str">
        <x:v>The Art &amp; Science of Foodpairing.pdf: 256</x:v>
      </x:c>
      <x:c r="AB613" s="28" t="str">
        <x:v>Пара представлена в ароматической диаграмме Foodpairing на странице 256.</x:v>
      </x:c>
      <x:c r="AC613" s="28" t="n">
        <x:v>1</x:v>
      </x:c>
      <x:c r="AD613" s="28" t="n">
        <x:v>1</x:v>
      </x:c>
    </x:row>
    <x:row r="614" ht="58" customHeight="1">
      <x:c r="A614" s="28" t="str">
        <x:v>CIT-0613</x:v>
      </x:c>
      <x:c r="B614" s="28" t="str">
        <x:v>Универсальные</x:v>
      </x:c>
      <x:c r="C614" s="28" t="str">
        <x:v>сок лайма</x:v>
      </x:c>
      <x:c r="D614" s="28" t="str">
        <x:v>lime juice</x:v>
      </x:c>
      <x:c r="E614" s="28" t="str">
        <x:v>Цитрусовые</x:v>
      </x:c>
      <x:c r="F614" s="28" t="str">
        <x:v>базилик</x:v>
      </x:c>
      <x:c r="G614" s="28" t="str">
        <x:v>basil</x:v>
      </x:c>
      <x:c r="H614" s="28" t="str">
        <x:v>Травы</x:v>
      </x:c>
      <x:c r="I614" s="28" t="str">
        <x:v>цитрусовый, зелёный, травяной, камфорный</x:v>
      </x:c>
      <x:c r="J614" s="28" t="str">
        <x:v>зелёный, анисовый, цветочный, пряный</x:v>
      </x:c>
      <x:c r="K614" s="28" t="str">
        <x:v>лимонен, гамма-терпинен, цитраль, бета-пинен, линалол</x:v>
      </x:c>
      <x:c r="L614" s="28" t="str">
        <x:v>линалол, эстрагол, эвгенол</x:v>
      </x:c>
      <x:c r="M614" s="28" t="str">
        <x:v>зелёный</x:v>
      </x:c>
      <x:c r="N614" s="28" t="str">
        <x:v>линалол</x:v>
      </x:c>
      <x:c r="O614" s="28" t="str">
        <x:v>общие ароматические молекулы, перекрытие ароматических семейств, вкусовой баланс</x:v>
      </x:c>
      <x:c r="P614" s="28" t="str">
        <x:v>Кислота усиливает слюноотделение и делает пряный аромат ярче; терпены цитруса образуют мост с эфирными маслами травы или специи.</x:v>
      </x:c>
      <x:c r="Q614" s="28" t="str">
        <x:v>кислота усиливает слюноотделение; зелёные терпены создают ощущение прохлады; нет выраженного</x:v>
      </x:c>
      <x:c r="R614" s="28" t="str">
        <x:v>сок — водная кислая фаза; цедра — масляная терпеновая; летучие масла чувствительны к длительному нагреву</x:v>
      </x:c>
      <x:c r="S61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14" s="28" t="str">
        <x:v>Сок лайма формирует профиль «цитрусовый, зелёный, травяной, камфорный»; характерные маркеры: лимонен, гамма-терпинен, цитраль, бета-пинен,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зелёный.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Базилик и эстрагон могут связать цитрус с фруктами, томатом и сливочными матрицами.</x:v>
      </x:c>
      <x:c r="U614" s="28" t="str">
        <x:v>Избыток кислоты делает вкус плоско-резким; белая часть кожуры даёт лишнюю горечь; цитрус легко подавляет деликатный аромат партнёра.</x:v>
      </x:c>
      <x:c r="V614" s="28" t="str">
        <x:v>оливковое масло или огурец</x:v>
      </x:c>
      <x:c r="W614" s="28" t="str">
        <x:v>лимонад, кордиал, салатная заправка или зелёный соус</x:v>
      </x:c>
      <x:c r="X614" s="28" t="str">
        <x:v>напитки, еда, соусы/маринады</x:v>
      </x:c>
      <x:c r="Y614" s="28" t="str">
        <x:v>Средняя</x:v>
      </x:c>
      <x:c r="Z614" s="28" t="str">
        <x:v>The Art &amp; Science of Foodpairing.pdf</x:v>
      </x:c>
      <x:c r="AA614" s="28" t="str">
        <x:v>The Art &amp; Science of Foodpairing.pdf: 87</x:v>
      </x:c>
      <x:c r="AB614" s="28" t="str">
        <x:v>Пара представлена в ароматической диаграмме Foodpairing на странице 87.</x:v>
      </x:c>
      <x:c r="AC614" s="28" t="n">
        <x:v>1</x:v>
      </x:c>
      <x:c r="AD614" s="28" t="n">
        <x:v>1</x:v>
      </x:c>
    </x:row>
    <x:row r="615" ht="58" customHeight="1">
      <x:c r="A615" s="28" t="str">
        <x:v>CIT-0614</x:v>
      </x:c>
      <x:c r="B615" s="28" t="str">
        <x:v>Универсальные</x:v>
      </x:c>
      <x:c r="C615" s="28" t="str">
        <x:v>сок лайма</x:v>
      </x:c>
      <x:c r="D615" s="28" t="str">
        <x:v>lime juice</x:v>
      </x:c>
      <x:c r="E615" s="28" t="str">
        <x:v>Цитрусовые</x:v>
      </x:c>
      <x:c r="F615" s="28" t="str">
        <x:v>галангал</x:v>
      </x:c>
      <x:c r="G615" s="28" t="str">
        <x:v>galangal</x:v>
      </x:c>
      <x:c r="H615" s="28" t="str">
        <x:v>Пряности</x:v>
      </x:c>
      <x:c r="I615" s="28" t="str">
        <x:v>цитрусовый, зелёный, травяной, камфорный</x:v>
      </x:c>
      <x:c r="J615" s="28" t="str">
        <x:v>цитрусовый, пряный, древесный, тёплый</x:v>
      </x:c>
      <x:c r="K615" s="28" t="str">
        <x:v>лимонен, гамма-терпинен, цитраль, бета-пинен, линалол</x:v>
      </x:c>
      <x:c r="L615" s="28" t="str">
        <x:v>зингиберен, цитраль, гераниол, гингеролы/шогаолы</x:v>
      </x:c>
      <x:c r="M615" s="28" t="str">
        <x:v>цитрусовый</x:v>
      </x:c>
      <x:c r="N615" s="28" t="str">
        <x:v>цитраль</x:v>
      </x:c>
      <x:c r="O615" s="28" t="str">
        <x:v>общие ароматические молекулы, перекрытие ароматических семейств, вкусовой баланс, тройничное восприятие</x:v>
      </x:c>
      <x:c r="P615" s="28" t="str">
        <x:v>Кислота усиливает слюноотделение и делает пряный аромат ярче; терпены цитруса образуют мост с эфирными маслами травы или специи.</x:v>
      </x:c>
      <x:c r="Q615" s="28" t="str">
        <x:v>кислота усиливает слюноотделение; зелёные терпены создают ощущение прохлады; гингеролы и шогаолы активируют TRPV1 и дают тепло</x:v>
      </x:c>
      <x:c r="R615" s="28" t="str">
        <x:v>сок — водная кислая фаза; цедра — масляная терпеновая; ароматические терпены лучше извлекаются этанолом и жиром</x:v>
      </x:c>
      <x:c r="S61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15" s="28" t="str">
        <x:v>Сок лайма формирует профиль «цитрусовый, зелёный, травяной, камфорный»; характерные маркеры: лимонен, гамма-терпинен, цитраль, бета-пинен, линалол.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U615" s="28" t="str">
        <x:v>Избыток кислоты делает вкус плоско-резким; белая часть кожуры даёт лишнюю горечь.</x:v>
      </x:c>
      <x:c r="V615" s="28" t="str">
        <x:v>мёд или ваниль</x:v>
      </x:c>
      <x:c r="W615" s="28" t="str">
        <x:v>сироп, кордиал, чатни, маринад или пряный десерт</x:v>
      </x:c>
      <x:c r="X615" s="28" t="str">
        <x:v>напитки, еда, соусы/маринады</x:v>
      </x:c>
      <x:c r="Y615" s="28" t="str">
        <x:v>Средняя</x:v>
      </x:c>
      <x:c r="Z615" s="28" t="str">
        <x:v>The Art &amp; Science of Foodpairing.pdf</x:v>
      </x:c>
      <x:c r="AA615" s="28" t="str">
        <x:v>The Art &amp; Science of Foodpairing.pdf: 87</x:v>
      </x:c>
      <x:c r="AB615" s="28" t="str">
        <x:v>Пара представлена в ароматической диаграмме Foodpairing на странице 87.</x:v>
      </x:c>
      <x:c r="AC615" s="28" t="n">
        <x:v>1</x:v>
      </x:c>
      <x:c r="AD615" s="28" t="n">
        <x:v>1</x:v>
      </x:c>
    </x:row>
    <x:row r="616" ht="58" customHeight="1">
      <x:c r="A616" s="28" t="str">
        <x:v>CIT-0615</x:v>
      </x:c>
      <x:c r="B616" s="28" t="str">
        <x:v>Десерты и выпечка</x:v>
      </x:c>
      <x:c r="C616" s="28" t="str">
        <x:v>сок лайма</x:v>
      </x:c>
      <x:c r="D616" s="28" t="str">
        <x:v>lime juice</x:v>
      </x:c>
      <x:c r="E616" s="28" t="str">
        <x:v>Цитрусовые</x:v>
      </x:c>
      <x:c r="F616" s="28" t="str">
        <x:v>дуриан Мон Тонг</x:v>
      </x:c>
      <x:c r="G616" s="28" t="str">
        <x:v>Mon Thong durian</x:v>
      </x:c>
      <x:c r="H616" s="28" t="str">
        <x:v>Тропические фрукты</x:v>
      </x:c>
      <x:c r="I616" s="28" t="str">
        <x:v>цитрусовый, зелёный, травяной, камфорный</x:v>
      </x:c>
      <x:c r="J616" s="28" t="str">
        <x:v>фруктовый, тропический, цветочный, сливочный</x:v>
      </x:c>
      <x:c r="K616" s="28" t="str">
        <x:v>лимонен, гамма-терпинен, цитраль, бета-пинен, линалол</x:v>
      </x:c>
      <x:c r="L616" s="28" t="str">
        <x:v>этилбутират, гексилацетат, лактоны, сернистые тиолы (у части фруктов)</x:v>
      </x:c>
      <x:c r="M616" s="28" t="str">
        <x:v>прямое семейное перекрытие не является главным механизмом</x:v>
      </x:c>
      <x:c r="N616" s="28" t="str">
        <x:v>надёжный общий маркер не заявлен; сочетание объясняется семействами и сенсорным балансом</x:v>
      </x:c>
      <x:c r="O616" s="28" t="str">
        <x:v>вкусовой баланс</x:v>
      </x:c>
      <x:c r="P616" s="28" t="str">
        <x:v>Общая фруктовая сладость и летучие эфиры создают непрерывный ароматический профиль, а цитрусовая кислота повышает контраст и свежесть.</x:v>
      </x:c>
      <x:c r="Q616" s="28" t="str">
        <x:v>кислота усиливает слюноотделение; зелёные терпены создают ощущение прохлады; нет выраженного</x:v>
      </x:c>
      <x:c r="R616" s="28" t="str">
        <x:v>сок — водная кислая фаза; цедра — масляная терпеновая; сочная или кремовая фруктовая матрица</x:v>
      </x:c>
      <x:c r="S61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16" s="28" t="str">
        <x:v>Сок лайма формирует профиль «цитрусовый, зелёный, травяной, камфорный»; характерные маркеры: лимонен, гамма-терпинен, цитраль, бета-пинен, линалол. Дуриан мон тонг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616" s="28" t="str">
        <x:v>Избыток кислоты делает вкус плоско-резким; белая часть кожуры даёт лишнюю горечь.</x:v>
      </x:c>
      <x:c r="V616" s="28" t="str">
        <x:v>кокос или имбирь</x:v>
      </x:c>
      <x:c r="W616" s="28" t="str">
        <x:v>смузи, кордиал, сорбет, чатни или коктейль</x:v>
      </x:c>
      <x:c r="X616" s="28" t="str">
        <x:v>напитки, десерты</x:v>
      </x:c>
      <x:c r="Y616" s="28" t="str">
        <x:v>Средняя</x:v>
      </x:c>
      <x:c r="Z616" s="28" t="str">
        <x:v>The Art &amp; Science of Foodpairing.pdf</x:v>
      </x:c>
      <x:c r="AA616" s="28" t="str">
        <x:v>The Art &amp; Science of Foodpairing.pdf: 87</x:v>
      </x:c>
      <x:c r="AB616" s="28" t="str">
        <x:v>Пара представлена в ароматической диаграмме Foodpairing на странице 87.</x:v>
      </x:c>
      <x:c r="AC616" s="28" t="n">
        <x:v>1</x:v>
      </x:c>
      <x:c r="AD616" s="28" t="n">
        <x:v>1</x:v>
      </x:c>
    </x:row>
    <x:row r="617" ht="58" customHeight="1">
      <x:c r="A617" s="28" t="str">
        <x:v>CIT-0616</x:v>
      </x:c>
      <x:c r="B617" s="28" t="str">
        <x:v>Универсальные</x:v>
      </x:c>
      <x:c r="C617" s="28" t="str">
        <x:v>сок лайма</x:v>
      </x:c>
      <x:c r="D617" s="28" t="str">
        <x:v>lime juice</x:v>
      </x:c>
      <x:c r="E617" s="28" t="str">
        <x:v>Цитрусовые</x:v>
      </x:c>
      <x:c r="F617" s="28" t="str">
        <x:v>крем-де-кассис</x:v>
      </x:c>
      <x:c r="G617" s="28" t="str">
        <x:v>creme de cassis</x:v>
      </x:c>
      <x:c r="H617" s="28" t="str">
        <x:v>Прочее</x:v>
      </x:c>
      <x:c r="I617" s="28" t="str">
        <x:v>цитрусовый, зелёный, травяной, камфорный</x:v>
      </x:c>
      <x:c r="J617" s="28" t="str">
        <x:v>нейтральный/специфический</x:v>
      </x:c>
      <x:c r="K617" s="28" t="str">
        <x:v>лимонен, гамма-терпинен, цитраль, бета-пинен, линалол</x:v>
      </x:c>
      <x:c r="L617" s="28" t="str">
        <x:v>нужен профиль конкретного продукта</x:v>
      </x:c>
      <x:c r="M617" s="28" t="str">
        <x:v>прямое семейное перекрытие не является главным механизмом</x:v>
      </x:c>
      <x:c r="N617" s="28" t="str">
        <x:v>надёжный общий маркер не заявлен; сочетание объясняется семействами и сенсорным балансом</x:v>
      </x:c>
      <x:c r="O617" s="28" t="str">
        <x:v>вкусовой баланс, тройничное восприятие</x:v>
      </x:c>
      <x:c r="P617" s="28" t="str">
        <x:v>Основной эффект определяется ароматическим контрастом и добавлением кислотной свежести; точный баланс зависит от дозировки и матрицы.</x:v>
      </x:c>
      <x:c r="Q617" s="28" t="str">
        <x:v>кислота усиливает слюноотделение; зелёные терпены создают ощущение прохлады; нет данных</x:v>
      </x:c>
      <x:c r="R617" s="28" t="str">
        <x:v>сок — водная кислая фаза; цедра — масляная терпеновая; зависит от формы продукта</x:v>
      </x:c>
      <x:c r="S61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17" s="28" t="str">
        <x:v>Сок лайма формирует профиль «цитрусовый, зелёный, травяной, камфорный»; характерные маркеры: лимонен, гамма-терпинен, цитраль, бета-пинен, линалол. Крем-де-кассис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617" s="28" t="str">
        <x:v>Избыток кислоты делает вкус плоско-резким; белая часть кожуры даёт лишнюю горечь.</x:v>
      </x:c>
      <x:c r="V617" s="28" t="str">
        <x:v>мёд или нейтральная жировая основа</x:v>
      </x:c>
      <x:c r="W617" s="28" t="str">
        <x:v>соус, напиток или десерт после пробной дегустации</x:v>
      </x:c>
      <x:c r="X617" s="28" t="str">
        <x:v>универсальное</x:v>
      </x:c>
      <x:c r="Y617" s="28" t="str">
        <x:v>Средняя</x:v>
      </x:c>
      <x:c r="Z617" s="28" t="str">
        <x:v>The Art &amp; Science of Foodpairing.pdf</x:v>
      </x:c>
      <x:c r="AA617" s="28" t="str">
        <x:v>The Art &amp; Science of Foodpairing.pdf: 87</x:v>
      </x:c>
      <x:c r="AB617" s="28" t="str">
        <x:v>Пара представлена в ароматической диаграмме Foodpairing на странице 87.</x:v>
      </x:c>
      <x:c r="AC617" s="28" t="n">
        <x:v>1</x:v>
      </x:c>
      <x:c r="AD617" s="28" t="n">
        <x:v>1</x:v>
      </x:c>
    </x:row>
    <x:row r="618" ht="58" customHeight="1">
      <x:c r="A618" s="28" t="str">
        <x:v>CIT-0617</x:v>
      </x:c>
      <x:c r="B618" s="28" t="str">
        <x:v>Универсальные</x:v>
      </x:c>
      <x:c r="C618" s="28" t="str">
        <x:v>сок лайма</x:v>
      </x:c>
      <x:c r="D618" s="28" t="str">
        <x:v>lime juice</x:v>
      </x:c>
      <x:c r="E618" s="28" t="str">
        <x:v>Цитрусовые</x:v>
      </x:c>
      <x:c r="F618" s="28" t="str">
        <x:v>ламбик</x:v>
      </x:c>
      <x:c r="G618" s="28" t="str">
        <x:v>lambic beer</x:v>
      </x:c>
      <x:c r="H618" s="28" t="str">
        <x:v>Прочее</x:v>
      </x:c>
      <x:c r="I618" s="28" t="str">
        <x:v>цитрусовый, зелёный, травяной, камфорный</x:v>
      </x:c>
      <x:c r="J618" s="28" t="str">
        <x:v>нейтральный/специфический</x:v>
      </x:c>
      <x:c r="K618" s="28" t="str">
        <x:v>лимонен, гамма-терпинен, цитраль, бета-пинен, линалол</x:v>
      </x:c>
      <x:c r="L618" s="28" t="str">
        <x:v>нужен профиль конкретного продукта</x:v>
      </x:c>
      <x:c r="M618" s="28" t="str">
        <x:v>прямое семейное перекрытие не является главным механизмом</x:v>
      </x:c>
      <x:c r="N618" s="28" t="str">
        <x:v>надёжный общий маркер не заявлен; сочетание объясняется семействами и сенсорным балансом</x:v>
      </x:c>
      <x:c r="O618" s="28" t="str">
        <x:v>вкусовой баланс, тройничное восприятие</x:v>
      </x:c>
      <x:c r="P618" s="28" t="str">
        <x:v>Основной эффект определяется ароматическим контрастом и добавлением кислотной свежести; точный баланс зависит от дозировки и матрицы.</x:v>
      </x:c>
      <x:c r="Q618" s="28" t="str">
        <x:v>кислота усиливает слюноотделение; зелёные терпены создают ощущение прохлады; нет данных</x:v>
      </x:c>
      <x:c r="R618" s="28" t="str">
        <x:v>сок — водная кислая фаза; цедра — масляная терпеновая; зависит от формы продукта</x:v>
      </x:c>
      <x:c r="S6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18" s="28" t="str">
        <x:v>Сок лайма формирует профиль «цитрусовый, зелёный, травяной, камфорный»; характерные маркеры: лимонен, гамма-терпинен, цитраль, бета-пинен, линалол. Ламбик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618" s="28" t="str">
        <x:v>Избыток кислоты делает вкус плоско-резким; белая часть кожуры даёт лишнюю горечь.</x:v>
      </x:c>
      <x:c r="V618" s="28" t="str">
        <x:v>мёд или нейтральная жировая основа</x:v>
      </x:c>
      <x:c r="W618" s="28" t="str">
        <x:v>соус, напиток или десерт после пробной дегустации</x:v>
      </x:c>
      <x:c r="X618" s="28" t="str">
        <x:v>универсальное</x:v>
      </x:c>
      <x:c r="Y618" s="28" t="str">
        <x:v>Средняя</x:v>
      </x:c>
      <x:c r="Z618" s="28" t="str">
        <x:v>The Art &amp; Science of Foodpairing.pdf</x:v>
      </x:c>
      <x:c r="AA618" s="28" t="str">
        <x:v>The Art &amp; Science of Foodpairing.pdf: 87</x:v>
      </x:c>
      <x:c r="AB618" s="28" t="str">
        <x:v>Пара представлена в ароматической диаграмме Foodpairing на странице 87.</x:v>
      </x:c>
      <x:c r="AC618" s="28" t="n">
        <x:v>1</x:v>
      </x:c>
      <x:c r="AD618" s="28" t="n">
        <x:v>1</x:v>
      </x:c>
    </x:row>
    <x:row r="619" ht="58" customHeight="1">
      <x:c r="A619" s="28" t="str">
        <x:v>CIT-0618</x:v>
      </x:c>
      <x:c r="B619" s="28" t="str">
        <x:v>Десерты и выпечка</x:v>
      </x:c>
      <x:c r="C619" s="28" t="str">
        <x:v>сок лайма</x:v>
      </x:c>
      <x:c r="D619" s="28" t="str">
        <x:v>lime juice</x:v>
      </x:c>
      <x:c r="E619" s="28" t="str">
        <x:v>Цитрусовые</x:v>
      </x:c>
      <x:c r="F619" s="28" t="str">
        <x:v>манго Альфонсо</x:v>
      </x:c>
      <x:c r="G619" s="28" t="str">
        <x:v>Alphonso mango</x:v>
      </x:c>
      <x:c r="H619" s="28" t="str">
        <x:v>Тропические фрукты</x:v>
      </x:c>
      <x:c r="I619" s="28" t="str">
        <x:v>цитрусовый, зелёный, травяной, камфорный</x:v>
      </x:c>
      <x:c r="J619" s="28" t="str">
        <x:v>фруктовый, тропический, цветочный, сливочный</x:v>
      </x:c>
      <x:c r="K619" s="28" t="str">
        <x:v>лимонен, гамма-терпинен, цитраль, бета-пинен, линалол</x:v>
      </x:c>
      <x:c r="L619" s="28" t="str">
        <x:v>этилбутират, гексилацетат, лактоны, сернистые тиолы (у части фруктов)</x:v>
      </x:c>
      <x:c r="M619" s="28" t="str">
        <x:v>прямое семейное перекрытие не является главным механизмом</x:v>
      </x:c>
      <x:c r="N619" s="28" t="str">
        <x:v>надёжный общий маркер не заявлен; сочетание объясняется семействами и сенсорным балансом</x:v>
      </x:c>
      <x:c r="O619" s="28" t="str">
        <x:v>вкусовой баланс</x:v>
      </x:c>
      <x:c r="P619" s="28" t="str">
        <x:v>Общая фруктовая сладость и летучие эфиры создают непрерывный ароматический профиль, а цитрусовая кислота повышает контраст и свежесть.</x:v>
      </x:c>
      <x:c r="Q619" s="28" t="str">
        <x:v>кислота усиливает слюноотделение; зелёные терпены создают ощущение прохлады; нет выраженного</x:v>
      </x:c>
      <x:c r="R619" s="28" t="str">
        <x:v>сок — водная кислая фаза; цедра — масляная терпеновая; сочная или кремовая фруктовая матрица</x:v>
      </x:c>
      <x:c r="S61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19" s="28" t="str">
        <x:v>Сок лайма формирует профиль «цитрусовый, зелёный, травяной, камфорный»; характерные маркеры: лимонен, гамма-терпинен, цитраль, бета-пинен, линалол. Манго альфонсо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U619" s="28" t="str">
        <x:v>Избыток кислоты делает вкус плоско-резким; белая часть кожуры даёт лишнюю горечь.</x:v>
      </x:c>
      <x:c r="V619" s="28" t="str">
        <x:v>кокос или имбирь</x:v>
      </x:c>
      <x:c r="W619" s="28" t="str">
        <x:v>смузи, кордиал, сорбет, чатни или коктейль</x:v>
      </x:c>
      <x:c r="X619" s="28" t="str">
        <x:v>напитки, десерты</x:v>
      </x:c>
      <x:c r="Y619" s="28" t="str">
        <x:v>Средняя</x:v>
      </x:c>
      <x:c r="Z619" s="28" t="str">
        <x:v>The Art &amp; Science of Foodpairing.pdf</x:v>
      </x:c>
      <x:c r="AA619" s="28" t="str">
        <x:v>The Art &amp; Science of Foodpairing.pdf: 87</x:v>
      </x:c>
      <x:c r="AB619" s="28" t="str">
        <x:v>Пара представлена в ароматической диаграмме Foodpairing на странице 87.</x:v>
      </x:c>
      <x:c r="AC619" s="28" t="n">
        <x:v>1</x:v>
      </x:c>
      <x:c r="AD619" s="28" t="n">
        <x:v>1</x:v>
      </x:c>
    </x:row>
    <x:row r="620" ht="58" customHeight="1">
      <x:c r="A620" s="28" t="str">
        <x:v>CIT-0619</x:v>
      </x:c>
      <x:c r="B620" s="28" t="str">
        <x:v>Десерты и выпечка</x:v>
      </x:c>
      <x:c r="C620" s="28" t="str">
        <x:v>сок лайма</x:v>
      </x:c>
      <x:c r="D620" s="28" t="str">
        <x:v>lime juice</x:v>
      </x:c>
      <x:c r="E620" s="28" t="str">
        <x:v>Цитрусовые</x:v>
      </x:c>
      <x:c r="F620" s="28" t="str">
        <x:v>мускатный орех</x:v>
      </x:c>
      <x:c r="G620" s="28" t="str">
        <x:v>nutmeg</x:v>
      </x:c>
      <x:c r="H620" s="28" t="str">
        <x:v>Орехи и семена</x:v>
      </x:c>
      <x:c r="I620" s="28" t="str">
        <x:v>цитрусовый, зелёный, травяной, камфорный</x:v>
      </x:c>
      <x:c r="J620" s="28" t="str">
        <x:v>ореховый, обжаренный, жирный, зелёный</x:v>
      </x:c>
      <x:c r="K620" s="28" t="str">
        <x:v>лимонен, гамма-терпинен, цитраль, бета-пинен, линалол</x:v>
      </x:c>
      <x:c r="L620" s="28" t="str">
        <x:v>пиразины, альдегиды окисления жиров, бензальдегид (миндаль)</x:v>
      </x:c>
      <x:c r="M620" s="28" t="str">
        <x:v>зелёный</x:v>
      </x:c>
      <x:c r="N620" s="28" t="str">
        <x:v>надёжный общий маркер не заявлен; сочетание объясняется семействами и сенсорным балансом</x:v>
      </x:c>
      <x:c r="O620" s="28" t="str">
        <x:v>перекрытие ароматических семейств, вкусовой баланс, влияние матрицы/растворимости</x:v>
      </x:c>
      <x:c r="P620" s="28" t="str">
        <x:v>Кислотность и лёгкая горечь цитруса снижают ощущение жирности; соль и умами, в свою очередь, делают фруктовую часть менее резкой.</x:v>
      </x:c>
      <x:c r="Q620" s="28" t="str">
        <x:v>кислота усиливает слюноотделение; зелёные терпены создают ощущение прохлады; нет выраженного</x:v>
      </x:c>
      <x:c r="R620" s="28" t="str">
        <x:v>сок — водная кислая фаза; цедра — масляная терпеновая; высокая жирность растворяет терпеновые масла цитруса</x:v>
      </x:c>
      <x:c r="S620"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620" s="28" t="str">
        <x:v>Сок лайма формирует профиль «цитрусовый, зелёный, травяной, камфорный»; характерные маркеры: лимонен, гамма-терпинен, цитраль, бета-пинен, линалол. Мускатный орех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U620" s="28" t="str">
        <x:v>Избыток кислоты делает вкус плоско-резким; белая часть кожуры даёт лишнюю горечь.</x:v>
      </x:c>
      <x:c r="V620" s="28" t="str">
        <x:v>мёд или шоколад</x:v>
      </x:c>
      <x:c r="W620" s="28" t="str">
        <x:v>пралине, крем, выпечка, салат или ореховый соус</x:v>
      </x:c>
      <x:c r="X620" s="28" t="str">
        <x:v>десерты</x:v>
      </x:c>
      <x:c r="Y620" s="28" t="str">
        <x:v>Средняя</x:v>
      </x:c>
      <x:c r="Z620" s="28" t="str">
        <x:v>The Art &amp; Science of Foodpairing.pdf</x:v>
      </x:c>
      <x:c r="AA620" s="28" t="str">
        <x:v>The Art &amp; Science of Foodpairing.pdf: 87</x:v>
      </x:c>
      <x:c r="AB620" s="28" t="str">
        <x:v>Пара представлена в ароматической диаграмме Foodpairing на странице 87.</x:v>
      </x:c>
      <x:c r="AC620" s="28" t="n">
        <x:v>1</x:v>
      </x:c>
      <x:c r="AD620" s="28" t="n">
        <x:v>1</x:v>
      </x:c>
    </x:row>
    <x:row r="621" ht="58" customHeight="1">
      <x:c r="A621" s="28" t="str">
        <x:v>CIT-0620</x:v>
      </x:c>
      <x:c r="B621" s="28" t="str">
        <x:v>Еда и соусы</x:v>
      </x:c>
      <x:c r="C621" s="28" t="str">
        <x:v>сок лайма</x:v>
      </x:c>
      <x:c r="D621" s="28" t="str">
        <x:v>lime juice</x:v>
      </x:c>
      <x:c r="E621" s="28" t="str">
        <x:v>Цитрусовые</x:v>
      </x:c>
      <x:c r="F621" s="28" t="str">
        <x:v>отварная морковь</x:v>
      </x:c>
      <x:c r="G621" s="28" t="str">
        <x:v>boiled carrot</x:v>
      </x:c>
      <x:c r="H621" s="28" t="str">
        <x:v>Овощи</x:v>
      </x:c>
      <x:c r="I621" s="28" t="str">
        <x:v>цитрусовый, зелёный, травяной, камфорный</x:v>
      </x:c>
      <x:c r="J621" s="28" t="str">
        <x:v>зелёный, землистый, растительный, иногда сернистый</x:v>
      </x:c>
      <x:c r="K621" s="28" t="str">
        <x:v>лимонен, гамма-терпинен, цитраль, бета-пинен, линалол</x:v>
      </x:c>
      <x:c r="L621" s="28" t="str">
        <x:v>C6-альдегиды, метоксипиразины, геосмин (землистые), сернистые соединения</x:v>
      </x:c>
      <x:c r="M621" s="28" t="str">
        <x:v>зелёный</x:v>
      </x:c>
      <x:c r="N621" s="28" t="str">
        <x:v>надёжный общий маркер не заявлен; сочетание объясняется семействами и сенсорным балансом</x:v>
      </x:c>
      <x:c r="O621" s="28" t="str">
        <x:v>перекрытие ароматических семейств, вкусовой баланс</x:v>
      </x:c>
      <x:c r="P621" s="28" t="str">
        <x:v>Кислота подчёркивает природную сладость овоща, сокращает землистое/сернистое послевкусие и повышает слюноотделение.</x:v>
      </x:c>
      <x:c r="Q621" s="28" t="str">
        <x:v>кислота усиливает слюноотделение; зелёные терпены создают ощущение прохлады; нет выраженного</x:v>
      </x:c>
      <x:c r="R621" s="28" t="str">
        <x:v>сок — водная кислая фаза; цедра — масляная терпеновая; водная/крахмальная матрица; масло помогает распределить цедру</x:v>
      </x:c>
      <x:c r="S62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21" s="28" t="str">
        <x:v>Сок лайма формирует профиль «цитрусовый, зелёный, травяной, камфорный»; характерные маркеры: лимонен, гамма-терпинен, цитраль, бета-пинен, линалол. Отварная морковь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U621" s="28" t="str">
        <x:v>Избыток кислоты делает вкус плоско-резким; белая часть кожуры даёт лишнюю горечь.</x:v>
      </x:c>
      <x:c r="V621" s="28" t="str">
        <x:v>оливковое масло или базилик</x:v>
      </x:c>
      <x:c r="W621" s="28" t="str">
        <x:v>винегрет, салат, пюре, запечённое блюдо или овощной соус</x:v>
      </x:c>
      <x:c r="X621" s="28" t="str">
        <x:v>еда, соусы/маринады</x:v>
      </x:c>
      <x:c r="Y621" s="28" t="str">
        <x:v>Средняя</x:v>
      </x:c>
      <x:c r="Z621" s="28" t="str">
        <x:v>The Art &amp; Science of Foodpairing.pdf</x:v>
      </x:c>
      <x:c r="AA621" s="28" t="str">
        <x:v>The Art &amp; Science of Foodpairing.pdf: 87</x:v>
      </x:c>
      <x:c r="AB621" s="28" t="str">
        <x:v>Пара представлена в ароматической диаграмме Foodpairing на странице 87.</x:v>
      </x:c>
      <x:c r="AC621" s="28" t="n">
        <x:v>1</x:v>
      </x:c>
      <x:c r="AD621" s="28" t="n">
        <x:v>1</x:v>
      </x:c>
    </x:row>
    <x:row r="622" ht="58" customHeight="1">
      <x:c r="A622" s="28" t="str">
        <x:v>CIT-0621</x:v>
      </x:c>
      <x:c r="B622" s="28" t="str">
        <x:v>Еда и соусы</x:v>
      </x:c>
      <x:c r="C622" s="28" t="str">
        <x:v>сок лайма</x:v>
      </x:c>
      <x:c r="D622" s="28" t="str">
        <x:v>lime juice</x:v>
      </x:c>
      <x:c r="E622" s="28" t="str">
        <x:v>Цитрусовые</x:v>
      </x:c>
      <x:c r="F622" s="28" t="str">
        <x:v>отварной пастернак</x:v>
      </x:c>
      <x:c r="G622" s="28" t="str">
        <x:v>boiled parsnip</x:v>
      </x:c>
      <x:c r="H622" s="28" t="str">
        <x:v>Овощи</x:v>
      </x:c>
      <x:c r="I622" s="28" t="str">
        <x:v>цитрусовый, зелёный, травяной, камфорный</x:v>
      </x:c>
      <x:c r="J622" s="28" t="str">
        <x:v>зелёный, землистый, растительный, иногда сернистый</x:v>
      </x:c>
      <x:c r="K622" s="28" t="str">
        <x:v>лимонен, гамма-терпинен, цитраль, бета-пинен, линалол</x:v>
      </x:c>
      <x:c r="L622" s="28" t="str">
        <x:v>C6-альдегиды, метоксипиразины, геосмин (землистые), сернистые соединения</x:v>
      </x:c>
      <x:c r="M622" s="28" t="str">
        <x:v>зелёный</x:v>
      </x:c>
      <x:c r="N622" s="28" t="str">
        <x:v>надёжный общий маркер не заявлен; сочетание объясняется семействами и сенсорным балансом</x:v>
      </x:c>
      <x:c r="O622" s="28" t="str">
        <x:v>перекрытие ароматических семейств, вкусовой баланс</x:v>
      </x:c>
      <x:c r="P622" s="28" t="str">
        <x:v>Кислота подчёркивает природную сладость овоща, сокращает землистое/сернистое послевкусие и повышает слюноотделение.</x:v>
      </x:c>
      <x:c r="Q622" s="28" t="str">
        <x:v>кислота усиливает слюноотделение; зелёные терпены создают ощущение прохлады; нет выраженного</x:v>
      </x:c>
      <x:c r="R622" s="28" t="str">
        <x:v>сок — водная кислая фаза; цедра — масляная терпеновая; водная/крахмальная матрица; масло помогает распределить цедру</x:v>
      </x:c>
      <x:c r="S62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22" s="28" t="str">
        <x:v>Сок лайма формирует профиль «цитрусовый, зелёный, травяной, камфорный»; характерные маркеры: лимонен, гамма-терпинен, цитраль, бета-пинен, линалол. Отварной пастернак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U622" s="28" t="str">
        <x:v>Избыток кислоты делает вкус плоско-резким; белая часть кожуры даёт лишнюю горечь.</x:v>
      </x:c>
      <x:c r="V622" s="28" t="str">
        <x:v>оливковое масло или базилик</x:v>
      </x:c>
      <x:c r="W622" s="28" t="str">
        <x:v>винегрет, салат, пюре, запечённое блюдо или овощной соус</x:v>
      </x:c>
      <x:c r="X622" s="28" t="str">
        <x:v>еда, соусы/маринады</x:v>
      </x:c>
      <x:c r="Y622" s="28" t="str">
        <x:v>Средняя</x:v>
      </x:c>
      <x:c r="Z622" s="28" t="str">
        <x:v>The Art &amp; Science of Foodpairing.pdf</x:v>
      </x:c>
      <x:c r="AA622" s="28" t="str">
        <x:v>The Art &amp; Science of Foodpairing.pdf: 87</x:v>
      </x:c>
      <x:c r="AB622" s="28" t="str">
        <x:v>Пара представлена в ароматической диаграмме Foodpairing на странице 87.</x:v>
      </x:c>
      <x:c r="AC622" s="28" t="n">
        <x:v>1</x:v>
      </x:c>
      <x:c r="AD622" s="28" t="n">
        <x:v>1</x:v>
      </x:c>
    </x:row>
    <x:row r="623" ht="58" customHeight="1">
      <x:c r="A623" s="28" t="str">
        <x:v>CIT-0622</x:v>
      </x:c>
      <x:c r="B623" s="28" t="str">
        <x:v>Десерты и выпечка</x:v>
      </x:c>
      <x:c r="C623" s="28" t="str">
        <x:v>сок лайма</x:v>
      </x:c>
      <x:c r="D623" s="28" t="str">
        <x:v>lime juice</x:v>
      </x:c>
      <x:c r="E623" s="28" t="str">
        <x:v>Цитрусовые</x:v>
      </x:c>
      <x:c r="F623" s="28" t="str">
        <x:v>приготовленный бурый рис</x:v>
      </x:c>
      <x:c r="G623" s="28" t="str">
        <x:v>cooked brown rice</x:v>
      </x:c>
      <x:c r="H623" s="28" t="str">
        <x:v>Злаки и хлеб</x:v>
      </x:c>
      <x:c r="I623" s="28" t="str">
        <x:v>цитрусовый, зелёный, травяной, камфорный</x:v>
      </x:c>
      <x:c r="J623" s="28" t="str">
        <x:v>зерновой, обжаренный, ореховый, дрожжевой</x:v>
      </x:c>
      <x:c r="K623" s="28" t="str">
        <x:v>лимонен, гамма-терпинен, цитраль, бета-пинен, линалол</x:v>
      </x:c>
      <x:c r="L623" s="28" t="str">
        <x:v>пиразины, мальтол, фураны, эфиры брожения</x:v>
      </x:c>
      <x:c r="M623" s="28" t="str">
        <x:v>прямое семейное перекрытие не является главным механизмом</x:v>
      </x:c>
      <x:c r="N623" s="28" t="str">
        <x:v>надёжный общий маркер не заявлен; сочетание объясняется семействами и сенсорным балансом</x:v>
      </x:c>
      <x:c r="O623" s="28" t="str">
        <x:v>вкусовой баланс</x:v>
      </x:c>
      <x:c r="P623" s="28" t="str">
        <x:v>Высокая кисло-ароматическая нота контрастирует с жареными, горькими и карамельными оттенками; сахар или жир связывает два регистра.</x:v>
      </x:c>
      <x:c r="Q623" s="28" t="str">
        <x:v>кислота усиливает слюноотделение; зелёные терпены создают ощущение прохлады; нет выраженного</x:v>
      </x:c>
      <x:c r="R623" s="28" t="str">
        <x:v>сок — водная кислая фаза; цедра — масляная терпеновая; крахмал смягчает кислотность; жир/масло помогает аромату цедры</x:v>
      </x:c>
      <x:c r="S62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23" s="28" t="str">
        <x:v>Сок лайма формирует профиль «цитрусовый, зелёный, травяной, камфорный»; характерные маркеры: лимонен, гамма-терпинен, цитраль, бета-пинен, линалол. Приготовленный бурый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освежает зерновой профиль и создаёт контраст с обжаренными нотами.</x:v>
      </x:c>
      <x:c r="U623" s="28" t="str">
        <x:v>Избыток кислоты делает вкус плоско-резким; белая часть кожуры даёт лишнюю горечь.</x:v>
      </x:c>
      <x:c r="V623" s="28" t="str">
        <x:v>сливочное масло или мёд</x:v>
      </x:c>
      <x:c r="W623" s="28" t="str">
        <x:v>кекс, каша, хлеб, крамбл или салат</x:v>
      </x:c>
      <x:c r="X623" s="28" t="str">
        <x:v>десерты, еда</x:v>
      </x:c>
      <x:c r="Y623" s="28" t="str">
        <x:v>Средняя</x:v>
      </x:c>
      <x:c r="Z623" s="28" t="str">
        <x:v>The Art &amp; Science of Foodpairing.pdf</x:v>
      </x:c>
      <x:c r="AA623" s="28" t="str">
        <x:v>The Art &amp; Science of Foodpairing.pdf: 108</x:v>
      </x:c>
      <x:c r="AB623" s="28" t="str">
        <x:v>Пара представлена в ароматической диаграмме Foodpairing на странице 108.</x:v>
      </x:c>
      <x:c r="AC623" s="28" t="n">
        <x:v>1</x:v>
      </x:c>
      <x:c r="AD623" s="28" t="n">
        <x:v>1</x:v>
      </x:c>
    </x:row>
    <x:row r="624" ht="58" customHeight="1">
      <x:c r="A624" s="28" t="str">
        <x:v>CIT-0623</x:v>
      </x:c>
      <x:c r="B624" s="28" t="str">
        <x:v>Универсальные</x:v>
      </x:c>
      <x:c r="C624" s="28" t="str">
        <x:v>сок лайма</x:v>
      </x:c>
      <x:c r="D624" s="28" t="str">
        <x:v>lime juice</x:v>
      </x:c>
      <x:c r="E624" s="28" t="str">
        <x:v>Цитрусовые</x:v>
      </x:c>
      <x:c r="F624" s="28" t="str">
        <x:v>свежие цветы лаванды</x:v>
      </x:c>
      <x:c r="G624" s="28" t="str">
        <x:v>fresh lavender flower</x:v>
      </x:c>
      <x:c r="H624" s="28" t="str">
        <x:v>Прочее</x:v>
      </x:c>
      <x:c r="I624" s="28" t="str">
        <x:v>цитрусовый, зелёный, травяной, камфорный</x:v>
      </x:c>
      <x:c r="J624" s="28" t="str">
        <x:v>нейтральный/специфический</x:v>
      </x:c>
      <x:c r="K624" s="28" t="str">
        <x:v>лимонен, гамма-терпинен, цитраль, бета-пинен, линалол</x:v>
      </x:c>
      <x:c r="L624" s="28" t="str">
        <x:v>нужен профиль конкретного продукта</x:v>
      </x:c>
      <x:c r="M624" s="28" t="str">
        <x:v>прямое семейное перекрытие не является главным механизмом</x:v>
      </x:c>
      <x:c r="N624" s="28" t="str">
        <x:v>надёжный общий маркер не заявлен; сочетание объясняется семействами и сенсорным балансом</x:v>
      </x:c>
      <x:c r="O624" s="28" t="str">
        <x:v>вкусовой баланс, тройничное восприятие</x:v>
      </x:c>
      <x:c r="P624" s="28" t="str">
        <x:v>Основной эффект определяется ароматическим контрастом и добавлением кислотной свежести; точный баланс зависит от дозировки и матрицы.</x:v>
      </x:c>
      <x:c r="Q624" s="28" t="str">
        <x:v>кислота усиливает слюноотделение; зелёные терпены создают ощущение прохлады; нет данных</x:v>
      </x:c>
      <x:c r="R624" s="28" t="str">
        <x:v>сок — водная кислая фаза; цедра — масляная терпеновая; зависит от формы продукта</x:v>
      </x:c>
      <x:c r="S62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24" s="28" t="str">
        <x:v>Сок лайма формирует профиль «цитрусовый, зелёный, травяной, камфорный»; характерные маркеры: лимонен, гамма-терпинен, цитраль, бета-пинен, линалол. Свежие цветы лаванды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624" s="28" t="str">
        <x:v>Избыток кислоты делает вкус плоско-резким; белая часть кожуры даёт лишнюю горечь.</x:v>
      </x:c>
      <x:c r="V624" s="28" t="str">
        <x:v>мёд или нейтральная жировая основа</x:v>
      </x:c>
      <x:c r="W624" s="28" t="str">
        <x:v>соус, напиток или десерт после пробной дегустации</x:v>
      </x:c>
      <x:c r="X624" s="28" t="str">
        <x:v>универсальное</x:v>
      </x:c>
      <x:c r="Y624" s="28" t="str">
        <x:v>Средняя</x:v>
      </x:c>
      <x:c r="Z624" s="28" t="str">
        <x:v>The Art &amp; Science of Foodpairing.pdf</x:v>
      </x:c>
      <x:c r="AA624" s="28" t="str">
        <x:v>The Art &amp; Science of Foodpairing.pdf: 87</x:v>
      </x:c>
      <x:c r="AB624" s="28" t="str">
        <x:v>Пара представлена в ароматической диаграмме Foodpairing на странице 87.</x:v>
      </x:c>
      <x:c r="AC624" s="28" t="n">
        <x:v>1</x:v>
      </x:c>
      <x:c r="AD624" s="28" t="n">
        <x:v>1</x:v>
      </x:c>
    </x:row>
    <x:row r="625" ht="58" customHeight="1">
      <x:c r="A625" s="28" t="str">
        <x:v>CIT-0624</x:v>
      </x:c>
      <x:c r="B625" s="28" t="str">
        <x:v>Десерты и выпечка</x:v>
      </x:c>
      <x:c r="C625" s="28" t="str">
        <x:v>сок лайма</x:v>
      </x:c>
      <x:c r="D625" s="28" t="str">
        <x:v>lime juice</x:v>
      </x:c>
      <x:c r="E625" s="28" t="str">
        <x:v>Цитрусовые</x:v>
      </x:c>
      <x:c r="F625" s="28" t="str">
        <x:v>чеддер</x:v>
      </x:c>
      <x:c r="G625" s="28" t="str">
        <x:v>Cheddar</x:v>
      </x:c>
      <x:c r="H625" s="28" t="str">
        <x:v>Молочные продукты</x:v>
      </x:c>
      <x:c r="I625" s="28" t="str">
        <x:v>цитрусовый, зелёный, травяной, камфорный</x:v>
      </x:c>
      <x:c r="J625" s="28" t="str">
        <x:v>сливочный, молочный, масляный, иногда животный</x:v>
      </x:c>
      <x:c r="K625" s="28" t="str">
        <x:v>лимонен, гамма-терпинен, цитраль, бета-пинен, линалол</x:v>
      </x:c>
      <x:c r="L625" s="28" t="str">
        <x:v>диацетил, молочные лактоны, свободные жирные кислоты</x:v>
      </x:c>
      <x:c r="M625" s="28" t="str">
        <x:v>прямое семейное перекрытие не является главным механизмом</x:v>
      </x:c>
      <x:c r="N625" s="28" t="str">
        <x:v>надёжный общий маркер не заявлен; сочетание объясняется семействами и сенсорным балансом</x:v>
      </x:c>
      <x:c r="O625" s="28" t="str">
        <x:v>вкусовой баланс, влияние матрицы/растворимости</x:v>
      </x:c>
      <x:c r="P625" s="28" t="str">
        <x:v>Кислотность и лёгкая горечь цитруса снижают ощущение жирности; соль и умами, в свою очередь, делают фруктовую часть менее резкой.</x:v>
      </x:c>
      <x:c r="Q625" s="28" t="str">
        <x:v>кислота усиливает слюноотделение; зелёные терпены создают ощущение прохлады; нет выраженного</x:v>
      </x:c>
      <x:c r="R625" s="28" t="str">
        <x:v>сок — водная кислая фаза; цедра — масляная терпеновая; жир растворяет терпены; кислота цитруса может коагулировать молочный белок</x:v>
      </x:c>
      <x:c r="S625"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625" s="28" t="str">
        <x:v>Сок лайма формирует профиль «цитрусовый, зелёный, травяной, камфорный»; характерные маркеры: лимонен, гамма-терпинен, цитраль, бета-пинен, линалол. Чеддер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режет жирность и освежает, а молочная матрица смягчает кислотность.</x:v>
      </x:c>
      <x:c r="U625" s="28" t="str">
        <x:v>Избыток кислоты делает вкус плоско-резким; белая часть кожуры даёт лишнюю горечь; возможна коагуляция белка.</x:v>
      </x:c>
      <x:c r="V625" s="28" t="str">
        <x:v>мёд или ваниль</x:v>
      </x:c>
      <x:c r="W625" s="28" t="str">
        <x:v>чизкейк, крем, мороженое, соус или салат</x:v>
      </x:c>
      <x:c r="X625" s="28" t="str">
        <x:v>десерты, еда</x:v>
      </x:c>
      <x:c r="Y625" s="28" t="str">
        <x:v>Средняя</x:v>
      </x:c>
      <x:c r="Z625" s="28" t="str">
        <x:v>The Art &amp; Science of Foodpairing.pdf</x:v>
      </x:c>
      <x:c r="AA625" s="28" t="str">
        <x:v>The Art &amp; Science of Foodpairing.pdf: 87</x:v>
      </x:c>
      <x:c r="AB625" s="28" t="str">
        <x:v>Пара представлена в ароматической диаграмме Foodpairing на странице 87.</x:v>
      </x:c>
      <x:c r="AC625" s="28" t="n">
        <x:v>1</x:v>
      </x:c>
      <x:c r="AD625" s="28" t="n">
        <x:v>1</x:v>
      </x:c>
    </x:row>
    <x:row r="626" ht="58" customHeight="1">
      <x:c r="A626" s="28" t="str">
        <x:v>CIT-0625</x:v>
      </x:c>
      <x:c r="B626" s="28" t="str">
        <x:v>Универсальные</x:v>
      </x:c>
      <x:c r="C626" s="28" t="str">
        <x:v>танжерин</x:v>
      </x:c>
      <x:c r="D626" s="28" t="str">
        <x:v>tangerine</x:v>
      </x:c>
      <x:c r="E626" s="28" t="str">
        <x:v>Цитрусовые</x:v>
      </x:c>
      <x:c r="F626" s="28" t="str">
        <x:v>бурбон</x:v>
      </x:c>
      <x:c r="G626" s="28" t="str">
        <x:v>bourbon whiskey</x:v>
      </x:c>
      <x:c r="H626" s="28" t="str">
        <x:v>Прочее</x:v>
      </x:c>
      <x:c r="I626" s="28" t="str">
        <x:v>цитрусовый, фруктовый, цветочный, пряный</x:v>
      </x:c>
      <x:c r="J626" s="28" t="str">
        <x:v>нейтральный/специфический</x:v>
      </x:c>
      <x:c r="K626" s="28" t="str">
        <x:v>лимонен, гамма-терпинен, метил-N-метилантранилат, линалол</x:v>
      </x:c>
      <x:c r="L626" s="28" t="str">
        <x:v>нужен профиль конкретного продукта</x:v>
      </x:c>
      <x:c r="M626" s="28" t="str">
        <x:v>прямое семейное перекрытие не является главным механизмом</x:v>
      </x:c>
      <x:c r="N626" s="28" t="str">
        <x:v>надёжный общий маркер не заявлен; сочетание объясняется семействами и сенсорным балансом</x:v>
      </x:c>
      <x:c r="O626" s="28" t="str">
        <x:v>вкусовой баланс, тройничное восприятие</x:v>
      </x:c>
      <x:c r="P626" s="28" t="str">
        <x:v>Основной эффект определяется ароматическим контрастом и добавлением кислотной свежести; точный баланс зависит от дозировки и матрицы.</x:v>
      </x:c>
      <x:c r="Q626" s="28" t="str">
        <x:v>нет выраженного; нет данных</x:v>
      </x:c>
      <x:c r="R626" s="28" t="str">
        <x:v>сок водный; кожура богата эфирным маслом; зависит от формы продукта</x:v>
      </x:c>
      <x:c r="S62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26" s="28" t="str">
        <x:v>Танжерин формирует профиль «цитрусовый, фруктовый, цветочный, пряный»; характерные маркеры: лимонен, гамма-терпинен, метил-N-метилантранилат, линалол. Бурбон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26" s="28" t="str">
        <x:v>Избыток кислоты делает вкус плоско-резким; белая часть кожуры даёт лишнюю горечь.</x:v>
      </x:c>
      <x:c r="V626" s="28" t="str">
        <x:v>мёд или нейтральная жировая основа</x:v>
      </x:c>
      <x:c r="W626" s="28" t="str">
        <x:v>соус, напиток или десерт после пробной дегустации</x:v>
      </x:c>
      <x:c r="X626" s="28" t="str">
        <x:v>универсальное</x:v>
      </x:c>
      <x:c r="Y626" s="28" t="str">
        <x:v>Средняя</x:v>
      </x:c>
      <x:c r="Z626" s="28" t="str">
        <x:v>The Art &amp; Science of Foodpairing.pdf</x:v>
      </x:c>
      <x:c r="AA626" s="28" t="str">
        <x:v>The Art &amp; Science of Foodpairing.pdf: 358</x:v>
      </x:c>
      <x:c r="AB626" s="28" t="str">
        <x:v>Пара представлена в ароматической диаграмме Foodpairing на странице 358.</x:v>
      </x:c>
      <x:c r="AC626" s="28" t="n">
        <x:v>1</x:v>
      </x:c>
      <x:c r="AD626" s="28" t="n">
        <x:v>1</x:v>
      </x:c>
    </x:row>
    <x:row r="627" ht="58" customHeight="1">
      <x:c r="A627" s="28" t="str">
        <x:v>CIT-0626</x:v>
      </x:c>
      <x:c r="B627" s="28" t="str">
        <x:v>Десерты и выпечка</x:v>
      </x:c>
      <x:c r="C627" s="28" t="str">
        <x:v>танжерин</x:v>
      </x:c>
      <x:c r="D627" s="28" t="str">
        <x:v>tangerine</x:v>
      </x:c>
      <x:c r="E627" s="28" t="str">
        <x:v>Цитрусовые</x:v>
      </x:c>
      <x:c r="F627" s="28" t="str">
        <x:v>гуава Кеттли</x:v>
      </x:c>
      <x:c r="G627" s="28" t="str">
        <x:v>Cattleyguava</x:v>
      </x:c>
      <x:c r="H627" s="28" t="str">
        <x:v>Тропические фрукты</x:v>
      </x:c>
      <x:c r="I627" s="28" t="str">
        <x:v>цитрусовый, фруктовый, цветочный, пряный</x:v>
      </x:c>
      <x:c r="J627" s="28" t="str">
        <x:v>фруктовый, тропический, цветочный, сливочный</x:v>
      </x:c>
      <x:c r="K627" s="28" t="str">
        <x:v>лимонен, гамма-терпинен, метил-N-метилантранилат, линалол</x:v>
      </x:c>
      <x:c r="L627" s="28" t="str">
        <x:v>этилбутират, гексилацетат, лактоны, сернистые тиолы (у части фруктов)</x:v>
      </x:c>
      <x:c r="M627" s="28" t="str">
        <x:v>фруктовый, цветочный</x:v>
      </x:c>
      <x:c r="N627" s="28" t="str">
        <x:v>надёжный общий маркер не заявлен; сочетание объясняется семействами и сенсорным балансом</x:v>
      </x:c>
      <x:c r="O627" s="28" t="str">
        <x:v>перекрытие ароматических семейств, вкусовой баланс</x:v>
      </x:c>
      <x:c r="P627" s="28" t="str">
        <x:v>Общая фруктовая сладость и летучие эфиры создают непрерывный ароматический профиль, а цитрусовая кислота повышает контраст и свежесть.</x:v>
      </x:c>
      <x:c r="Q627" s="28" t="str">
        <x:v>нет выраженного; нет выраженного</x:v>
      </x:c>
      <x:c r="R627" s="28" t="str">
        <x:v>сок водный; кожура богата эфирным маслом; сочная или кремовая фруктовая матрица</x:v>
      </x:c>
      <x:c r="S62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27" s="28" t="str">
        <x:v>Танжерин формирует профиль «цитрусовый, фруктовый, цветочный, пряный»; характерные маркеры: лимонен, гамма-терпинен, метил-N-метилантранилат, линалол. Гуава кеттли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U627" s="28" t="str">
        <x:v>Избыток кислоты делает вкус плоско-резким; белая часть кожуры даёт лишнюю горечь.</x:v>
      </x:c>
      <x:c r="V627" s="28" t="str">
        <x:v>кокос или имбирь</x:v>
      </x:c>
      <x:c r="W627" s="28" t="str">
        <x:v>смузи, кордиал, сорбет, чатни или коктейль</x:v>
      </x:c>
      <x:c r="X627" s="28" t="str">
        <x:v>напитки, десерты</x:v>
      </x:c>
      <x:c r="Y627" s="28" t="str">
        <x:v>Средняя</x:v>
      </x:c>
      <x:c r="Z627" s="28" t="str">
        <x:v>The Art &amp; Science of Foodpairing.pdf</x:v>
      </x:c>
      <x:c r="AA627" s="28" t="str">
        <x:v>The Art &amp; Science of Foodpairing.pdf: 215</x:v>
      </x:c>
      <x:c r="AB627" s="28" t="str">
        <x:v>Пара представлена в ароматической диаграмме Foodpairing на странице 215.</x:v>
      </x:c>
      <x:c r="AC627" s="28" t="n">
        <x:v>1</x:v>
      </x:c>
      <x:c r="AD627" s="28" t="n">
        <x:v>1</x:v>
      </x:c>
    </x:row>
    <x:row r="628" ht="58" customHeight="1">
      <x:c r="A628" s="28" t="str">
        <x:v>CIT-0627</x:v>
      </x:c>
      <x:c r="B628" s="28" t="str">
        <x:v>Напитки</x:v>
      </x:c>
      <x:c r="C628" s="28" t="str">
        <x:v>танжерин</x:v>
      </x:c>
      <x:c r="D628" s="28" t="str">
        <x:v>tangerine</x:v>
      </x:c>
      <x:c r="E628" s="28" t="str">
        <x:v>Цитрусовые</x:v>
      </x:c>
      <x:c r="F628" s="28" t="str">
        <x:v>дикая ромашка</x:v>
      </x:c>
      <x:c r="G628" s="28" t="str">
        <x:v>wild chamomile (Matricaria discoidea)</x:v>
      </x:c>
      <x:c r="H628" s="28" t="str">
        <x:v>Алкогольные напитки</x:v>
      </x:c>
      <x:c r="I628" s="28" t="str">
        <x:v>цитрусовый, фруктовый, цветочный, пряный</x:v>
      </x:c>
      <x:c r="J628" s="28" t="str">
        <x:v>зависит от основы, эфирный, древесный/пряный</x:v>
      </x:c>
      <x:c r="K628" s="28" t="str">
        <x:v>лимонен, гамма-терпинен, метил-N-метилантранилат, линалол</x:v>
      </x:c>
      <x:c r="L628" s="28" t="str">
        <x:v>этанол, эфиры, терпены/дубовые соединения</x:v>
      </x:c>
      <x:c r="M628" s="28" t="str">
        <x:v>прямое семейное перекрытие не является главным механизмом</x:v>
      </x:c>
      <x:c r="N628" s="28" t="str">
        <x:v>надёжный общий маркер не заявлен; сочетание объясняется семействами и сенсорным балансом</x:v>
      </x:c>
      <x:c r="O628" s="28" t="str">
        <x:v>вкусовой баланс, тройничное восприятие, влияние матрицы/растворимости</x:v>
      </x:c>
      <x:c r="P628" s="28" t="str">
        <x:v>Этанол усиливает летучесть терпенов и ощущение тепла; сахар и вода регулируют кислотность, горечь кожуры и спиртуозность.</x:v>
      </x:c>
      <x:c r="Q628" s="28" t="str">
        <x:v>нет выраженного; этанол усиливает тепло и летучесть аромата</x:v>
      </x:c>
      <x:c r="R628" s="28" t="str">
        <x:v>сок водный; кожура богата эфирным маслом; этанол — хороший растворитель гидрофобных эфирных масел</x:v>
      </x:c>
      <x:c r="S628"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628" s="28" t="str">
        <x:v>Танжерин формирует профиль «цитрусовый, фруктовый, цветочный, пряный»; характерные маркеры: лимонен, гамма-терпинен, метил-N-метилантранилат, линалол. Дикая ромашка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U628" s="28" t="str">
        <x:v>Избыток кислоты делает вкус плоско-резким; белая часть кожуры даёт лишнюю горечь.</x:v>
      </x:c>
      <x:c r="V628" s="28" t="str">
        <x:v>сахарный сироп или биттер</x:v>
      </x:c>
      <x:c r="W628" s="28" t="str">
        <x:v>коктейль, спритц, настойка, ликёр или кордиал</x:v>
      </x:c>
      <x:c r="X628" s="28" t="str">
        <x:v>напитки</x:v>
      </x:c>
      <x:c r="Y628" s="28" t="str">
        <x:v>Средняя</x:v>
      </x:c>
      <x:c r="Z628" s="28" t="str">
        <x:v>The Art &amp; Science of Foodpairing.pdf</x:v>
      </x:c>
      <x:c r="AA628" s="28" t="str">
        <x:v>The Art &amp; Science of Foodpairing.pdf: 123</x:v>
      </x:c>
      <x:c r="AB628" s="28" t="str">
        <x:v>Пара представлена в ароматической диаграмме Foodpairing на странице 123.</x:v>
      </x:c>
      <x:c r="AC628" s="28" t="n">
        <x:v>1</x:v>
      </x:c>
      <x:c r="AD628" s="28" t="n">
        <x:v>1</x:v>
      </x:c>
    </x:row>
    <x:row r="629" ht="58" customHeight="1">
      <x:c r="A629" s="28" t="str">
        <x:v>CIT-0628</x:v>
      </x:c>
      <x:c r="B629" s="28" t="str">
        <x:v>Универсальные</x:v>
      </x:c>
      <x:c r="C629" s="28" t="str">
        <x:v>танжерин</x:v>
      </x:c>
      <x:c r="D629" s="28" t="str">
        <x:v>tangerine</x:v>
      </x:c>
      <x:c r="E629" s="28" t="str">
        <x:v>Цитрусовые</x:v>
      </x:c>
      <x:c r="F629" s="28" t="str">
        <x:v>зелень фенхеля</x:v>
      </x:c>
      <x:c r="G629" s="28" t="str">
        <x:v>fennel herb</x:v>
      </x:c>
      <x:c r="H629" s="28" t="str">
        <x:v>Пряности/травы</x:v>
      </x:c>
      <x:c r="I629" s="28" t="str">
        <x:v>цитрусовый, фруктовый, цветочный, пряный</x:v>
      </x:c>
      <x:c r="J629" s="28" t="str">
        <x:v>анисовый, сладко-пряный, зелёный</x:v>
      </x:c>
      <x:c r="K629" s="28" t="str">
        <x:v>лимонен, гамма-терпинен, метил-N-метилантранилат, линалол</x:v>
      </x:c>
      <x:c r="L629" s="28" t="str">
        <x:v>транс-анетол, фенхон, эстрагол</x:v>
      </x:c>
      <x:c r="M629" s="28" t="str">
        <x:v>прямое семейное перекрытие не является главным механизмом</x:v>
      </x:c>
      <x:c r="N629" s="28" t="str">
        <x:v>надёжный общий маркер не заявлен; сочетание объясняется семействами и сенсорным балансом</x:v>
      </x:c>
      <x:c r="O629" s="28" t="str">
        <x:v>вкусовой баланс, тройничное восприятие</x:v>
      </x:c>
      <x:c r="P629" s="28" t="str">
        <x:v>Основной эффект определяется ароматическим контрастом и добавлением кислотной свежести; точный баланс зависит от дозировки и матрицы.</x:v>
      </x:c>
      <x:c r="Q629" s="28" t="str">
        <x:v>нет выраженного; анетол создаёт охлаждающе-сладкое впечатление</x:v>
      </x:c>
      <x:c r="R629" s="28" t="str">
        <x:v>сок водный; кожура богата эфирным маслом; анетол гидрофобен и мутнеет при разбавлении спиртовых настоев водой</x:v>
      </x:c>
      <x:c r="S62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29" s="28" t="str">
        <x:v>Танжерин формирует профиль «цитрусовый, фруктовый, цветочный, пряный»; характерные маркеры: лимонен, гамма-терпинен, метил-N-метилантранилат, линалол. Зелень фенхеля относится к группе «пряности/травы» и даёт ноты «анисовый, сладко-пряный,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Анисовые соединения дают сильный ароматический мост с цветочными и цитрусовыми терпенами.</x:v>
      </x:c>
      <x:c r="U629" s="28" t="str">
        <x:v>Избыток кислоты делает вкус плоско-резким; белая часть кожуры даёт лишнюю горечь.</x:v>
      </x:c>
      <x:c r="V629" s="28" t="str">
        <x:v>мёд или нейтральная жировая основа</x:v>
      </x:c>
      <x:c r="W629" s="28" t="str">
        <x:v>соус, напиток или десерт после пробной дегустации</x:v>
      </x:c>
      <x:c r="X629" s="28" t="str">
        <x:v>универсальное</x:v>
      </x:c>
      <x:c r="Y629" s="28" t="str">
        <x:v>Средняя</x:v>
      </x:c>
      <x:c r="Z629" s="28" t="str">
        <x:v>The Art &amp; Science of Foodpairing.pdf</x:v>
      </x:c>
      <x:c r="AA629" s="28" t="str">
        <x:v>The Art &amp; Science of Foodpairing.pdf: 142</x:v>
      </x:c>
      <x:c r="AB629" s="28" t="str">
        <x:v>Пара представлена в ароматической диаграмме Foodpairing на странице 142.</x:v>
      </x:c>
      <x:c r="AC629" s="28" t="n">
        <x:v>1</x:v>
      </x:c>
      <x:c r="AD629" s="28" t="n">
        <x:v>1</x:v>
      </x:c>
    </x:row>
    <x:row r="630" ht="58" customHeight="1">
      <x:c r="A630" s="28" t="str">
        <x:v>CIT-0629</x:v>
      </x:c>
      <x:c r="B630" s="28" t="str">
        <x:v>Напитки</x:v>
      </x:c>
      <x:c r="C630" s="28" t="str">
        <x:v>танжерин</x:v>
      </x:c>
      <x:c r="D630" s="28" t="str">
        <x:v>tangerine</x:v>
      </x:c>
      <x:c r="E630" s="28" t="str">
        <x:v>Цитрусовые</x:v>
      </x:c>
      <x:c r="F630" s="28" t="str">
        <x:v>коньяк</x:v>
      </x:c>
      <x:c r="G630" s="28" t="str">
        <x:v>cognac</x:v>
      </x:c>
      <x:c r="H630" s="28" t="str">
        <x:v>Алкогольные напитки</x:v>
      </x:c>
      <x:c r="I630" s="28" t="str">
        <x:v>цитрусовый, фруктовый, цветочный, пряный</x:v>
      </x:c>
      <x:c r="J630" s="28" t="str">
        <x:v>зависит от основы, эфирный, древесный/пряный</x:v>
      </x:c>
      <x:c r="K630" s="28" t="str">
        <x:v>лимонен, гамма-терпинен, метил-N-метилантранилат, линалол</x:v>
      </x:c>
      <x:c r="L630" s="28" t="str">
        <x:v>этанол, эфиры, терпены/дубовые соединения</x:v>
      </x:c>
      <x:c r="M630" s="28" t="str">
        <x:v>прямое семейное перекрытие не является главным механизмом</x:v>
      </x:c>
      <x:c r="N630" s="28" t="str">
        <x:v>надёжный общий маркер не заявлен; сочетание объясняется семействами и сенсорным балансом</x:v>
      </x:c>
      <x:c r="O630" s="28" t="str">
        <x:v>вкусовой баланс, тройничное восприятие, влияние матрицы/растворимости</x:v>
      </x:c>
      <x:c r="P630" s="28" t="str">
        <x:v>Этанол усиливает летучесть терпенов и ощущение тепла; сахар и вода регулируют кислотность, горечь кожуры и спиртуозность.</x:v>
      </x:c>
      <x:c r="Q630" s="28" t="str">
        <x:v>нет выраженного; этанол усиливает тепло и летучесть аромата</x:v>
      </x:c>
      <x:c r="R630" s="28" t="str">
        <x:v>сок водный; кожура богата эфирным маслом; этанол — хороший растворитель гидрофобных эфирных масел</x:v>
      </x:c>
      <x:c r="S630"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630" s="28" t="str">
        <x:v>Танжерин формирует профиль «цитрусовый, фруктовый, цветочный, пряный»; характерные маркеры: лимонен, гамма-терпинен, метил-N-метилантранилат, линалол. Коньяк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U630" s="28" t="str">
        <x:v>Избыток кислоты делает вкус плоско-резким; белая часть кожуры даёт лишнюю горечь.</x:v>
      </x:c>
      <x:c r="V630" s="28" t="str">
        <x:v>сахарный сироп или биттер</x:v>
      </x:c>
      <x:c r="W630" s="28" t="str">
        <x:v>коктейль, спритц, настойка, ликёр или кордиал</x:v>
      </x:c>
      <x:c r="X630" s="28" t="str">
        <x:v>напитки</x:v>
      </x:c>
      <x:c r="Y630" s="28" t="str">
        <x:v>Средняя</x:v>
      </x:c>
      <x:c r="Z630" s="28" t="str">
        <x:v>The Art &amp; Science of Foodpairing.pdf</x:v>
      </x:c>
      <x:c r="AA630" s="28" t="str">
        <x:v>The Art &amp; Science of Foodpairing.pdf: 123</x:v>
      </x:c>
      <x:c r="AB630" s="28" t="str">
        <x:v>Пара представлена в ароматической диаграмме Foodpairing на странице 123.</x:v>
      </x:c>
      <x:c r="AC630" s="28" t="n">
        <x:v>1</x:v>
      </x:c>
      <x:c r="AD630" s="28" t="n">
        <x:v>1</x:v>
      </x:c>
    </x:row>
    <x:row r="631" ht="58" customHeight="1">
      <x:c r="A631" s="28" t="str">
        <x:v>CIT-0630</x:v>
      </x:c>
      <x:c r="B631" s="28" t="str">
        <x:v>Универсальные</x:v>
      </x:c>
      <x:c r="C631" s="28" t="str">
        <x:v>танжерин</x:v>
      </x:c>
      <x:c r="D631" s="28" t="str">
        <x:v>tangerine</x:v>
      </x:c>
      <x:c r="E631" s="28" t="str">
        <x:v>Цитрусовые</x:v>
      </x:c>
      <x:c r="F631" s="28" t="str">
        <x:v>лисичка</x:v>
      </x:c>
      <x:c r="G631" s="28" t="str">
        <x:v>chanterelle</x:v>
      </x:c>
      <x:c r="H631" s="28" t="str">
        <x:v>Прочее</x:v>
      </x:c>
      <x:c r="I631" s="28" t="str">
        <x:v>цитрусовый, фруктовый, цветочный, пряный</x:v>
      </x:c>
      <x:c r="J631" s="28" t="str">
        <x:v>нейтральный/специфический</x:v>
      </x:c>
      <x:c r="K631" s="28" t="str">
        <x:v>лимонен, гамма-терпинен, метил-N-метилантранилат, линалол</x:v>
      </x:c>
      <x:c r="L631" s="28" t="str">
        <x:v>нужен профиль конкретного продукта</x:v>
      </x:c>
      <x:c r="M631" s="28" t="str">
        <x:v>прямое семейное перекрытие не является главным механизмом</x:v>
      </x:c>
      <x:c r="N631" s="28" t="str">
        <x:v>надёжный общий маркер не заявлен; сочетание объясняется семействами и сенсорным балансом</x:v>
      </x:c>
      <x:c r="O631" s="28" t="str">
        <x:v>вкусовой баланс, тройничное восприятие</x:v>
      </x:c>
      <x:c r="P631" s="28" t="str">
        <x:v>Основной эффект определяется ароматическим контрастом и добавлением кислотной свежести; точный баланс зависит от дозировки и матрицы.</x:v>
      </x:c>
      <x:c r="Q631" s="28" t="str">
        <x:v>нет выраженного; нет данных</x:v>
      </x:c>
      <x:c r="R631" s="28" t="str">
        <x:v>сок водный; кожура богата эфирным маслом; зависит от формы продукта</x:v>
      </x:c>
      <x:c r="S63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31" s="28" t="str">
        <x:v>Танжерин формирует профиль «цитрусовый, фруктовый, цветочный, пряный»; характерные маркеры: лимонен, гамма-терпинен, метил-N-метилантранилат, линалол. Лисичка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31" s="28" t="str">
        <x:v>Избыток кислоты делает вкус плоско-резким; белая часть кожуры даёт лишнюю горечь.</x:v>
      </x:c>
      <x:c r="V631" s="28" t="str">
        <x:v>мёд или нейтральная жировая основа</x:v>
      </x:c>
      <x:c r="W631" s="28" t="str">
        <x:v>соус, напиток или десерт после пробной дегустации</x:v>
      </x:c>
      <x:c r="X631" s="28" t="str">
        <x:v>универсальное</x:v>
      </x:c>
      <x:c r="Y631" s="28" t="str">
        <x:v>Средняя</x:v>
      </x:c>
      <x:c r="Z631" s="28" t="str">
        <x:v>The Art &amp; Science of Foodpairing.pdf</x:v>
      </x:c>
      <x:c r="AA631" s="28" t="str">
        <x:v>The Art &amp; Science of Foodpairing.pdf: 123, 328</x:v>
      </x:c>
      <x:c r="AB631" s="28" t="str">
        <x:v>Пара представлена в ароматической диаграмме Foodpairing на странице 123.</x:v>
      </x:c>
      <x:c r="AC631" s="28" t="n">
        <x:v>1</x:v>
      </x:c>
      <x:c r="AD631" s="28" t="n">
        <x:v>2</x:v>
      </x:c>
    </x:row>
    <x:row r="632" ht="58" customHeight="1">
      <x:c r="A632" s="28" t="str">
        <x:v>CIT-0631</x:v>
      </x:c>
      <x:c r="B632" s="28" t="str">
        <x:v>Десерты и выпечка</x:v>
      </x:c>
      <x:c r="C632" s="28" t="str">
        <x:v>танжерин</x:v>
      </x:c>
      <x:c r="D632" s="28" t="str">
        <x:v>tangerine</x:v>
      </x:c>
      <x:c r="E632" s="28" t="str">
        <x:v>Цитрусовые</x:v>
      </x:c>
      <x:c r="F632" s="28" t="str">
        <x:v>лонган</x:v>
      </x:c>
      <x:c r="G632" s="28" t="str">
        <x:v>longan fruit</x:v>
      </x:c>
      <x:c r="H632" s="28" t="str">
        <x:v>Тропические фрукты</x:v>
      </x:c>
      <x:c r="I632" s="28" t="str">
        <x:v>цитрусовый, фруктовый, цветочный, пряный</x:v>
      </x:c>
      <x:c r="J632" s="28" t="str">
        <x:v>фруктовый, тропический, цветочный, сливочный</x:v>
      </x:c>
      <x:c r="K632" s="28" t="str">
        <x:v>лимонен, гамма-терпинен, метил-N-метилантранилат, линалол</x:v>
      </x:c>
      <x:c r="L632" s="28" t="str">
        <x:v>этилбутират, гексилацетат, лактоны, сернистые тиолы (у части фруктов)</x:v>
      </x:c>
      <x:c r="M632" s="28" t="str">
        <x:v>фруктовый, цветочный</x:v>
      </x:c>
      <x:c r="N632" s="28" t="str">
        <x:v>надёжный общий маркер не заявлен; сочетание объясняется семействами и сенсорным балансом</x:v>
      </x:c>
      <x:c r="O632" s="28" t="str">
        <x:v>перекрытие ароматических семейств, вкусовой баланс</x:v>
      </x:c>
      <x:c r="P632" s="28" t="str">
        <x:v>Общая фруктовая сладость и летучие эфиры создают непрерывный ароматический профиль, а цитрусовая кислота повышает контраст и свежесть.</x:v>
      </x:c>
      <x:c r="Q632" s="28" t="str">
        <x:v>нет выраженного; нет выраженного</x:v>
      </x:c>
      <x:c r="R632" s="28" t="str">
        <x:v>сок водный; кожура богата эфирным маслом; сочная или кремовая фруктовая матрица</x:v>
      </x:c>
      <x:c r="S63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32" s="28" t="str">
        <x:v>Танжерин формирует профиль «цитрусовый, фруктовый, цветочный, пряный»; характерные маркеры: лимонен, гамма-терпинен, метил-N-метилантранилат, линалол. Лонган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U632" s="28" t="str">
        <x:v>Избыток кислоты делает вкус плоско-резким; белая часть кожуры даёт лишнюю горечь.</x:v>
      </x:c>
      <x:c r="V632" s="28" t="str">
        <x:v>кокос или имбирь</x:v>
      </x:c>
      <x:c r="W632" s="28" t="str">
        <x:v>смузи, кордиал, сорбет, чатни или коктейль</x:v>
      </x:c>
      <x:c r="X632" s="28" t="str">
        <x:v>напитки, десерты</x:v>
      </x:c>
      <x:c r="Y632" s="28" t="str">
        <x:v>Средняя</x:v>
      </x:c>
      <x:c r="Z632" s="28" t="str">
        <x:v>The Art &amp; Science of Foodpairing.pdf</x:v>
      </x:c>
      <x:c r="AA632" s="28" t="str">
        <x:v>The Art &amp; Science of Foodpairing.pdf: 74</x:v>
      </x:c>
      <x:c r="AB632" s="28" t="str">
        <x:v>Пара представлена в ароматической диаграмме Foodpairing на странице 74.</x:v>
      </x:c>
      <x:c r="AC632" s="28" t="n">
        <x:v>1</x:v>
      </x:c>
      <x:c r="AD632" s="28" t="n">
        <x:v>1</x:v>
      </x:c>
    </x:row>
    <x:row r="633" ht="58" customHeight="1">
      <x:c r="A633" s="28" t="str">
        <x:v>CIT-0632</x:v>
      </x:c>
      <x:c r="B633" s="28" t="str">
        <x:v>Еда и соусы</x:v>
      </x:c>
      <x:c r="C633" s="28" t="str">
        <x:v>танжерин</x:v>
      </x:c>
      <x:c r="D633" s="28" t="str">
        <x:v>tangerine</x:v>
      </x:c>
      <x:c r="E633" s="28" t="str">
        <x:v>Цитрусовые</x:v>
      </x:c>
      <x:c r="F633" s="28" t="str">
        <x:v>лук-порей на пару</x:v>
      </x:c>
      <x:c r="G633" s="28" t="str">
        <x:v>steamed leek</x:v>
      </x:c>
      <x:c r="H633" s="28" t="str">
        <x:v>Овощи</x:v>
      </x:c>
      <x:c r="I633" s="28" t="str">
        <x:v>цитрусовый, фруктовый, цветочный, пряный</x:v>
      </x:c>
      <x:c r="J633" s="28" t="str">
        <x:v>зелёный, землистый, растительный, иногда сернистый</x:v>
      </x:c>
      <x:c r="K633" s="28" t="str">
        <x:v>лимонен, гамма-терпинен, метил-N-метилантранилат, линалол</x:v>
      </x:c>
      <x:c r="L633" s="28" t="str">
        <x:v>C6-альдегиды, метоксипиразины, геосмин (землистые), сернистые соединения</x:v>
      </x:c>
      <x:c r="M633" s="28" t="str">
        <x:v>прямое семейное перекрытие не является главным механизмом</x:v>
      </x:c>
      <x:c r="N633" s="28" t="str">
        <x:v>надёжный общий маркер не заявлен; сочетание объясняется семействами и сенсорным балансом</x:v>
      </x:c>
      <x:c r="O633" s="28" t="str">
        <x:v>вкусовой баланс</x:v>
      </x:c>
      <x:c r="P633" s="28" t="str">
        <x:v>Кислота подчёркивает природную сладость овоща, сокращает землистое/сернистое послевкусие и повышает слюноотделение.</x:v>
      </x:c>
      <x:c r="Q633" s="28" t="str">
        <x:v>нет выраженного; нет выраженного</x:v>
      </x:c>
      <x:c r="R633" s="28" t="str">
        <x:v>сок водный; кожура богата эфирным маслом; водная/крахмальная матрица; масло помогает распределить цедру</x:v>
      </x:c>
      <x:c r="S63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33" s="28" t="str">
        <x:v>Танжерин формирует профиль «цитрусовый, фруктовый, цветочный, пряный»; характерные маркеры: лимонен, гамма-терпинен, метил-N-метилантранилат, линалол. Лук-порей на пару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U633" s="28" t="str">
        <x:v>Избыток кислоты делает вкус плоско-резким; белая часть кожуры даёт лишнюю горечь.</x:v>
      </x:c>
      <x:c r="V633" s="28" t="str">
        <x:v>оливковое масло или базилик</x:v>
      </x:c>
      <x:c r="W633" s="28" t="str">
        <x:v>винегрет, салат, пюре, запечённое блюдо или овощной соус</x:v>
      </x:c>
      <x:c r="X633" s="28" t="str">
        <x:v>еда, соусы/маринады</x:v>
      </x:c>
      <x:c r="Y633" s="28" t="str">
        <x:v>Средняя</x:v>
      </x:c>
      <x:c r="Z633" s="28" t="str">
        <x:v>The Art &amp; Science of Foodpairing.pdf</x:v>
      </x:c>
      <x:c r="AA633" s="28" t="str">
        <x:v>The Art &amp; Science of Foodpairing.pdf: 123</x:v>
      </x:c>
      <x:c r="AB633" s="28" t="str">
        <x:v>Пара представлена в ароматической диаграмме Foodpairing на странице 123.</x:v>
      </x:c>
      <x:c r="AC633" s="28" t="n">
        <x:v>1</x:v>
      </x:c>
      <x:c r="AD633" s="28" t="n">
        <x:v>1</x:v>
      </x:c>
    </x:row>
    <x:row r="634" ht="58" customHeight="1">
      <x:c r="A634" s="28" t="str">
        <x:v>CIT-0633</x:v>
      </x:c>
      <x:c r="B634" s="28" t="str">
        <x:v>Напитки</x:v>
      </x:c>
      <x:c r="C634" s="28" t="str">
        <x:v>танжерин</x:v>
      </x:c>
      <x:c r="D634" s="28" t="str">
        <x:v>tangerine</x:v>
      </x:c>
      <x:c r="E634" s="28" t="str">
        <x:v>Цитрусовые</x:v>
      </x:c>
      <x:c r="F634" s="28" t="str">
        <x:v>мадера Боал 10 лет</x:v>
      </x:c>
      <x:c r="G634" s="28" t="str">
        <x:v>Boal Madeira 10yearsold</x:v>
      </x:c>
      <x:c r="H634" s="28" t="str">
        <x:v>Алкогольные напитки</x:v>
      </x:c>
      <x:c r="I634" s="28" t="str">
        <x:v>цитрусовый, фруктовый, цветочный, пряный</x:v>
      </x:c>
      <x:c r="J634" s="28" t="str">
        <x:v>зависит от основы, эфирный, древесный/пряный</x:v>
      </x:c>
      <x:c r="K634" s="28" t="str">
        <x:v>лимонен, гамма-терпинен, метил-N-метилантранилат, линалол</x:v>
      </x:c>
      <x:c r="L634" s="28" t="str">
        <x:v>этанол, эфиры, терпены/дубовые соединения</x:v>
      </x:c>
      <x:c r="M634" s="28" t="str">
        <x:v>прямое семейное перекрытие не является главным механизмом</x:v>
      </x:c>
      <x:c r="N634" s="28" t="str">
        <x:v>надёжный общий маркер не заявлен; сочетание объясняется семействами и сенсорным балансом</x:v>
      </x:c>
      <x:c r="O634" s="28" t="str">
        <x:v>вкусовой баланс, тройничное восприятие, влияние матрицы/растворимости</x:v>
      </x:c>
      <x:c r="P634" s="28" t="str">
        <x:v>Этанол усиливает летучесть терпенов и ощущение тепла; сахар и вода регулируют кислотность, горечь кожуры и спиртуозность.</x:v>
      </x:c>
      <x:c r="Q634" s="28" t="str">
        <x:v>нет выраженного; этанол усиливает тепло и летучесть аромата</x:v>
      </x:c>
      <x:c r="R634" s="28" t="str">
        <x:v>сок водный; кожура богата эфирным маслом; этанол — хороший растворитель гидрофобных эфирных масел</x:v>
      </x:c>
      <x:c r="S634"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634" s="28" t="str">
        <x:v>Танжерин формирует профиль «цитрусовый, фруктовый, цветочный, пряный»; характерные маркеры: лимонен, гамма-терпинен, метил-N-метилантранилат, линалол. Мадера боал 10 лет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U634" s="28" t="str">
        <x:v>Избыток кислоты делает вкус плоско-резким; белая часть кожуры даёт лишнюю горечь.</x:v>
      </x:c>
      <x:c r="V634" s="28" t="str">
        <x:v>сахарный сироп или биттер</x:v>
      </x:c>
      <x:c r="W634" s="28" t="str">
        <x:v>коктейль, спритц, настойка, ликёр или кордиал</x:v>
      </x:c>
      <x:c r="X634" s="28" t="str">
        <x:v>напитки</x:v>
      </x:c>
      <x:c r="Y634" s="28" t="str">
        <x:v>Средняя</x:v>
      </x:c>
      <x:c r="Z634" s="28" t="str">
        <x:v>The Art &amp; Science of Foodpairing.pdf</x:v>
      </x:c>
      <x:c r="AA634" s="28" t="str">
        <x:v>The Art &amp; Science of Foodpairing.pdf: 347</x:v>
      </x:c>
      <x:c r="AB634" s="28" t="str">
        <x:v>Пара представлена в ароматической диаграмме Foodpairing на странице 347.</x:v>
      </x:c>
      <x:c r="AC634" s="28" t="n">
        <x:v>1</x:v>
      </x:c>
      <x:c r="AD634" s="28" t="n">
        <x:v>1</x:v>
      </x:c>
    </x:row>
    <x:row r="635" ht="58" customHeight="1">
      <x:c r="A635" s="28" t="str">
        <x:v>CIT-0634</x:v>
      </x:c>
      <x:c r="B635" s="28" t="str">
        <x:v>Десерты и выпечка</x:v>
      </x:c>
      <x:c r="C635" s="28" t="str">
        <x:v>танжерин</x:v>
      </x:c>
      <x:c r="D635" s="28" t="str">
        <x:v>tangerine</x:v>
      </x:c>
      <x:c r="E635" s="28" t="str">
        <x:v>Цитрусовые</x:v>
      </x:c>
      <x:c r="F635" s="28" t="str">
        <x:v>молодой чеддер</x:v>
      </x:c>
      <x:c r="G635" s="28" t="str">
        <x:v>mild Cheddar</x:v>
      </x:c>
      <x:c r="H635" s="28" t="str">
        <x:v>Молочные продукты</x:v>
      </x:c>
      <x:c r="I635" s="28" t="str">
        <x:v>цитрусовый, фруктовый, цветочный, пряный</x:v>
      </x:c>
      <x:c r="J635" s="28" t="str">
        <x:v>сливочный, молочный, масляный, иногда животный</x:v>
      </x:c>
      <x:c r="K635" s="28" t="str">
        <x:v>лимонен, гамма-терпинен, метил-N-метилантранилат, линалол</x:v>
      </x:c>
      <x:c r="L635" s="28" t="str">
        <x:v>диацетил, молочные лактоны, свободные жирные кислоты</x:v>
      </x:c>
      <x:c r="M635" s="28" t="str">
        <x:v>прямое семейное перекрытие не является главным механизмом</x:v>
      </x:c>
      <x:c r="N635" s="28" t="str">
        <x:v>надёжный общий маркер не заявлен; сочетание объясняется семействами и сенсорным балансом</x:v>
      </x:c>
      <x:c r="O635" s="28" t="str">
        <x:v>вкусовой баланс, влияние матрицы/растворимости</x:v>
      </x:c>
      <x:c r="P635" s="28" t="str">
        <x:v>Кислотность и лёгкая горечь цитруса снижают ощущение жирности; соль и умами, в свою очередь, делают фруктовую часть менее резкой.</x:v>
      </x:c>
      <x:c r="Q635" s="28" t="str">
        <x:v>нет выраженного; нет выраженного</x:v>
      </x:c>
      <x:c r="R635" s="28" t="str">
        <x:v>сок водный; кожура богата эфирным маслом; жир растворяет терпены; кислота цитруса может коагулировать молочный белок</x:v>
      </x:c>
      <x:c r="S635"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T635" s="28" t="str">
        <x:v>Танжерин формирует профиль «цитрусовый, фруктовый, цветочный, пряный»; характерные маркеры: лимонен, гамма-терпинен, метил-N-метилантранилат, линалол. Молодой чеддер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режет жирность и освежает, а молочная матрица смягчает кислотность.</x:v>
      </x:c>
      <x:c r="U635" s="28" t="str">
        <x:v>Избыток кислоты делает вкус плоско-резким; белая часть кожуры даёт лишнюю горечь; возможна коагуляция белка.</x:v>
      </x:c>
      <x:c r="V635" s="28" t="str">
        <x:v>мёд или ваниль</x:v>
      </x:c>
      <x:c r="W635" s="28" t="str">
        <x:v>чизкейк, крем, мороженое, соус или салат</x:v>
      </x:c>
      <x:c r="X635" s="28" t="str">
        <x:v>десерты, еда</x:v>
      </x:c>
      <x:c r="Y635" s="28" t="str">
        <x:v>Средняя</x:v>
      </x:c>
      <x:c r="Z635" s="28" t="str">
        <x:v>The Art &amp; Science of Foodpairing.pdf</x:v>
      </x:c>
      <x:c r="AA635" s="28" t="str">
        <x:v>The Art &amp; Science of Foodpairing.pdf: 52</x:v>
      </x:c>
      <x:c r="AB635" s="28" t="str">
        <x:v>Пара представлена в ароматической диаграмме Foodpairing на странице 52.</x:v>
      </x:c>
      <x:c r="AC635" s="28" t="n">
        <x:v>1</x:v>
      </x:c>
      <x:c r="AD635" s="28" t="n">
        <x:v>1</x:v>
      </x:c>
    </x:row>
    <x:row r="636" ht="58" customHeight="1">
      <x:c r="A636" s="28" t="str">
        <x:v>CIT-0635</x:v>
      </x:c>
      <x:c r="B636" s="28" t="str">
        <x:v>Универсальные</x:v>
      </x:c>
      <x:c r="C636" s="28" t="str">
        <x:v>танжерин</x:v>
      </x:c>
      <x:c r="D636" s="28" t="str">
        <x:v>tangerine</x:v>
      </x:c>
      <x:c r="E636" s="28" t="str">
        <x:v>Цитрусовые</x:v>
      </x:c>
      <x:c r="F636" s="28" t="str">
        <x:v>обжаренные семечки подсолнечника</x:v>
      </x:c>
      <x:c r="G636" s="28" t="str">
        <x:v>roasted sunflower seeds</x:v>
      </x:c>
      <x:c r="H636" s="28" t="str">
        <x:v>Прочее</x:v>
      </x:c>
      <x:c r="I636" s="28" t="str">
        <x:v>цитрусовый, фруктовый, цветочный, пряный</x:v>
      </x:c>
      <x:c r="J636" s="28" t="str">
        <x:v>нейтральный/специфический</x:v>
      </x:c>
      <x:c r="K636" s="28" t="str">
        <x:v>лимонен, гамма-терпинен, метил-N-метилантранилат, линалол</x:v>
      </x:c>
      <x:c r="L636" s="28" t="str">
        <x:v>нужен профиль конкретного продукта</x:v>
      </x:c>
      <x:c r="M636" s="28" t="str">
        <x:v>прямое семейное перекрытие не является главным механизмом</x:v>
      </x:c>
      <x:c r="N636" s="28" t="str">
        <x:v>надёжный общий маркер не заявлен; сочетание объясняется семействами и сенсорным балансом</x:v>
      </x:c>
      <x:c r="O636" s="28" t="str">
        <x:v>вкусовой баланс, тройничное восприятие</x:v>
      </x:c>
      <x:c r="P636" s="28" t="str">
        <x:v>Основной эффект определяется ароматическим контрастом и добавлением кислотной свежести; точный баланс зависит от дозировки и матрицы.</x:v>
      </x:c>
      <x:c r="Q636" s="28" t="str">
        <x:v>нет выраженного; нет данных</x:v>
      </x:c>
      <x:c r="R636" s="28" t="str">
        <x:v>сок водный; кожура богата эфирным маслом; зависит от формы продукта</x:v>
      </x:c>
      <x:c r="S63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36" s="28" t="str">
        <x:v>Танжерин формирует профиль «цитрусовый, фруктовый, цветочный, пряный»; характерные маркеры: лимонен, гамма-терпинен, метил-N-метилантранилат, линалол. Обжаренные семечки подсолнечника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36" s="28" t="str">
        <x:v>Избыток кислоты делает вкус плоско-резким; белая часть кожуры даёт лишнюю горечь.</x:v>
      </x:c>
      <x:c r="V636" s="28" t="str">
        <x:v>мёд или нейтральная жировая основа</x:v>
      </x:c>
      <x:c r="W636" s="28" t="str">
        <x:v>соус, напиток или десерт после пробной дегустации</x:v>
      </x:c>
      <x:c r="X636" s="28" t="str">
        <x:v>универсальное</x:v>
      </x:c>
      <x:c r="Y636" s="28" t="str">
        <x:v>Средняя</x:v>
      </x:c>
      <x:c r="Z636" s="28" t="str">
        <x:v>The Art &amp; Science of Foodpairing.pdf</x:v>
      </x:c>
      <x:c r="AA636" s="28" t="str">
        <x:v>The Art &amp; Science of Foodpairing.pdf: 123</x:v>
      </x:c>
      <x:c r="AB636" s="28" t="str">
        <x:v>Пара представлена в ароматической диаграмме Foodpairing на странице 123.</x:v>
      </x:c>
      <x:c r="AC636" s="28" t="n">
        <x:v>1</x:v>
      </x:c>
      <x:c r="AD636" s="28" t="n">
        <x:v>1</x:v>
      </x:c>
    </x:row>
    <x:row r="637" ht="58" customHeight="1">
      <x:c r="A637" s="28" t="str">
        <x:v>CIT-0636</x:v>
      </x:c>
      <x:c r="B637" s="28" t="str">
        <x:v>Универсальные</x:v>
      </x:c>
      <x:c r="C637" s="28" t="str">
        <x:v>танжерин</x:v>
      </x:c>
      <x:c r="D637" s="28" t="str">
        <x:v>tangerine</x:v>
      </x:c>
      <x:c r="E637" s="28" t="str">
        <x:v>Цитрусовые</x:v>
      </x:c>
      <x:c r="F637" s="28" t="str">
        <x:v>отварной топинамбур</x:v>
      </x:c>
      <x:c r="G637" s="28" t="str">
        <x:v>boiled Jerusalem artichoke</x:v>
      </x:c>
      <x:c r="H637" s="28" t="str">
        <x:v>Прочее</x:v>
      </x:c>
      <x:c r="I637" s="28" t="str">
        <x:v>цитрусовый, фруктовый, цветочный, пряный</x:v>
      </x:c>
      <x:c r="J637" s="28" t="str">
        <x:v>нейтральный/специфический</x:v>
      </x:c>
      <x:c r="K637" s="28" t="str">
        <x:v>лимонен, гамма-терпинен, метил-N-метилантранилат, линалол</x:v>
      </x:c>
      <x:c r="L637" s="28" t="str">
        <x:v>нужен профиль конкретного продукта</x:v>
      </x:c>
      <x:c r="M637" s="28" t="str">
        <x:v>прямое семейное перекрытие не является главным механизмом</x:v>
      </x:c>
      <x:c r="N637" s="28" t="str">
        <x:v>надёжный общий маркер не заявлен; сочетание объясняется семействами и сенсорным балансом</x:v>
      </x:c>
      <x:c r="O637" s="28" t="str">
        <x:v>вкусовой баланс, тройничное восприятие</x:v>
      </x:c>
      <x:c r="P637" s="28" t="str">
        <x:v>Основной эффект определяется ароматическим контрастом и добавлением кислотной свежести; точный баланс зависит от дозировки и матрицы.</x:v>
      </x:c>
      <x:c r="Q637" s="28" t="str">
        <x:v>нет выраженного; нет данных</x:v>
      </x:c>
      <x:c r="R637" s="28" t="str">
        <x:v>сок водный; кожура богата эфирным маслом; зависит от формы продукта</x:v>
      </x:c>
      <x:c r="S63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37" s="28" t="str">
        <x:v>Танжерин формирует профиль «цитрусовый, фруктовый, цветочный, пряный»; характерные маркеры: лимонен, гамма-терпинен, метил-N-метилантранилат, линалол. Отварной топинамбур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37" s="28" t="str">
        <x:v>Избыток кислоты делает вкус плоско-резким; белая часть кожуры даёт лишнюю горечь.</x:v>
      </x:c>
      <x:c r="V637" s="28" t="str">
        <x:v>мёд или нейтральная жировая основа</x:v>
      </x:c>
      <x:c r="W637" s="28" t="str">
        <x:v>соус, напиток или десерт после пробной дегустации</x:v>
      </x:c>
      <x:c r="X637" s="28" t="str">
        <x:v>универсальное</x:v>
      </x:c>
      <x:c r="Y637" s="28" t="str">
        <x:v>Средняя</x:v>
      </x:c>
      <x:c r="Z637" s="28" t="str">
        <x:v>The Art &amp; Science of Foodpairing.pdf</x:v>
      </x:c>
      <x:c r="AA637" s="28" t="str">
        <x:v>The Art &amp; Science of Foodpairing.pdf: 123, 256</x:v>
      </x:c>
      <x:c r="AB637" s="28" t="str">
        <x:v>Пара представлена в ароматической диаграмме Foodpairing на странице 123.</x:v>
      </x:c>
      <x:c r="AC637" s="28" t="n">
        <x:v>1</x:v>
      </x:c>
      <x:c r="AD637" s="28" t="n">
        <x:v>2</x:v>
      </x:c>
    </x:row>
    <x:row r="638" ht="58" customHeight="1">
      <x:c r="A638" s="28" t="str">
        <x:v>CIT-0637</x:v>
      </x:c>
      <x:c r="B638" s="28" t="str">
        <x:v>Напитки</x:v>
      </x:c>
      <x:c r="C638" s="28" t="str">
        <x:v>танжерин</x:v>
      </x:c>
      <x:c r="D638" s="28" t="str">
        <x:v>tangerine</x:v>
      </x:c>
      <x:c r="E638" s="28" t="str">
        <x:v>Цитрусовые</x:v>
      </x:c>
      <x:c r="F638" s="28" t="str">
        <x:v>отварной чайот</x:v>
      </x:c>
      <x:c r="G638" s="28" t="str">
        <x:v>boiled chayote squash</x:v>
      </x:c>
      <x:c r="H638" s="28" t="str">
        <x:v>Чай и настои</x:v>
      </x:c>
      <x:c r="I638" s="28" t="str">
        <x:v>цитрусовый, фруктовый, цветочный, пряный</x:v>
      </x:c>
      <x:c r="J638" s="28" t="str">
        <x:v>травяной, цветочный, танинный, иногда обжаренный</x:v>
      </x:c>
      <x:c r="K638" s="28" t="str">
        <x:v>лимонен, гамма-терпинен, метил-N-метилантранилат, линалол</x:v>
      </x:c>
      <x:c r="L638" s="28" t="str">
        <x:v>линалол, гераниол, иононы, катехины</x:v>
      </x:c>
      <x:c r="M638" s="28" t="str">
        <x:v>цветочный</x:v>
      </x:c>
      <x:c r="N638" s="28" t="str">
        <x:v>линалол</x:v>
      </x:c>
      <x:c r="O638" s="28" t="str">
        <x:v>общие ароматические молекулы, перекрытие ароматических семейств, вкусовой баланс</x:v>
      </x:c>
      <x:c r="P638" s="28" t="str">
        <x:v>Цитрус добавляет верхние ароматические ноты; сахар может смягчить совместную кислотность и танинную вяжущесть.</x:v>
      </x:c>
      <x:c r="Q638" s="28" t="str">
        <x:v>нет выраженного; нет выраженного</x:v>
      </x:c>
      <x:c r="R638" s="28" t="str">
        <x:v>сок водный; кожура богата эфирным маслом; вода извлекает полифенолы; эфирные масла лучше добавлять после заваривания</x:v>
      </x:c>
      <x:c r="S63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38" s="28" t="str">
        <x:v>Танжерин формирует профиль «цитрусовый, фруктовый, цветочный, пряный»; характерные маркеры: лимонен, гамма-терпинен, метил-N-метилантранилат, линалол. Отварной чайот относится к группе «чай и настои» и даёт ноты «травяной, цветочный, танинный, иногда обжаренный». Наиболее правдоподобный молекулярный мост — линалол; дополнительно совпадают ароматические семейства: цветочный. Цитрус добавляет верхние ароматические ноты; сахар может смягчить совместную кислотность и танинную вяжущесть. Мандариновая группа мягче по кислотности и выраженнее по сладко-цветочным нотам. Цитрус связывается с цветочными терпенами чая и снижает ощущение вяжущей сухости при наличии сахара.</x:v>
      </x:c>
      <x:c r="U638" s="28" t="str">
        <x:v>Избыток кислоты делает вкус плоско-резким; белая часть кожуры даёт лишнюю горечь.</x:v>
      </x:c>
      <x:c r="V638" s="28" t="str">
        <x:v>мёд или цветы</x:v>
      </x:c>
      <x:c r="W638" s="28" t="str">
        <x:v>чайный кордиал, холодный чай, пунш или безалкогольный напиток</x:v>
      </x:c>
      <x:c r="X638" s="28" t="str">
        <x:v>напитки</x:v>
      </x:c>
      <x:c r="Y638" s="28" t="str">
        <x:v>Средняя</x:v>
      </x:c>
      <x:c r="Z638" s="28" t="str">
        <x:v>The Art &amp; Science of Foodpairing.pdf</x:v>
      </x:c>
      <x:c r="AA638" s="28" t="str">
        <x:v>The Art &amp; Science of Foodpairing.pdf: 123</x:v>
      </x:c>
      <x:c r="AB638" s="28" t="str">
        <x:v>Пара представлена в ароматической диаграмме Foodpairing на странице 123.</x:v>
      </x:c>
      <x:c r="AC638" s="28" t="n">
        <x:v>1</x:v>
      </x:c>
      <x:c r="AD638" s="28" t="n">
        <x:v>1</x:v>
      </x:c>
    </x:row>
    <x:row r="639" ht="58" customHeight="1">
      <x:c r="A639" s="28" t="str">
        <x:v>CIT-0638</x:v>
      </x:c>
      <x:c r="B639" s="28" t="str">
        <x:v>Универсальные</x:v>
      </x:c>
      <x:c r="C639" s="28" t="str">
        <x:v>танжерин</x:v>
      </x:c>
      <x:c r="D639" s="28" t="str">
        <x:v>tangerine</x:v>
      </x:c>
      <x:c r="E639" s="28" t="str">
        <x:v>Цитрусовые</x:v>
      </x:c>
      <x:c r="F639" s="28" t="str">
        <x:v>плумкот</x:v>
      </x:c>
      <x:c r="G639" s="28" t="str">
        <x:v>plumcot</x:v>
      </x:c>
      <x:c r="H639" s="28" t="str">
        <x:v>Прочее</x:v>
      </x:c>
      <x:c r="I639" s="28" t="str">
        <x:v>цитрусовый, фруктовый, цветочный, пряный</x:v>
      </x:c>
      <x:c r="J639" s="28" t="str">
        <x:v>нейтральный/специфический</x:v>
      </x:c>
      <x:c r="K639" s="28" t="str">
        <x:v>лимонен, гамма-терпинен, метил-N-метилантранилат, линалол</x:v>
      </x:c>
      <x:c r="L639" s="28" t="str">
        <x:v>нужен профиль конкретного продукта</x:v>
      </x:c>
      <x:c r="M639" s="28" t="str">
        <x:v>прямое семейное перекрытие не является главным механизмом</x:v>
      </x:c>
      <x:c r="N639" s="28" t="str">
        <x:v>надёжный общий маркер не заявлен; сочетание объясняется семействами и сенсорным балансом</x:v>
      </x:c>
      <x:c r="O639" s="28" t="str">
        <x:v>вкусовой баланс, тройничное восприятие</x:v>
      </x:c>
      <x:c r="P639" s="28" t="str">
        <x:v>Основной эффект определяется ароматическим контрастом и добавлением кислотной свежести; точный баланс зависит от дозировки и матрицы.</x:v>
      </x:c>
      <x:c r="Q639" s="28" t="str">
        <x:v>нет выраженного; нет данных</x:v>
      </x:c>
      <x:c r="R639" s="28" t="str">
        <x:v>сок водный; кожура богата эфирным маслом; зависит от формы продукта</x:v>
      </x:c>
      <x:c r="S63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39" s="28" t="str">
        <x:v>Танжерин формирует профиль «цитрусовый, фруктовый, цветочный, пряный»; характерные маркеры: лимонен, гамма-терпинен, метил-N-метилантранилат, линалол. Плумкот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39" s="28" t="str">
        <x:v>Избыток кислоты делает вкус плоско-резким; белая часть кожуры даёт лишнюю горечь.</x:v>
      </x:c>
      <x:c r="V639" s="28" t="str">
        <x:v>мёд или нейтральная жировая основа</x:v>
      </x:c>
      <x:c r="W639" s="28" t="str">
        <x:v>соус, напиток или десерт после пробной дегустации</x:v>
      </x:c>
      <x:c r="X639" s="28" t="str">
        <x:v>универсальное</x:v>
      </x:c>
      <x:c r="Y639" s="28" t="str">
        <x:v>Средняя</x:v>
      </x:c>
      <x:c r="Z639" s="28" t="str">
        <x:v>The Art &amp; Science of Foodpairing.pdf</x:v>
      </x:c>
      <x:c r="AA639" s="28" t="str">
        <x:v>The Art &amp; Science of Foodpairing.pdf: 274</x:v>
      </x:c>
      <x:c r="AB639" s="28" t="str">
        <x:v>Пара представлена в ароматической диаграмме Foodpairing на странице 274.</x:v>
      </x:c>
      <x:c r="AC639" s="28" t="n">
        <x:v>1</x:v>
      </x:c>
      <x:c r="AD639" s="28" t="n">
        <x:v>1</x:v>
      </x:c>
    </x:row>
    <x:row r="640" ht="58" customHeight="1">
      <x:c r="A640" s="28" t="str">
        <x:v>CIT-0639</x:v>
      </x:c>
      <x:c r="B640" s="28" t="str">
        <x:v>Универсальные</x:v>
      </x:c>
      <x:c r="C640" s="28" t="str">
        <x:v>танжерин</x:v>
      </x:c>
      <x:c r="D640" s="28" t="str">
        <x:v>tangerine</x:v>
      </x:c>
      <x:c r="E640" s="28" t="str">
        <x:v>Цитрусовые</x:v>
      </x:c>
      <x:c r="F640" s="28" t="str">
        <x:v>пшеничные крутоны</x:v>
      </x:c>
      <x:c r="G640" s="28" t="str">
        <x:v>wheat bread croutons</x:v>
      </x:c>
      <x:c r="H640" s="28" t="str">
        <x:v>Прочее</x:v>
      </x:c>
      <x:c r="I640" s="28" t="str">
        <x:v>цитрусовый, фруктовый, цветочный, пряный</x:v>
      </x:c>
      <x:c r="J640" s="28" t="str">
        <x:v>нейтральный/специфический</x:v>
      </x:c>
      <x:c r="K640" s="28" t="str">
        <x:v>лимонен, гамма-терпинен, метил-N-метилантранилат, линалол</x:v>
      </x:c>
      <x:c r="L640" s="28" t="str">
        <x:v>нужен профиль конкретного продукта</x:v>
      </x:c>
      <x:c r="M640" s="28" t="str">
        <x:v>прямое семейное перекрытие не является главным механизмом</x:v>
      </x:c>
      <x:c r="N640" s="28" t="str">
        <x:v>надёжный общий маркер не заявлен; сочетание объясняется семействами и сенсорным балансом</x:v>
      </x:c>
      <x:c r="O640" s="28" t="str">
        <x:v>вкусовой баланс, тройничное восприятие</x:v>
      </x:c>
      <x:c r="P640" s="28" t="str">
        <x:v>Основной эффект определяется ароматическим контрастом и добавлением кислотной свежести; точный баланс зависит от дозировки и матрицы.</x:v>
      </x:c>
      <x:c r="Q640" s="28" t="str">
        <x:v>нет выраженного; нет данных</x:v>
      </x:c>
      <x:c r="R640" s="28" t="str">
        <x:v>сок водный; кожура богата эфирным маслом; зависит от формы продукта</x:v>
      </x:c>
      <x:c r="S64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40" s="28" t="str">
        <x:v>Танжерин формирует профиль «цитрусовый, фруктовый, цветочный, пряный»; характерные маркеры: лимонен, гамма-терпинен, метил-N-метилантранилат, линалол. Пшеничные крутоны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40" s="28" t="str">
        <x:v>Избыток кислоты делает вкус плоско-резким; белая часть кожуры даёт лишнюю горечь.</x:v>
      </x:c>
      <x:c r="V640" s="28" t="str">
        <x:v>мёд или нейтральная жировая основа</x:v>
      </x:c>
      <x:c r="W640" s="28" t="str">
        <x:v>соус, напиток или десерт после пробной дегустации</x:v>
      </x:c>
      <x:c r="X640" s="28" t="str">
        <x:v>универсальное</x:v>
      </x:c>
      <x:c r="Y640" s="28" t="str">
        <x:v>Средняя</x:v>
      </x:c>
      <x:c r="Z640" s="28" t="str">
        <x:v>The Art &amp; Science of Foodpairing.pdf</x:v>
      </x:c>
      <x:c r="AA640" s="28" t="str">
        <x:v>The Art &amp; Science of Foodpairing.pdf: 316</x:v>
      </x:c>
      <x:c r="AB640" s="28" t="str">
        <x:v>Пара представлена в ароматической диаграмме Foodpairing на странице 316.</x:v>
      </x:c>
      <x:c r="AC640" s="28" t="n">
        <x:v>1</x:v>
      </x:c>
      <x:c r="AD640" s="28" t="n">
        <x:v>1</x:v>
      </x:c>
    </x:row>
    <x:row r="641" ht="58" customHeight="1">
      <x:c r="A641" s="28" t="str">
        <x:v>CIT-0640</x:v>
      </x:c>
      <x:c r="B641" s="28" t="str">
        <x:v>Десерты и выпечка</x:v>
      </x:c>
      <x:c r="C641" s="28" t="str">
        <x:v>танжерин</x:v>
      </x:c>
      <x:c r="D641" s="28" t="str">
        <x:v>tangerine</x:v>
      </x:c>
      <x:c r="E641" s="28" t="str">
        <x:v>Цитрусовые</x:v>
      </x:c>
      <x:c r="F641" s="28" t="str">
        <x:v>семена льна</x:v>
      </x:c>
      <x:c r="G641" s="28" t="str">
        <x:v>flax seeds</x:v>
      </x:c>
      <x:c r="H641" s="28" t="str">
        <x:v>Орехи и семена</x:v>
      </x:c>
      <x:c r="I641" s="28" t="str">
        <x:v>цитрусовый, фруктовый, цветочный, пряный</x:v>
      </x:c>
      <x:c r="J641" s="28" t="str">
        <x:v>ореховый, обжаренный, жирный, зелёный</x:v>
      </x:c>
      <x:c r="K641" s="28" t="str">
        <x:v>лимонен, гамма-терпинен, метил-N-метилантранилат, линалол</x:v>
      </x:c>
      <x:c r="L641" s="28" t="str">
        <x:v>пиразины, альдегиды окисления жиров, бензальдегид (миндаль)</x:v>
      </x:c>
      <x:c r="M641" s="28" t="str">
        <x:v>прямое семейное перекрытие не является главным механизмом</x:v>
      </x:c>
      <x:c r="N641" s="28" t="str">
        <x:v>надёжный общий маркер не заявлен; сочетание объясняется семействами и сенсорным балансом</x:v>
      </x:c>
      <x:c r="O641" s="28" t="str">
        <x:v>вкусовой баланс, влияние матрицы/растворимости</x:v>
      </x:c>
      <x:c r="P641" s="28" t="str">
        <x:v>Кислотность и лёгкая горечь цитруса снижают ощущение жирности; соль и умами, в свою очередь, делают фруктовую часть менее резкой.</x:v>
      </x:c>
      <x:c r="Q641" s="28" t="str">
        <x:v>нет выраженного; нет выраженного</x:v>
      </x:c>
      <x:c r="R641" s="28" t="str">
        <x:v>сок водный; кожура богата эфирным маслом; высокая жирность растворяет терпеновые масла цитруса</x:v>
      </x:c>
      <x:c r="S64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641" s="28" t="str">
        <x:v>Танжерин формирует профиль «цитрусовый, фруктовый, цветочный, пряный»; характерные маркеры: лимонен, гамма-терпинен, метил-N-метилантранилат, линалол. Семена льна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U641" s="28" t="str">
        <x:v>Избыток кислоты делает вкус плоско-резким; белая часть кожуры даёт лишнюю горечь.</x:v>
      </x:c>
      <x:c r="V641" s="28" t="str">
        <x:v>мёд или шоколад</x:v>
      </x:c>
      <x:c r="W641" s="28" t="str">
        <x:v>пралине, крем, выпечка, салат или ореховый соус</x:v>
      </x:c>
      <x:c r="X641" s="28" t="str">
        <x:v>десерты</x:v>
      </x:c>
      <x:c r="Y641" s="28" t="str">
        <x:v>Средняя</x:v>
      </x:c>
      <x:c r="Z641" s="28" t="str">
        <x:v>The Art &amp; Science of Foodpairing.pdf</x:v>
      </x:c>
      <x:c r="AA641" s="28" t="str">
        <x:v>The Art &amp; Science of Foodpairing.pdf: 123</x:v>
      </x:c>
      <x:c r="AB641" s="28" t="str">
        <x:v>Пара представлена в ароматической диаграмме Foodpairing на странице 123.</x:v>
      </x:c>
      <x:c r="AC641" s="28" t="n">
        <x:v>1</x:v>
      </x:c>
      <x:c r="AD641" s="28" t="n">
        <x:v>1</x:v>
      </x:c>
    </x:row>
    <x:row r="642" ht="58" customHeight="1">
      <x:c r="A642" s="28" t="str">
        <x:v>CIT-0641</x:v>
      </x:c>
      <x:c r="B642" s="28" t="str">
        <x:v>Десерты и выпечка</x:v>
      </x:c>
      <x:c r="C642" s="28" t="str">
        <x:v>танжерин</x:v>
      </x:c>
      <x:c r="D642" s="28" t="str">
        <x:v>tangerine</x:v>
      </x:c>
      <x:c r="E642" s="28" t="str">
        <x:v>Цитрусовые</x:v>
      </x:c>
      <x:c r="F642" s="28" t="str">
        <x:v>семена чёрного тмина</x:v>
      </x:c>
      <x:c r="G642" s="28" t="str">
        <x:v>black cumin seeds</x:v>
      </x:c>
      <x:c r="H642" s="28" t="str">
        <x:v>Орехи и семена</x:v>
      </x:c>
      <x:c r="I642" s="28" t="str">
        <x:v>цитрусовый, фруктовый, цветочный, пряный</x:v>
      </x:c>
      <x:c r="J642" s="28" t="str">
        <x:v>ореховый, обжаренный, жирный, зелёный</x:v>
      </x:c>
      <x:c r="K642" s="28" t="str">
        <x:v>лимонен, гамма-терпинен, метил-N-метилантранилат, линалол</x:v>
      </x:c>
      <x:c r="L642" s="28" t="str">
        <x:v>пиразины, альдегиды окисления жиров, бензальдегид (миндаль)</x:v>
      </x:c>
      <x:c r="M642" s="28" t="str">
        <x:v>прямое семейное перекрытие не является главным механизмом</x:v>
      </x:c>
      <x:c r="N642" s="28" t="str">
        <x:v>надёжный общий маркер не заявлен; сочетание объясняется семействами и сенсорным балансом</x:v>
      </x:c>
      <x:c r="O642" s="28" t="str">
        <x:v>вкусовой баланс, влияние матрицы/растворимости</x:v>
      </x:c>
      <x:c r="P642" s="28" t="str">
        <x:v>Кислотность и лёгкая горечь цитруса снижают ощущение жирности; соль и умами, в свою очередь, делают фруктовую часть менее резкой.</x:v>
      </x:c>
      <x:c r="Q642" s="28" t="str">
        <x:v>нет выраженного; нет выраженного</x:v>
      </x:c>
      <x:c r="R642" s="28" t="str">
        <x:v>сок водный; кожура богата эфирным маслом; высокая жирность растворяет терпеновые масла цитруса</x:v>
      </x:c>
      <x:c r="S642"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642" s="28" t="str">
        <x:v>Танжерин формирует профиль «цитрусовый, фруктовый, цветочный, пряный»; характерные маркеры: лимонен, гамма-терпинен, метил-N-метилантранилат, линалол. Семена чёрного тмина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U642" s="28" t="str">
        <x:v>Избыток кислоты делает вкус плоско-резким; белая часть кожуры даёт лишнюю горечь.</x:v>
      </x:c>
      <x:c r="V642" s="28" t="str">
        <x:v>мёд или шоколад</x:v>
      </x:c>
      <x:c r="W642" s="28" t="str">
        <x:v>пралине, крем, выпечка, салат или ореховый соус</x:v>
      </x:c>
      <x:c r="X642" s="28" t="str">
        <x:v>десерты</x:v>
      </x:c>
      <x:c r="Y642" s="28" t="str">
        <x:v>Средняя</x:v>
      </x:c>
      <x:c r="Z642" s="28" t="str">
        <x:v>The Art &amp; Science of Foodpairing.pdf</x:v>
      </x:c>
      <x:c r="AA642" s="28" t="str">
        <x:v>The Art &amp; Science of Foodpairing.pdf: 236</x:v>
      </x:c>
      <x:c r="AB642" s="28" t="str">
        <x:v>Пара представлена в ароматической диаграмме Foodpairing на странице 236.</x:v>
      </x:c>
      <x:c r="AC642" s="28" t="n">
        <x:v>1</x:v>
      </x:c>
      <x:c r="AD642" s="28" t="n">
        <x:v>1</x:v>
      </x:c>
    </x:row>
    <x:row r="643" ht="58" customHeight="1">
      <x:c r="A643" s="28" t="str">
        <x:v>CIT-0642</x:v>
      </x:c>
      <x:c r="B643" s="28" t="str">
        <x:v>Универсальные</x:v>
      </x:c>
      <x:c r="C643" s="28" t="str">
        <x:v>танжерин</x:v>
      </x:c>
      <x:c r="D643" s="28" t="str">
        <x:v>tangerine</x:v>
      </x:c>
      <x:c r="E643" s="28" t="str">
        <x:v>Цитрусовые</x:v>
      </x:c>
      <x:c r="F643" s="28" t="str">
        <x:v>соус чили</x:v>
      </x:c>
      <x:c r="G643" s="28" t="str">
        <x:v>chilli sauce</x:v>
      </x:c>
      <x:c r="H643" s="28" t="str">
        <x:v>Пряности</x:v>
      </x:c>
      <x:c r="I643" s="28" t="str">
        <x:v>цитрусовый, фруктовый, цветочный, пряный</x:v>
      </x:c>
      <x:c r="J643" s="28" t="str">
        <x:v>зелёный, фруктовый, пряный</x:v>
      </x:c>
      <x:c r="K643" s="28" t="str">
        <x:v>лимонен, гамма-терпинен, метил-N-метилантранилат, линалол</x:v>
      </x:c>
      <x:c r="L643" s="28" t="str">
        <x:v>капсаицин, пиразины, эфиры</x:v>
      </x:c>
      <x:c r="M643" s="28" t="str">
        <x:v>пряный, фруктовый</x:v>
      </x:c>
      <x:c r="N643" s="28" t="str">
        <x:v>надёжный общий маркер не заявлен; сочетание объясняется семействами и сенсорным балансом</x:v>
      </x:c>
      <x:c r="O643" s="28" t="str">
        <x:v>перекрытие ароматических семейств, вкусовой баланс, тройничное восприятие</x:v>
      </x:c>
      <x:c r="P643" s="28" t="str">
        <x:v>Кислота усиливает слюноотделение и делает пряный аромат ярче; терпены цитруса образуют мост с эфирными маслами травы или специи.</x:v>
      </x:c>
      <x:c r="Q643" s="28" t="str">
        <x:v>нет выраженного; капсаицин активирует TRPV1 и создаёт жжение</x:v>
      </x:c>
      <x:c r="R643" s="28" t="str">
        <x:v>сок водный; кожура богата эфирным маслом; капсаицин жирорастворим; кислота не нейтрализует жжение, но усиливает слюноотделение</x:v>
      </x:c>
      <x:c r="S64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43" s="28" t="str">
        <x:v>Танжерин формирует профиль «цитрусовый, фруктовый, цветочный, пряный»; характерные маркеры: лимонен, гамма-терпинен, метил-N-метилантранилат, линалол. Соус чили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пряный, фруктовый.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Фруктовые чили могут поддерживать цитрусовые эфиры, но острота требует баланса.</x:v>
      </x:c>
      <x:c r="U643"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V643" s="28" t="str">
        <x:v>мёд или ваниль</x:v>
      </x:c>
      <x:c r="W643" s="28" t="str">
        <x:v>сироп, кордиал, чатни, маринад или пряный десерт</x:v>
      </x:c>
      <x:c r="X643" s="28" t="str">
        <x:v>напитки, еда, соусы/маринады</x:v>
      </x:c>
      <x:c r="Y643" s="28" t="str">
        <x:v>Средняя</x:v>
      </x:c>
      <x:c r="Z643" s="28" t="str">
        <x:v>The Art &amp; Science of Foodpairing.pdf</x:v>
      </x:c>
      <x:c r="AA643" s="28" t="str">
        <x:v>The Art &amp; Science of Foodpairing.pdf: 123</x:v>
      </x:c>
      <x:c r="AB643" s="28" t="str">
        <x:v>Пара представлена в ароматической диаграмме Foodpairing на странице 123.</x:v>
      </x:c>
      <x:c r="AC643" s="28" t="n">
        <x:v>1</x:v>
      </x:c>
      <x:c r="AD643" s="28" t="n">
        <x:v>1</x:v>
      </x:c>
    </x:row>
    <x:row r="644" ht="58" customHeight="1">
      <x:c r="A644" s="28" t="str">
        <x:v>CIT-0643</x:v>
      </x:c>
      <x:c r="B644" s="28" t="str">
        <x:v>Десерты и выпечка</x:v>
      </x:c>
      <x:c r="C644" s="28" t="str">
        <x:v>танжерин</x:v>
      </x:c>
      <x:c r="D644" s="28" t="str">
        <x:v>tangerine</x:v>
      </x:c>
      <x:c r="E644" s="28" t="str">
        <x:v>Цитрусовые</x:v>
      </x:c>
      <x:c r="F644" s="28" t="str">
        <x:v>сушёный барбарис</x:v>
      </x:c>
      <x:c r="G644" s="28" t="str">
        <x:v>dried barberry</x:v>
      </x:c>
      <x:c r="H644" s="28" t="str">
        <x:v>Злаки и хлеб</x:v>
      </x:c>
      <x:c r="I644" s="28" t="str">
        <x:v>цитрусовый, фруктовый, цветочный, пряный</x:v>
      </x:c>
      <x:c r="J644" s="28" t="str">
        <x:v>зерновой, обжаренный, ореховый, дрожжевой</x:v>
      </x:c>
      <x:c r="K644" s="28" t="str">
        <x:v>лимонен, гамма-терпинен, метил-N-метилантранилат, линалол</x:v>
      </x:c>
      <x:c r="L644" s="28" t="str">
        <x:v>пиразины, мальтол, фураны, эфиры брожения</x:v>
      </x:c>
      <x:c r="M644" s="28" t="str">
        <x:v>прямое семейное перекрытие не является главным механизмом</x:v>
      </x:c>
      <x:c r="N644" s="28" t="str">
        <x:v>надёжный общий маркер не заявлен; сочетание объясняется семействами и сенсорным балансом</x:v>
      </x:c>
      <x:c r="O644" s="28" t="str">
        <x:v>вкусовой баланс</x:v>
      </x:c>
      <x:c r="P644" s="28" t="str">
        <x:v>Высокая кисло-ароматическая нота контрастирует с жареными, горькими и карамельными оттенками; сахар или жир связывает два регистра.</x:v>
      </x:c>
      <x:c r="Q644" s="28" t="str">
        <x:v>нет выраженного; нет выраженного</x:v>
      </x:c>
      <x:c r="R644" s="28" t="str">
        <x:v>сок водный; кожура богата эфирным маслом; крахмал смягчает кислотность; жир/масло помогает аромату цедры</x:v>
      </x:c>
      <x:c r="S64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44" s="28" t="str">
        <x:v>Танжерин формирует профиль «цитрусовый, фруктовый, цветочный, пряный»; характерные маркеры: лимонен, гамма-терпинен, метил-N-метилантранилат, линалол. Сушёный барбарис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U644" s="28" t="str">
        <x:v>Избыток кислоты делает вкус плоско-резким; белая часть кожуры даёт лишнюю горечь.</x:v>
      </x:c>
      <x:c r="V644" s="28" t="str">
        <x:v>сливочное масло или мёд</x:v>
      </x:c>
      <x:c r="W644" s="28" t="str">
        <x:v>кекс, каша, хлеб, крамбл или салат</x:v>
      </x:c>
      <x:c r="X644" s="28" t="str">
        <x:v>десерты, еда</x:v>
      </x:c>
      <x:c r="Y644" s="28" t="str">
        <x:v>Средняя</x:v>
      </x:c>
      <x:c r="Z644" s="28" t="str">
        <x:v>The Art &amp; Science of Foodpairing.pdf</x:v>
      </x:c>
      <x:c r="AA644" s="28" t="str">
        <x:v>The Art &amp; Science of Foodpairing.pdf: 123</x:v>
      </x:c>
      <x:c r="AB644" s="28" t="str">
        <x:v>Пара представлена в ароматической диаграмме Foodpairing на странице 123.</x:v>
      </x:c>
      <x:c r="AC644" s="28" t="n">
        <x:v>1</x:v>
      </x:c>
      <x:c r="AD644" s="28" t="n">
        <x:v>1</x:v>
      </x:c>
    </x:row>
    <x:row r="645" ht="58" customHeight="1">
      <x:c r="A645" s="28" t="str">
        <x:v>CIT-0644</x:v>
      </x:c>
      <x:c r="B645" s="28" t="str">
        <x:v>Универсальные</x:v>
      </x:c>
      <x:c r="C645" s="28" t="str">
        <x:v>танжерин</x:v>
      </x:c>
      <x:c r="D645" s="28" t="str">
        <x:v>tangerine</x:v>
      </x:c>
      <x:c r="E645" s="28" t="str">
        <x:v>Цитрусовые</x:v>
      </x:c>
      <x:c r="F645" s="28" t="str">
        <x:v>чай из фенхеля</x:v>
      </x:c>
      <x:c r="G645" s="28" t="str">
        <x:v>fennel tea</x:v>
      </x:c>
      <x:c r="H645" s="28" t="str">
        <x:v>Пряности/травы</x:v>
      </x:c>
      <x:c r="I645" s="28" t="str">
        <x:v>цитрусовый, фруктовый, цветочный, пряный</x:v>
      </x:c>
      <x:c r="J645" s="28" t="str">
        <x:v>анисовый, сладко-пряный, зелёный</x:v>
      </x:c>
      <x:c r="K645" s="28" t="str">
        <x:v>лимонен, гамма-терпинен, метил-N-метилантранилат, линалол</x:v>
      </x:c>
      <x:c r="L645" s="28" t="str">
        <x:v>транс-анетол, фенхон, эстрагол</x:v>
      </x:c>
      <x:c r="M645" s="28" t="str">
        <x:v>прямое семейное перекрытие не является главным механизмом</x:v>
      </x:c>
      <x:c r="N645" s="28" t="str">
        <x:v>надёжный общий маркер не заявлен; сочетание объясняется семействами и сенсорным балансом</x:v>
      </x:c>
      <x:c r="O645" s="28" t="str">
        <x:v>вкусовой баланс, тройничное восприятие</x:v>
      </x:c>
      <x:c r="P645" s="28" t="str">
        <x:v>Основной эффект определяется ароматическим контрастом и добавлением кислотной свежести; точный баланс зависит от дозировки и матрицы.</x:v>
      </x:c>
      <x:c r="Q645" s="28" t="str">
        <x:v>нет выраженного; анетол создаёт охлаждающе-сладкое впечатление</x:v>
      </x:c>
      <x:c r="R645" s="28" t="str">
        <x:v>сок водный; кожура богата эфирным маслом; анетол гидрофобен и мутнеет при разбавлении спиртовых настоев водой</x:v>
      </x:c>
      <x:c r="S64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45" s="28" t="str">
        <x:v>Танжерин формирует профиль «цитрусовый, фруктовый, цветочный, пряный»; характерные маркеры: лимонен, гамма-терпинен, метил-N-метилантранилат, линалол. Чай из фенхеля относится к группе «пряности/травы» и даёт ноты «анисовый, сладко-пряный,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Анисовые соединения дают сильный ароматический мост с цветочными и цитрусовыми терпенами.</x:v>
      </x:c>
      <x:c r="U645" s="28" t="str">
        <x:v>Избыток кислоты делает вкус плоско-резким; белая часть кожуры даёт лишнюю горечь.</x:v>
      </x:c>
      <x:c r="V645" s="28" t="str">
        <x:v>мёд или нейтральная жировая основа</x:v>
      </x:c>
      <x:c r="W645" s="28" t="str">
        <x:v>соус, напиток или десерт после пробной дегустации</x:v>
      </x:c>
      <x:c r="X645" s="28" t="str">
        <x:v>универсальное</x:v>
      </x:c>
      <x:c r="Y645" s="28" t="str">
        <x:v>Средняя</x:v>
      </x:c>
      <x:c r="Z645" s="28" t="str">
        <x:v>The Art &amp; Science of Foodpairing.pdf</x:v>
      </x:c>
      <x:c r="AA645" s="28" t="str">
        <x:v>The Art &amp; Science of Foodpairing.pdf: 123</x:v>
      </x:c>
      <x:c r="AB645" s="28" t="str">
        <x:v>Пара представлена в ароматической диаграмме Foodpairing на странице 123.</x:v>
      </x:c>
      <x:c r="AC645" s="28" t="n">
        <x:v>1</x:v>
      </x:c>
      <x:c r="AD645" s="28" t="n">
        <x:v>1</x:v>
      </x:c>
    </x:row>
    <x:row r="646" ht="58" customHeight="1">
      <x:c r="A646" s="28" t="str">
        <x:v>CIT-0645</x:v>
      </x:c>
      <x:c r="B646" s="28" t="str">
        <x:v>Универсальные</x:v>
      </x:c>
      <x:c r="C646" s="28" t="str">
        <x:v>танжерин (tangerine)</x:v>
      </x:c>
      <x:c r="D646" s="28" t="str">
        <x:v>Танжерин (tangerine)</x:v>
      </x:c>
      <x:c r="E646" s="28" t="str">
        <x:v>Цитрусовые</x:v>
      </x:c>
      <x:c r="F646" s="28" t="str">
        <x:v>агава</x:v>
      </x:c>
      <x:c r="G646" s="28" t="str">
        <x:v>агава</x:v>
      </x:c>
      <x:c r="H646" s="28" t="str">
        <x:v>Прочее</x:v>
      </x:c>
      <x:c r="I646" s="28" t="str">
        <x:v>цитрусовый, фруктовый, цветочный, пряный</x:v>
      </x:c>
      <x:c r="J646" s="28" t="str">
        <x:v>нейтральный/специфический</x:v>
      </x:c>
      <x:c r="K646" s="28" t="str">
        <x:v>лимонен, гамма-терпинен, метил-N-метилантранилат, линалол</x:v>
      </x:c>
      <x:c r="L646" s="28" t="str">
        <x:v>нужен профиль конкретного продукта</x:v>
      </x:c>
      <x:c r="M646" s="28" t="str">
        <x:v>прямое семейное перекрытие не является главным механизмом</x:v>
      </x:c>
      <x:c r="N646" s="28" t="str">
        <x:v>надёжный общий маркер не заявлен; сочетание объясняется семействами и сенсорным балансом</x:v>
      </x:c>
      <x:c r="O646" s="28" t="str">
        <x:v>вкусовой баланс, тройничное восприятие</x:v>
      </x:c>
      <x:c r="P646" s="28" t="str">
        <x:v>Основной эффект определяется ароматическим контрастом и добавлением кислотной свежести; точный баланс зависит от дозировки и матрицы.</x:v>
      </x:c>
      <x:c r="Q646" s="28" t="str">
        <x:v>нет выраженного; нет данных</x:v>
      </x:c>
      <x:c r="R646" s="28" t="str">
        <x:v>сок водный; кожура богата эфирным маслом; зависит от формы продукта</x:v>
      </x:c>
      <x:c r="S64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46"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Агава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46" s="28" t="str">
        <x:v>Избыток кислоты делает вкус плоско-резким; белая часть кожуры даёт лишнюю горечь.</x:v>
      </x:c>
      <x:c r="V646" s="28" t="str">
        <x:v>мёд или нейтральная жировая основа</x:v>
      </x:c>
      <x:c r="W646" s="28" t="str">
        <x:v>соус, напиток или десерт после пробной дегустации</x:v>
      </x:c>
      <x:c r="X646" s="28" t="str">
        <x:v>универсальное</x:v>
      </x:c>
      <x:c r="Y646" s="28" t="str">
        <x:v>Гипотеза / практическая</x:v>
      </x:c>
      <x:c r="Z646" s="28" t="str">
        <x:v>Таблица сочетания(1).pdf</x:v>
      </x:c>
      <x:c r="AA646" s="28" t="str">
        <x:v>Таблица сочетания(1).pdf: 21</x:v>
      </x:c>
      <x:c r="AB646" s="28" t="str">
        <x:v>Пара указана в таблице: «Танжерин (tangerine)» → колонка «Другое».</x:v>
      </x:c>
      <x:c r="AC646" s="28" t="n">
        <x:v>1</x:v>
      </x:c>
      <x:c r="AD646" s="28" t="n">
        <x:v>1</x:v>
      </x:c>
    </x:row>
    <x:row r="647" ht="58" customHeight="1">
      <x:c r="A647" s="28" t="str">
        <x:v>CIT-0646</x:v>
      </x:c>
      <x:c r="B647" s="28" t="str">
        <x:v>Универсальные</x:v>
      </x:c>
      <x:c r="C647" s="28" t="str">
        <x:v>танжерин (tangerine)</x:v>
      </x:c>
      <x:c r="D647" s="28" t="str">
        <x:v>Танжерин (tangerine)</x:v>
      </x:c>
      <x:c r="E647" s="28" t="str">
        <x:v>Цитрусовые</x:v>
      </x:c>
      <x:c r="F647" s="28" t="str">
        <x:v>базилик</x:v>
      </x:c>
      <x:c r="G647" s="28" t="str">
        <x:v>базилик</x:v>
      </x:c>
      <x:c r="H647" s="28" t="str">
        <x:v>Травы</x:v>
      </x:c>
      <x:c r="I647" s="28" t="str">
        <x:v>цитрусовый, фруктовый, цветочный, пряный</x:v>
      </x:c>
      <x:c r="J647" s="28" t="str">
        <x:v>зелёный, анисовый, цветочный, пряный</x:v>
      </x:c>
      <x:c r="K647" s="28" t="str">
        <x:v>лимонен, гамма-терпинен, метил-N-метилантранилат, линалол</x:v>
      </x:c>
      <x:c r="L647" s="28" t="str">
        <x:v>линалол, эстрагол, эвгенол</x:v>
      </x:c>
      <x:c r="M647" s="28" t="str">
        <x:v>пряный, цветочный</x:v>
      </x:c>
      <x:c r="N647" s="28" t="str">
        <x:v>линалол</x:v>
      </x:c>
      <x:c r="O647" s="28" t="str">
        <x:v>общие ароматические молекулы, перекрытие ароматических семейств, вкусовой баланс</x:v>
      </x:c>
      <x:c r="P647" s="28" t="str">
        <x:v>Кислота усиливает слюноотделение и делает пряный аромат ярче; терпены цитруса образуют мост с эфирными маслами травы или специи.</x:v>
      </x:c>
      <x:c r="Q647" s="28" t="str">
        <x:v>нет выраженного; нет выраженного</x:v>
      </x:c>
      <x:c r="R647" s="28" t="str">
        <x:v>сок водный; кожура богата эфирным маслом; летучие масла чувствительны к длительному нагреву</x:v>
      </x:c>
      <x:c r="S64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47"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пряный, цветочный.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Базилик и эстрагон могут связать цитрус с фруктами, томатом и сливочными матрицами.</x:v>
      </x:c>
      <x:c r="U647" s="28" t="str">
        <x:v>Избыток кислоты делает вкус плоско-резким; белая часть кожуры даёт лишнюю горечь; цитрус легко подавляет деликатный аромат партнёра.</x:v>
      </x:c>
      <x:c r="V647" s="28" t="str">
        <x:v>оливковое масло или огурец</x:v>
      </x:c>
      <x:c r="W647" s="28" t="str">
        <x:v>лимонад, кордиал, салатная заправка или зелёный соус</x:v>
      </x:c>
      <x:c r="X647" s="28" t="str">
        <x:v>напитки, еда, соусы/маринады</x:v>
      </x:c>
      <x:c r="Y647" s="28" t="str">
        <x:v>Средняя</x:v>
      </x:c>
      <x:c r="Z647" s="28" t="str">
        <x:v>Таблица сочетания(1).pdf</x:v>
      </x:c>
      <x:c r="AA647" s="28" t="str">
        <x:v>Таблица сочетания(1).pdf: 21</x:v>
      </x:c>
      <x:c r="AB647" s="28" t="str">
        <x:v>Пара указана в таблице: «Танжерин (tangerine)» → колонка «Травы и специи».</x:v>
      </x:c>
      <x:c r="AC647" s="28" t="n">
        <x:v>1</x:v>
      </x:c>
      <x:c r="AD647" s="28" t="n">
        <x:v>1</x:v>
      </x:c>
    </x:row>
    <x:row r="648" ht="58" customHeight="1">
      <x:c r="A648" s="28" t="str">
        <x:v>CIT-0647</x:v>
      </x:c>
      <x:c r="B648" s="28" t="str">
        <x:v>Универсальные</x:v>
      </x:c>
      <x:c r="C648" s="28" t="str">
        <x:v>танжерин (tangerine)</x:v>
      </x:c>
      <x:c r="D648" s="28" t="str">
        <x:v>Танжерин (tangerine)</x:v>
      </x:c>
      <x:c r="E648" s="28" t="str">
        <x:v>Цитрусовые</x:v>
      </x:c>
      <x:c r="F648" s="28" t="str">
        <x:v>ваниль</x:v>
      </x:c>
      <x:c r="G648" s="28" t="str">
        <x:v>ваниль</x:v>
      </x:c>
      <x:c r="H648" s="28" t="str">
        <x:v>Пряности</x:v>
      </x:c>
      <x:c r="I648" s="28" t="str">
        <x:v>цитрусовый, фруктовый, цветочный, пряный</x:v>
      </x:c>
      <x:c r="J648" s="28" t="str">
        <x:v>ванильный, бальзамический, сладкий, древесный</x:v>
      </x:c>
      <x:c r="K648" s="28" t="str">
        <x:v>лимонен, гамма-терпинен, метил-N-метилантранилат, линалол</x:v>
      </x:c>
      <x:c r="L648" s="28" t="str">
        <x:v>ванилин, п-гидроксибензальдегид, анисовый альдегид</x:v>
      </x:c>
      <x:c r="M648" s="28" t="str">
        <x:v>прямое семейное перекрытие не является главным механизмом</x:v>
      </x:c>
      <x:c r="N648" s="28" t="str">
        <x:v>надёжный общий маркер не заявлен; сочетание объясняется семействами и сенсорным балансом</x:v>
      </x:c>
      <x:c r="O648" s="28" t="str">
        <x:v>вкусовой баланс</x:v>
      </x:c>
      <x:c r="P648" s="28" t="str">
        <x:v>Кислота усиливает слюноотделение и делает пряный аромат ярче; терпены цитруса образуют мост с эфирными маслами травы или специи.</x:v>
      </x:c>
      <x:c r="Q648" s="28" t="str">
        <x:v>нет выраженного; нет выраженного</x:v>
      </x:c>
      <x:c r="R648" s="28" t="str">
        <x:v>сок водный; кожура богата эфирным маслом; ванилин растворим в спирте и частично в воде; жир продлевает аромат</x:v>
      </x:c>
      <x:c r="S64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48"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U648" s="28" t="str">
        <x:v>Избыток кислоты делает вкус плоско-резким; белая часть кожуры даёт лишнюю горечь.</x:v>
      </x:c>
      <x:c r="V648" s="28" t="str">
        <x:v>мёд или ваниль</x:v>
      </x:c>
      <x:c r="W648" s="28" t="str">
        <x:v>сироп, кордиал, чатни, маринад или пряный десерт</x:v>
      </x:c>
      <x:c r="X648" s="28" t="str">
        <x:v>напитки, еда, соусы/маринады</x:v>
      </x:c>
      <x:c r="Y648" s="28" t="str">
        <x:v>Гипотеза / практическая</x:v>
      </x:c>
      <x:c r="Z648" s="28" t="str">
        <x:v>Таблица сочетания(1).pdf</x:v>
      </x:c>
      <x:c r="AA648" s="28" t="str">
        <x:v>Таблица сочетания(1).pdf: 21</x:v>
      </x:c>
      <x:c r="AB648" s="28" t="str">
        <x:v>Пара указана в таблице: «Танжерин (tangerine)» → колонка «Другое».</x:v>
      </x:c>
      <x:c r="AC648" s="28" t="n">
        <x:v>1</x:v>
      </x:c>
      <x:c r="AD648" s="28" t="n">
        <x:v>1</x:v>
      </x:c>
    </x:row>
    <x:row r="649" ht="58" customHeight="1">
      <x:c r="A649" s="28" t="str">
        <x:v>CIT-0648</x:v>
      </x:c>
      <x:c r="B649" s="28" t="str">
        <x:v>Универсальные</x:v>
      </x:c>
      <x:c r="C649" s="28" t="str">
        <x:v>танжерин (tangerine)</x:v>
      </x:c>
      <x:c r="D649" s="28" t="str">
        <x:v>Танжерин (tangerine)</x:v>
      </x:c>
      <x:c r="E649" s="28" t="str">
        <x:v>Цитрусовые</x:v>
      </x:c>
      <x:c r="F649" s="28" t="str">
        <x:v>имбирь</x:v>
      </x:c>
      <x:c r="G649" s="28" t="str">
        <x:v>имбирь</x:v>
      </x:c>
      <x:c r="H649" s="28" t="str">
        <x:v>Пряности</x:v>
      </x:c>
      <x:c r="I649" s="28" t="str">
        <x:v>цитрусовый, фруктовый, цветочный, пряный</x:v>
      </x:c>
      <x:c r="J649" s="28" t="str">
        <x:v>цитрусовый, пряный, древесный, тёплый</x:v>
      </x:c>
      <x:c r="K649" s="28" t="str">
        <x:v>лимонен, гамма-терпинен, метил-N-метилантранилат, линалол</x:v>
      </x:c>
      <x:c r="L649" s="28" t="str">
        <x:v>зингиберен, цитраль, гераниол, гингеролы/шогаолы</x:v>
      </x:c>
      <x:c r="M649" s="28" t="str">
        <x:v>пряный, цитрусовый</x:v>
      </x:c>
      <x:c r="N649" s="28" t="str">
        <x:v>надёжный общий маркер не заявлен; сочетание объясняется семействами и сенсорным балансом</x:v>
      </x:c>
      <x:c r="O649" s="28" t="str">
        <x:v>перекрытие ароматических семейств, вкусовой баланс, тройничное восприятие</x:v>
      </x:c>
      <x:c r="P649" s="28" t="str">
        <x:v>Кислота усиливает слюноотделение и делает пряный аромат ярче; терпены цитруса образуют мост с эфирными маслами травы или специи.</x:v>
      </x:c>
      <x:c r="Q649" s="28" t="str">
        <x:v>нет выраженного; гингеролы и шогаолы активируют TRPV1 и дают тепло</x:v>
      </x:c>
      <x:c r="R649" s="28" t="str">
        <x:v>сок водный; кожура богата эфирным маслом; ароматические терпены лучше извлекаются этанолом и жиром</x:v>
      </x:c>
      <x:c r="S64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49"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U649" s="28" t="str">
        <x:v>Избыток кислоты делает вкус плоско-резким; белая часть кожуры даёт лишнюю горечь.</x:v>
      </x:c>
      <x:c r="V649" s="28" t="str">
        <x:v>мёд или ваниль</x:v>
      </x:c>
      <x:c r="W649" s="28" t="str">
        <x:v>сироп, кордиал, чатни, маринад или пряный десерт</x:v>
      </x:c>
      <x:c r="X649" s="28" t="str">
        <x:v>напитки, еда, соусы/маринады</x:v>
      </x:c>
      <x:c r="Y649" s="28" t="str">
        <x:v>Гипотеза / практическая</x:v>
      </x:c>
      <x:c r="Z649" s="28" t="str">
        <x:v>Таблица сочетания(1).pdf</x:v>
      </x:c>
      <x:c r="AA649" s="28" t="str">
        <x:v>Таблица сочетания(1).pdf: 21</x:v>
      </x:c>
      <x:c r="AB649" s="28" t="str">
        <x:v>Пара указана в таблице: «Танжерин (tangerine)» → колонка «Травы и специи».</x:v>
      </x:c>
      <x:c r="AC649" s="28" t="n">
        <x:v>1</x:v>
      </x:c>
      <x:c r="AD649" s="28" t="n">
        <x:v>1</x:v>
      </x:c>
    </x:row>
    <x:row r="650" ht="58" customHeight="1">
      <x:c r="A650" s="28" t="str">
        <x:v>CIT-0649</x:v>
      </x:c>
      <x:c r="B650" s="28" t="str">
        <x:v>Универсальные</x:v>
      </x:c>
      <x:c r="C650" s="28" t="str">
        <x:v>танжерин (tangerine)</x:v>
      </x:c>
      <x:c r="D650" s="28" t="str">
        <x:v>Танжерин (tangerine)</x:v>
      </x:c>
      <x:c r="E650" s="28" t="str">
        <x:v>Цитрусовые</x:v>
      </x:c>
      <x:c r="F650" s="28" t="str">
        <x:v>кленовый сироп</x:v>
      </x:c>
      <x:c r="G650" s="28" t="str">
        <x:v>кленовый сироп</x:v>
      </x:c>
      <x:c r="H650" s="28" t="str">
        <x:v>Прочее</x:v>
      </x:c>
      <x:c r="I650" s="28" t="str">
        <x:v>цитрусовый, фруктовый, цветочный, пряный</x:v>
      </x:c>
      <x:c r="J650" s="28" t="str">
        <x:v>нейтральный/специфический</x:v>
      </x:c>
      <x:c r="K650" s="28" t="str">
        <x:v>лимонен, гамма-терпинен, метил-N-метилантранилат, линалол</x:v>
      </x:c>
      <x:c r="L650" s="28" t="str">
        <x:v>нужен профиль конкретного продукта</x:v>
      </x:c>
      <x:c r="M650" s="28" t="str">
        <x:v>прямое семейное перекрытие не является главным механизмом</x:v>
      </x:c>
      <x:c r="N650" s="28" t="str">
        <x:v>надёжный общий маркер не заявлен; сочетание объясняется семействами и сенсорным балансом</x:v>
      </x:c>
      <x:c r="O650" s="28" t="str">
        <x:v>вкусовой баланс, тройничное восприятие</x:v>
      </x:c>
      <x:c r="P650" s="28" t="str">
        <x:v>Основной эффект определяется ароматическим контрастом и добавлением кислотной свежести; точный баланс зависит от дозировки и матрицы.</x:v>
      </x:c>
      <x:c r="Q650" s="28" t="str">
        <x:v>нет выраженного; нет данных</x:v>
      </x:c>
      <x:c r="R650" s="28" t="str">
        <x:v>сок водный; кожура богата эфирным маслом; зависит от формы продукта</x:v>
      </x:c>
      <x:c r="S65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50"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Кленовый сироп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50" s="28" t="str">
        <x:v>Избыток кислоты делает вкус плоско-резким; белая часть кожуры даёт лишнюю горечь.</x:v>
      </x:c>
      <x:c r="V650" s="28" t="str">
        <x:v>мёд или нейтральная жировая основа</x:v>
      </x:c>
      <x:c r="W650" s="28" t="str">
        <x:v>соус, напиток или десерт после пробной дегустации</x:v>
      </x:c>
      <x:c r="X650" s="28" t="str">
        <x:v>универсальное</x:v>
      </x:c>
      <x:c r="Y650" s="28" t="str">
        <x:v>Гипотеза / практическая</x:v>
      </x:c>
      <x:c r="Z650" s="28" t="str">
        <x:v>Таблица сочетания(1).pdf</x:v>
      </x:c>
      <x:c r="AA650" s="28" t="str">
        <x:v>Таблица сочетания(1).pdf: 21</x:v>
      </x:c>
      <x:c r="AB650" s="28" t="str">
        <x:v>Пара указана в таблице: «Танжерин (tangerine)» → колонка «Другое».</x:v>
      </x:c>
      <x:c r="AC650" s="28" t="n">
        <x:v>1</x:v>
      </x:c>
      <x:c r="AD650" s="28" t="n">
        <x:v>1</x:v>
      </x:c>
    </x:row>
    <x:row r="651" ht="58" customHeight="1">
      <x:c r="A651" s="28" t="str">
        <x:v>CIT-0650</x:v>
      </x:c>
      <x:c r="B651" s="28" t="str">
        <x:v>Универсальные</x:v>
      </x:c>
      <x:c r="C651" s="28" t="str">
        <x:v>танжерин (tangerine)</x:v>
      </x:c>
      <x:c r="D651" s="28" t="str">
        <x:v>Танжерин (tangerine)</x:v>
      </x:c>
      <x:c r="E651" s="28" t="str">
        <x:v>Цитрусовые</x:v>
      </x:c>
      <x:c r="F651" s="28" t="str">
        <x:v>корица</x:v>
      </x:c>
      <x:c r="G651" s="28" t="str">
        <x:v>корица</x:v>
      </x:c>
      <x:c r="H651" s="28" t="str">
        <x:v>Пряности</x:v>
      </x:c>
      <x:c r="I651" s="28" t="str">
        <x:v>цитрусовый, фруктовый, цветочный, пряный</x:v>
      </x:c>
      <x:c r="J651" s="28" t="str">
        <x:v>сладко-пряный, древесный, тёплый</x:v>
      </x:c>
      <x:c r="K651" s="28" t="str">
        <x:v>лимонен, гамма-терпинен, метил-N-метилантранилат, линалол</x:v>
      </x:c>
      <x:c r="L651" s="28" t="str">
        <x:v>коричный альдегид, эвгенол, кумарин</x:v>
      </x:c>
      <x:c r="M651" s="28" t="str">
        <x:v>прямое семейное перекрытие не является главным механизмом</x:v>
      </x:c>
      <x:c r="N651" s="28" t="str">
        <x:v>надёжный общий маркер не заявлен; сочетание объясняется семействами и сенсорным балансом</x:v>
      </x:c>
      <x:c r="O651" s="28" t="str">
        <x:v>вкусовой баланс, тройничное восприятие</x:v>
      </x:c>
      <x:c r="P651" s="28" t="str">
        <x:v>Кислота усиливает слюноотделение и делает пряный аромат ярче; терпены цитруса образуют мост с эфирными маслами травы или специи.</x:v>
      </x:c>
      <x:c r="Q651" s="28" t="str">
        <x:v>нет выраженного; коричный альдегид активирует TRPA1 и создаёт тепло</x:v>
      </x:c>
      <x:c r="R651" s="28" t="str">
        <x:v>сок водный; кожура богата эфирным маслом; лучше раскрывается в жире, сахаре и спирте</x:v>
      </x:c>
      <x:c r="S65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51"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U651" s="28" t="str">
        <x:v>Избыток кислоты делает вкус плоско-резким; белая часть кожуры даёт лишнюю горечь.</x:v>
      </x:c>
      <x:c r="V651" s="28" t="str">
        <x:v>мёд или ваниль</x:v>
      </x:c>
      <x:c r="W651" s="28" t="str">
        <x:v>сироп, кордиал, чатни, маринад или пряный десерт</x:v>
      </x:c>
      <x:c r="X651" s="28" t="str">
        <x:v>напитки, еда, соусы/маринады</x:v>
      </x:c>
      <x:c r="Y651" s="28" t="str">
        <x:v>Гипотеза / практическая</x:v>
      </x:c>
      <x:c r="Z651" s="28" t="str">
        <x:v>Таблица сочетания(1).pdf</x:v>
      </x:c>
      <x:c r="AA651" s="28" t="str">
        <x:v>Таблица сочетания(1).pdf: 21</x:v>
      </x:c>
      <x:c r="AB651" s="28" t="str">
        <x:v>Пара указана в таблице: «Танжерин (tangerine)» → колонка «Травы и специи».</x:v>
      </x:c>
      <x:c r="AC651" s="28" t="n">
        <x:v>1</x:v>
      </x:c>
      <x:c r="AD651" s="28" t="n">
        <x:v>1</x:v>
      </x:c>
    </x:row>
    <x:row r="652" ht="58" customHeight="1">
      <x:c r="A652" s="28" t="str">
        <x:v>CIT-0651</x:v>
      </x:c>
      <x:c r="B652" s="28" t="str">
        <x:v>Десерты и выпечка</x:v>
      </x:c>
      <x:c r="C652" s="28" t="str">
        <x:v>танжерин (tangerine)</x:v>
      </x:c>
      <x:c r="D652" s="28" t="str">
        <x:v>Танжерин (tangerine)</x:v>
      </x:c>
      <x:c r="E652" s="28" t="str">
        <x:v>Цитрусовые</x:v>
      </x:c>
      <x:c r="F652" s="28" t="str">
        <x:v>мёд</x:v>
      </x:c>
      <x:c r="G652" s="28" t="str">
        <x:v>мёд</x:v>
      </x:c>
      <x:c r="H652" s="28" t="str">
        <x:v>Подсластители</x:v>
      </x:c>
      <x:c r="I652" s="28" t="str">
        <x:v>цитрусовый, фруктовый, цветочный, пряный</x:v>
      </x:c>
      <x:c r="J652" s="28" t="str">
        <x:v>медовый, цветочный, карамельный</x:v>
      </x:c>
      <x:c r="K652" s="28" t="str">
        <x:v>лимонен, гамма-терпинен, метил-N-метилантранилат, линалол</x:v>
      </x:c>
      <x:c r="L652" s="28" t="str">
        <x:v>фенилуксусные соединения, фураны, норизопреноиды</x:v>
      </x:c>
      <x:c r="M652" s="28" t="str">
        <x:v>цветочный</x:v>
      </x:c>
      <x:c r="N652" s="28" t="str">
        <x:v>надёжный общий маркер не заявлен; сочетание объясняется семействами и сенсорным балансом</x:v>
      </x:c>
      <x:c r="O652" s="28" t="str">
        <x:v>перекрытие ароматических семейств, вкусовой баланс</x:v>
      </x:c>
      <x:c r="P652" s="28" t="str">
        <x:v>Сладость подавляет воспринимаемую кислотность и горечь кожуры, а кислота не даёт сочетанию стать приторным.</x:v>
      </x:c>
      <x:c r="Q652" s="28" t="str">
        <x:v>нет выраженного; нет выраженного</x:v>
      </x:c>
      <x:c r="R652" s="28" t="str">
        <x:v>сок водный; кожура богата эфирным маслом; сахар повышает вязкость и снижает воспринимаемую кислотность</x:v>
      </x:c>
      <x:c r="S65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52"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U652" s="28" t="str">
        <x:v>Избыток кислоты делает вкус плоско-резким; белая часть кожуры даёт лишнюю горечь.</x:v>
      </x:c>
      <x:c r="V652" s="28" t="str">
        <x:v>имбирь или ваниль</x:v>
      </x:c>
      <x:c r="W652" s="28" t="str">
        <x:v>сироп, мармелад, крем, глазурь или лимонад</x:v>
      </x:c>
      <x:c r="X652" s="28" t="str">
        <x:v>напитки, десерты</x:v>
      </x:c>
      <x:c r="Y652" s="28" t="str">
        <x:v>Гипотеза / практическая</x:v>
      </x:c>
      <x:c r="Z652" s="28" t="str">
        <x:v>Таблица сочетания(1).pdf</x:v>
      </x:c>
      <x:c r="AA652" s="28" t="str">
        <x:v>Таблица сочетания(1).pdf: 21</x:v>
      </x:c>
      <x:c r="AB652" s="28" t="str">
        <x:v>Пара указана в таблице: «Танжерин (tangerine)» → колонка «Другое».</x:v>
      </x:c>
      <x:c r="AC652" s="28" t="n">
        <x:v>1</x:v>
      </x:c>
      <x:c r="AD652" s="28" t="n">
        <x:v>1</x:v>
      </x:c>
    </x:row>
    <x:row r="653" ht="58" customHeight="1">
      <x:c r="A653" s="28" t="str">
        <x:v>CIT-0652</x:v>
      </x:c>
      <x:c r="B653" s="28" t="str">
        <x:v>Универсальные</x:v>
      </x:c>
      <x:c r="C653" s="28" t="str">
        <x:v>танжерин (tangerine)</x:v>
      </x:c>
      <x:c r="D653" s="28" t="str">
        <x:v>Танжерин (tangerine)</x:v>
      </x:c>
      <x:c r="E653" s="28" t="str">
        <x:v>Цитрусовые</x:v>
      </x:c>
      <x:c r="F653" s="28" t="str">
        <x:v>мята</x:v>
      </x:c>
      <x:c r="G653" s="28" t="str">
        <x:v>мята</x:v>
      </x:c>
      <x:c r="H653" s="28" t="str">
        <x:v>Травы</x:v>
      </x:c>
      <x:c r="I653" s="28" t="str">
        <x:v>цитрусовый, фруктовый, цветочный, пряный</x:v>
      </x:c>
      <x:c r="J653" s="28" t="str">
        <x:v>мятный, зелёный, свежий</x:v>
      </x:c>
      <x:c r="K653" s="28" t="str">
        <x:v>лимонен, гамма-терпинен, метил-N-метилантранилат, линалол</x:v>
      </x:c>
      <x:c r="L653" s="28" t="str">
        <x:v>ментол, ментон, 1,8-цинеол</x:v>
      </x:c>
      <x:c r="M653" s="28" t="str">
        <x:v>прямое семейное перекрытие не является главным механизмом</x:v>
      </x:c>
      <x:c r="N653" s="28" t="str">
        <x:v>надёжный общий маркер не заявлен; сочетание объясняется семействами и сенсорным балансом</x:v>
      </x:c>
      <x:c r="O653" s="28" t="str">
        <x:v>вкусовой баланс, тройничное восприятие</x:v>
      </x:c>
      <x:c r="P653" s="28" t="str">
        <x:v>Кислота усиливает слюноотделение и делает пряный аромат ярче; терпены цитруса образуют мост с эфирными маслами травы или специи.</x:v>
      </x:c>
      <x:c r="Q653" s="28" t="str">
        <x:v>нет выраженного; ментол активирует TRPM8 и создаёт охлаждение</x:v>
      </x:c>
      <x:c r="R653" s="28" t="str">
        <x:v>сок водный; кожура богата эфирным маслом; эфирные масла извлекаются спиртом; длительный нагрев снижает свежесть</x:v>
      </x:c>
      <x:c r="S65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53"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U653" s="28" t="str">
        <x:v>Избыток кислоты делает вкус плоско-резким; белая часть кожуры даёт лишнюю горечь; цитрус легко подавляет деликатный аромат партнёра.</x:v>
      </x:c>
      <x:c r="V653" s="28" t="str">
        <x:v>оливковое масло или огурец</x:v>
      </x:c>
      <x:c r="W653" s="28" t="str">
        <x:v>лимонад, кордиал, салатная заправка или зелёный соус</x:v>
      </x:c>
      <x:c r="X653" s="28" t="str">
        <x:v>напитки, еда, соусы/маринады</x:v>
      </x:c>
      <x:c r="Y653" s="28" t="str">
        <x:v>Гипотеза / практическая</x:v>
      </x:c>
      <x:c r="Z653" s="28" t="str">
        <x:v>Таблица сочетания(1).pdf</x:v>
      </x:c>
      <x:c r="AA653" s="28" t="str">
        <x:v>Таблица сочетания(1).pdf: 21</x:v>
      </x:c>
      <x:c r="AB653" s="28" t="str">
        <x:v>Пара указана в таблице: «Танжерин (tangerine)» → колонка «Травы и специи».</x:v>
      </x:c>
      <x:c r="AC653" s="28" t="n">
        <x:v>1</x:v>
      </x:c>
      <x:c r="AD653" s="28" t="n">
        <x:v>1</x:v>
      </x:c>
    </x:row>
    <x:row r="654" ht="58" customHeight="1">
      <x:c r="A654" s="28" t="str">
        <x:v>CIT-0653</x:v>
      </x:c>
      <x:c r="B654" s="28" t="str">
        <x:v>Универсальные</x:v>
      </x:c>
      <x:c r="C654" s="28" t="str">
        <x:v>танжерин (tangerine)</x:v>
      </x:c>
      <x:c r="D654" s="28" t="str">
        <x:v>Танжерин (tangerine)</x:v>
      </x:c>
      <x:c r="E654" s="28" t="str">
        <x:v>Цитрусовые</x:v>
      </x:c>
      <x:c r="F654" s="28" t="str">
        <x:v>цитрусовые</x:v>
      </x:c>
      <x:c r="G654" s="28" t="str">
        <x:v>цитрусовые</x:v>
      </x:c>
      <x:c r="H654" s="28" t="str">
        <x:v>Цитрусовые</x:v>
      </x:c>
      <x:c r="I654" s="28" t="str">
        <x:v>цитрусовый, фруктовый, цветочный, пряный</x:v>
      </x:c>
      <x:c r="J654" s="28" t="str">
        <x:v>цитрусовый, свежий, цветочный, древесный</x:v>
      </x:c>
      <x:c r="K654" s="28" t="str">
        <x:v>лимонен, гамма-терпинен, метил-N-метилантранилат, линалол</x:v>
      </x:c>
      <x:c r="L654" s="28" t="str">
        <x:v>цитраль (гераниаль + нераль), лимонен, гамма-терпинен, бета-пинен</x:v>
      </x:c>
      <x:c r="M654" s="28" t="str">
        <x:v>цветочный, цитрусовый</x:v>
      </x:c>
      <x:c r="N654" s="28" t="str">
        <x:v>гамма-терпинен, лимонен</x:v>
      </x:c>
      <x:c r="O654" s="28" t="str">
        <x:v>общие ароматические молекулы, перекрытие ароматических семейств, вкусовой баланс, тройничное восприятие</x:v>
      </x:c>
      <x:c r="P654" s="28" t="str">
        <x:v>Сочетание строится на близком терпеновом профиле; различия в кислотности, горечи и цветочно-зелёных оттенках создают объём.</x:v>
      </x:c>
      <x:c r="Q654" s="28" t="str">
        <x:v>нет выраженного; кислота усиливает слюноотделение</x:v>
      </x:c>
      <x:c r="R654" s="28" t="str">
        <x:v>сок водный; кожура богата эфирным маслом; сок — водная кислая фаза; цедра — гидрофобное эфирное масло</x:v>
      </x:c>
      <x:c r="S65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54"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Цитрусовые относится к группе «цитрусовые» и даёт ноты «цитрусовый, свежий, цветочный, древесный».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Сок определяется цитралем и кислотностью, цедра — лимоненом и терпенами.</x:v>
      </x:c>
      <x:c r="U654" s="28" t="str">
        <x:v>Избыток кислоты делает вкус плоско-резким; белая часть кожуры даёт лишнюю горечь.</x:v>
      </x:c>
      <x:c r="V654" s="28" t="str">
        <x:v>мёд или цветочная вода</x:v>
      </x:c>
      <x:c r="W654" s="28" t="str">
        <x:v>цитрусовый кордиал, мармелад, сорбет, салат или купаж соков</x:v>
      </x:c>
      <x:c r="X654" s="28" t="str">
        <x:v>напитки, десерты</x:v>
      </x:c>
      <x:c r="Y654" s="28" t="str">
        <x:v>Средняя</x:v>
      </x:c>
      <x:c r="Z654" s="28" t="str">
        <x:v>Таблица сочетания(1).pdf</x:v>
      </x:c>
      <x:c r="AA654" s="28" t="str">
        <x:v>Таблица сочетания(1).pdf: 21</x:v>
      </x:c>
      <x:c r="AB654" s="28" t="str">
        <x:v>Пара указана в таблице: «Танжерин (tangerine)» → колонка «Фрукты».</x:v>
      </x:c>
      <x:c r="AC654" s="28" t="n">
        <x:v>1</x:v>
      </x:c>
      <x:c r="AD654" s="28" t="n">
        <x:v>1</x:v>
      </x:c>
    </x:row>
    <x:row r="655" ht="58" customHeight="1">
      <x:c r="A655" s="28" t="str">
        <x:v>CIT-0654</x:v>
      </x:c>
      <x:c r="B655" s="28" t="str">
        <x:v>Десерты и выпечка</x:v>
      </x:c>
      <x:c r="C655" s="28" t="str">
        <x:v>танжерин (tangerine)</x:v>
      </x:c>
      <x:c r="D655" s="28" t="str">
        <x:v>Танжерин (tangerine)</x:v>
      </x:c>
      <x:c r="E655" s="28" t="str">
        <x:v>Цитрусовые</x:v>
      </x:c>
      <x:c r="F655" s="28" t="str">
        <x:v>яблоко</x:v>
      </x:c>
      <x:c r="G655" s="28" t="str">
        <x:v>яблоко</x:v>
      </x:c>
      <x:c r="H655" s="28" t="str">
        <x:v>Фрукты</x:v>
      </x:c>
      <x:c r="I655" s="28" t="str">
        <x:v>цитрусовый, фруктовый, цветочный, пряный</x:v>
      </x:c>
      <x:c r="J655" s="28" t="str">
        <x:v>фруктовый, зелёный, цветочный</x:v>
      </x:c>
      <x:c r="K655" s="28" t="str">
        <x:v>лимонен, гамма-терпинен, метил-N-метилантранилат, линалол</x:v>
      </x:c>
      <x:c r="L655" s="28" t="str">
        <x:v>гексилацетат, гексаналь, транс-2-гексеналь, бета-дамасценон</x:v>
      </x:c>
      <x:c r="M655" s="28" t="str">
        <x:v>фруктовый, цветочный</x:v>
      </x:c>
      <x:c r="N655" s="28" t="str">
        <x:v>надёжный общий маркер не заявлен; сочетание объясняется семействами и сенсорным балансом</x:v>
      </x:c>
      <x:c r="O655" s="28" t="str">
        <x:v>перекрытие ароматических семейств, вкусовой баланс</x:v>
      </x:c>
      <x:c r="P655" s="28" t="str">
        <x:v>Общая фруктовая сладость и летучие эфиры создают непрерывный ароматический профиль, а цитрусовая кислота повышает контраст и свежесть.</x:v>
      </x:c>
      <x:c r="Q655" s="28" t="str">
        <x:v>нет выраженного; нет выраженного</x:v>
      </x:c>
      <x:c r="R655" s="28" t="str">
        <x:v>сок водный; кожура богата эфирным маслом; водная сочная матрица; пектин повышает вязкость</x:v>
      </x:c>
      <x:c r="S65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55"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Яблочные эфиры и зелёные альдегиды хорошо поддерживают свежий цитрус.</x:v>
      </x:c>
      <x:c r="U655" s="28" t="str">
        <x:v>Избыток кислоты делает вкус плоско-резким; белая часть кожуры даёт лишнюю горечь.</x:v>
      </x:c>
      <x:c r="V655" s="28" t="str">
        <x:v>мята или имбирь</x:v>
      </x:c>
      <x:c r="W655" s="28" t="str">
        <x:v>лимонад, сорбет, компот, салат или фруктовый кордиал</x:v>
      </x:c>
      <x:c r="X655" s="28" t="str">
        <x:v>напитки, десерты</x:v>
      </x:c>
      <x:c r="Y655" s="28" t="str">
        <x:v>Гипотеза / практическая</x:v>
      </x:c>
      <x:c r="Z655" s="28" t="str">
        <x:v>Таблица сочетания(1).pdf</x:v>
      </x:c>
      <x:c r="AA655" s="28" t="str">
        <x:v>Таблица сочетания(1).pdf: 21</x:v>
      </x:c>
      <x:c r="AB655" s="28" t="str">
        <x:v>Пара указана в таблице: «Танжерин (tangerine)» → колонка «Фрукты».</x:v>
      </x:c>
      <x:c r="AC655" s="28" t="n">
        <x:v>1</x:v>
      </x:c>
      <x:c r="AD655" s="28" t="n">
        <x:v>1</x:v>
      </x:c>
    </x:row>
    <x:row r="656" ht="58" customHeight="1">
      <x:c r="A656" s="28" t="str">
        <x:v>CIT-0655</x:v>
      </x:c>
      <x:c r="B656" s="28" t="str">
        <x:v>Универсальные</x:v>
      </x:c>
      <x:c r="C656" s="28" t="str">
        <x:v>трипл-сек</x:v>
      </x:c>
      <x:c r="D656" s="28" t="str">
        <x:v>triple sec</x:v>
      </x:c>
      <x:c r="E656" s="28" t="str">
        <x:v>Цитрусовые</x:v>
      </x:c>
      <x:c r="F656" s="28" t="str">
        <x:v>водяника</x:v>
      </x:c>
      <x:c r="G656" s="28" t="str">
        <x:v>crowberry</x:v>
      </x:c>
      <x:c r="H656" s="28" t="str">
        <x:v>Прочее</x:v>
      </x:c>
      <x:c r="I656" s="28" t="str">
        <x:v>цитрусовый, сладко-фруктовый, цветочный, восковой</x:v>
      </x:c>
      <x:c r="J656" s="28" t="str">
        <x:v>нейтральный/специфический</x:v>
      </x:c>
      <x:c r="K656" s="28" t="str">
        <x:v>лимонен, линалол, деканаль, октаналь, мирцен</x:v>
      </x:c>
      <x:c r="L656" s="28" t="str">
        <x:v>нужен профиль конкретного продукта</x:v>
      </x:c>
      <x:c r="M656" s="28" t="str">
        <x:v>прямое семейное перекрытие не является главным механизмом</x:v>
      </x:c>
      <x:c r="N656" s="28" t="str">
        <x:v>надёжный общий маркер не заявлен; сочетание объясняется семействами и сенсорным балансом</x:v>
      </x:c>
      <x:c r="O656" s="28" t="str">
        <x:v>вкусовой баланс, тройничное восприятие</x:v>
      </x:c>
      <x:c r="P656" s="28" t="str">
        <x:v>Основной эффект определяется ароматическим контрастом и добавлением кислотной свежести; точный баланс зависит от дозировки и матрицы.</x:v>
      </x:c>
      <x:c r="Q656" s="28" t="str">
        <x:v>нет выраженного; нет данных</x:v>
      </x:c>
      <x:c r="R656" s="28" t="str">
        <x:v>сок водный; цедра и ликёры несут гидрофобные эфирные масла; зависит от формы продукта</x:v>
      </x:c>
      <x:c r="S65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56" s="28" t="str">
        <x:v>Трипл-сек формирует профиль «цитрусовый, сладко-фруктовый, цветочный, восковой»; характерные маркеры: лимонен, линалол, деканаль, октаналь, мирцен. Водяника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656" s="28" t="str">
        <x:v>Избыток кислоты делает вкус плоско-резким; белая часть кожуры даёт лишнюю горечь.</x:v>
      </x:c>
      <x:c r="V656" s="28" t="str">
        <x:v>мёд или нейтральная жировая основа</x:v>
      </x:c>
      <x:c r="W656" s="28" t="str">
        <x:v>соус, напиток или десерт после пробной дегустации</x:v>
      </x:c>
      <x:c r="X656" s="28" t="str">
        <x:v>универсальное</x:v>
      </x:c>
      <x:c r="Y656" s="28" t="str">
        <x:v>Средняя</x:v>
      </x:c>
      <x:c r="Z656" s="28" t="str">
        <x:v>The Art &amp; Science of Foodpairing.pdf</x:v>
      </x:c>
      <x:c r="AA656" s="28" t="str">
        <x:v>The Art &amp; Science of Foodpairing.pdf: 204</x:v>
      </x:c>
      <x:c r="AB656" s="28" t="str">
        <x:v>Пара представлена в ароматической диаграмме Foodpairing на странице 204.</x:v>
      </x:c>
      <x:c r="AC656" s="28" t="n">
        <x:v>1</x:v>
      </x:c>
      <x:c r="AD656" s="28" t="n">
        <x:v>1</x:v>
      </x:c>
    </x:row>
    <x:row r="657" ht="58" customHeight="1">
      <x:c r="A657" s="28" t="str">
        <x:v>CIT-0656</x:v>
      </x:c>
      <x:c r="B657" s="28" t="str">
        <x:v>Десерты и выпечка</x:v>
      </x:c>
      <x:c r="C657" s="28" t="str">
        <x:v>трипл-сек</x:v>
      </x:c>
      <x:c r="D657" s="28" t="str">
        <x:v>triple sec</x:v>
      </x:c>
      <x:c r="E657" s="28" t="str">
        <x:v>Цитрусовые</x:v>
      </x:c>
      <x:c r="F657" s="28" t="str">
        <x:v>груша Вильямс</x:v>
      </x:c>
      <x:c r="G657" s="28" t="str">
        <x:v>Williams pear</x:v>
      </x:c>
      <x:c r="H657" s="28" t="str">
        <x:v>Фрукты</x:v>
      </x:c>
      <x:c r="I657" s="28" t="str">
        <x:v>цитрусовый, сладко-фруктовый, цветочный, восковой</x:v>
      </x:c>
      <x:c r="J657" s="28" t="str">
        <x:v>фруктовый, цветочный, восковой</x:v>
      </x:c>
      <x:c r="K657" s="28" t="str">
        <x:v>лимонен, линалол, деканаль, октаналь, мирцен</x:v>
      </x:c>
      <x:c r="L657" s="28" t="str">
        <x:v>этилацетат, гексилацетат, декановые эфиры, дамасценон</x:v>
      </x:c>
      <x:c r="M657" s="28" t="str">
        <x:v>восковой, цветочный</x:v>
      </x:c>
      <x:c r="N657" s="28" t="str">
        <x:v>надёжный общий маркер не заявлен; сочетание объясняется семействами и сенсорным балансом</x:v>
      </x:c>
      <x:c r="O657" s="28" t="str">
        <x:v>перекрытие ароматических семейств, вкусовой баланс</x:v>
      </x:c>
      <x:c r="P657" s="28" t="str">
        <x:v>Общая фруктовая сладость и летучие эфиры создают непрерывный ароматический профиль, а цитрусовая кислота повышает контраст и свежесть.</x:v>
      </x:c>
      <x:c r="Q657" s="28" t="str">
        <x:v>нет выраженного; нет выраженного</x:v>
      </x:c>
      <x:c r="R657" s="28" t="str">
        <x:v>сок водный; цедра и ликёры несут гидрофобные эфирные масла; сочная водная матрица</x:v>
      </x:c>
      <x:c r="S65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57" s="28" t="str">
        <x:v>Трипл-сек формирует профиль «цитрусовый, сладко-фруктовый, цветочный, восковой»; характерные маркеры: лимонен, линалол, деканаль, октаналь, мирцен. Груша вильямс относится к группе «фрукты» и даёт ноты «фруктовый, цветочный, восковой». Прямой общий ключевой одорант из доступных профилей не фиксируется, однако продукты пересекаются на уровне семейств: восковой,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Груша мягкая и сладкая, поэтому цитрус добавляет ей контур и свежесть.</x:v>
      </x:c>
      <x:c r="U657" s="28" t="str">
        <x:v>Избыток кислоты делает вкус плоско-резким; белая часть кожуры даёт лишнюю горечь.</x:v>
      </x:c>
      <x:c r="V657" s="28" t="str">
        <x:v>мята или имбирь</x:v>
      </x:c>
      <x:c r="W657" s="28" t="str">
        <x:v>лимонад, сорбет, компот, салат или фруктовый кордиал</x:v>
      </x:c>
      <x:c r="X657" s="28" t="str">
        <x:v>напитки, десерты</x:v>
      </x:c>
      <x:c r="Y657" s="28" t="str">
        <x:v>Средняя</x:v>
      </x:c>
      <x:c r="Z657" s="28" t="str">
        <x:v>The Art &amp; Science of Foodpairing.pdf</x:v>
      </x:c>
      <x:c r="AA657" s="28" t="str">
        <x:v>The Art &amp; Science of Foodpairing.pdf: 347</x:v>
      </x:c>
      <x:c r="AB657" s="28" t="str">
        <x:v>Пара представлена в ароматической диаграмме Foodpairing на странице 347.</x:v>
      </x:c>
      <x:c r="AC657" s="28" t="n">
        <x:v>1</x:v>
      </x:c>
      <x:c r="AD657" s="28" t="n">
        <x:v>1</x:v>
      </x:c>
    </x:row>
    <x:row r="658" ht="58" customHeight="1">
      <x:c r="A658" s="28" t="str">
        <x:v>CIT-0657</x:v>
      </x:c>
      <x:c r="B658" s="28" t="str">
        <x:v>Универсальные</x:v>
      </x:c>
      <x:c r="C658" s="28" t="str">
        <x:v>трипл-сек</x:v>
      </x:c>
      <x:c r="D658" s="28" t="str">
        <x:v>triple sec</x:v>
      </x:c>
      <x:c r="E658" s="28" t="str">
        <x:v>Цитрусовые</x:v>
      </x:c>
      <x:c r="F658" s="28" t="str">
        <x:v>сушёный лимонный мирт</x:v>
      </x:c>
      <x:c r="G658" s="28" t="str">
        <x:v>dried lemon myrtle</x:v>
      </x:c>
      <x:c r="H658" s="28" t="str">
        <x:v>Прочее</x:v>
      </x:c>
      <x:c r="I658" s="28" t="str">
        <x:v>цитрусовый, сладко-фруктовый, цветочный, восковой</x:v>
      </x:c>
      <x:c r="J658" s="28" t="str">
        <x:v>нейтральный/специфический</x:v>
      </x:c>
      <x:c r="K658" s="28" t="str">
        <x:v>лимонен, линалол, деканаль, октаналь, мирцен</x:v>
      </x:c>
      <x:c r="L658" s="28" t="str">
        <x:v>нужен профиль конкретного продукта</x:v>
      </x:c>
      <x:c r="M658" s="28" t="str">
        <x:v>прямое семейное перекрытие не является главным механизмом</x:v>
      </x:c>
      <x:c r="N658" s="28" t="str">
        <x:v>надёжный общий маркер не заявлен; сочетание объясняется семействами и сенсорным балансом</x:v>
      </x:c>
      <x:c r="O658" s="28" t="str">
        <x:v>вкусовой баланс, тройничное восприятие</x:v>
      </x:c>
      <x:c r="P658" s="28" t="str">
        <x:v>Основной эффект определяется ароматическим контрастом и добавлением кислотной свежести; точный баланс зависит от дозировки и матрицы.</x:v>
      </x:c>
      <x:c r="Q658" s="28" t="str">
        <x:v>нет выраженного; нет данных</x:v>
      </x:c>
      <x:c r="R658" s="28" t="str">
        <x:v>сок водный; цедра и ликёры несут гидрофобные эфирные масла; зависит от формы продукта</x:v>
      </x:c>
      <x:c r="S65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58" s="28" t="str">
        <x:v>Трипл-сек формирует профиль «цитрусовый, сладко-фруктовый, цветочный, восковой»; характерные маркеры: лимонен, линалол, деканаль, октаналь, мирцен. Сушёный лимонный мирт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658" s="28" t="str">
        <x:v>Избыток кислоты делает вкус плоско-резким; белая часть кожуры даёт лишнюю горечь.</x:v>
      </x:c>
      <x:c r="V658" s="28" t="str">
        <x:v>мёд или нейтральная жировая основа</x:v>
      </x:c>
      <x:c r="W658" s="28" t="str">
        <x:v>соус, напиток или десерт после пробной дегустации</x:v>
      </x:c>
      <x:c r="X658" s="28" t="str">
        <x:v>универсальное</x:v>
      </x:c>
      <x:c r="Y658" s="28" t="str">
        <x:v>Средняя</x:v>
      </x:c>
      <x:c r="Z658" s="28" t="str">
        <x:v>The Art &amp; Science of Foodpairing.pdf</x:v>
      </x:c>
      <x:c r="AA658" s="28" t="str">
        <x:v>The Art &amp; Science of Foodpairing.pdf: 161</x:v>
      </x:c>
      <x:c r="AB658" s="28" t="str">
        <x:v>Пара представлена в ароматической диаграмме Foodpairing на странице 161.</x:v>
      </x:c>
      <x:c r="AC658" s="28" t="n">
        <x:v>1</x:v>
      </x:c>
      <x:c r="AD658" s="28" t="n">
        <x:v>1</x:v>
      </x:c>
    </x:row>
    <x:row r="659" ht="58" customHeight="1">
      <x:c r="A659" s="28" t="str">
        <x:v>CIT-0658</x:v>
      </x:c>
      <x:c r="B659" s="28" t="str">
        <x:v>Напитки</x:v>
      </x:c>
      <x:c r="C659" s="28" t="str">
        <x:v>цедра танжерина</x:v>
      </x:c>
      <x:c r="D659" s="28" t="str">
        <x:v>tangerine zest</x:v>
      </x:c>
      <x:c r="E659" s="28" t="str">
        <x:v>Цитрусовые</x:v>
      </x:c>
      <x:c r="F659" s="28" t="str">
        <x:v>зерновая водка</x:v>
      </x:c>
      <x:c r="G659" s="28" t="str">
        <x:v>100% grain vodka</x:v>
      </x:c>
      <x:c r="H659" s="28" t="str">
        <x:v>Алкогольные напитки</x:v>
      </x:c>
      <x:c r="I659" s="28" t="str">
        <x:v>цитрусовый, фруктовый, цветочный, пряный</x:v>
      </x:c>
      <x:c r="J659" s="28" t="str">
        <x:v>зависит от основы, эфирный, древесный/пряный</x:v>
      </x:c>
      <x:c r="K659" s="28" t="str">
        <x:v>лимонен, гамма-терпинен, метил-N-метилантранилат, линалол</x:v>
      </x:c>
      <x:c r="L659" s="28" t="str">
        <x:v>этанол, эфиры, терпены/дубовые соединения</x:v>
      </x:c>
      <x:c r="M659" s="28" t="str">
        <x:v>прямое семейное перекрытие не является главным механизмом</x:v>
      </x:c>
      <x:c r="N659" s="28" t="str">
        <x:v>надёжный общий маркер не заявлен; сочетание объясняется семействами и сенсорным балансом</x:v>
      </x:c>
      <x:c r="O659" s="28" t="str">
        <x:v>вкусовой баланс, тройничное восприятие, влияние матрицы/растворимости</x:v>
      </x:c>
      <x:c r="P659" s="28" t="str">
        <x:v>Этанол усиливает летучесть терпенов и ощущение тепла; сахар и вода регулируют кислотность, горечь кожуры и спиртуозность.</x:v>
      </x:c>
      <x:c r="Q659" s="28" t="str">
        <x:v>нет выраженного; этанол усиливает тепло и летучесть аромата</x:v>
      </x:c>
      <x:c r="R659" s="28" t="str">
        <x:v>сок водный; кожура богата эфирным маслом; этанол — хороший растворитель гидрофобных эфирных масел</x:v>
      </x:c>
      <x:c r="S659"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659"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Зерновая водка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U659" s="28" t="str">
        <x:v>Избыток кислоты делает вкус плоско-резким; белая часть кожуры даёт лишнюю горечь.</x:v>
      </x:c>
      <x:c r="V659" s="28" t="str">
        <x:v>сахарный сироп или биттер</x:v>
      </x:c>
      <x:c r="W659" s="28" t="str">
        <x:v>коктейль, спритц, настойка, ликёр или кордиал</x:v>
      </x:c>
      <x:c r="X659" s="28" t="str">
        <x:v>напитки</x:v>
      </x:c>
      <x:c r="Y659" s="28" t="str">
        <x:v>Средняя</x:v>
      </x:c>
      <x:c r="Z659" s="28" t="str">
        <x:v>The Art &amp; Science of Foodpairing.pdf</x:v>
      </x:c>
      <x:c r="AA659" s="28" t="str">
        <x:v>The Art &amp; Science of Foodpairing.pdf: 228</x:v>
      </x:c>
      <x:c r="AB659" s="28" t="str">
        <x:v>Пара представлена в ароматической диаграмме Foodpairing на странице 228.</x:v>
      </x:c>
      <x:c r="AC659" s="28" t="n">
        <x:v>1</x:v>
      </x:c>
      <x:c r="AD659" s="28" t="n">
        <x:v>1</x:v>
      </x:c>
    </x:row>
    <x:row r="660" ht="58" customHeight="1">
      <x:c r="A660" s="28" t="str">
        <x:v>CIT-0659</x:v>
      </x:c>
      <x:c r="B660" s="28" t="str">
        <x:v>Универсальные</x:v>
      </x:c>
      <x:c r="C660" s="28" t="str">
        <x:v>цедра танжерина</x:v>
      </x:c>
      <x:c r="D660" s="28" t="str">
        <x:v>tangerine zest</x:v>
      </x:c>
      <x:c r="E660" s="28" t="str">
        <x:v>Цитрусовые</x:v>
      </x:c>
      <x:c r="F660" s="28" t="str">
        <x:v>зира</x:v>
      </x:c>
      <x:c r="G660" s="28" t="str">
        <x:v>cumin</x:v>
      </x:c>
      <x:c r="H660" s="28" t="str">
        <x:v>Прочее</x:v>
      </x:c>
      <x:c r="I660" s="28" t="str">
        <x:v>цитрусовый, фруктовый, цветочный, пряный</x:v>
      </x:c>
      <x:c r="J660" s="28" t="str">
        <x:v>нейтральный/специфический</x:v>
      </x:c>
      <x:c r="K660" s="28" t="str">
        <x:v>лимонен, гамма-терпинен, метил-N-метилантранилат, линалол</x:v>
      </x:c>
      <x:c r="L660" s="28" t="str">
        <x:v>нужен профиль конкретного продукта</x:v>
      </x:c>
      <x:c r="M660" s="28" t="str">
        <x:v>прямое семейное перекрытие не является главным механизмом</x:v>
      </x:c>
      <x:c r="N660" s="28" t="str">
        <x:v>надёжный общий маркер не заявлен; сочетание объясняется семействами и сенсорным балансом</x:v>
      </x:c>
      <x:c r="O660" s="28" t="str">
        <x:v>вкусовой баланс, тройничное восприятие</x:v>
      </x:c>
      <x:c r="P660" s="28" t="str">
        <x:v>Основной эффект определяется ароматическим контрастом и добавлением кислотной свежести; точный баланс зависит от дозировки и матрицы.</x:v>
      </x:c>
      <x:c r="Q660" s="28" t="str">
        <x:v>нет выраженного; нет данных</x:v>
      </x:c>
      <x:c r="R660" s="28" t="str">
        <x:v>сок водный; кожура богата эфирным маслом; зависит от формы продукта</x:v>
      </x:c>
      <x:c r="S66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60"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Зира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60" s="28" t="str">
        <x:v>Избыток кислоты делает вкус плоско-резким; белая часть кожуры даёт лишнюю горечь.</x:v>
      </x:c>
      <x:c r="V660" s="28" t="str">
        <x:v>мёд или нейтральная жировая основа</x:v>
      </x:c>
      <x:c r="W660" s="28" t="str">
        <x:v>соус, напиток или десерт после пробной дегустации</x:v>
      </x:c>
      <x:c r="X660" s="28" t="str">
        <x:v>универсальное</x:v>
      </x:c>
      <x:c r="Y660" s="28" t="str">
        <x:v>Средняя</x:v>
      </x:c>
      <x:c r="Z660" s="28" t="str">
        <x:v>The Art &amp; Science of Foodpairing.pdf</x:v>
      </x:c>
      <x:c r="AA660" s="28" t="str">
        <x:v>The Art &amp; Science of Foodpairing.pdf: 228</x:v>
      </x:c>
      <x:c r="AB660" s="28" t="str">
        <x:v>Пара представлена в ароматической диаграмме Foodpairing на странице 228.</x:v>
      </x:c>
      <x:c r="AC660" s="28" t="n">
        <x:v>1</x:v>
      </x:c>
      <x:c r="AD660" s="28" t="n">
        <x:v>1</x:v>
      </x:c>
    </x:row>
    <x:row r="661" ht="58" customHeight="1">
      <x:c r="A661" s="28" t="str">
        <x:v>CIT-0660</x:v>
      </x:c>
      <x:c r="B661" s="28" t="str">
        <x:v>Десерты и выпечка</x:v>
      </x:c>
      <x:c r="C661" s="28" t="str">
        <x:v>цедра танжерина</x:v>
      </x:c>
      <x:c r="D661" s="28" t="str">
        <x:v>tangerine zest</x:v>
      </x:c>
      <x:c r="E661" s="28" t="str">
        <x:v>Цитрусовые</x:v>
      </x:c>
      <x:c r="F661" s="28" t="str">
        <x:v>манго Кейтт</x:v>
      </x:c>
      <x:c r="G661" s="28" t="str">
        <x:v>Keitt mango</x:v>
      </x:c>
      <x:c r="H661" s="28" t="str">
        <x:v>Тропические фрукты</x:v>
      </x:c>
      <x:c r="I661" s="28" t="str">
        <x:v>цитрусовый, фруктовый, цветочный, пряный</x:v>
      </x:c>
      <x:c r="J661" s="28" t="str">
        <x:v>фруктовый, тропический, цветочный, сливочный</x:v>
      </x:c>
      <x:c r="K661" s="28" t="str">
        <x:v>лимонен, гамма-терпинен, метил-N-метилантранилат, линалол</x:v>
      </x:c>
      <x:c r="L661" s="28" t="str">
        <x:v>этилбутират, гексилацетат, лактоны, сернистые тиолы (у части фруктов)</x:v>
      </x:c>
      <x:c r="M661" s="28" t="str">
        <x:v>фруктовый, цветочный</x:v>
      </x:c>
      <x:c r="N661" s="28" t="str">
        <x:v>надёжный общий маркер не заявлен; сочетание объясняется семействами и сенсорным балансом</x:v>
      </x:c>
      <x:c r="O661" s="28" t="str">
        <x:v>перекрытие ароматических семейств, вкусовой баланс</x:v>
      </x:c>
      <x:c r="P661" s="28" t="str">
        <x:v>Общая фруктовая сладость и летучие эфиры создают непрерывный ароматический профиль, а цитрусовая кислота повышает контраст и свежесть.</x:v>
      </x:c>
      <x:c r="Q661" s="28" t="str">
        <x:v>нет выраженного; нет выраженного</x:v>
      </x:c>
      <x:c r="R661" s="28" t="str">
        <x:v>сок водный; кожура богата эфирным маслом; сочная или кремовая фруктовая матрица</x:v>
      </x:c>
      <x:c r="S66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61"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Манго кейтт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U661" s="28" t="str">
        <x:v>Избыток кислоты делает вкус плоско-резким; белая часть кожуры даёт лишнюю горечь.</x:v>
      </x:c>
      <x:c r="V661" s="28" t="str">
        <x:v>кокос или имбирь</x:v>
      </x:c>
      <x:c r="W661" s="28" t="str">
        <x:v>смузи, кордиал, сорбет, чатни или коктейль</x:v>
      </x:c>
      <x:c r="X661" s="28" t="str">
        <x:v>напитки, десерты</x:v>
      </x:c>
      <x:c r="Y661" s="28" t="str">
        <x:v>Средняя</x:v>
      </x:c>
      <x:c r="Z661" s="28" t="str">
        <x:v>The Art &amp; Science of Foodpairing.pdf</x:v>
      </x:c>
      <x:c r="AA661" s="28" t="str">
        <x:v>The Art &amp; Science of Foodpairing.pdf: 228</x:v>
      </x:c>
      <x:c r="AB661" s="28" t="str">
        <x:v>Пара представлена в ароматической диаграмме Foodpairing на странице 228.</x:v>
      </x:c>
      <x:c r="AC661" s="28" t="n">
        <x:v>1</x:v>
      </x:c>
      <x:c r="AD661" s="28" t="n">
        <x:v>1</x:v>
      </x:c>
    </x:row>
    <x:row r="662" ht="58" customHeight="1">
      <x:c r="A662" s="28" t="str">
        <x:v>CIT-0661</x:v>
      </x:c>
      <x:c r="B662" s="28" t="str">
        <x:v>Универсальные</x:v>
      </x:c>
      <x:c r="C662" s="28" t="str">
        <x:v>цедра танжерина</x:v>
      </x:c>
      <x:c r="D662" s="28" t="str">
        <x:v>tangerine zest</x:v>
      </x:c>
      <x:c r="E662" s="28" t="str">
        <x:v>Цитрусовые</x:v>
      </x:c>
      <x:c r="F662" s="28" t="str">
        <x:v>молотый чёрный перец</x:v>
      </x:c>
      <x:c r="G662" s="28" t="str">
        <x:v>groundb lack pepper</x:v>
      </x:c>
      <x:c r="H662" s="28" t="str">
        <x:v>Пряности</x:v>
      </x:c>
      <x:c r="I662" s="28" t="str">
        <x:v>цитрусовый, фруктовый, цветочный, пряный</x:v>
      </x:c>
      <x:c r="J662" s="28" t="str">
        <x:v>пряный, древесный, цитрусовый</x:v>
      </x:c>
      <x:c r="K662" s="28" t="str">
        <x:v>лимонен, гамма-терпинен, метил-N-метилантранилат, линалол</x:v>
      </x:c>
      <x:c r="L662" s="28" t="str">
        <x:v>пиперин, лимонен, сабинен, бета-кариофиллен</x:v>
      </x:c>
      <x:c r="M662" s="28" t="str">
        <x:v>пряный, цитрусовый</x:v>
      </x:c>
      <x:c r="N662" s="28" t="str">
        <x:v>лимонен</x:v>
      </x:c>
      <x:c r="O662" s="28" t="str">
        <x:v>общие ароматические молекулы, перекрытие ароматических семейств, вкусовой баланс, тройничное восприятие</x:v>
      </x:c>
      <x:c r="P662" s="28" t="str">
        <x:v>Кислота усиливает слюноотделение и делает пряный аромат ярче; терпены цитруса образуют мост с эфирными маслами травы или специи.</x:v>
      </x:c>
      <x:c r="Q662" s="28" t="str">
        <x:v>нет выраженного; пиперин создаёт длительное тепло; сычуаньский перец — покалывание</x:v>
      </x:c>
      <x:c r="R662" s="28" t="str">
        <x:v>сок водный; кожура богата эфирным маслом; ароматические масла и пиперин лучше раскрываются в жире/спирте</x:v>
      </x:c>
      <x:c r="S66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62"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Молотый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U662" s="28" t="str">
        <x:v>Избыток кислоты делает вкус плоско-резким; белая часть кожуры даёт лишнюю горечь.</x:v>
      </x:c>
      <x:c r="V662" s="28" t="str">
        <x:v>мёд или ваниль</x:v>
      </x:c>
      <x:c r="W662" s="28" t="str">
        <x:v>сироп, кордиал, чатни, маринад или пряный десерт</x:v>
      </x:c>
      <x:c r="X662" s="28" t="str">
        <x:v>напитки, еда, соусы/маринады</x:v>
      </x:c>
      <x:c r="Y662" s="28" t="str">
        <x:v>Средняя</x:v>
      </x:c>
      <x:c r="Z662" s="28" t="str">
        <x:v>The Art &amp; Science of Foodpairing.pdf</x:v>
      </x:c>
      <x:c r="AA662" s="28" t="str">
        <x:v>The Art &amp; Science of Foodpairing.pdf: 228</x:v>
      </x:c>
      <x:c r="AB662" s="28" t="str">
        <x:v>Пара представлена в ароматической диаграмме Foodpairing на странице 228.</x:v>
      </x:c>
      <x:c r="AC662" s="28" t="n">
        <x:v>1</x:v>
      </x:c>
      <x:c r="AD662" s="28" t="n">
        <x:v>1</x:v>
      </x:c>
    </x:row>
    <x:row r="663" ht="58" customHeight="1">
      <x:c r="A663" s="28" t="str">
        <x:v>CIT-0662</x:v>
      </x:c>
      <x:c r="B663" s="28" t="str">
        <x:v>Еда и соусы</x:v>
      </x:c>
      <x:c r="C663" s="28" t="str">
        <x:v>цедра танжерина</x:v>
      </x:c>
      <x:c r="D663" s="28" t="str">
        <x:v>tangerine zest</x:v>
      </x:c>
      <x:c r="E663" s="28" t="str">
        <x:v>Цитрусовые</x:v>
      </x:c>
      <x:c r="F663" s="28" t="str">
        <x:v>обжаренная свёкла</x:v>
      </x:c>
      <x:c r="G663" s="28" t="str">
        <x:v>pan-fried beetroot</x:v>
      </x:c>
      <x:c r="H663" s="28" t="str">
        <x:v>Овощи</x:v>
      </x:c>
      <x:c r="I663" s="28" t="str">
        <x:v>цитрусовый, фруктовый, цветочный, пряный</x:v>
      </x:c>
      <x:c r="J663" s="28" t="str">
        <x:v>зелёный, землистый, растительный, иногда сернистый</x:v>
      </x:c>
      <x:c r="K663" s="28" t="str">
        <x:v>лимонен, гамма-терпинен, метил-N-метилантранилат, линалол</x:v>
      </x:c>
      <x:c r="L663" s="28" t="str">
        <x:v>C6-альдегиды, метоксипиразины, геосмин (землистые), сернистые соединения</x:v>
      </x:c>
      <x:c r="M663" s="28" t="str">
        <x:v>прямое семейное перекрытие не является главным механизмом</x:v>
      </x:c>
      <x:c r="N663" s="28" t="str">
        <x:v>надёжный общий маркер не заявлен; сочетание объясняется семействами и сенсорным балансом</x:v>
      </x:c>
      <x:c r="O663" s="28" t="str">
        <x:v>вкусовой баланс</x:v>
      </x:c>
      <x:c r="P663" s="28" t="str">
        <x:v>Кислота подчёркивает природную сладость овоща, сокращает землистое/сернистое послевкусие и повышает слюноотделение.</x:v>
      </x:c>
      <x:c r="Q663" s="28" t="str">
        <x:v>нет выраженного; нет выраженного</x:v>
      </x:c>
      <x:c r="R663" s="28" t="str">
        <x:v>сок водный; кожура богата эфирным маслом; водная/крахмальная матрица; масло помогает распределить цедру</x:v>
      </x:c>
      <x:c r="S66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63"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Обжаренная свёкла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U663" s="28" t="str">
        <x:v>Избыток кислоты делает вкус плоско-резким; белая часть кожуры даёт лишнюю горечь.</x:v>
      </x:c>
      <x:c r="V663" s="28" t="str">
        <x:v>оливковое масло или базилик</x:v>
      </x:c>
      <x:c r="W663" s="28" t="str">
        <x:v>винегрет, салат, пюре, запечённое блюдо или овощной соус</x:v>
      </x:c>
      <x:c r="X663" s="28" t="str">
        <x:v>еда, соусы/маринады</x:v>
      </x:c>
      <x:c r="Y663" s="28" t="str">
        <x:v>Средняя</x:v>
      </x:c>
      <x:c r="Z663" s="28" t="str">
        <x:v>The Art &amp; Science of Foodpairing.pdf</x:v>
      </x:c>
      <x:c r="AA663" s="28" t="str">
        <x:v>The Art &amp; Science of Foodpairing.pdf: 228</x:v>
      </x:c>
      <x:c r="AB663" s="28" t="str">
        <x:v>Пара представлена в ароматической диаграмме Foodpairing на странице 228.</x:v>
      </x:c>
      <x:c r="AC663" s="28" t="n">
        <x:v>1</x:v>
      </x:c>
      <x:c r="AD663" s="28" t="n">
        <x:v>1</x:v>
      </x:c>
    </x:row>
    <x:row r="664" ht="58" customHeight="1">
      <x:c r="A664" s="28" t="str">
        <x:v>CIT-0663</x:v>
      </x:c>
      <x:c r="B664" s="28" t="str">
        <x:v>Десерты и выпечка</x:v>
      </x:c>
      <x:c r="C664" s="28" t="str">
        <x:v>цедра танжерина</x:v>
      </x:c>
      <x:c r="D664" s="28" t="str">
        <x:v>tangerine zest</x:v>
      </x:c>
      <x:c r="E664" s="28" t="str">
        <x:v>Цитрусовые</x:v>
      </x:c>
      <x:c r="F664" s="28" t="str">
        <x:v>приготовленный бурый рис</x:v>
      </x:c>
      <x:c r="G664" s="28" t="str">
        <x:v>cooked brown rice</x:v>
      </x:c>
      <x:c r="H664" s="28" t="str">
        <x:v>Злаки и хлеб</x:v>
      </x:c>
      <x:c r="I664" s="28" t="str">
        <x:v>цитрусовый, фруктовый, цветочный, пряный</x:v>
      </x:c>
      <x:c r="J664" s="28" t="str">
        <x:v>зерновой, обжаренный, ореховый, дрожжевой</x:v>
      </x:c>
      <x:c r="K664" s="28" t="str">
        <x:v>лимонен, гамма-терпинен, метил-N-метилантранилат, линалол</x:v>
      </x:c>
      <x:c r="L664" s="28" t="str">
        <x:v>пиразины, мальтол, фураны, эфиры брожения</x:v>
      </x:c>
      <x:c r="M664" s="28" t="str">
        <x:v>прямое семейное перекрытие не является главным механизмом</x:v>
      </x:c>
      <x:c r="N664" s="28" t="str">
        <x:v>надёжный общий маркер не заявлен; сочетание объясняется семействами и сенсорным балансом</x:v>
      </x:c>
      <x:c r="O664" s="28" t="str">
        <x:v>вкусовой баланс</x:v>
      </x:c>
      <x:c r="P664" s="28" t="str">
        <x:v>Высокая кисло-ароматическая нота контрастирует с жареными, горькими и карамельными оттенками; сахар или жир связывает два регистра.</x:v>
      </x:c>
      <x:c r="Q664" s="28" t="str">
        <x:v>нет выраженного; нет выраженного</x:v>
      </x:c>
      <x:c r="R664" s="28" t="str">
        <x:v>сок водный; кожура богата эфирным маслом; крахмал смягчает кислотность; жир/масло помогает аромату цедры</x:v>
      </x:c>
      <x:c r="S66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64"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Приготовленный бурый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U664" s="28" t="str">
        <x:v>Избыток кислоты делает вкус плоско-резким; белая часть кожуры даёт лишнюю горечь.</x:v>
      </x:c>
      <x:c r="V664" s="28" t="str">
        <x:v>сливочное масло или мёд</x:v>
      </x:c>
      <x:c r="W664" s="28" t="str">
        <x:v>кекс, каша, хлеб, крамбл или салат</x:v>
      </x:c>
      <x:c r="X664" s="28" t="str">
        <x:v>десерты, еда</x:v>
      </x:c>
      <x:c r="Y664" s="28" t="str">
        <x:v>Средняя</x:v>
      </x:c>
      <x:c r="Z664" s="28" t="str">
        <x:v>The Art &amp; Science of Foodpairing.pdf</x:v>
      </x:c>
      <x:c r="AA664" s="28" t="str">
        <x:v>The Art &amp; Science of Foodpairing.pdf: 108</x:v>
      </x:c>
      <x:c r="AB664" s="28" t="str">
        <x:v>Пара представлена в ароматической диаграмме Foodpairing на странице 108.</x:v>
      </x:c>
      <x:c r="AC664" s="28" t="n">
        <x:v>1</x:v>
      </x:c>
      <x:c r="AD664" s="28" t="n">
        <x:v>1</x:v>
      </x:c>
    </x:row>
    <x:row r="665" ht="58" customHeight="1">
      <x:c r="A665" s="28" t="str">
        <x:v>CIT-0664</x:v>
      </x:c>
      <x:c r="B665" s="28" t="str">
        <x:v>Десерты и выпечка</x:v>
      </x:c>
      <x:c r="C665" s="28" t="str">
        <x:v>цедра танжерина</x:v>
      </x:c>
      <x:c r="D665" s="28" t="str">
        <x:v>tangerine zest</x:v>
      </x:c>
      <x:c r="E665" s="28" t="str">
        <x:v>Цитрусовые</x:v>
      </x:c>
      <x:c r="F665" s="28" t="str">
        <x:v>семена зиры</x:v>
      </x:c>
      <x:c r="G665" s="28" t="str">
        <x:v>cumin seeds</x:v>
      </x:c>
      <x:c r="H665" s="28" t="str">
        <x:v>Орехи и семена</x:v>
      </x:c>
      <x:c r="I665" s="28" t="str">
        <x:v>цитрусовый, фруктовый, цветочный, пряный</x:v>
      </x:c>
      <x:c r="J665" s="28" t="str">
        <x:v>ореховый, обжаренный, жирный, зелёный</x:v>
      </x:c>
      <x:c r="K665" s="28" t="str">
        <x:v>лимонен, гамма-терпинен, метил-N-метилантранилат, линалол</x:v>
      </x:c>
      <x:c r="L665" s="28" t="str">
        <x:v>пиразины, альдегиды окисления жиров, бензальдегид (миндаль)</x:v>
      </x:c>
      <x:c r="M665" s="28" t="str">
        <x:v>прямое семейное перекрытие не является главным механизмом</x:v>
      </x:c>
      <x:c r="N665" s="28" t="str">
        <x:v>надёжный общий маркер не заявлен; сочетание объясняется семействами и сенсорным балансом</x:v>
      </x:c>
      <x:c r="O665" s="28" t="str">
        <x:v>вкусовой баланс, влияние матрицы/растворимости</x:v>
      </x:c>
      <x:c r="P665" s="28" t="str">
        <x:v>Кислотность и лёгкая горечь цитруса снижают ощущение жирности; соль и умами, в свою очередь, делают фруктовую часть менее резкой.</x:v>
      </x:c>
      <x:c r="Q665" s="28" t="str">
        <x:v>нет выраженного; нет выраженного</x:v>
      </x:c>
      <x:c r="R665" s="28" t="str">
        <x:v>сок водный; кожура богата эфирным маслом; высокая жирность растворяет терпеновые масла цитруса</x:v>
      </x:c>
      <x:c r="S665"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665"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Семена зиры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U665" s="28" t="str">
        <x:v>Избыток кислоты делает вкус плоско-резким; белая часть кожуры даёт лишнюю горечь.</x:v>
      </x:c>
      <x:c r="V665" s="28" t="str">
        <x:v>мёд или шоколад</x:v>
      </x:c>
      <x:c r="W665" s="28" t="str">
        <x:v>пралине, крем, выпечка, салат или ореховый соус</x:v>
      </x:c>
      <x:c r="X665" s="28" t="str">
        <x:v>десерты</x:v>
      </x:c>
      <x:c r="Y665" s="28" t="str">
        <x:v>Средняя</x:v>
      </x:c>
      <x:c r="Z665" s="28" t="str">
        <x:v>The Art &amp; Science of Foodpairing.pdf</x:v>
      </x:c>
      <x:c r="AA665" s="28" t="str">
        <x:v>The Art &amp; Science of Foodpairing.pdf: 228</x:v>
      </x:c>
      <x:c r="AB665" s="28" t="str">
        <x:v>Пара представлена в ароматической диаграмме Foodpairing на странице 228.</x:v>
      </x:c>
      <x:c r="AC665" s="28" t="n">
        <x:v>1</x:v>
      </x:c>
      <x:c r="AD665" s="28" t="n">
        <x:v>1</x:v>
      </x:c>
    </x:row>
    <x:row r="666" ht="58" customHeight="1">
      <x:c r="A666" s="28" t="str">
        <x:v>CIT-0665</x:v>
      </x:c>
      <x:c r="B666" s="28" t="str">
        <x:v>Десерты и выпечка</x:v>
      </x:c>
      <x:c r="C666" s="28" t="str">
        <x:v>цедра танжерина</x:v>
      </x:c>
      <x:c r="D666" s="28" t="str">
        <x:v>tangerine zest</x:v>
      </x:c>
      <x:c r="E666" s="28" t="str">
        <x:v>Цитрусовые</x:v>
      </x:c>
      <x:c r="F666" s="28" t="str">
        <x:v>сушёные ягоды можжевельника</x:v>
      </x:c>
      <x:c r="G666" s="28" t="str">
        <x:v>dried juniper berry</x:v>
      </x:c>
      <x:c r="H666" s="28" t="str">
        <x:v>Ягоды/косточковые</x:v>
      </x:c>
      <x:c r="I666" s="28" t="str">
        <x:v>цитрусовый, фруктовый, цветочный, пряный</x:v>
      </x:c>
      <x:c r="J666" s="28" t="str">
        <x:v>фруктовый, цветочный, зелёный, винный</x:v>
      </x:c>
      <x:c r="K666" s="28" t="str">
        <x:v>лимонен, гамма-терпинен, метил-N-метилантранилат, линалол</x:v>
      </x:c>
      <x:c r="L666" s="28" t="str">
        <x:v>иононы, дамасценон, эфиры, бензальдегид (для косточковых)</x:v>
      </x:c>
      <x:c r="M666" s="28" t="str">
        <x:v>фруктовый, цветочный</x:v>
      </x:c>
      <x:c r="N666" s="28" t="str">
        <x:v>надёжный общий маркер не заявлен; сочетание объясняется семействами и сенсорным балансом</x:v>
      </x:c>
      <x:c r="O666" s="28" t="str">
        <x:v>перекрытие ароматических семейств, вкусовой баланс</x:v>
      </x:c>
      <x:c r="P666" s="28" t="str">
        <x:v>Общая фруктовая сладость и летучие эфиры создают непрерывный ароматический профиль, а цитрусовая кислота повышает контраст и свежесть.</x:v>
      </x:c>
      <x:c r="Q666" s="28" t="str">
        <x:v>нет выраженного; нет выраженного</x:v>
      </x:c>
      <x:c r="R666" s="28" t="str">
        <x:v>сок водный; кожура богата эфирным маслом; водная матрица с антоцианами и полифенолами</x:v>
      </x:c>
      <x:c r="S66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66"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Сушёные ягоды можжевельника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U666" s="28" t="str">
        <x:v>Избыток кислоты делает вкус плоско-резким; белая часть кожуры даёт лишнюю горечь.</x:v>
      </x:c>
      <x:c r="V666" s="28" t="str">
        <x:v>ваниль или миндаль</x:v>
      </x:c>
      <x:c r="W666" s="28" t="str">
        <x:v>джем, сорбет, коктейль или соус</x:v>
      </x:c>
      <x:c r="X666" s="28" t="str">
        <x:v>напитки, десерты</x:v>
      </x:c>
      <x:c r="Y666" s="28" t="str">
        <x:v>Средняя</x:v>
      </x:c>
      <x:c r="Z666" s="28" t="str">
        <x:v>The Art &amp; Science of Foodpairing.pdf</x:v>
      </x:c>
      <x:c r="AA666" s="28" t="str">
        <x:v>The Art &amp; Science of Foodpairing.pdf: 228</x:v>
      </x:c>
      <x:c r="AB666" s="28" t="str">
        <x:v>Пара представлена в ароматической диаграмме Foodpairing на странице 228.</x:v>
      </x:c>
      <x:c r="AC666" s="28" t="n">
        <x:v>1</x:v>
      </x:c>
      <x:c r="AD666" s="28" t="n">
        <x:v>1</x:v>
      </x:c>
    </x:row>
    <x:row r="667" ht="58" customHeight="1">
      <x:c r="A667" s="28" t="str">
        <x:v>CIT-0666</x:v>
      </x:c>
      <x:c r="B667" s="28" t="str">
        <x:v>Еда и соусы</x:v>
      </x:c>
      <x:c r="C667" s="28" t="str">
        <x:v>цедра танжерина</x:v>
      </x:c>
      <x:c r="D667" s="28" t="str">
        <x:v>tangerine zest</x:v>
      </x:c>
      <x:c r="E667" s="28" t="str">
        <x:v>Цитрусовые</x:v>
      </x:c>
      <x:c r="F667" s="28" t="str">
        <x:v>тыква</x:v>
      </x:c>
      <x:c r="G667" s="28" t="str">
        <x:v>pumpkin</x:v>
      </x:c>
      <x:c r="H667" s="28" t="str">
        <x:v>Овощи</x:v>
      </x:c>
      <x:c r="I667" s="28" t="str">
        <x:v>цитрусовый, фруктовый, цветочный, пряный</x:v>
      </x:c>
      <x:c r="J667" s="28" t="str">
        <x:v>зелёный, землистый, растительный, иногда сернистый</x:v>
      </x:c>
      <x:c r="K667" s="28" t="str">
        <x:v>лимонен, гамма-терпинен, метил-N-метилантранилат, линалол</x:v>
      </x:c>
      <x:c r="L667" s="28" t="str">
        <x:v>C6-альдегиды, метоксипиразины, геосмин (землистые), сернистые соединения</x:v>
      </x:c>
      <x:c r="M667" s="28" t="str">
        <x:v>прямое семейное перекрытие не является главным механизмом</x:v>
      </x:c>
      <x:c r="N667" s="28" t="str">
        <x:v>надёжный общий маркер не заявлен; сочетание объясняется семействами и сенсорным балансом</x:v>
      </x:c>
      <x:c r="O667" s="28" t="str">
        <x:v>вкусовой баланс</x:v>
      </x:c>
      <x:c r="P667" s="28" t="str">
        <x:v>Кислота подчёркивает природную сладость овоща, сокращает землистое/сернистое послевкусие и повышает слюноотделение.</x:v>
      </x:c>
      <x:c r="Q667" s="28" t="str">
        <x:v>нет выраженного; нет выраженного</x:v>
      </x:c>
      <x:c r="R667" s="28" t="str">
        <x:v>сок водный; кожура богата эфирным маслом; водная/крахмальная матрица; масло помогает распределить цедру</x:v>
      </x:c>
      <x:c r="S66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67"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U667" s="28" t="str">
        <x:v>Избыток кислоты делает вкус плоско-резким; белая часть кожуры даёт лишнюю горечь.</x:v>
      </x:c>
      <x:c r="V667" s="28" t="str">
        <x:v>оливковое масло или базилик</x:v>
      </x:c>
      <x:c r="W667" s="28" t="str">
        <x:v>винегрет, салат, пюре, запечённое блюдо или овощной соус</x:v>
      </x:c>
      <x:c r="X667" s="28" t="str">
        <x:v>еда, соусы/маринады</x:v>
      </x:c>
      <x:c r="Y667" s="28" t="str">
        <x:v>Средняя</x:v>
      </x:c>
      <x:c r="Z667" s="28" t="str">
        <x:v>The Art &amp; Science of Foodpairing.pdf</x:v>
      </x:c>
      <x:c r="AA667" s="28" t="str">
        <x:v>The Art &amp; Science of Foodpairing.pdf: 228</x:v>
      </x:c>
      <x:c r="AB667" s="28" t="str">
        <x:v>Пара представлена в ароматической диаграмме Foodpairing на странице 228.</x:v>
      </x:c>
      <x:c r="AC667" s="28" t="n">
        <x:v>1</x:v>
      </x:c>
      <x:c r="AD667" s="28" t="n">
        <x:v>1</x:v>
      </x:c>
    </x:row>
    <x:row r="668" ht="58" customHeight="1">
      <x:c r="A668" s="28" t="str">
        <x:v>CIT-0667</x:v>
      </x:c>
      <x:c r="B668" s="28" t="str">
        <x:v>Универсальные</x:v>
      </x:c>
      <x:c r="C668" s="28" t="str">
        <x:v>цедра танжерина</x:v>
      </x:c>
      <x:c r="D668" s="28" t="str">
        <x:v>tangerine zest</x:v>
      </x:c>
      <x:c r="E668" s="28" t="str">
        <x:v>Цитрусовые</x:v>
      </x:c>
      <x:c r="F668" s="28" t="str">
        <x:v>хамон иберико</x:v>
      </x:c>
      <x:c r="G668" s="28" t="str">
        <x:v>lb9rico ham (jamón 100% lbèrico debellota)</x:v>
      </x:c>
      <x:c r="H668" s="28" t="str">
        <x:v>Прочее</x:v>
      </x:c>
      <x:c r="I668" s="28" t="str">
        <x:v>цитрусовый, фруктовый, цветочный, пряный</x:v>
      </x:c>
      <x:c r="J668" s="28" t="str">
        <x:v>нейтральный/специфический</x:v>
      </x:c>
      <x:c r="K668" s="28" t="str">
        <x:v>лимонен, гамма-терпинен, метил-N-метилантранилат, линалол</x:v>
      </x:c>
      <x:c r="L668" s="28" t="str">
        <x:v>нужен профиль конкретного продукта</x:v>
      </x:c>
      <x:c r="M668" s="28" t="str">
        <x:v>прямое семейное перекрытие не является главным механизмом</x:v>
      </x:c>
      <x:c r="N668" s="28" t="str">
        <x:v>надёжный общий маркер не заявлен; сочетание объясняется семействами и сенсорным балансом</x:v>
      </x:c>
      <x:c r="O668" s="28" t="str">
        <x:v>вкусовой баланс, тройничное восприятие</x:v>
      </x:c>
      <x:c r="P668" s="28" t="str">
        <x:v>Основной эффект определяется ароматическим контрастом и добавлением кислотной свежести; точный баланс зависит от дозировки и матрицы.</x:v>
      </x:c>
      <x:c r="Q668" s="28" t="str">
        <x:v>нет выраженного; нет данных</x:v>
      </x:c>
      <x:c r="R668" s="28" t="str">
        <x:v>сок водный; кожура богата эфирным маслом; зависит от формы продукта</x:v>
      </x:c>
      <x:c r="S66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68"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Хамон иберико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68" s="28" t="str">
        <x:v>Избыток кислоты делает вкус плоско-резким; белая часть кожуры даёт лишнюю горечь.</x:v>
      </x:c>
      <x:c r="V668" s="28" t="str">
        <x:v>мёд или нейтральная жировая основа</x:v>
      </x:c>
      <x:c r="W668" s="28" t="str">
        <x:v>соус, напиток или десерт после пробной дегустации</x:v>
      </x:c>
      <x:c r="X668" s="28" t="str">
        <x:v>универсальное</x:v>
      </x:c>
      <x:c r="Y668" s="28" t="str">
        <x:v>Средняя</x:v>
      </x:c>
      <x:c r="Z668" s="28" t="str">
        <x:v>The Art &amp; Science of Foodpairing.pdf</x:v>
      </x:c>
      <x:c r="AA668" s="28" t="str">
        <x:v>The Art &amp; Science of Foodpairing.pdf: 228</x:v>
      </x:c>
      <x:c r="AB668" s="28" t="str">
        <x:v>Пара представлена в ароматической диаграмме Foodpairing на странице 228.</x:v>
      </x:c>
      <x:c r="AC668" s="28" t="n">
        <x:v>1</x:v>
      </x:c>
      <x:c r="AD668" s="28" t="n">
        <x:v>1</x:v>
      </x:c>
    </x:row>
    <x:row r="669" ht="58" customHeight="1">
      <x:c r="A669" s="28" t="str">
        <x:v>CIT-0668</x:v>
      </x:c>
      <x:c r="B669" s="28" t="str">
        <x:v>Универсальные</x:v>
      </x:c>
      <x:c r="C669" s="28" t="str">
        <x:v>цедра танжерина</x:v>
      </x:c>
      <x:c r="D669" s="28" t="str">
        <x:v>tangerine zest</x:v>
      </x:c>
      <x:c r="E669" s="28" t="str">
        <x:v>Цитрусовые</x:v>
      </x:c>
      <x:c r="F669" s="28" t="str">
        <x:v>чабер</x:v>
      </x:c>
      <x:c r="G669" s="28" t="str">
        <x:v>summer savory</x:v>
      </x:c>
      <x:c r="H669" s="28" t="str">
        <x:v>Прочее</x:v>
      </x:c>
      <x:c r="I669" s="28" t="str">
        <x:v>цитрусовый, фруктовый, цветочный, пряный</x:v>
      </x:c>
      <x:c r="J669" s="28" t="str">
        <x:v>нейтральный/специфический</x:v>
      </x:c>
      <x:c r="K669" s="28" t="str">
        <x:v>лимонен, гамма-терпинен, метил-N-метилантранилат, линалол</x:v>
      </x:c>
      <x:c r="L669" s="28" t="str">
        <x:v>нужен профиль конкретного продукта</x:v>
      </x:c>
      <x:c r="M669" s="28" t="str">
        <x:v>прямое семейное перекрытие не является главным механизмом</x:v>
      </x:c>
      <x:c r="N669" s="28" t="str">
        <x:v>надёжный общий маркер не заявлен; сочетание объясняется семействами и сенсорным балансом</x:v>
      </x:c>
      <x:c r="O669" s="28" t="str">
        <x:v>вкусовой баланс, тройничное восприятие</x:v>
      </x:c>
      <x:c r="P669" s="28" t="str">
        <x:v>Основной эффект определяется ароматическим контрастом и добавлением кислотной свежести; точный баланс зависит от дозировки и матрицы.</x:v>
      </x:c>
      <x:c r="Q669" s="28" t="str">
        <x:v>нет выраженного; нет данных</x:v>
      </x:c>
      <x:c r="R669" s="28" t="str">
        <x:v>сок водный; кожура богата эфирным маслом; зависит от формы продукта</x:v>
      </x:c>
      <x:c r="S66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69"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Чабер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Мандариновая группа мягче по кислотности и выраженнее по сладко-цветочным нотам. Для точного молекулярного вывода нужен профиль конкретного ингредиента и способа обработки.</x:v>
      </x:c>
      <x:c r="U669" s="28" t="str">
        <x:v>Избыток кислоты делает вкус плоско-резким; белая часть кожуры даёт лишнюю горечь.</x:v>
      </x:c>
      <x:c r="V669" s="28" t="str">
        <x:v>мёд или нейтральная жировая основа</x:v>
      </x:c>
      <x:c r="W669" s="28" t="str">
        <x:v>соус, напиток или десерт после пробной дегустации</x:v>
      </x:c>
      <x:c r="X669" s="28" t="str">
        <x:v>универсальное</x:v>
      </x:c>
      <x:c r="Y669" s="28" t="str">
        <x:v>Средняя</x:v>
      </x:c>
      <x:c r="Z669" s="28" t="str">
        <x:v>The Art &amp; Science of Foodpairing.pdf</x:v>
      </x:c>
      <x:c r="AA669" s="28" t="str">
        <x:v>The Art &amp; Science of Foodpairing.pdf: 228</x:v>
      </x:c>
      <x:c r="AB669" s="28" t="str">
        <x:v>Пара представлена в ароматической диаграмме Foodpairing на странице 228.</x:v>
      </x:c>
      <x:c r="AC669" s="28" t="n">
        <x:v>1</x:v>
      </x:c>
      <x:c r="AD669" s="28" t="n">
        <x:v>1</x:v>
      </x:c>
    </x:row>
    <x:row r="670" ht="58" customHeight="1">
      <x:c r="A670" s="28" t="str">
        <x:v>CIT-0669</x:v>
      </x:c>
      <x:c r="B670" s="28" t="str">
        <x:v>Напитки</x:v>
      </x:c>
      <x:c r="C670" s="28" t="str">
        <x:v>цитрусовые</x:v>
      </x:c>
      <x:c r="D670" s="28" t="str">
        <x:v>цитрусовые</x:v>
      </x:c>
      <x:c r="E670" s="28" t="str">
        <x:v>Цитрусовые</x:v>
      </x:c>
      <x:c r="F670" s="28" t="str">
        <x:v>виноград</x:v>
      </x:c>
      <x:c r="G670" s="28" t="str">
        <x:v>Виноград</x:v>
      </x:c>
      <x:c r="H670" s="28" t="str">
        <x:v>Алкогольные напитки</x:v>
      </x:c>
      <x:c r="I670" s="28" t="str">
        <x:v>цитрусовый, свежий, цветочный, древесный</x:v>
      </x:c>
      <x:c r="J670" s="28" t="str">
        <x:v>зависит от основы, эфирный, древесный/пряный</x:v>
      </x:c>
      <x:c r="K670" s="28" t="str">
        <x:v>цитраль (гераниаль + нераль), лимонен, гамма-терпинен, бета-пинен</x:v>
      </x:c>
      <x:c r="L670" s="28" t="str">
        <x:v>этанол, эфиры, терпены/дубовые соединения</x:v>
      </x:c>
      <x:c r="M670" s="28" t="str">
        <x:v>прямое семейное перекрытие не является главным механизмом</x:v>
      </x:c>
      <x:c r="N670" s="28" t="str">
        <x:v>надёжный общий маркер не заявлен; сочетание объясняется семействами и сенсорным балансом</x:v>
      </x:c>
      <x:c r="O670" s="28" t="str">
        <x:v>вкусовой баланс, тройничное восприятие, влияние матрицы/растворимости</x:v>
      </x:c>
      <x:c r="P670" s="28" t="str">
        <x:v>Этанол усиливает летучесть терпенов и ощущение тепла; сахар и вода регулируют кислотность, горечь кожуры и спиртуозность.</x:v>
      </x:c>
      <x:c r="Q670" s="28" t="str">
        <x:v>кислота усиливает слюноотделение; этанол усиливает тепло и летучесть аромата</x:v>
      </x:c>
      <x:c r="R670" s="28" t="str">
        <x:v>сок — водная кислая фаза; цедра — гидрофобное эфирное масло; этанол — хороший растворитель гидрофобных эфирных масел</x:v>
      </x:c>
      <x:c r="S670"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670"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Виноград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U670" s="28" t="str">
        <x:v>Избыток кислоты делает вкус плоско-резким; белая часть кожуры даёт лишнюю горечь.</x:v>
      </x:c>
      <x:c r="V670" s="28" t="str">
        <x:v>сахарный сироп или биттер</x:v>
      </x:c>
      <x:c r="W670" s="28" t="str">
        <x:v>коктейль, спритц, настойка, ликёр или кордиал</x:v>
      </x:c>
      <x:c r="X670" s="28" t="str">
        <x:v>напитки</x:v>
      </x:c>
      <x:c r="Y670" s="28" t="str">
        <x:v>Гипотеза / практическая</x:v>
      </x:c>
      <x:c r="Z670" s="28" t="str">
        <x:v>Таблица сочетания(1).pdf</x:v>
      </x:c>
      <x:c r="AA670" s="28" t="str">
        <x:v>Таблица сочетания(1).pdf: 9</x:v>
      </x:c>
      <x:c r="AB670" s="28" t="str">
        <x:v>Пара указана в таблице: «Виноград» → колонка «Фрукты».</x:v>
      </x:c>
      <x:c r="AC670" s="28" t="n">
        <x:v>1</x:v>
      </x:c>
      <x:c r="AD670" s="28" t="n">
        <x:v>1</x:v>
      </x:c>
    </x:row>
    <x:row r="671" ht="58" customHeight="1">
      <x:c r="A671" s="28" t="str">
        <x:v>CIT-0670</x:v>
      </x:c>
      <x:c r="B671" s="28" t="str">
        <x:v>Десерты и выпечка</x:v>
      </x:c>
      <x:c r="C671" s="28" t="str">
        <x:v>цитрусовые</x:v>
      </x:c>
      <x:c r="D671" s="28" t="str">
        <x:v>цитрусовые</x:v>
      </x:c>
      <x:c r="E671" s="28" t="str">
        <x:v>Цитрусовые</x:v>
      </x:c>
      <x:c r="F671" s="28" t="str">
        <x:v>вишня</x:v>
      </x:c>
      <x:c r="G671" s="28" t="str">
        <x:v>Вишня</x:v>
      </x:c>
      <x:c r="H671" s="28" t="str">
        <x:v>Ягоды/косточковые</x:v>
      </x:c>
      <x:c r="I671" s="28" t="str">
        <x:v>цитрусовый, свежий, цветочный, древесный</x:v>
      </x:c>
      <x:c r="J671" s="28" t="str">
        <x:v>фруктовый, цветочный, зелёный, винный</x:v>
      </x:c>
      <x:c r="K671" s="28" t="str">
        <x:v>цитраль (гераниаль + нераль), лимонен, гамма-терпинен, бета-пинен</x:v>
      </x:c>
      <x:c r="L671" s="28" t="str">
        <x:v>иононы, дамасценон, эфиры, бензальдегид (для косточковых)</x:v>
      </x:c>
      <x:c r="M671" s="28" t="str">
        <x:v>цветочный</x:v>
      </x:c>
      <x:c r="N671" s="28" t="str">
        <x:v>надёжный общий маркер не заявлен; сочетание объясняется семействами и сенсорным балансом</x:v>
      </x:c>
      <x:c r="O671" s="28" t="str">
        <x:v>перекрытие ароматических семейств, вкусовой баланс</x:v>
      </x:c>
      <x:c r="P671" s="28" t="str">
        <x:v>Общая фруктовая сладость и летучие эфиры создают непрерывный ароматический профиль, а цитрусовая кислота повышает контраст и свежесть.</x:v>
      </x:c>
      <x:c r="Q671" s="28" t="str">
        <x:v>кислота усиливает слюноотделение; нет выраженного</x:v>
      </x:c>
      <x:c r="R671" s="28" t="str">
        <x:v>сок — водная кислая фаза; цедра — гидрофобное эфирное масло; водная матрица с антоцианами и полифенолами</x:v>
      </x:c>
      <x:c r="S67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71"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671" s="28" t="str">
        <x:v>Избыток кислоты делает вкус плоско-резким; белая часть кожуры даёт лишнюю горечь.</x:v>
      </x:c>
      <x:c r="V671" s="28" t="str">
        <x:v>ваниль или миндаль</x:v>
      </x:c>
      <x:c r="W671" s="28" t="str">
        <x:v>джем, сорбет, коктейль или соус</x:v>
      </x:c>
      <x:c r="X671" s="28" t="str">
        <x:v>напитки, десерты</x:v>
      </x:c>
      <x:c r="Y671" s="28" t="str">
        <x:v>Гипотеза / практическая</x:v>
      </x:c>
      <x:c r="Z671" s="28" t="str">
        <x:v>Таблица сочетания(1).pdf</x:v>
      </x:c>
      <x:c r="AA671" s="28" t="str">
        <x:v>Таблица сочетания(1).pdf: 4</x:v>
      </x:c>
      <x:c r="AB671" s="28" t="str">
        <x:v>Пара указана в таблице: «Вишня» → колонка «Фрукты».</x:v>
      </x:c>
      <x:c r="AC671" s="28" t="n">
        <x:v>1</x:v>
      </x:c>
      <x:c r="AD671" s="28" t="n">
        <x:v>1</x:v>
      </x:c>
    </x:row>
    <x:row r="672" ht="58" customHeight="1">
      <x:c r="A672" s="28" t="str">
        <x:v>CIT-0671</x:v>
      </x:c>
      <x:c r="B672" s="28" t="str">
        <x:v>Универсальные</x:v>
      </x:c>
      <x:c r="C672" s="28" t="str">
        <x:v>цитрусовые</x:v>
      </x:c>
      <x:c r="D672" s="28" t="str">
        <x:v>цитрусовые</x:v>
      </x:c>
      <x:c r="E672" s="28" t="str">
        <x:v>Цитрусовые</x:v>
      </x:c>
      <x:c r="F672" s="28" t="str">
        <x:v>гибискус</x:v>
      </x:c>
      <x:c r="G672" s="28" t="str">
        <x:v>Гибискус</x:v>
      </x:c>
      <x:c r="H672" s="28" t="str">
        <x:v>Прочее</x:v>
      </x:c>
      <x:c r="I672" s="28" t="str">
        <x:v>цитрусовый, свежий, цветочный, древесный</x:v>
      </x:c>
      <x:c r="J672" s="28" t="str">
        <x:v>нейтральный/специфический</x:v>
      </x:c>
      <x:c r="K672" s="28" t="str">
        <x:v>цитраль (гераниаль + нераль), лимонен, гамма-терпинен, бета-пинен</x:v>
      </x:c>
      <x:c r="L672" s="28" t="str">
        <x:v>нужен профиль конкретного продукта</x:v>
      </x:c>
      <x:c r="M672" s="28" t="str">
        <x:v>прямое семейное перекрытие не является главным механизмом</x:v>
      </x:c>
      <x:c r="N672" s="28" t="str">
        <x:v>надёжный общий маркер не заявлен; сочетание объясняется семействами и сенсорным балансом</x:v>
      </x:c>
      <x:c r="O672" s="28" t="str">
        <x:v>вкусовой баланс, тройничное восприятие</x:v>
      </x:c>
      <x:c r="P672" s="28" t="str">
        <x:v>Основной эффект определяется ароматическим контрастом и добавлением кислотной свежести; точный баланс зависит от дозировки и матрицы.</x:v>
      </x:c>
      <x:c r="Q672" s="28" t="str">
        <x:v>кислота усиливает слюноотделение; нет данных</x:v>
      </x:c>
      <x:c r="R672" s="28" t="str">
        <x:v>сок — водная кислая фаза; цедра — гидрофобное эфирное масло; зависит от формы продукта</x:v>
      </x:c>
      <x:c r="S67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72"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Гибискус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672" s="28" t="str">
        <x:v>Избыток кислоты делает вкус плоско-резким; белая часть кожуры даёт лишнюю горечь.</x:v>
      </x:c>
      <x:c r="V672" s="28" t="str">
        <x:v>мёд или нейтральная жировая основа</x:v>
      </x:c>
      <x:c r="W672" s="28" t="str">
        <x:v>соус, напиток или десерт после пробной дегустации</x:v>
      </x:c>
      <x:c r="X672" s="28" t="str">
        <x:v>универсальное</x:v>
      </x:c>
      <x:c r="Y672" s="28" t="str">
        <x:v>Гипотеза / практическая</x:v>
      </x:c>
      <x:c r="Z672" s="28" t="str">
        <x:v>Таблица сочетания(1).pdf</x:v>
      </x:c>
      <x:c r="AA672" s="28" t="str">
        <x:v>Таблица сочетания(1).pdf: 9</x:v>
      </x:c>
      <x:c r="AB672" s="28" t="str">
        <x:v>Пара указана в таблице: «Гибискус» → колонка «Фрукты».</x:v>
      </x:c>
      <x:c r="AC672" s="28" t="n">
        <x:v>1</x:v>
      </x:c>
      <x:c r="AD672" s="28" t="n">
        <x:v>1</x:v>
      </x:c>
    </x:row>
    <x:row r="673" ht="58" customHeight="1">
      <x:c r="A673" s="28" t="str">
        <x:v>CIT-0672</x:v>
      </x:c>
      <x:c r="B673" s="28" t="str">
        <x:v>Десерты и выпечка</x:v>
      </x:c>
      <x:c r="C673" s="28" t="str">
        <x:v>цитрусовые</x:v>
      </x:c>
      <x:c r="D673" s="28" t="str">
        <x:v>цитрусовые</x:v>
      </x:c>
      <x:c r="E673" s="28" t="str">
        <x:v>Цитрусовые</x:v>
      </x:c>
      <x:c r="F673" s="28" t="str">
        <x:v>груша</x:v>
      </x:c>
      <x:c r="G673" s="28" t="str">
        <x:v>Груша</x:v>
      </x:c>
      <x:c r="H673" s="28" t="str">
        <x:v>Фрукты</x:v>
      </x:c>
      <x:c r="I673" s="28" t="str">
        <x:v>цитрусовый, свежий, цветочный, древесный</x:v>
      </x:c>
      <x:c r="J673" s="28" t="str">
        <x:v>фруктовый, цветочный, восковой</x:v>
      </x:c>
      <x:c r="K673" s="28" t="str">
        <x:v>цитраль (гераниаль + нераль), лимонен, гамма-терпинен, бета-пинен</x:v>
      </x:c>
      <x:c r="L673" s="28" t="str">
        <x:v>этилацетат, гексилацетат, декановые эфиры, дамасценон</x:v>
      </x:c>
      <x:c r="M673" s="28" t="str">
        <x:v>цветочный</x:v>
      </x:c>
      <x:c r="N673" s="28" t="str">
        <x:v>надёжный общий маркер не заявлен; сочетание объясняется семействами и сенсорным балансом</x:v>
      </x:c>
      <x:c r="O673" s="28" t="str">
        <x:v>перекрытие ароматических семейств, вкусовой баланс</x:v>
      </x:c>
      <x:c r="P673" s="28" t="str">
        <x:v>Общая фруктовая сладость и летучие эфиры создают непрерывный ароматический профиль, а цитрусовая кислота повышает контраст и свежесть.</x:v>
      </x:c>
      <x:c r="Q673" s="28" t="str">
        <x:v>кислота усиливает слюноотделение; нет выраженного</x:v>
      </x:c>
      <x:c r="R673" s="28" t="str">
        <x:v>сок — водная кислая фаза; цедра — гидрофобное эфирное масло; сочная водная матрица</x:v>
      </x:c>
      <x:c r="S67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73"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Груша относится к группе «фрукты» и даёт ноты «фруктовый, цветочный, восковой».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Груша мягкая и сладкая, поэтому цитрус добавляет ей контур и свежесть.</x:v>
      </x:c>
      <x:c r="U673" s="28" t="str">
        <x:v>Избыток кислоты делает вкус плоско-резким; белая часть кожуры даёт лишнюю горечь.</x:v>
      </x:c>
      <x:c r="V673" s="28" t="str">
        <x:v>мята или имбирь</x:v>
      </x:c>
      <x:c r="W673" s="28" t="str">
        <x:v>лимонад, сорбет, компот, салат или фруктовый кордиал</x:v>
      </x:c>
      <x:c r="X673" s="28" t="str">
        <x:v>напитки, десерты</x:v>
      </x:c>
      <x:c r="Y673" s="28" t="str">
        <x:v>Гипотеза / практическая</x:v>
      </x:c>
      <x:c r="Z673" s="28" t="str">
        <x:v>Таблица сочетания(1).pdf</x:v>
      </x:c>
      <x:c r="AA673" s="28" t="str">
        <x:v>Таблица сочетания(1).pdf: 16</x:v>
      </x:c>
      <x:c r="AB673" s="28" t="str">
        <x:v>Пара указана в таблице: «Груша» → колонка «Фрукты».</x:v>
      </x:c>
      <x:c r="AC673" s="28" t="n">
        <x:v>1</x:v>
      </x:c>
      <x:c r="AD673" s="28" t="n">
        <x:v>1</x:v>
      </x:c>
    </x:row>
    <x:row r="674" ht="58" customHeight="1">
      <x:c r="A674" s="28" t="str">
        <x:v>CIT-0673</x:v>
      </x:c>
      <x:c r="B674" s="28" t="str">
        <x:v>Десерты и выпечка</x:v>
      </x:c>
      <x:c r="C674" s="28" t="str">
        <x:v>цитрусовые</x:v>
      </x:c>
      <x:c r="D674" s="28" t="str">
        <x:v>цитрусовые</x:v>
      </x:c>
      <x:c r="E674" s="28" t="str">
        <x:v>Цитрусовые</x:v>
      </x:c>
      <x:c r="F674" s="28" t="str">
        <x:v>ежевика</x:v>
      </x:c>
      <x:c r="G674" s="28" t="str">
        <x:v>Ежевика</x:v>
      </x:c>
      <x:c r="H674" s="28" t="str">
        <x:v>Ягоды/косточковые</x:v>
      </x:c>
      <x:c r="I674" s="28" t="str">
        <x:v>цитрусовый, свежий, цветочный, древесный</x:v>
      </x:c>
      <x:c r="J674" s="28" t="str">
        <x:v>фруктовый, цветочный, зелёный, винный</x:v>
      </x:c>
      <x:c r="K674" s="28" t="str">
        <x:v>цитраль (гераниаль + нераль), лимонен, гамма-терпинен, бета-пинен</x:v>
      </x:c>
      <x:c r="L674" s="28" t="str">
        <x:v>иононы, дамасценон, эфиры, бензальдегид (для косточковых)</x:v>
      </x:c>
      <x:c r="M674" s="28" t="str">
        <x:v>цветочный</x:v>
      </x:c>
      <x:c r="N674" s="28" t="str">
        <x:v>надёжный общий маркер не заявлен; сочетание объясняется семействами и сенсорным балансом</x:v>
      </x:c>
      <x:c r="O674" s="28" t="str">
        <x:v>перекрытие ароматических семейств, вкусовой баланс</x:v>
      </x:c>
      <x:c r="P674" s="28" t="str">
        <x:v>Общая фруктовая сладость и летучие эфиры создают непрерывный ароматический профиль, а цитрусовая кислота повышает контраст и свежесть.</x:v>
      </x:c>
      <x:c r="Q674" s="28" t="str">
        <x:v>кислота усиливает слюноотделение; нет выраженного</x:v>
      </x:c>
      <x:c r="R674" s="28" t="str">
        <x:v>сок — водная кислая фаза; цедра — гидрофобное эфирное масло; водная матрица с антоцианами и полифенолами</x:v>
      </x:c>
      <x:c r="S67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74"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Ежевика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674" s="28" t="str">
        <x:v>Избыток кислоты делает вкус плоско-резким; белая часть кожуры даёт лишнюю горечь.</x:v>
      </x:c>
      <x:c r="V674" s="28" t="str">
        <x:v>ваниль или миндаль</x:v>
      </x:c>
      <x:c r="W674" s="28" t="str">
        <x:v>джем, сорбет, коктейль или соус</x:v>
      </x:c>
      <x:c r="X674" s="28" t="str">
        <x:v>напитки, десерты</x:v>
      </x:c>
      <x:c r="Y674" s="28" t="str">
        <x:v>Гипотеза / практическая</x:v>
      </x:c>
      <x:c r="Z674" s="28" t="str">
        <x:v>Таблица сочетания(1).pdf</x:v>
      </x:c>
      <x:c r="AA674" s="28" t="str">
        <x:v>Таблица сочетания(1).pdf: 2</x:v>
      </x:c>
      <x:c r="AB674" s="28" t="str">
        <x:v>Пара указана в таблице: «Ежевика» → колонка «Фрукты».</x:v>
      </x:c>
      <x:c r="AC674" s="28" t="n">
        <x:v>1</x:v>
      </x:c>
      <x:c r="AD674" s="28" t="n">
        <x:v>1</x:v>
      </x:c>
    </x:row>
    <x:row r="675" ht="58" customHeight="1">
      <x:c r="A675" s="28" t="str">
        <x:v>CIT-0674</x:v>
      </x:c>
      <x:c r="B675" s="28" t="str">
        <x:v>Десерты и выпечка</x:v>
      </x:c>
      <x:c r="C675" s="28" t="str">
        <x:v>цитрусовые</x:v>
      </x:c>
      <x:c r="D675" s="28" t="str">
        <x:v>цитрусовые</x:v>
      </x:c>
      <x:c r="E675" s="28" t="str">
        <x:v>Цитрусовые</x:v>
      </x:c>
      <x:c r="F675" s="28" t="str">
        <x:v>клубника</x:v>
      </x:c>
      <x:c r="G675" s="28" t="str">
        <x:v>Клубника</x:v>
      </x:c>
      <x:c r="H675" s="28" t="str">
        <x:v>Ягоды</x:v>
      </x:c>
      <x:c r="I675" s="28" t="str">
        <x:v>цитрусовый, свежий, цветочный, древесный</x:v>
      </x:c>
      <x:c r="J675" s="28" t="str">
        <x:v>фруктовый, цветочный, карамельный</x:v>
      </x:c>
      <x:c r="K675" s="28" t="str">
        <x:v>цитраль (гераниаль + нераль), лимонен, гамма-терпинен, бета-пинен</x:v>
      </x:c>
      <x:c r="L675" s="28" t="str">
        <x:v>фуранеол, этилбутират, метилбутират, линалоол</x:v>
      </x:c>
      <x:c r="M675" s="28" t="str">
        <x:v>цветочный</x:v>
      </x:c>
      <x:c r="N675" s="28" t="str">
        <x:v>надёжный общий маркер не заявлен; сочетание объясняется семействами и сенсорным балансом</x:v>
      </x:c>
      <x:c r="O675" s="28" t="str">
        <x:v>перекрытие ароматических семейств, вкусовой баланс</x:v>
      </x:c>
      <x:c r="P675" s="28" t="str">
        <x:v>Общая фруктовая сладость и летучие эфиры создают непрерывный ароматический профиль, а цитрусовая кислота повышает контраст и свежесть.</x:v>
      </x:c>
      <x:c r="Q675" s="28" t="str">
        <x:v>кислота усиливает слюноотделение; нет выраженного</x:v>
      </x:c>
      <x:c r="R675" s="28" t="str">
        <x:v>сок — водная кислая фаза; цедра — гидрофобное эфирное масло; сочная матрица; аромат быстро теряется при нагреве</x:v>
      </x:c>
      <x:c r="S67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75"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Клубника относится к группе «ягоды» и даёт ноты «фруктовый,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Фуранеол даёт карамельно-ананасовый оттенок, цитрус подчёркивает свежие эфиры.</x:v>
      </x:c>
      <x:c r="U675" s="28" t="str">
        <x:v>Избыток кислоты делает вкус плоско-резким; белая часть кожуры даёт лишнюю горечь.</x:v>
      </x:c>
      <x:c r="V675" s="28" t="str">
        <x:v>мята или ваниль</x:v>
      </x:c>
      <x:c r="W675" s="28" t="str">
        <x:v>морс, кордиал, джем, сорбет или коктейль</x:v>
      </x:c>
      <x:c r="X675" s="28" t="str">
        <x:v>напитки, десерты</x:v>
      </x:c>
      <x:c r="Y675" s="28" t="str">
        <x:v>Гипотеза / практическая</x:v>
      </x:c>
      <x:c r="Z675" s="28" t="str">
        <x:v>Таблица сочетания(1).pdf</x:v>
      </x:c>
      <x:c r="AA675" s="28" t="str">
        <x:v>Таблица сочетания(1).pdf: 20</x:v>
      </x:c>
      <x:c r="AB675" s="28" t="str">
        <x:v>Пара указана в таблице: «Клубника» → колонка «Фрукты».</x:v>
      </x:c>
      <x:c r="AC675" s="28" t="n">
        <x:v>1</x:v>
      </x:c>
      <x:c r="AD675" s="28" t="n">
        <x:v>1</x:v>
      </x:c>
    </x:row>
    <x:row r="676" ht="58" customHeight="1">
      <x:c r="A676" s="28" t="str">
        <x:v>CIT-0675</x:v>
      </x:c>
      <x:c r="B676" s="28" t="str">
        <x:v>Десерты и выпечка</x:v>
      </x:c>
      <x:c r="C676" s="28" t="str">
        <x:v>цитрусовые</x:v>
      </x:c>
      <x:c r="D676" s="28" t="str">
        <x:v>цитрусовые</x:v>
      </x:c>
      <x:c r="E676" s="28" t="str">
        <x:v>Цитрусовые</x:v>
      </x:c>
      <x:c r="F676" s="28" t="str">
        <x:v>личи</x:v>
      </x:c>
      <x:c r="G676" s="28" t="str">
        <x:v>Личи</x:v>
      </x:c>
      <x:c r="H676" s="28" t="str">
        <x:v>Тропические фрукты</x:v>
      </x:c>
      <x:c r="I676" s="28" t="str">
        <x:v>цитрусовый, свежий, цветочный, древесный</x:v>
      </x:c>
      <x:c r="J676" s="28" t="str">
        <x:v>фруктовый, тропический, цветочный, сливочный</x:v>
      </x:c>
      <x:c r="K676" s="28" t="str">
        <x:v>цитраль (гераниаль + нераль), лимонен, гамма-терпинен, бета-пинен</x:v>
      </x:c>
      <x:c r="L676" s="28" t="str">
        <x:v>этилбутират, гексилацетат, лактоны, сернистые тиолы (у части фруктов)</x:v>
      </x:c>
      <x:c r="M676" s="28" t="str">
        <x:v>цветочный</x:v>
      </x:c>
      <x:c r="N676" s="28" t="str">
        <x:v>надёжный общий маркер не заявлен; сочетание объясняется семействами и сенсорным балансом</x:v>
      </x:c>
      <x:c r="O676" s="28" t="str">
        <x:v>перекрытие ароматических семейств, вкусовой баланс</x:v>
      </x:c>
      <x:c r="P676" s="28" t="str">
        <x:v>Общая фруктовая сладость и летучие эфиры создают непрерывный ароматический профиль, а цитрусовая кислота повышает контраст и свежесть.</x:v>
      </x:c>
      <x:c r="Q676" s="28" t="str">
        <x:v>кислота усиливает слюноотделение; нет выраженного</x:v>
      </x:c>
      <x:c r="R676" s="28" t="str">
        <x:v>сок — водная кислая фаза; цедра — гидрофобное эфирное масло; сочная или кремовая фруктовая матрица</x:v>
      </x:c>
      <x:c r="S67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76"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Личи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U676" s="28" t="str">
        <x:v>Избыток кислоты делает вкус плоско-резким; белая часть кожуры даёт лишнюю горечь.</x:v>
      </x:c>
      <x:c r="V676" s="28" t="str">
        <x:v>кокос или имбирь</x:v>
      </x:c>
      <x:c r="W676" s="28" t="str">
        <x:v>смузи, кордиал, сорбет, чатни или коктейль</x:v>
      </x:c>
      <x:c r="X676" s="28" t="str">
        <x:v>напитки, десерты</x:v>
      </x:c>
      <x:c r="Y676" s="28" t="str">
        <x:v>Гипотеза / практическая</x:v>
      </x:c>
      <x:c r="Z676" s="28" t="str">
        <x:v>Таблица сочетания(1).pdf</x:v>
      </x:c>
      <x:c r="AA676" s="28" t="str">
        <x:v>Таблица сочетания(1).pdf: 12</x:v>
      </x:c>
      <x:c r="AB676" s="28" t="str">
        <x:v>Пара указана в таблице: «Личи» → колонка «Фрукты».</x:v>
      </x:c>
      <x:c r="AC676" s="28" t="n">
        <x:v>1</x:v>
      </x:c>
      <x:c r="AD676" s="28" t="n">
        <x:v>1</x:v>
      </x:c>
    </x:row>
    <x:row r="677" ht="58" customHeight="1">
      <x:c r="A677" s="28" t="str">
        <x:v>CIT-0676</x:v>
      </x:c>
      <x:c r="B677" s="28" t="str">
        <x:v>Десерты и выпечка</x:v>
      </x:c>
      <x:c r="C677" s="28" t="str">
        <x:v>цитрусовые</x:v>
      </x:c>
      <x:c r="D677" s="28" t="str">
        <x:v>цитрусовые</x:v>
      </x:c>
      <x:c r="E677" s="28" t="str">
        <x:v>Цитрусовые</x:v>
      </x:c>
      <x:c r="F677" s="28" t="str">
        <x:v>малина</x:v>
      </x:c>
      <x:c r="G677" s="28" t="str">
        <x:v>Малина</x:v>
      </x:c>
      <x:c r="H677" s="28" t="str">
        <x:v>Ягоды/косточковые</x:v>
      </x:c>
      <x:c r="I677" s="28" t="str">
        <x:v>цитрусовый, свежий, цветочный, древесный</x:v>
      </x:c>
      <x:c r="J677" s="28" t="str">
        <x:v>фруктовый, цветочный, зелёный, винный</x:v>
      </x:c>
      <x:c r="K677" s="28" t="str">
        <x:v>цитраль (гераниаль + нераль), лимонен, гамма-терпинен, бета-пинен</x:v>
      </x:c>
      <x:c r="L677" s="28" t="str">
        <x:v>иононы, дамасценон, эфиры, бензальдегид (для косточковых)</x:v>
      </x:c>
      <x:c r="M677" s="28" t="str">
        <x:v>цветочный</x:v>
      </x:c>
      <x:c r="N677" s="28" t="str">
        <x:v>надёжный общий маркер не заявлен; сочетание объясняется семействами и сенсорным балансом</x:v>
      </x:c>
      <x:c r="O677" s="28" t="str">
        <x:v>перекрытие ароматических семейств, вкусовой баланс</x:v>
      </x:c>
      <x:c r="P677" s="28" t="str">
        <x:v>Общая фруктовая сладость и летучие эфиры создают непрерывный ароматический профиль, а цитрусовая кислота повышает контраст и свежесть.</x:v>
      </x:c>
      <x:c r="Q677" s="28" t="str">
        <x:v>кислота усиливает слюноотделение; нет выраженного</x:v>
      </x:c>
      <x:c r="R677" s="28" t="str">
        <x:v>сок — водная кислая фаза; цедра — гидрофобное эфирное масло; водная матрица с антоцианами и полифенолами</x:v>
      </x:c>
      <x:c r="S67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77"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Малина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U677" s="28" t="str">
        <x:v>Избыток кислоты делает вкус плоско-резким; белая часть кожуры даёт лишнюю горечь.</x:v>
      </x:c>
      <x:c r="V677" s="28" t="str">
        <x:v>ваниль или миндаль</x:v>
      </x:c>
      <x:c r="W677" s="28" t="str">
        <x:v>джем, сорбет, коктейль или соус</x:v>
      </x:c>
      <x:c r="X677" s="28" t="str">
        <x:v>напитки, десерты</x:v>
      </x:c>
      <x:c r="Y677" s="28" t="str">
        <x:v>Гипотеза / практическая</x:v>
      </x:c>
      <x:c r="Z677" s="28" t="str">
        <x:v>Таблица сочетания(1).pdf</x:v>
      </x:c>
      <x:c r="AA677" s="28" t="str">
        <x:v>Таблица сочетания(1).pdf: 19</x:v>
      </x:c>
      <x:c r="AB677" s="28" t="str">
        <x:v>Пара указана в таблице: «Малина» → колонка «Фрукты».</x:v>
      </x:c>
      <x:c r="AC677" s="28" t="n">
        <x:v>1</x:v>
      </x:c>
      <x:c r="AD677" s="28" t="n">
        <x:v>1</x:v>
      </x:c>
    </x:row>
    <x:row r="678" ht="58" customHeight="1">
      <x:c r="A678" s="28" t="str">
        <x:v>CIT-0677</x:v>
      </x:c>
      <x:c r="B678" s="28" t="str">
        <x:v>Десерты и выпечка</x:v>
      </x:c>
      <x:c r="C678" s="28" t="str">
        <x:v>цитрусовые</x:v>
      </x:c>
      <x:c r="D678" s="28" t="str">
        <x:v>цитрусовые</x:v>
      </x:c>
      <x:c r="E678" s="28" t="str">
        <x:v>Цитрусовые</x:v>
      </x:c>
      <x:c r="F678" s="28" t="str">
        <x:v>маракуйя</x:v>
      </x:c>
      <x:c r="G678" s="28" t="str">
        <x:v>Маракуйя</x:v>
      </x:c>
      <x:c r="H678" s="28" t="str">
        <x:v>Тропические фрукты</x:v>
      </x:c>
      <x:c r="I678" s="28" t="str">
        <x:v>цитрусовый, свежий, цветочный, древесный</x:v>
      </x:c>
      <x:c r="J678" s="28" t="str">
        <x:v>фруктовый, тропический, цветочный, сливочный</x:v>
      </x:c>
      <x:c r="K678" s="28" t="str">
        <x:v>цитраль (гераниаль + нераль), лимонен, гамма-терпинен, бета-пинен</x:v>
      </x:c>
      <x:c r="L678" s="28" t="str">
        <x:v>этилбутират, гексилацетат, лактоны, сернистые тиолы (у части фруктов)</x:v>
      </x:c>
      <x:c r="M678" s="28" t="str">
        <x:v>цветочный</x:v>
      </x:c>
      <x:c r="N678" s="28" t="str">
        <x:v>надёжный общий маркер не заявлен; сочетание объясняется семействами и сенсорным балансом</x:v>
      </x:c>
      <x:c r="O678" s="28" t="str">
        <x:v>перекрытие ароматических семейств, вкусовой баланс</x:v>
      </x:c>
      <x:c r="P678" s="28" t="str">
        <x:v>Общая фруктовая сладость и летучие эфиры создают непрерывный ароматический профиль, а цитрусовая кислота повышает контраст и свежесть.</x:v>
      </x:c>
      <x:c r="Q678" s="28" t="str">
        <x:v>кислота усиливает слюноотделение; нет выраженного</x:v>
      </x:c>
      <x:c r="R678" s="28" t="str">
        <x:v>сок — водная кислая фаза; цедра — гидрофобное эфирное масло; сочная или кремовая фруктовая матрица</x:v>
      </x:c>
      <x:c r="S67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78"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Маракуйя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U678" s="28" t="str">
        <x:v>Избыток кислоты делает вкус плоско-резким; белая часть кожуры даёт лишнюю горечь.</x:v>
      </x:c>
      <x:c r="V678" s="28" t="str">
        <x:v>кокос или имбирь</x:v>
      </x:c>
      <x:c r="W678" s="28" t="str">
        <x:v>смузи, кордиал, сорбет, чатни или коктейль</x:v>
      </x:c>
      <x:c r="X678" s="28" t="str">
        <x:v>напитки, десерты</x:v>
      </x:c>
      <x:c r="Y678" s="28" t="str">
        <x:v>Гипотеза / практическая</x:v>
      </x:c>
      <x:c r="Z678" s="28" t="str">
        <x:v>Таблица сочетания(1).pdf</x:v>
      </x:c>
      <x:c r="AA678" s="28" t="str">
        <x:v>Таблица сочетания(1).pdf: 15</x:v>
      </x:c>
      <x:c r="AB678" s="28" t="str">
        <x:v>Пара указана в таблице: «Маракуйя» → колонка «Фрукты».</x:v>
      </x:c>
      <x:c r="AC678" s="28" t="n">
        <x:v>1</x:v>
      </x:c>
      <x:c r="AD678" s="28" t="n">
        <x:v>1</x:v>
      </x:c>
    </x:row>
    <x:row r="679" ht="58" customHeight="1">
      <x:c r="A679" s="28" t="str">
        <x:v>CIT-0678</x:v>
      </x:c>
      <x:c r="B679" s="28" t="str">
        <x:v>Универсальные</x:v>
      </x:c>
      <x:c r="C679" s="28" t="str">
        <x:v>цитрусовые</x:v>
      </x:c>
      <x:c r="D679" s="28" t="str">
        <x:v>цитрусовые</x:v>
      </x:c>
      <x:c r="E679" s="28" t="str">
        <x:v>Цитрусовые</x:v>
      </x:c>
      <x:c r="F679" s="28" t="str">
        <x:v>морошка</x:v>
      </x:c>
      <x:c r="G679" s="28" t="str">
        <x:v>Морошка</x:v>
      </x:c>
      <x:c r="H679" s="28" t="str">
        <x:v>Прочее</x:v>
      </x:c>
      <x:c r="I679" s="28" t="str">
        <x:v>цитрусовый, свежий, цветочный, древесный</x:v>
      </x:c>
      <x:c r="J679" s="28" t="str">
        <x:v>нейтральный/специфический</x:v>
      </x:c>
      <x:c r="K679" s="28" t="str">
        <x:v>цитраль (гераниаль + нераль), лимонен, гамма-терпинен, бета-пинен</x:v>
      </x:c>
      <x:c r="L679" s="28" t="str">
        <x:v>нужен профиль конкретного продукта</x:v>
      </x:c>
      <x:c r="M679" s="28" t="str">
        <x:v>прямое семейное перекрытие не является главным механизмом</x:v>
      </x:c>
      <x:c r="N679" s="28" t="str">
        <x:v>надёжный общий маркер не заявлен; сочетание объясняется семействами и сенсорным балансом</x:v>
      </x:c>
      <x:c r="O679" s="28" t="str">
        <x:v>вкусовой баланс, тройничное восприятие</x:v>
      </x:c>
      <x:c r="P679" s="28" t="str">
        <x:v>Основной эффект определяется ароматическим контрастом и добавлением кислотной свежести; точный баланс зависит от дозировки и матрицы.</x:v>
      </x:c>
      <x:c r="Q679" s="28" t="str">
        <x:v>кислота усиливает слюноотделение; нет данных</x:v>
      </x:c>
      <x:c r="R679" s="28" t="str">
        <x:v>сок — водная кислая фаза; цедра — гидрофобное эфирное масло; зависит от формы продукта</x:v>
      </x:c>
      <x:c r="S67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79"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Морошка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679" s="28" t="str">
        <x:v>Избыток кислоты делает вкус плоско-резким; белая часть кожуры даёт лишнюю горечь.</x:v>
      </x:c>
      <x:c r="V679" s="28" t="str">
        <x:v>мёд или нейтральная жировая основа</x:v>
      </x:c>
      <x:c r="W679" s="28" t="str">
        <x:v>соус, напиток или десерт после пробной дегустации</x:v>
      </x:c>
      <x:c r="X679" s="28" t="str">
        <x:v>универсальное</x:v>
      </x:c>
      <x:c r="Y679" s="28" t="str">
        <x:v>Гипотеза / практическая</x:v>
      </x:c>
      <x:c r="Z679" s="28" t="str">
        <x:v>Таблица сочетания(1).pdf</x:v>
      </x:c>
      <x:c r="AA679" s="28" t="str">
        <x:v>Таблица сочетания(1).pdf: 5</x:v>
      </x:c>
      <x:c r="AB679" s="28" t="str">
        <x:v>Пара указана в таблице: «Морошка» → колонка «Фрукты».</x:v>
      </x:c>
      <x:c r="AC679" s="28" t="n">
        <x:v>1</x:v>
      </x:c>
      <x:c r="AD679" s="28" t="n">
        <x:v>1</x:v>
      </x:c>
    </x:row>
    <x:row r="680" ht="58" customHeight="1">
      <x:c r="A680" s="28" t="str">
        <x:v>CIT-0679</x:v>
      </x:c>
      <x:c r="B680" s="28" t="str">
        <x:v>Еда и соусы</x:v>
      </x:c>
      <x:c r="C680" s="28" t="str">
        <x:v>цитрусовые</x:v>
      </x:c>
      <x:c r="D680" s="28" t="str">
        <x:v>цитрусовые</x:v>
      </x:c>
      <x:c r="E680" s="28" t="str">
        <x:v>Цитрусовые</x:v>
      </x:c>
      <x:c r="F680" s="28" t="str">
        <x:v>огурец</x:v>
      </x:c>
      <x:c r="G680" s="28" t="str">
        <x:v>Огурец</x:v>
      </x:c>
      <x:c r="H680" s="28" t="str">
        <x:v>Овощи</x:v>
      </x:c>
      <x:c r="I680" s="28" t="str">
        <x:v>цитрусовый, свежий, цветочный, древесный</x:v>
      </x:c>
      <x:c r="J680" s="28" t="str">
        <x:v>зелёный, землистый, растительный, иногда сернистый</x:v>
      </x:c>
      <x:c r="K680" s="28" t="str">
        <x:v>цитраль (гераниаль + нераль), лимонен, гамма-терпинен, бета-пинен</x:v>
      </x:c>
      <x:c r="L680" s="28" t="str">
        <x:v>C6-альдегиды, метоксипиразины, геосмин (землистые), сернистые соединения</x:v>
      </x:c>
      <x:c r="M680" s="28" t="str">
        <x:v>прямое семейное перекрытие не является главным механизмом</x:v>
      </x:c>
      <x:c r="N680" s="28" t="str">
        <x:v>надёжный общий маркер не заявлен; сочетание объясняется семействами и сенсорным балансом</x:v>
      </x:c>
      <x:c r="O680" s="28" t="str">
        <x:v>вкусовой баланс</x:v>
      </x:c>
      <x:c r="P680" s="28" t="str">
        <x:v>Кислота подчёркивает природную сладость овоща, сокращает землистое/сернистое послевкусие и повышает слюноотделение.</x:v>
      </x:c>
      <x:c r="Q680" s="28" t="str">
        <x:v>кислота усиливает слюноотделение; нет выраженного</x:v>
      </x:c>
      <x:c r="R680" s="28" t="str">
        <x:v>сок — водная кислая фаза; цедра — гидрофобное эфирное масло; водная/крахмальная матрица; масло помогает распределить цедру</x:v>
      </x:c>
      <x:c r="S68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80"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Огурец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680" s="28" t="str">
        <x:v>Избыток кислоты делает вкус плоско-резким; белая часть кожуры даёт лишнюю горечь.</x:v>
      </x:c>
      <x:c r="V680" s="28" t="str">
        <x:v>оливковое масло или базилик</x:v>
      </x:c>
      <x:c r="W680" s="28" t="str">
        <x:v>винегрет, салат, пюре, запечённое блюдо или овощной соус</x:v>
      </x:c>
      <x:c r="X680" s="28" t="str">
        <x:v>еда, соусы/маринады</x:v>
      </x:c>
      <x:c r="Y680" s="28" t="str">
        <x:v>Гипотеза / практическая</x:v>
      </x:c>
      <x:c r="Z680" s="28" t="str">
        <x:v>Таблица сочетания(1).pdf</x:v>
      </x:c>
      <x:c r="AA680" s="28" t="str">
        <x:v>Таблица сочетания(1).pdf: 6</x:v>
      </x:c>
      <x:c r="AB680" s="28" t="str">
        <x:v>Пара указана в таблице: «Огурец» → колонка «Фрукты».</x:v>
      </x:c>
      <x:c r="AC680" s="28" t="n">
        <x:v>1</x:v>
      </x:c>
      <x:c r="AD680" s="28" t="n">
        <x:v>1</x:v>
      </x:c>
    </x:row>
    <x:row r="681" ht="58" customHeight="1">
      <x:c r="A681" s="28" t="str">
        <x:v>CIT-0680</x:v>
      </x:c>
      <x:c r="B681" s="28" t="str">
        <x:v>Универсальные</x:v>
      </x:c>
      <x:c r="C681" s="28" t="str">
        <x:v>цитрусовые</x:v>
      </x:c>
      <x:c r="D681" s="28" t="str">
        <x:v>цитрусовые</x:v>
      </x:c>
      <x:c r="E681" s="28" t="str">
        <x:v>Цитрусовые</x:v>
      </x:c>
      <x:c r="F681" s="28" t="str">
        <x:v>одуванчик</x:v>
      </x:c>
      <x:c r="G681" s="28" t="str">
        <x:v>Одуванчик</x:v>
      </x:c>
      <x:c r="H681" s="28" t="str">
        <x:v>Прочее</x:v>
      </x:c>
      <x:c r="I681" s="28" t="str">
        <x:v>цитрусовый, свежий, цветочный, древесный</x:v>
      </x:c>
      <x:c r="J681" s="28" t="str">
        <x:v>нейтральный/специфический</x:v>
      </x:c>
      <x:c r="K681" s="28" t="str">
        <x:v>цитраль (гераниаль + нераль), лимонен, гамма-терпинен, бета-пинен</x:v>
      </x:c>
      <x:c r="L681" s="28" t="str">
        <x:v>нужен профиль конкретного продукта</x:v>
      </x:c>
      <x:c r="M681" s="28" t="str">
        <x:v>прямое семейное перекрытие не является главным механизмом</x:v>
      </x:c>
      <x:c r="N681" s="28" t="str">
        <x:v>надёжный общий маркер не заявлен; сочетание объясняется семействами и сенсорным балансом</x:v>
      </x:c>
      <x:c r="O681" s="28" t="str">
        <x:v>вкусовой баланс, тройничное восприятие</x:v>
      </x:c>
      <x:c r="P681" s="28" t="str">
        <x:v>Основной эффект определяется ароматическим контрастом и добавлением кислотной свежести; точный баланс зависит от дозировки и матрицы.</x:v>
      </x:c>
      <x:c r="Q681" s="28" t="str">
        <x:v>кислота усиливает слюноотделение; нет данных</x:v>
      </x:c>
      <x:c r="R681" s="28" t="str">
        <x:v>сок — водная кислая фаза; цедра — гидрофобное эфирное масло; зависит от формы продукта</x:v>
      </x:c>
      <x:c r="S68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81"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Одуванчик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681" s="28" t="str">
        <x:v>Избыток кислоты делает вкус плоско-резким; белая часть кожуры даёт лишнюю горечь.</x:v>
      </x:c>
      <x:c r="V681" s="28" t="str">
        <x:v>мёд или нейтральная жировая основа</x:v>
      </x:c>
      <x:c r="W681" s="28" t="str">
        <x:v>соус, напиток или десерт после пробной дегустации</x:v>
      </x:c>
      <x:c r="X681" s="28" t="str">
        <x:v>универсальное</x:v>
      </x:c>
      <x:c r="Y681" s="28" t="str">
        <x:v>Гипотеза / практическая</x:v>
      </x:c>
      <x:c r="Z681" s="28" t="str">
        <x:v>Таблица сочетания(1).pdf</x:v>
      </x:c>
      <x:c r="AA681" s="28" t="str">
        <x:v>Таблица сочетания(1).pdf: 6</x:v>
      </x:c>
      <x:c r="AB681" s="28" t="str">
        <x:v>Пара указана в таблице: «Одуванчик» → колонка «Фрукты».</x:v>
      </x:c>
      <x:c r="AC681" s="28" t="n">
        <x:v>1</x:v>
      </x:c>
      <x:c r="AD681" s="28" t="n">
        <x:v>1</x:v>
      </x:c>
    </x:row>
    <x:row r="682" ht="58" customHeight="1">
      <x:c r="A682" s="28" t="str">
        <x:v>CIT-0681</x:v>
      </x:c>
      <x:c r="B682" s="28" t="str">
        <x:v>Десерты и выпечка</x:v>
      </x:c>
      <x:c r="C682" s="28" t="str">
        <x:v>цитрусовые</x:v>
      </x:c>
      <x:c r="D682" s="28" t="str">
        <x:v>цитрусовые</x:v>
      </x:c>
      <x:c r="E682" s="28" t="str">
        <x:v>Цитрусовые</x:v>
      </x:c>
      <x:c r="F682" s="28" t="str">
        <x:v>персик</x:v>
      </x:c>
      <x:c r="G682" s="28" t="str">
        <x:v>Персик</x:v>
      </x:c>
      <x:c r="H682" s="28" t="str">
        <x:v>Косточковые фрукты</x:v>
      </x:c>
      <x:c r="I682" s="28" t="str">
        <x:v>цитрусовый, свежий, цветочный, древесный</x:v>
      </x:c>
      <x:c r="J682" s="28" t="str">
        <x:v>фруктовый, цветочный, сливочный, миндальный</x:v>
      </x:c>
      <x:c r="K682" s="28" t="str">
        <x:v>цитраль (гераниаль + нераль), лимонен, гамма-терпинен, бета-пинен</x:v>
      </x:c>
      <x:c r="L682" s="28" t="str">
        <x:v>гамма- и дельта-лактоны, бензальдегид, дамасценон</x:v>
      </x:c>
      <x:c r="M682" s="28" t="str">
        <x:v>цветочный</x:v>
      </x:c>
      <x:c r="N682" s="28" t="str">
        <x:v>надёжный общий маркер не заявлен; сочетание объясняется семействами и сенсорным балансом</x:v>
      </x:c>
      <x:c r="O682" s="28" t="str">
        <x:v>перекрытие ароматических семейств, вкусовой баланс</x:v>
      </x:c>
      <x:c r="P682" s="28" t="str">
        <x:v>Общая фруктовая сладость и летучие эфиры создают непрерывный ароматический профиль, а цитрусовая кислота повышает контраст и свежесть.</x:v>
      </x:c>
      <x:c r="Q682" s="28" t="str">
        <x:v>кислота усиливает слюноотделение; нет выраженного</x:v>
      </x:c>
      <x:c r="R682" s="28" t="str">
        <x:v>сок — водная кислая фаза; цедра — гидрофобное эфирное масло; сочная матрица; лактоны лучше ощущаются в жирной/сливочной среде</x:v>
      </x:c>
      <x:c r="S68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82"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Персик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U682" s="28" t="str">
        <x:v>Избыток кислоты делает вкус плоско-резким; белая часть кожуры даёт лишнюю горечь.</x:v>
      </x:c>
      <x:c r="V682" s="28" t="str">
        <x:v>миндаль или ваниль</x:v>
      </x:c>
      <x:c r="W682" s="28" t="str">
        <x:v>тарт, сорбет, джем или фруктовый соус</x:v>
      </x:c>
      <x:c r="X682" s="28" t="str">
        <x:v>десерты</x:v>
      </x:c>
      <x:c r="Y682" s="28" t="str">
        <x:v>Гипотеза / практическая</x:v>
      </x:c>
      <x:c r="Z682" s="28" t="str">
        <x:v>Таблица сочетания(1).pdf</x:v>
      </x:c>
      <x:c r="AA682" s="28" t="str">
        <x:v>Таблица сочетания(1).pdf: 15</x:v>
      </x:c>
      <x:c r="AB682" s="28" t="str">
        <x:v>Пара указана в таблице: «Персик» → колонка «Фрукты».</x:v>
      </x:c>
      <x:c r="AC682" s="28" t="n">
        <x:v>1</x:v>
      </x:c>
      <x:c r="AD682" s="28" t="n">
        <x:v>1</x:v>
      </x:c>
    </x:row>
    <x:row r="683" ht="58" customHeight="1">
      <x:c r="A683" s="28" t="str">
        <x:v>CIT-0682</x:v>
      </x:c>
      <x:c r="B683" s="28" t="str">
        <x:v>Универсальные</x:v>
      </x:c>
      <x:c r="C683" s="28" t="str">
        <x:v>цитрусовые</x:v>
      </x:c>
      <x:c r="D683" s="28" t="str">
        <x:v>цитрусовые</x:v>
      </x:c>
      <x:c r="E683" s="28" t="str">
        <x:v>Цитрусовые</x:v>
      </x:c>
      <x:c r="F683" s="28" t="str">
        <x:v>роза</x:v>
      </x:c>
      <x:c r="G683" s="28" t="str">
        <x:v>Роза</x:v>
      </x:c>
      <x:c r="H683" s="28" t="str">
        <x:v>Прочее</x:v>
      </x:c>
      <x:c r="I683" s="28" t="str">
        <x:v>цитрусовый, свежий, цветочный, древесный</x:v>
      </x:c>
      <x:c r="J683" s="28" t="str">
        <x:v>нейтральный/специфический</x:v>
      </x:c>
      <x:c r="K683" s="28" t="str">
        <x:v>цитраль (гераниаль + нераль), лимонен, гамма-терпинен, бета-пинен</x:v>
      </x:c>
      <x:c r="L683" s="28" t="str">
        <x:v>нужен профиль конкретного продукта</x:v>
      </x:c>
      <x:c r="M683" s="28" t="str">
        <x:v>прямое семейное перекрытие не является главным механизмом</x:v>
      </x:c>
      <x:c r="N683" s="28" t="str">
        <x:v>надёжный общий маркер не заявлен; сочетание объясняется семействами и сенсорным балансом</x:v>
      </x:c>
      <x:c r="O683" s="28" t="str">
        <x:v>вкусовой баланс, тройничное восприятие</x:v>
      </x:c>
      <x:c r="P683" s="28" t="str">
        <x:v>Основной эффект определяется ароматическим контрастом и добавлением кислотной свежести; точный баланс зависит от дозировки и матрицы.</x:v>
      </x:c>
      <x:c r="Q683" s="28" t="str">
        <x:v>кислота усиливает слюноотделение; нет данных</x:v>
      </x:c>
      <x:c r="R683" s="28" t="str">
        <x:v>сок — водная кислая фаза; цедра — гидрофобное эфирное масло; зависит от формы продукта</x:v>
      </x:c>
      <x:c r="S68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83"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Роза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683" s="28" t="str">
        <x:v>Избыток кислоты делает вкус плоско-резким; белая часть кожуры даёт лишнюю горечь.</x:v>
      </x:c>
      <x:c r="V683" s="28" t="str">
        <x:v>мёд или нейтральная жировая основа</x:v>
      </x:c>
      <x:c r="W683" s="28" t="str">
        <x:v>соус, напиток или десерт после пробной дегустации</x:v>
      </x:c>
      <x:c r="X683" s="28" t="str">
        <x:v>универсальное</x:v>
      </x:c>
      <x:c r="Y683" s="28" t="str">
        <x:v>Гипотеза / практическая</x:v>
      </x:c>
      <x:c r="Z683" s="28" t="str">
        <x:v>Таблица сочетания(1).pdf</x:v>
      </x:c>
      <x:c r="AA683" s="28" t="str">
        <x:v>Таблица сочетания(1).pdf: 19</x:v>
      </x:c>
      <x:c r="AB683" s="28" t="str">
        <x:v>Пара указана в таблице: «Роза» → колонка «Фрукты».</x:v>
      </x:c>
      <x:c r="AC683" s="28" t="n">
        <x:v>1</x:v>
      </x:c>
      <x:c r="AD683" s="28" t="n">
        <x:v>1</x:v>
      </x:c>
    </x:row>
    <x:row r="684" ht="58" customHeight="1">
      <x:c r="A684" s="28" t="str">
        <x:v>CIT-0683</x:v>
      </x:c>
      <x:c r="B684" s="28" t="str">
        <x:v>Напитки</x:v>
      </x:c>
      <x:c r="C684" s="28" t="str">
        <x:v>цитрусовые</x:v>
      </x:c>
      <x:c r="D684" s="28" t="str">
        <x:v>цитрусовые</x:v>
      </x:c>
      <x:c r="E684" s="28" t="str">
        <x:v>Цитрусовые</x:v>
      </x:c>
      <x:c r="F684" s="28" t="str">
        <x:v>ромашка</x:v>
      </x:c>
      <x:c r="G684" s="28" t="str">
        <x:v>Ромашка</x:v>
      </x:c>
      <x:c r="H684" s="28" t="str">
        <x:v>Алкогольные напитки</x:v>
      </x:c>
      <x:c r="I684" s="28" t="str">
        <x:v>цитрусовый, свежий, цветочный, древесный</x:v>
      </x:c>
      <x:c r="J684" s="28" t="str">
        <x:v>зависит от основы, эфирный, древесный/пряный</x:v>
      </x:c>
      <x:c r="K684" s="28" t="str">
        <x:v>цитраль (гераниаль + нераль), лимонен, гамма-терпинен, бета-пинен</x:v>
      </x:c>
      <x:c r="L684" s="28" t="str">
        <x:v>этанол, эфиры, терпены/дубовые соединения</x:v>
      </x:c>
      <x:c r="M684" s="28" t="str">
        <x:v>прямое семейное перекрытие не является главным механизмом</x:v>
      </x:c>
      <x:c r="N684" s="28" t="str">
        <x:v>надёжный общий маркер не заявлен; сочетание объясняется семействами и сенсорным балансом</x:v>
      </x:c>
      <x:c r="O684" s="28" t="str">
        <x:v>вкусовой баланс, тройничное восприятие, влияние матрицы/растворимости</x:v>
      </x:c>
      <x:c r="P684" s="28" t="str">
        <x:v>Этанол усиливает летучесть терпенов и ощущение тепла; сахар и вода регулируют кислотность, горечь кожуры и спиртуозность.</x:v>
      </x:c>
      <x:c r="Q684" s="28" t="str">
        <x:v>кислота усиливает слюноотделение; этанол усиливает тепло и летучесть аромата</x:v>
      </x:c>
      <x:c r="R684" s="28" t="str">
        <x:v>сок — водная кислая фаза; цедра — гидрофобное эфирное масло; этанол — хороший растворитель гидрофобных эфирных масел</x:v>
      </x:c>
      <x:c r="S684"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T684"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Ромашка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U684" s="28" t="str">
        <x:v>Избыток кислоты делает вкус плоско-резким; белая часть кожуры даёт лишнюю горечь.</x:v>
      </x:c>
      <x:c r="V684" s="28" t="str">
        <x:v>сахарный сироп или биттер</x:v>
      </x:c>
      <x:c r="W684" s="28" t="str">
        <x:v>коктейль, спритц, настойка, ликёр или кордиал</x:v>
      </x:c>
      <x:c r="X684" s="28" t="str">
        <x:v>напитки</x:v>
      </x:c>
      <x:c r="Y684" s="28" t="str">
        <x:v>Гипотеза / практическая</x:v>
      </x:c>
      <x:c r="Z684" s="28" t="str">
        <x:v>Таблица сочетания(1).pdf</x:v>
      </x:c>
      <x:c r="AA684" s="28" t="str">
        <x:v>Таблица сочетания(1).pdf: 4</x:v>
      </x:c>
      <x:c r="AB684" s="28" t="str">
        <x:v>Пара указана в таблице: «Ромашка» → колонка «Фрукты».</x:v>
      </x:c>
      <x:c r="AC684" s="28" t="n">
        <x:v>1</x:v>
      </x:c>
      <x:c r="AD684" s="28" t="n">
        <x:v>1</x:v>
      </x:c>
    </x:row>
    <x:row r="685" ht="58" customHeight="1">
      <x:c r="A685" s="28" t="str">
        <x:v>CIT-0684</x:v>
      </x:c>
      <x:c r="B685" s="28" t="str">
        <x:v>Десерты и выпечка</x:v>
      </x:c>
      <x:c r="C685" s="28" t="str">
        <x:v>цитрусовые</x:v>
      </x:c>
      <x:c r="D685" s="28" t="str">
        <x:v>цитрусовые</x:v>
      </x:c>
      <x:c r="E685" s="28" t="str">
        <x:v>Цитрусовые</x:v>
      </x:c>
      <x:c r="F685" s="28" t="str">
        <x:v>яблоко</x:v>
      </x:c>
      <x:c r="G685" s="28" t="str">
        <x:v>Яблоко</x:v>
      </x:c>
      <x:c r="H685" s="28" t="str">
        <x:v>Фрукты</x:v>
      </x:c>
      <x:c r="I685" s="28" t="str">
        <x:v>цитрусовый, свежий, цветочный, древесный</x:v>
      </x:c>
      <x:c r="J685" s="28" t="str">
        <x:v>фруктовый, зелёный, цветочный</x:v>
      </x:c>
      <x:c r="K685" s="28" t="str">
        <x:v>цитраль (гераниаль + нераль), лимонен, гамма-терпинен, бета-пинен</x:v>
      </x:c>
      <x:c r="L685" s="28" t="str">
        <x:v>гексилацетат, гексаналь, транс-2-гексеналь, бета-дамасценон</x:v>
      </x:c>
      <x:c r="M685" s="28" t="str">
        <x:v>цветочный</x:v>
      </x:c>
      <x:c r="N685" s="28" t="str">
        <x:v>надёжный общий маркер не заявлен; сочетание объясняется семействами и сенсорным балансом</x:v>
      </x:c>
      <x:c r="O685" s="28" t="str">
        <x:v>перекрытие ароматических семейств, вкусовой баланс</x:v>
      </x:c>
      <x:c r="P685" s="28" t="str">
        <x:v>Общая фруктовая сладость и летучие эфиры создают непрерывный ароматический профиль, а цитрусовая кислота повышает контраст и свежесть.</x:v>
      </x:c>
      <x:c r="Q685" s="28" t="str">
        <x:v>кислота усиливает слюноотделение; нет выраженного</x:v>
      </x:c>
      <x:c r="R685" s="28" t="str">
        <x:v>сок — водная кислая фаза; цедра — гидрофобное эфирное масло; водная сочная матрица; пектин повышает вязкость</x:v>
      </x:c>
      <x:c r="S68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85"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Яблочные эфиры и зелёные альдегиды хорошо поддерживают свежий цитрус.</x:v>
      </x:c>
      <x:c r="U685" s="28" t="str">
        <x:v>Избыток кислоты делает вкус плоско-резким; белая часть кожуры даёт лишнюю горечь.</x:v>
      </x:c>
      <x:c r="V685" s="28" t="str">
        <x:v>мята или имбирь</x:v>
      </x:c>
      <x:c r="W685" s="28" t="str">
        <x:v>лимонад, сорбет, компот, салат или фруктовый кордиал</x:v>
      </x:c>
      <x:c r="X685" s="28" t="str">
        <x:v>напитки, десерты</x:v>
      </x:c>
      <x:c r="Y685" s="28" t="str">
        <x:v>Гипотеза / практическая</x:v>
      </x:c>
      <x:c r="Z685" s="28" t="str">
        <x:v>Таблица сочетания(1).pdf</x:v>
      </x:c>
      <x:c r="AA685" s="28" t="str">
        <x:v>Таблица сочетания(1).pdf: 1</x:v>
      </x:c>
      <x:c r="AB685" s="28" t="str">
        <x:v>Пара указана в таблице: «Яблоко» → колонка «Фрукты».</x:v>
      </x:c>
      <x:c r="AC685" s="28" t="n">
        <x:v>1</x:v>
      </x:c>
      <x:c r="AD685" s="28" t="n">
        <x:v>2</x:v>
      </x:c>
    </x:row>
    <x:row r="686" ht="58" customHeight="1">
      <x:c r="A686" s="28" t="str">
        <x:v>CIT-0685</x:v>
      </x:c>
      <x:c r="B686" s="28" t="str">
        <x:v>Десерты и выпечка</x:v>
      </x:c>
      <x:c r="C686" s="28" t="str">
        <x:v>цукаты из апельсиновой кожуры</x:v>
      </x:c>
      <x:c r="D686" s="28" t="str">
        <x:v>candied orange peel</x:v>
      </x:c>
      <x:c r="E686" s="28" t="str">
        <x:v>Цитрусовые</x:v>
      </x:c>
      <x:c r="F686" s="28" t="str">
        <x:v>вишня Морелло</x:v>
      </x:c>
      <x:c r="G686" s="28" t="str">
        <x:v>Morello cherry</x:v>
      </x:c>
      <x:c r="H686" s="28" t="str">
        <x:v>Ягоды/косточковые</x:v>
      </x:c>
      <x:c r="I686" s="28" t="str">
        <x:v>цитрусовый, сладко-фруктовый, цветочный, восковой</x:v>
      </x:c>
      <x:c r="J686" s="28" t="str">
        <x:v>фруктовый, цветочный, зелёный, винный</x:v>
      </x:c>
      <x:c r="K686" s="28" t="str">
        <x:v>лимонен, линалол, деканаль, октаналь, мирцен</x:v>
      </x:c>
      <x:c r="L686" s="28" t="str">
        <x:v>иононы, дамасценон, эфиры, бензальдегид (для косточковых)</x:v>
      </x:c>
      <x:c r="M686" s="28" t="str">
        <x:v>цветочный</x:v>
      </x:c>
      <x:c r="N686" s="28" t="str">
        <x:v>надёжный общий маркер не заявлен; сочетание объясняется семействами и сенсорным балансом</x:v>
      </x:c>
      <x:c r="O686" s="28" t="str">
        <x:v>перекрытие ароматических семейств, вкусовой баланс</x:v>
      </x:c>
      <x:c r="P686" s="28" t="str">
        <x:v>Общая фруктовая сладость и летучие эфиры создают непрерывный ароматический профиль, а цитрусовая кислота повышает контраст и свежесть.</x:v>
      </x:c>
      <x:c r="Q686" s="28" t="str">
        <x:v>нет выраженного; нет выраженного</x:v>
      </x:c>
      <x:c r="R686" s="28" t="str">
        <x:v>сок водный; цедра и ликёры несут гидрофобные эфирные масла; водная матрица с антоцианами и полифенолами</x:v>
      </x:c>
      <x:c r="S68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86"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Вишня морелло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U686" s="28" t="str">
        <x:v>Избыток кислоты делает вкус плоско-резким; белая часть кожуры даёт лишнюю горечь.</x:v>
      </x:c>
      <x:c r="V686" s="28" t="str">
        <x:v>ваниль или миндаль</x:v>
      </x:c>
      <x:c r="W686" s="28" t="str">
        <x:v>джем, сорбет, коктейль или соус</x:v>
      </x:c>
      <x:c r="X686" s="28" t="str">
        <x:v>напитки, десерты</x:v>
      </x:c>
      <x:c r="Y686" s="28" t="str">
        <x:v>Средняя</x:v>
      </x:c>
      <x:c r="Z686" s="28" t="str">
        <x:v>The Art &amp; Science of Foodpairing.pdf</x:v>
      </x:c>
      <x:c r="AA686" s="28" t="str">
        <x:v>The Art &amp; Science of Foodpairing.pdf: 267</x:v>
      </x:c>
      <x:c r="AB686" s="28" t="str">
        <x:v>Пара представлена в ароматической диаграмме Foodpairing на странице 267.</x:v>
      </x:c>
      <x:c r="AC686" s="28" t="n">
        <x:v>1</x:v>
      </x:c>
      <x:c r="AD686" s="28" t="n">
        <x:v>1</x:v>
      </x:c>
    </x:row>
    <x:row r="687" ht="58" customHeight="1">
      <x:c r="A687" s="28" t="str">
        <x:v>CIT-0686</x:v>
      </x:c>
      <x:c r="B687" s="28" t="str">
        <x:v>Еда и соусы</x:v>
      </x:c>
      <x:c r="C687" s="28" t="str">
        <x:v>цукаты из апельсиновой кожуры</x:v>
      </x:c>
      <x:c r="D687" s="28" t="str">
        <x:v>candied orange peel</x:v>
      </x:c>
      <x:c r="E687" s="28" t="str">
        <x:v>Цитрусовые</x:v>
      </x:c>
      <x:c r="F687" s="28" t="str">
        <x:v>водоросль Gracilaria carnosa</x:v>
      </x:c>
      <x:c r="G687" s="28" t="str">
        <x:v>Graci/aria carnosa algae</x:v>
      </x:c>
      <x:c r="H687" s="28" t="str">
        <x:v>Рыба и морепродукты</x:v>
      </x:c>
      <x:c r="I687" s="28" t="str">
        <x:v>цитрусовый, сладко-фруктовый, цветочный, восковой</x:v>
      </x:c>
      <x:c r="J687" s="28" t="str">
        <x:v>морской, йодистый, зелёный, жирный</x:v>
      </x:c>
      <x:c r="K687" s="28" t="str">
        <x:v>лимонен, линалол, деканаль, октаналь, мирцен</x:v>
      </x:c>
      <x:c r="L687" s="28" t="str">
        <x:v>альдегиды окисления липидов, бромфенолы, диметилсульфид, умами-соединения</x:v>
      </x:c>
      <x:c r="M687" s="28" t="str">
        <x:v>прямое семейное перекрытие не является главным механизмом</x:v>
      </x:c>
      <x:c r="N687" s="28" t="str">
        <x:v>надёжный общий маркер не заявлен; сочетание объясняется семействами и сенсорным балансом</x:v>
      </x:c>
      <x:c r="O687" s="28" t="str">
        <x:v>вкусовой баланс, влияние матрицы/растворимости</x:v>
      </x:c>
      <x:c r="P687" s="28" t="str">
        <x:v>Кислотность и лёгкая горечь цитруса снижают ощущение жирности; соль и умами, в свою очередь, делают фруктовую часть менее резкой.</x:v>
      </x:c>
      <x:c r="Q687" s="28" t="str">
        <x:v>нет выраженного; нет выраженного</x:v>
      </x:c>
      <x:c r="R687" s="28" t="str">
        <x:v>сок водный; цедра и ликёры несут гидрофобные эфирные масла; кислота может денатурировать поверхностные белки; жир рыбы удерживает терпены</x:v>
      </x:c>
      <x:c r="S68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687"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Водоросль gracilaria carnosa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U687" s="28" t="str">
        <x:v>Избыток кислоты делает вкус плоско-резким; белая часть кожуры даёт лишнюю горечь; слишком долгая маринация ухудшает текстуру.</x:v>
      </x:c>
      <x:c r="V687" s="28" t="str">
        <x:v>кинза или фенхель</x:v>
      </x:c>
      <x:c r="W687" s="28" t="str">
        <x:v>севиче, маринад, beurre blanc, тартар или салат</x:v>
      </x:c>
      <x:c r="X687" s="28" t="str">
        <x:v>еда, соусы/маринады</x:v>
      </x:c>
      <x:c r="Y687" s="28" t="str">
        <x:v>Средняя</x:v>
      </x:c>
      <x:c r="Z687" s="28" t="str">
        <x:v>The Art &amp; Science of Foodpairing.pdf</x:v>
      </x:c>
      <x:c r="AA687" s="28" t="str">
        <x:v>The Art &amp; Science of Foodpairing.pdf: 267</x:v>
      </x:c>
      <x:c r="AB687" s="28" t="str">
        <x:v>Пара представлена в ароматической диаграмме Foodpairing на странице 267.</x:v>
      </x:c>
      <x:c r="AC687" s="28" t="n">
        <x:v>1</x:v>
      </x:c>
      <x:c r="AD687" s="28" t="n">
        <x:v>1</x:v>
      </x:c>
    </x:row>
    <x:row r="688" ht="58" customHeight="1">
      <x:c r="A688" s="28" t="str">
        <x:v>CIT-0687</x:v>
      </x:c>
      <x:c r="B688" s="28" t="str">
        <x:v>Еда и соусы</x:v>
      </x:c>
      <x:c r="C688" s="28" t="str">
        <x:v>цукаты из апельсиновой кожуры</x:v>
      </x:c>
      <x:c r="D688" s="28" t="str">
        <x:v>candied orange peel</x:v>
      </x:c>
      <x:c r="E688" s="28" t="str">
        <x:v>Цитрусовые</x:v>
      </x:c>
      <x:c r="F688" s="28" t="str">
        <x:v>морские водоросли</x:v>
      </x:c>
      <x:c r="G688" s="28" t="str">
        <x:v>seaweed</x:v>
      </x:c>
      <x:c r="H688" s="28" t="str">
        <x:v>Рыба и морепродукты</x:v>
      </x:c>
      <x:c r="I688" s="28" t="str">
        <x:v>цитрусовый, сладко-фруктовый, цветочный, восковой</x:v>
      </x:c>
      <x:c r="J688" s="28" t="str">
        <x:v>морской, йодистый, зелёный, жирный</x:v>
      </x:c>
      <x:c r="K688" s="28" t="str">
        <x:v>лимонен, линалол, деканаль, октаналь, мирцен</x:v>
      </x:c>
      <x:c r="L688" s="28" t="str">
        <x:v>альдегиды окисления липидов, бромфенолы, диметилсульфид, умами-соединения</x:v>
      </x:c>
      <x:c r="M688" s="28" t="str">
        <x:v>прямое семейное перекрытие не является главным механизмом</x:v>
      </x:c>
      <x:c r="N688" s="28" t="str">
        <x:v>надёжный общий маркер не заявлен; сочетание объясняется семействами и сенсорным балансом</x:v>
      </x:c>
      <x:c r="O688" s="28" t="str">
        <x:v>вкусовой баланс, влияние матрицы/растворимости</x:v>
      </x:c>
      <x:c r="P688" s="28" t="str">
        <x:v>Кислотность и лёгкая горечь цитруса снижают ощущение жирности; соль и умами, в свою очередь, делают фруктовую часть менее резкой.</x:v>
      </x:c>
      <x:c r="Q688" s="28" t="str">
        <x:v>нет выраженного; нет выраженного</x:v>
      </x:c>
      <x:c r="R688" s="28" t="str">
        <x:v>сок водный; цедра и ликёры несут гидрофобные эфирные масла; кислота может денатурировать поверхностные белки; жир рыбы удерживает терпены</x:v>
      </x:c>
      <x:c r="S68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688"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Морские водоросли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U688" s="28" t="str">
        <x:v>Избыток кислоты делает вкус плоско-резким; белая часть кожуры даёт лишнюю горечь; слишком долгая маринация ухудшает текстуру.</x:v>
      </x:c>
      <x:c r="V688" s="28" t="str">
        <x:v>кинза или фенхель</x:v>
      </x:c>
      <x:c r="W688" s="28" t="str">
        <x:v>севиче, маринад, beurre blanc, тартар или салат</x:v>
      </x:c>
      <x:c r="X688" s="28" t="str">
        <x:v>еда, соусы/маринады</x:v>
      </x:c>
      <x:c r="Y688" s="28" t="str">
        <x:v>Средняя</x:v>
      </x:c>
      <x:c r="Z688" s="28" t="str">
        <x:v>The Art &amp; Science of Foodpairing.pdf</x:v>
      </x:c>
      <x:c r="AA688" s="28" t="str">
        <x:v>The Art &amp; Science of Foodpairing.pdf: 267</x:v>
      </x:c>
      <x:c r="AB688" s="28" t="str">
        <x:v>Пара представлена в ароматической диаграмме Foodpairing на странице 267.</x:v>
      </x:c>
      <x:c r="AC688" s="28" t="n">
        <x:v>1</x:v>
      </x:c>
      <x:c r="AD688" s="28" t="n">
        <x:v>1</x:v>
      </x:c>
    </x:row>
    <x:row r="689" ht="58" customHeight="1">
      <x:c r="A689" s="28" t="str">
        <x:v>CIT-0688</x:v>
      </x:c>
      <x:c r="B689" s="28" t="str">
        <x:v>Еда и соусы</x:v>
      </x:c>
      <x:c r="C689" s="28" t="str">
        <x:v>цукаты из апельсиновой кожуры</x:v>
      </x:c>
      <x:c r="D689" s="28" t="str">
        <x:v>candied orange peel</x:v>
      </x:c>
      <x:c r="E689" s="28" t="str">
        <x:v>Цитрусовые</x:v>
      </x:c>
      <x:c r="F689" s="28" t="str">
        <x:v>морской ёж</x:v>
      </x:c>
      <x:c r="G689" s="28" t="str">
        <x:v>sea urchin</x:v>
      </x:c>
      <x:c r="H689" s="28" t="str">
        <x:v>Рыба и морепродукты</x:v>
      </x:c>
      <x:c r="I689" s="28" t="str">
        <x:v>цитрусовый, сладко-фруктовый, цветочный, восковой</x:v>
      </x:c>
      <x:c r="J689" s="28" t="str">
        <x:v>морской, йодистый, зелёный, жирный</x:v>
      </x:c>
      <x:c r="K689" s="28" t="str">
        <x:v>лимонен, линалол, деканаль, октаналь, мирцен</x:v>
      </x:c>
      <x:c r="L689" s="28" t="str">
        <x:v>альдегиды окисления липидов, бромфенолы, диметилсульфид, умами-соединения</x:v>
      </x:c>
      <x:c r="M689" s="28" t="str">
        <x:v>прямое семейное перекрытие не является главным механизмом</x:v>
      </x:c>
      <x:c r="N689" s="28" t="str">
        <x:v>надёжный общий маркер не заявлен; сочетание объясняется семействами и сенсорным балансом</x:v>
      </x:c>
      <x:c r="O689" s="28" t="str">
        <x:v>вкусовой баланс, влияние матрицы/растворимости</x:v>
      </x:c>
      <x:c r="P689" s="28" t="str">
        <x:v>Кислотность и лёгкая горечь цитруса снижают ощущение жирности; соль и умами, в свою очередь, делают фруктовую часть менее резкой.</x:v>
      </x:c>
      <x:c r="Q689" s="28" t="str">
        <x:v>нет выраженного; нет выраженного</x:v>
      </x:c>
      <x:c r="R689" s="28" t="str">
        <x:v>сок водный; цедра и ликёры несут гидрофобные эфирные масла; кислота может денатурировать поверхностные белки; жир рыбы удерживает терпены</x:v>
      </x:c>
      <x:c r="S68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689"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Морской ёж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U689" s="28" t="str">
        <x:v>Избыток кислоты делает вкус плоско-резким; белая часть кожуры даёт лишнюю горечь; слишком долгая маринация ухудшает текстуру.</x:v>
      </x:c>
      <x:c r="V689" s="28" t="str">
        <x:v>кинза или фенхель</x:v>
      </x:c>
      <x:c r="W689" s="28" t="str">
        <x:v>севиче, маринад, beurre blanc, тартар или салат</x:v>
      </x:c>
      <x:c r="X689" s="28" t="str">
        <x:v>еда, соусы/маринады</x:v>
      </x:c>
      <x:c r="Y689" s="28" t="str">
        <x:v>Средняя</x:v>
      </x:c>
      <x:c r="Z689" s="28" t="str">
        <x:v>The Art &amp; Science of Foodpairing.pdf</x:v>
      </x:c>
      <x:c r="AA689" s="28" t="str">
        <x:v>The Art &amp; Science of Foodpairing.pdf: 267</x:v>
      </x:c>
      <x:c r="AB689" s="28" t="str">
        <x:v>Пара представлена в ароматической диаграмме Foodpairing на странице 267.</x:v>
      </x:c>
      <x:c r="AC689" s="28" t="n">
        <x:v>1</x:v>
      </x:c>
      <x:c r="AD689" s="28" t="n">
        <x:v>1</x:v>
      </x:c>
    </x:row>
    <x:row r="690" ht="58" customHeight="1">
      <x:c r="A690" s="28" t="str">
        <x:v>CIT-0689</x:v>
      </x:c>
      <x:c r="B690" s="28" t="str">
        <x:v>Десерты и выпечка</x:v>
      </x:c>
      <x:c r="C690" s="28" t="str">
        <x:v>цукаты из апельсиновой кожуры</x:v>
      </x:c>
      <x:c r="D690" s="28" t="str">
        <x:v>candied orange peel</x:v>
      </x:c>
      <x:c r="E690" s="28" t="str">
        <x:v>Цитрусовые</x:v>
      </x:c>
      <x:c r="F690" s="28" t="str">
        <x:v>персик</x:v>
      </x:c>
      <x:c r="G690" s="28" t="str">
        <x:v>peach</x:v>
      </x:c>
      <x:c r="H690" s="28" t="str">
        <x:v>Косточковые фрукты</x:v>
      </x:c>
      <x:c r="I690" s="28" t="str">
        <x:v>цитрусовый, сладко-фруктовый, цветочный, восковой</x:v>
      </x:c>
      <x:c r="J690" s="28" t="str">
        <x:v>фруктовый, цветочный, сливочный, миндальный</x:v>
      </x:c>
      <x:c r="K690" s="28" t="str">
        <x:v>лимонен, линалол, деканаль, октаналь, мирцен</x:v>
      </x:c>
      <x:c r="L690" s="28" t="str">
        <x:v>гамма- и дельта-лактоны, бензальдегид, дамасценон</x:v>
      </x:c>
      <x:c r="M690" s="28" t="str">
        <x:v>цветочный</x:v>
      </x:c>
      <x:c r="N690" s="28" t="str">
        <x:v>надёжный общий маркер не заявлен; сочетание объясняется семействами и сенсорным балансом</x:v>
      </x:c>
      <x:c r="O690" s="28" t="str">
        <x:v>перекрытие ароматических семейств, вкусовой баланс</x:v>
      </x:c>
      <x:c r="P690" s="28" t="str">
        <x:v>Общая фруктовая сладость и летучие эфиры создают непрерывный ароматический профиль, а цитрусовая кислота повышает контраст и свежесть.</x:v>
      </x:c>
      <x:c r="Q690" s="28" t="str">
        <x:v>нет выраженного; нет выраженного</x:v>
      </x:c>
      <x:c r="R690" s="28" t="str">
        <x:v>сок водный; цедра и ликёры несут гидрофобные эфирные масла; сочная матрица; лактоны лучше ощущаются в жирной/сливочной среде</x:v>
      </x:c>
      <x:c r="S69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690"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Персик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добавляет кислотность, а лактоны смягчают его резкость.</x:v>
      </x:c>
      <x:c r="U690" s="28" t="str">
        <x:v>Избыток кислоты делает вкус плоско-резким; белая часть кожуры даёт лишнюю горечь.</x:v>
      </x:c>
      <x:c r="V690" s="28" t="str">
        <x:v>миндаль или ваниль</x:v>
      </x:c>
      <x:c r="W690" s="28" t="str">
        <x:v>тарт, сорбет, джем или фруктовый соус</x:v>
      </x:c>
      <x:c r="X690" s="28" t="str">
        <x:v>десерты</x:v>
      </x:c>
      <x:c r="Y690" s="28" t="str">
        <x:v>Средняя</x:v>
      </x:c>
      <x:c r="Z690" s="28" t="str">
        <x:v>The Art &amp; Science of Foodpairing.pdf</x:v>
      </x:c>
      <x:c r="AA690" s="28" t="str">
        <x:v>The Art &amp; Science of Foodpairing.pdf: 267</x:v>
      </x:c>
      <x:c r="AB690" s="28" t="str">
        <x:v>Пара представлена в ароматической диаграмме Foodpairing на странице 267.</x:v>
      </x:c>
      <x:c r="AC690" s="28" t="n">
        <x:v>1</x:v>
      </x:c>
      <x:c r="AD690" s="28" t="n">
        <x:v>1</x:v>
      </x:c>
    </x:row>
    <x:row r="691" ht="58" customHeight="1">
      <x:c r="A691" s="28" t="str">
        <x:v>CIT-0690</x:v>
      </x:c>
      <x:c r="B691" s="28" t="str">
        <x:v>Универсальные</x:v>
      </x:c>
      <x:c r="C691" s="28" t="str">
        <x:v>цукаты из апельсиновой кожуры</x:v>
      </x:c>
      <x:c r="D691" s="28" t="str">
        <x:v>candied orange peel</x:v>
      </x:c>
      <x:c r="E691" s="28" t="str">
        <x:v>Цитрусовые</x:v>
      </x:c>
      <x:c r="F691" s="28" t="str">
        <x:v>сметана</x:v>
      </x:c>
      <x:c r="G691" s="28" t="str">
        <x:v>sour cream</x:v>
      </x:c>
      <x:c r="H691" s="28" t="str">
        <x:v>Прочее</x:v>
      </x:c>
      <x:c r="I691" s="28" t="str">
        <x:v>цитрусовый, сладко-фруктовый, цветочный, восковой</x:v>
      </x:c>
      <x:c r="J691" s="28" t="str">
        <x:v>нейтральный/специфический</x:v>
      </x:c>
      <x:c r="K691" s="28" t="str">
        <x:v>лимонен, линалол, деканаль, октаналь, мирцен</x:v>
      </x:c>
      <x:c r="L691" s="28" t="str">
        <x:v>нужен профиль конкретного продукта</x:v>
      </x:c>
      <x:c r="M691" s="28" t="str">
        <x:v>прямое семейное перекрытие не является главным механизмом</x:v>
      </x:c>
      <x:c r="N691" s="28" t="str">
        <x:v>надёжный общий маркер не заявлен; сочетание объясняется семействами и сенсорным балансом</x:v>
      </x:c>
      <x:c r="O691" s="28" t="str">
        <x:v>вкусовой баланс, тройничное восприятие</x:v>
      </x:c>
      <x:c r="P691" s="28" t="str">
        <x:v>Основной эффект определяется ароматическим контрастом и добавлением кислотной свежести; точный баланс зависит от дозировки и матрицы.</x:v>
      </x:c>
      <x:c r="Q691" s="28" t="str">
        <x:v>нет выраженного; нет данных</x:v>
      </x:c>
      <x:c r="R691" s="28" t="str">
        <x:v>сок водный; цедра и ликёры несут гидрофобные эфирные масла; зависит от формы продукта</x:v>
      </x:c>
      <x:c r="S69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91"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Сметана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691" s="28" t="str">
        <x:v>Избыток кислоты делает вкус плоско-резким; белая часть кожуры даёт лишнюю горечь.</x:v>
      </x:c>
      <x:c r="V691" s="28" t="str">
        <x:v>мёд или нейтральная жировая основа</x:v>
      </x:c>
      <x:c r="W691" s="28" t="str">
        <x:v>соус, напиток или десерт после пробной дегустации</x:v>
      </x:c>
      <x:c r="X691" s="28" t="str">
        <x:v>универсальное</x:v>
      </x:c>
      <x:c r="Y691" s="28" t="str">
        <x:v>Средняя</x:v>
      </x:c>
      <x:c r="Z691" s="28" t="str">
        <x:v>The Art &amp; Science of Foodpairing.pdf</x:v>
      </x:c>
      <x:c r="AA691" s="28" t="str">
        <x:v>The Art &amp; Science of Foodpairing.pdf: 267</x:v>
      </x:c>
      <x:c r="AB691" s="28" t="str">
        <x:v>Пара представлена в ароматической диаграмме Foodpairing на странице 267.</x:v>
      </x:c>
      <x:c r="AC691" s="28" t="n">
        <x:v>1</x:v>
      </x:c>
      <x:c r="AD691" s="28" t="n">
        <x:v>1</x:v>
      </x:c>
    </x:row>
    <x:row r="692" ht="58" customHeight="1">
      <x:c r="A692" s="28" t="str">
        <x:v>CIT-0691</x:v>
      </x:c>
      <x:c r="B692" s="28" t="str">
        <x:v>Универсальные</x:v>
      </x:c>
      <x:c r="C692" s="28" t="str">
        <x:v>цукаты из апельсиновой кожуры</x:v>
      </x:c>
      <x:c r="D692" s="28" t="str">
        <x:v>candied orange peel</x:v>
      </x:c>
      <x:c r="E692" s="28" t="str">
        <x:v>Цитрусовые</x:v>
      </x:c>
      <x:c r="F692" s="28" t="str">
        <x:v>сумах</x:v>
      </x:c>
      <x:c r="G692" s="28" t="str">
        <x:v>sumac</x:v>
      </x:c>
      <x:c r="H692" s="28" t="str">
        <x:v>Прочее</x:v>
      </x:c>
      <x:c r="I692" s="28" t="str">
        <x:v>цитрусовый, сладко-фруктовый, цветочный, восковой</x:v>
      </x:c>
      <x:c r="J692" s="28" t="str">
        <x:v>нейтральный/специфический</x:v>
      </x:c>
      <x:c r="K692" s="28" t="str">
        <x:v>лимонен, линалол, деканаль, октаналь, мирцен</x:v>
      </x:c>
      <x:c r="L692" s="28" t="str">
        <x:v>нужен профиль конкретного продукта</x:v>
      </x:c>
      <x:c r="M692" s="28" t="str">
        <x:v>прямое семейное перекрытие не является главным механизмом</x:v>
      </x:c>
      <x:c r="N692" s="28" t="str">
        <x:v>надёжный общий маркер не заявлен; сочетание объясняется семействами и сенсорным балансом</x:v>
      </x:c>
      <x:c r="O692" s="28" t="str">
        <x:v>вкусовой баланс, тройничное восприятие</x:v>
      </x:c>
      <x:c r="P692" s="28" t="str">
        <x:v>Основной эффект определяется ароматическим контрастом и добавлением кислотной свежести; точный баланс зависит от дозировки и матрицы.</x:v>
      </x:c>
      <x:c r="Q692" s="28" t="str">
        <x:v>нет выраженного; нет данных</x:v>
      </x:c>
      <x:c r="R692" s="28" t="str">
        <x:v>сок водный; цедра и ликёры несут гидрофобные эфирные масла; зависит от формы продукта</x:v>
      </x:c>
      <x:c r="S69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92"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Сумах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692" s="28" t="str">
        <x:v>Избыток кислоты делает вкус плоско-резким; белая часть кожуры даёт лишнюю горечь.</x:v>
      </x:c>
      <x:c r="V692" s="28" t="str">
        <x:v>мёд или нейтральная жировая основа</x:v>
      </x:c>
      <x:c r="W692" s="28" t="str">
        <x:v>соус, напиток или десерт после пробной дегустации</x:v>
      </x:c>
      <x:c r="X692" s="28" t="str">
        <x:v>универсальное</x:v>
      </x:c>
      <x:c r="Y692" s="28" t="str">
        <x:v>Средняя</x:v>
      </x:c>
      <x:c r="Z692" s="28" t="str">
        <x:v>The Art &amp; Science of Foodpairing.pdf</x:v>
      </x:c>
      <x:c r="AA692" s="28" t="str">
        <x:v>The Art &amp; Science of Foodpairing.pdf: 267</x:v>
      </x:c>
      <x:c r="AB692" s="28" t="str">
        <x:v>Пара представлена в ароматической диаграмме Foodpairing на странице 267.</x:v>
      </x:c>
      <x:c r="AC692" s="28" t="n">
        <x:v>1</x:v>
      </x:c>
      <x:c r="AD692" s="28" t="n">
        <x:v>1</x:v>
      </x:c>
    </x:row>
    <x:row r="693" ht="58" customHeight="1">
      <x:c r="A693" s="28" t="str">
        <x:v>CIT-0692</x:v>
      </x:c>
      <x:c r="B693" s="28" t="str">
        <x:v>Еда и соусы</x:v>
      </x:c>
      <x:c r="C693" s="28" t="str">
        <x:v>цукаты из апельсиновой кожуры</x:v>
      </x:c>
      <x:c r="D693" s="28" t="str">
        <x:v>candied orange peel</x:v>
      </x:c>
      <x:c r="E693" s="28" t="str">
        <x:v>Цитрусовые</x:v>
      </x:c>
      <x:c r="F693" s="28" t="str">
        <x:v>тыква</x:v>
      </x:c>
      <x:c r="G693" s="28" t="str">
        <x:v>pumpkin</x:v>
      </x:c>
      <x:c r="H693" s="28" t="str">
        <x:v>Овощи</x:v>
      </x:c>
      <x:c r="I693" s="28" t="str">
        <x:v>цитрусовый, сладко-фруктовый, цветочный, восковой</x:v>
      </x:c>
      <x:c r="J693" s="28" t="str">
        <x:v>зелёный, землистый, растительный, иногда сернистый</x:v>
      </x:c>
      <x:c r="K693" s="28" t="str">
        <x:v>лимонен, линалол, деканаль, октаналь, мирцен</x:v>
      </x:c>
      <x:c r="L693" s="28" t="str">
        <x:v>C6-альдегиды, метоксипиразины, геосмин (землистые), сернистые соединения</x:v>
      </x:c>
      <x:c r="M693" s="28" t="str">
        <x:v>прямое семейное перекрытие не является главным механизмом</x:v>
      </x:c>
      <x:c r="N693" s="28" t="str">
        <x:v>надёжный общий маркер не заявлен; сочетание объясняется семействами и сенсорным балансом</x:v>
      </x:c>
      <x:c r="O693" s="28" t="str">
        <x:v>вкусовой баланс</x:v>
      </x:c>
      <x:c r="P693" s="28" t="str">
        <x:v>Кислота подчёркивает природную сладость овоща, сокращает землистое/сернистое послевкусие и повышает слюноотделение.</x:v>
      </x:c>
      <x:c r="Q693" s="28" t="str">
        <x:v>нет выраженного; нет выраженного</x:v>
      </x:c>
      <x:c r="R693" s="28" t="str">
        <x:v>сок водный; цедра и ликёры несут гидрофобные эфирные масла; водная/крахмальная матрица; масло помогает распределить цедру</x:v>
      </x:c>
      <x:c r="S69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93"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U693" s="28" t="str">
        <x:v>Избыток кислоты делает вкус плоско-резким; белая часть кожуры даёт лишнюю горечь.</x:v>
      </x:c>
      <x:c r="V693" s="28" t="str">
        <x:v>оливковое масло или базилик</x:v>
      </x:c>
      <x:c r="W693" s="28" t="str">
        <x:v>винегрет, салат, пюре, запечённое блюдо или овощной соус</x:v>
      </x:c>
      <x:c r="X693" s="28" t="str">
        <x:v>еда, соусы/маринады</x:v>
      </x:c>
      <x:c r="Y693" s="28" t="str">
        <x:v>Средняя</x:v>
      </x:c>
      <x:c r="Z693" s="28" t="str">
        <x:v>The Art &amp; Science of Foodpairing.pdf</x:v>
      </x:c>
      <x:c r="AA693" s="28" t="str">
        <x:v>The Art &amp; Science of Foodpairing.pdf: 267</x:v>
      </x:c>
      <x:c r="AB693" s="28" t="str">
        <x:v>Пара представлена в ароматической диаграмме Foodpairing на странице 267.</x:v>
      </x:c>
      <x:c r="AC693" s="28" t="n">
        <x:v>1</x:v>
      </x:c>
      <x:c r="AD693" s="28" t="n">
        <x:v>1</x:v>
      </x:c>
    </x:row>
    <x:row r="694" ht="58" customHeight="1">
      <x:c r="A694" s="28" t="str">
        <x:v>CIT-0693</x:v>
      </x:c>
      <x:c r="B694" s="28" t="str">
        <x:v>Еда и соусы</x:v>
      </x:c>
      <x:c r="C694" s="28" t="str">
        <x:v>цукаты из апельсиновой кожуры</x:v>
      </x:c>
      <x:c r="D694" s="28" t="str">
        <x:v>candied orange peel</x:v>
      </x:c>
      <x:c r="E694" s="28" t="str">
        <x:v>Цитрусовые</x:v>
      </x:c>
      <x:c r="F694" s="28" t="str">
        <x:v>хересный уксус</x:v>
      </x:c>
      <x:c r="G694" s="28" t="str">
        <x:v>sherry vinegar</x:v>
      </x:c>
      <x:c r="H694" s="28" t="str">
        <x:v>Соусы и ферментированные продукты</x:v>
      </x:c>
      <x:c r="I694" s="28" t="str">
        <x:v>цитрусовый, сладко-фруктовый, цветочный, восковой</x:v>
      </x:c>
      <x:c r="J694" s="28" t="str">
        <x:v>кислый, умами, ферментированный, пряный</x:v>
      </x:c>
      <x:c r="K694" s="28" t="str">
        <x:v>лимонен, линалол, деканаль, октаналь, мирцен</x:v>
      </x:c>
      <x:c r="L694" s="28" t="str">
        <x:v>уксусная/молочная кислота, эфиры ферментации, пептиды умами</x:v>
      </x:c>
      <x:c r="M694" s="28" t="str">
        <x:v>прямое семейное перекрытие не является главным механизмом</x:v>
      </x:c>
      <x:c r="N694" s="28" t="str">
        <x:v>надёжный общий маркер не заявлен; сочетание объясняется семействами и сенсорным балансом</x:v>
      </x:c>
      <x:c r="O694" s="28" t="str">
        <x:v>вкусовой баланс, тройничное восприятие</x:v>
      </x:c>
      <x:c r="P694" s="28" t="str">
        <x:v>Цитрусовая кислота и аромат усиливают солёность и умами, но общий уровень кислоты необходимо контролировать.</x:v>
      </x:c>
      <x:c r="Q694" s="28" t="str">
        <x:v>нет выраженного; в пряных соусах возможен капсаициновый жар</x:v>
      </x:c>
      <x:c r="R694" s="28" t="str">
        <x:v>сок водный; цедра и ликёры несут гидрофобные эфирные масла; водная солёно-кислая матрица</x:v>
      </x:c>
      <x:c r="S69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94"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Хересный уксус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Апельсиновый профиль строится на лимонене и альдегидах с восково-сладкой нотой. Цитрус добавляет верхние ноты и может заменить часть уксуса, но избыток кислоты нарушит баланс.</x:v>
      </x:c>
      <x:c r="U694" s="28" t="str">
        <x:v>Избыток кислоты делает вкус плоско-резким; белая часть кожуры даёт лишнюю горечь.</x:v>
      </x:c>
      <x:c r="V694" s="28" t="str">
        <x:v>имбирь или кунжут</x:v>
      </x:c>
      <x:c r="W694" s="28" t="str">
        <x:v>дрессинг, глазурь, чатни, маринад или ферментированный соус</x:v>
      </x:c>
      <x:c r="X694" s="28" t="str">
        <x:v>еда, соусы/маринады</x:v>
      </x:c>
      <x:c r="Y694" s="28" t="str">
        <x:v>Средняя</x:v>
      </x:c>
      <x:c r="Z694" s="28" t="str">
        <x:v>The Art &amp; Science of Foodpairing.pdf</x:v>
      </x:c>
      <x:c r="AA694" s="28" t="str">
        <x:v>The Art &amp; Science of Foodpairing.pdf: 267</x:v>
      </x:c>
      <x:c r="AB694" s="28" t="str">
        <x:v>Пара представлена в ароматической диаграмме Foodpairing на странице 267.</x:v>
      </x:c>
      <x:c r="AC694" s="28" t="n">
        <x:v>1</x:v>
      </x:c>
      <x:c r="AD694" s="28" t="n">
        <x:v>1</x:v>
      </x:c>
    </x:row>
    <x:row r="695" ht="58" customHeight="1">
      <x:c r="A695" s="28" t="str">
        <x:v>CIT-0694</x:v>
      </x:c>
      <x:c r="B695" s="28" t="str">
        <x:v>Универсальные</x:v>
      </x:c>
      <x:c r="C695" s="28" t="str">
        <x:v>цукаты из апельсиновой кожуры</x:v>
      </x:c>
      <x:c r="D695" s="28" t="str">
        <x:v>candied orange peel</x:v>
      </x:c>
      <x:c r="E695" s="28" t="str">
        <x:v>Цитрусовые</x:v>
      </x:c>
      <x:c r="F695" s="28" t="str">
        <x:v>чабер</x:v>
      </x:c>
      <x:c r="G695" s="28" t="str">
        <x:v>summer savory</x:v>
      </x:c>
      <x:c r="H695" s="28" t="str">
        <x:v>Прочее</x:v>
      </x:c>
      <x:c r="I695" s="28" t="str">
        <x:v>цитрусовый, сладко-фруктовый, цветочный, восковой</x:v>
      </x:c>
      <x:c r="J695" s="28" t="str">
        <x:v>нейтральный/специфический</x:v>
      </x:c>
      <x:c r="K695" s="28" t="str">
        <x:v>лимонен, линалол, деканаль, октаналь, мирцен</x:v>
      </x:c>
      <x:c r="L695" s="28" t="str">
        <x:v>нужен профиль конкретного продукта</x:v>
      </x:c>
      <x:c r="M695" s="28" t="str">
        <x:v>прямое семейное перекрытие не является главным механизмом</x:v>
      </x:c>
      <x:c r="N695" s="28" t="str">
        <x:v>надёжный общий маркер не заявлен; сочетание объясняется семействами и сенсорным балансом</x:v>
      </x:c>
      <x:c r="O695" s="28" t="str">
        <x:v>вкусовой баланс, тройничное восприятие</x:v>
      </x:c>
      <x:c r="P695" s="28" t="str">
        <x:v>Основной эффект определяется ароматическим контрастом и добавлением кислотной свежести; точный баланс зависит от дозировки и матрицы.</x:v>
      </x:c>
      <x:c r="Q695" s="28" t="str">
        <x:v>нет выраженного; нет данных</x:v>
      </x:c>
      <x:c r="R695" s="28" t="str">
        <x:v>сок водный; цедра и ликёры несут гидрофобные эфирные масла; зависит от формы продукта</x:v>
      </x:c>
      <x:c r="S69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95"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Чабер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Апельсиновый профиль строится на лимонене и альдегидах с восково-сладкой нотой. Для точного молекулярного вывода нужен профиль конкретного ингредиента и способа обработки.</x:v>
      </x:c>
      <x:c r="U695" s="28" t="str">
        <x:v>Избыток кислоты делает вкус плоско-резким; белая часть кожуры даёт лишнюю горечь.</x:v>
      </x:c>
      <x:c r="V695" s="28" t="str">
        <x:v>мёд или нейтральная жировая основа</x:v>
      </x:c>
      <x:c r="W695" s="28" t="str">
        <x:v>соус, напиток или десерт после пробной дегустации</x:v>
      </x:c>
      <x:c r="X695" s="28" t="str">
        <x:v>универсальное</x:v>
      </x:c>
      <x:c r="Y695" s="28" t="str">
        <x:v>Средняя</x:v>
      </x:c>
      <x:c r="Z695" s="28" t="str">
        <x:v>The Art &amp; Science of Foodpairing.pdf</x:v>
      </x:c>
      <x:c r="AA695" s="28" t="str">
        <x:v>The Art &amp; Science of Foodpairing.pdf: 119</x:v>
      </x:c>
      <x:c r="AB695" s="28" t="str">
        <x:v>Пара представлена в ароматической диаграмме Foodpairing на странице 119.</x:v>
      </x:c>
      <x:c r="AC695" s="28" t="n">
        <x:v>1</x:v>
      </x:c>
      <x:c r="AD695" s="28" t="n">
        <x:v>1</x:v>
      </x:c>
    </x:row>
    <x:row r="696" ht="58" customHeight="1">
      <x:c r="A696" s="28" t="str">
        <x:v>CIT-0695</x:v>
      </x:c>
      <x:c r="B696" s="28" t="str">
        <x:v>Еда и соусы</x:v>
      </x:c>
      <x:c r="C696" s="28" t="str">
        <x:v>цукаты из лимонной кожуры</x:v>
      </x:c>
      <x:c r="D696" s="28" t="str">
        <x:v>candied lemon peel</x:v>
      </x:c>
      <x:c r="E696" s="28" t="str">
        <x:v>Цитрусовые</x:v>
      </x:c>
      <x:c r="F696" s="28" t="str">
        <x:v>артишок</x:v>
      </x:c>
      <x:c r="G696" s="28" t="str">
        <x:v>artichoke</x:v>
      </x:c>
      <x:c r="H696" s="28" t="str">
        <x:v>Овощи</x:v>
      </x:c>
      <x:c r="I696" s="28" t="str">
        <x:v>цитрусовый, свежий, цветочный, древесный</x:v>
      </x:c>
      <x:c r="J696" s="28" t="str">
        <x:v>зелёный, землистый, растительный, иногда сернистый</x:v>
      </x:c>
      <x:c r="K696" s="28" t="str">
        <x:v>цитраль (гераниаль + нераль), лимонен, гамма-терпинен, бета-пинен</x:v>
      </x:c>
      <x:c r="L696" s="28" t="str">
        <x:v>C6-альдегиды, метоксипиразины, геосмин (землистые), сернистые соединения</x:v>
      </x:c>
      <x:c r="M696" s="28" t="str">
        <x:v>прямое семейное перекрытие не является главным механизмом</x:v>
      </x:c>
      <x:c r="N696" s="28" t="str">
        <x:v>надёжный общий маркер не заявлен; сочетание объясняется семействами и сенсорным балансом</x:v>
      </x:c>
      <x:c r="O696" s="28" t="str">
        <x:v>вкусовой баланс</x:v>
      </x:c>
      <x:c r="P696" s="28" t="str">
        <x:v>Кислота подчёркивает природную сладость овоща, сокращает землистое/сернистое послевкусие и повышает слюноотделение.</x:v>
      </x:c>
      <x:c r="Q696" s="28" t="str">
        <x:v>кислота усиливает слюноотделение; нет выраженного</x:v>
      </x:c>
      <x:c r="R696" s="28" t="str">
        <x:v>сок — водная кислая фаза; цедра — гидрофобное эфирное масло; водная/крахмальная матрица; масло помогает распределить цедру</x:v>
      </x:c>
      <x:c r="S69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96"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Артишок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696" s="28" t="str">
        <x:v>Избыток кислоты делает вкус плоско-резким; белая часть кожуры даёт лишнюю горечь.</x:v>
      </x:c>
      <x:c r="V696" s="28" t="str">
        <x:v>оливковое масло или базилик</x:v>
      </x:c>
      <x:c r="W696" s="28" t="str">
        <x:v>винегрет, салат, пюре, запечённое блюдо или овощной соус</x:v>
      </x:c>
      <x:c r="X696" s="28" t="str">
        <x:v>еда, соусы/маринады</x:v>
      </x:c>
      <x:c r="Y696" s="28" t="str">
        <x:v>Средняя</x:v>
      </x:c>
      <x:c r="Z696" s="28" t="str">
        <x:v>The Art &amp; Science of Foodpairing.pdf</x:v>
      </x:c>
      <x:c r="AA696" s="28" t="str">
        <x:v>The Art &amp; Science of Foodpairing.pdf: 328</x:v>
      </x:c>
      <x:c r="AB696" s="28" t="str">
        <x:v>Пара представлена в ароматической диаграмме Foodpairing на странице 328.</x:v>
      </x:c>
      <x:c r="AC696" s="28" t="n">
        <x:v>1</x:v>
      </x:c>
      <x:c r="AD696" s="28" t="n">
        <x:v>1</x:v>
      </x:c>
    </x:row>
    <x:row r="697" ht="58" customHeight="1">
      <x:c r="A697" s="28" t="str">
        <x:v>CIT-0696</x:v>
      </x:c>
      <x:c r="B697" s="28" t="str">
        <x:v>Универсальные</x:v>
      </x:c>
      <x:c r="C697" s="28" t="str">
        <x:v>цукаты из лимонной кожуры</x:v>
      </x:c>
      <x:c r="D697" s="28" t="str">
        <x:v>candied lemon peel</x:v>
      </x:c>
      <x:c r="E697" s="28" t="str">
        <x:v>Цитрусовые</x:v>
      </x:c>
      <x:c r="F697" s="28" t="str">
        <x:v>базилик</x:v>
      </x:c>
      <x:c r="G697" s="28" t="str">
        <x:v>basil</x:v>
      </x:c>
      <x:c r="H697" s="28" t="str">
        <x:v>Травы</x:v>
      </x:c>
      <x:c r="I697" s="28" t="str">
        <x:v>цитрусовый, свежий, цветочный, древесный</x:v>
      </x:c>
      <x:c r="J697" s="28" t="str">
        <x:v>зелёный, анисовый, цветочный, пряный</x:v>
      </x:c>
      <x:c r="K697" s="28" t="str">
        <x:v>цитраль (гераниаль + нераль), лимонен, гамма-терпинен, бета-пинен</x:v>
      </x:c>
      <x:c r="L697" s="28" t="str">
        <x:v>линалол, эстрагол, эвгенол</x:v>
      </x:c>
      <x:c r="M697" s="28" t="str">
        <x:v>цветочный</x:v>
      </x:c>
      <x:c r="N697" s="28" t="str">
        <x:v>надёжный общий маркер не заявлен; сочетание объясняется семействами и сенсорным балансом</x:v>
      </x:c>
      <x:c r="O697" s="28" t="str">
        <x:v>перекрытие ароматических семейств, вкусовой баланс</x:v>
      </x:c>
      <x:c r="P697" s="28" t="str">
        <x:v>Кислота усиливает слюноотделение и делает пряный аромат ярче; терпены цитруса образуют мост с эфирными маслами травы или специи.</x:v>
      </x:c>
      <x:c r="Q697" s="28" t="str">
        <x:v>кислота усиливает слюноотделение; нет выраженного</x:v>
      </x:c>
      <x:c r="R697" s="28" t="str">
        <x:v>сок — водная кислая фаза; цедра — гидрофобное эфирное масло; летучие масла чувствительны к длительному нагреву</x:v>
      </x:c>
      <x:c r="S69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697"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Базилик относится к группе «травы» и даёт ноты «зелёный, анисовый, цветочный, пряный».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Базилик и эстрагон могут связать цитрус с фруктами, томатом и сливочными матрицами.</x:v>
      </x:c>
      <x:c r="U697" s="28" t="str">
        <x:v>Избыток кислоты делает вкус плоско-резким; белая часть кожуры даёт лишнюю горечь; цитрус легко подавляет деликатный аромат партнёра.</x:v>
      </x:c>
      <x:c r="V697" s="28" t="str">
        <x:v>оливковое масло или огурец</x:v>
      </x:c>
      <x:c r="W697" s="28" t="str">
        <x:v>лимонад, кордиал, салатная заправка или зелёный соус</x:v>
      </x:c>
      <x:c r="X697" s="28" t="str">
        <x:v>напитки, еда, соусы/маринады</x:v>
      </x:c>
      <x:c r="Y697" s="28" t="str">
        <x:v>Средняя</x:v>
      </x:c>
      <x:c r="Z697" s="28" t="str">
        <x:v>The Art &amp; Science of Foodpairing.pdf</x:v>
      </x:c>
      <x:c r="AA697" s="28" t="str">
        <x:v>The Art &amp; Science of Foodpairing.pdf: 328</x:v>
      </x:c>
      <x:c r="AB697" s="28" t="str">
        <x:v>Пара представлена в ароматической диаграмме Foodpairing на странице 328.</x:v>
      </x:c>
      <x:c r="AC697" s="28" t="n">
        <x:v>1</x:v>
      </x:c>
      <x:c r="AD697" s="28" t="n">
        <x:v>1</x:v>
      </x:c>
    </x:row>
    <x:row r="698" ht="58" customHeight="1">
      <x:c r="A698" s="28" t="str">
        <x:v>CIT-0697</x:v>
      </x:c>
      <x:c r="B698" s="28" t="str">
        <x:v>Универсальные</x:v>
      </x:c>
      <x:c r="C698" s="28" t="str">
        <x:v>цукаты из лимонной кожуры</x:v>
      </x:c>
      <x:c r="D698" s="28" t="str">
        <x:v>candied lemon peel</x:v>
      </x:c>
      <x:c r="E698" s="28" t="str">
        <x:v>Цитрусовые</x:v>
      </x:c>
      <x:c r="F698" s="28" t="str">
        <x:v>гранатовый сок</x:v>
      </x:c>
      <x:c r="G698" s="28" t="str">
        <x:v>pomegranate juice</x:v>
      </x:c>
      <x:c r="H698" s="28" t="str">
        <x:v>Прочее</x:v>
      </x:c>
      <x:c r="I698" s="28" t="str">
        <x:v>цитрусовый, свежий, цветочный, древесный</x:v>
      </x:c>
      <x:c r="J698" s="28" t="str">
        <x:v>нейтральный/специфический</x:v>
      </x:c>
      <x:c r="K698" s="28" t="str">
        <x:v>цитраль (гераниаль + нераль), лимонен, гамма-терпинен, бета-пинен</x:v>
      </x:c>
      <x:c r="L698" s="28" t="str">
        <x:v>нужен профиль конкретного продукта</x:v>
      </x:c>
      <x:c r="M698" s="28" t="str">
        <x:v>прямое семейное перекрытие не является главным механизмом</x:v>
      </x:c>
      <x:c r="N698" s="28" t="str">
        <x:v>надёжный общий маркер не заявлен; сочетание объясняется семействами и сенсорным балансом</x:v>
      </x:c>
      <x:c r="O698" s="28" t="str">
        <x:v>вкусовой баланс, тройничное восприятие</x:v>
      </x:c>
      <x:c r="P698" s="28" t="str">
        <x:v>Основной эффект определяется ароматическим контрастом и добавлением кислотной свежести; точный баланс зависит от дозировки и матрицы.</x:v>
      </x:c>
      <x:c r="Q698" s="28" t="str">
        <x:v>кислота усиливает слюноотделение; нет данных</x:v>
      </x:c>
      <x:c r="R698" s="28" t="str">
        <x:v>сок — водная кислая фаза; цедра — гидрофобное эфирное масло; зависит от формы продукта</x:v>
      </x:c>
      <x:c r="S69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98"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Гранатовый сок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698" s="28" t="str">
        <x:v>Избыток кислоты делает вкус плоско-резким; белая часть кожуры даёт лишнюю горечь.</x:v>
      </x:c>
      <x:c r="V698" s="28" t="str">
        <x:v>мёд или нейтральная жировая основа</x:v>
      </x:c>
      <x:c r="W698" s="28" t="str">
        <x:v>соус, напиток или десерт после пробной дегустации</x:v>
      </x:c>
      <x:c r="X698" s="28" t="str">
        <x:v>универсальное</x:v>
      </x:c>
      <x:c r="Y698" s="28" t="str">
        <x:v>Средняя</x:v>
      </x:c>
      <x:c r="Z698" s="28" t="str">
        <x:v>The Art &amp; Science of Foodpairing.pdf</x:v>
      </x:c>
      <x:c r="AA698" s="28" t="str">
        <x:v>The Art &amp; Science of Foodpairing.pdf: 328</x:v>
      </x:c>
      <x:c r="AB698" s="28" t="str">
        <x:v>Пара представлена в ароматической диаграмме Foodpairing на странице 328.</x:v>
      </x:c>
      <x:c r="AC698" s="28" t="n">
        <x:v>1</x:v>
      </x:c>
      <x:c r="AD698" s="28" t="n">
        <x:v>1</x:v>
      </x:c>
    </x:row>
    <x:row r="699" ht="58" customHeight="1">
      <x:c r="A699" s="28" t="str">
        <x:v>CIT-0698</x:v>
      </x:c>
      <x:c r="B699" s="28" t="str">
        <x:v>Универсальные</x:v>
      </x:c>
      <x:c r="C699" s="28" t="str">
        <x:v>цукаты из лимонной кожуры</x:v>
      </x:c>
      <x:c r="D699" s="28" t="str">
        <x:v>candied lemon peel</x:v>
      </x:c>
      <x:c r="E699" s="28" t="str">
        <x:v>Цитрусовые</x:v>
      </x:c>
      <x:c r="F699" s="28" t="str">
        <x:v>зелёный хабанеро</x:v>
      </x:c>
      <x:c r="G699" s="28" t="str">
        <x:v>green habanero chilli</x:v>
      </x:c>
      <x:c r="H699" s="28" t="str">
        <x:v>Прочее</x:v>
      </x:c>
      <x:c r="I699" s="28" t="str">
        <x:v>цитрусовый, свежий, цветочный, древесный</x:v>
      </x:c>
      <x:c r="J699" s="28" t="str">
        <x:v>нейтральный/специфический</x:v>
      </x:c>
      <x:c r="K699" s="28" t="str">
        <x:v>цитраль (гераниаль + нераль), лимонен, гамма-терпинен, бета-пинен</x:v>
      </x:c>
      <x:c r="L699" s="28" t="str">
        <x:v>нужен профиль конкретного продукта</x:v>
      </x:c>
      <x:c r="M699" s="28" t="str">
        <x:v>прямое семейное перекрытие не является главным механизмом</x:v>
      </x:c>
      <x:c r="N699" s="28" t="str">
        <x:v>надёжный общий маркер не заявлен; сочетание объясняется семействами и сенсорным балансом</x:v>
      </x:c>
      <x:c r="O699" s="28" t="str">
        <x:v>вкусовой баланс, тройничное восприятие</x:v>
      </x:c>
      <x:c r="P699" s="28" t="str">
        <x:v>Основной эффект определяется ароматическим контрастом и добавлением кислотной свежести; точный баланс зависит от дозировки и матрицы.</x:v>
      </x:c>
      <x:c r="Q699" s="28" t="str">
        <x:v>кислота усиливает слюноотделение; нет данных</x:v>
      </x:c>
      <x:c r="R699" s="28" t="str">
        <x:v>сок — водная кислая фаза; цедра — гидрофобное эфирное масло; зависит от формы продукта</x:v>
      </x:c>
      <x:c r="S69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699"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Зелёный хабанеро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699" s="28" t="str">
        <x:v>Избыток кислоты делает вкус плоско-резким; белая часть кожуры даёт лишнюю горечь.</x:v>
      </x:c>
      <x:c r="V699" s="28" t="str">
        <x:v>мёд или нейтральная жировая основа</x:v>
      </x:c>
      <x:c r="W699" s="28" t="str">
        <x:v>соус, напиток или десерт после пробной дегустации</x:v>
      </x:c>
      <x:c r="X699" s="28" t="str">
        <x:v>универсальное</x:v>
      </x:c>
      <x:c r="Y699" s="28" t="str">
        <x:v>Средняя</x:v>
      </x:c>
      <x:c r="Z699" s="28" t="str">
        <x:v>The Art &amp; Science of Foodpairing.pdf</x:v>
      </x:c>
      <x:c r="AA699" s="28" t="str">
        <x:v>The Art &amp; Science of Foodpairing.pdf: 328</x:v>
      </x:c>
      <x:c r="AB699" s="28" t="str">
        <x:v>Пара представлена в ароматической диаграмме Foodpairing на странице 328.</x:v>
      </x:c>
      <x:c r="AC699" s="28" t="n">
        <x:v>1</x:v>
      </x:c>
      <x:c r="AD699" s="28" t="n">
        <x:v>1</x:v>
      </x:c>
    </x:row>
    <x:row r="700" ht="58" customHeight="1">
      <x:c r="A700" s="28" t="str">
        <x:v>CIT-0699</x:v>
      </x:c>
      <x:c r="B700" s="28" t="str">
        <x:v>Универсальные</x:v>
      </x:c>
      <x:c r="C700" s="28" t="str">
        <x:v>цукаты из лимонной кожуры</x:v>
      </x:c>
      <x:c r="D700" s="28" t="str">
        <x:v>candied lemon peel</x:v>
      </x:c>
      <x:c r="E700" s="28" t="str">
        <x:v>Цитрусовые</x:v>
      </x:c>
      <x:c r="F700" s="28" t="str">
        <x:v>кейл</x:v>
      </x:c>
      <x:c r="G700" s="28" t="str">
        <x:v>kale</x:v>
      </x:c>
      <x:c r="H700" s="28" t="str">
        <x:v>Прочее</x:v>
      </x:c>
      <x:c r="I700" s="28" t="str">
        <x:v>цитрусовый, свежий, цветочный, древесный</x:v>
      </x:c>
      <x:c r="J700" s="28" t="str">
        <x:v>нейтральный/специфический</x:v>
      </x:c>
      <x:c r="K700" s="28" t="str">
        <x:v>цитраль (гераниаль + нераль), лимонен, гамма-терпинен, бета-пинен</x:v>
      </x:c>
      <x:c r="L700" s="28" t="str">
        <x:v>нужен профиль конкретного продукта</x:v>
      </x:c>
      <x:c r="M700" s="28" t="str">
        <x:v>прямое семейное перекрытие не является главным механизмом</x:v>
      </x:c>
      <x:c r="N700" s="28" t="str">
        <x:v>надёжный общий маркер не заявлен; сочетание объясняется семействами и сенсорным балансом</x:v>
      </x:c>
      <x:c r="O700" s="28" t="str">
        <x:v>вкусовой баланс, тройничное восприятие</x:v>
      </x:c>
      <x:c r="P700" s="28" t="str">
        <x:v>Основной эффект определяется ароматическим контрастом и добавлением кислотной свежести; точный баланс зависит от дозировки и матрицы.</x:v>
      </x:c>
      <x:c r="Q700" s="28" t="str">
        <x:v>кислота усиливает слюноотделение; нет данных</x:v>
      </x:c>
      <x:c r="R700" s="28" t="str">
        <x:v>сок — водная кислая фаза; цедра — гидрофобное эфирное масло; зависит от формы продукта</x:v>
      </x:c>
      <x:c r="S70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00"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Кейл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700" s="28" t="str">
        <x:v>Избыток кислоты делает вкус плоско-резким; белая часть кожуры даёт лишнюю горечь.</x:v>
      </x:c>
      <x:c r="V700" s="28" t="str">
        <x:v>мёд или нейтральная жировая основа</x:v>
      </x:c>
      <x:c r="W700" s="28" t="str">
        <x:v>соус, напиток или десерт после пробной дегустации</x:v>
      </x:c>
      <x:c r="X700" s="28" t="str">
        <x:v>универсальное</x:v>
      </x:c>
      <x:c r="Y700" s="28" t="str">
        <x:v>Средняя</x:v>
      </x:c>
      <x:c r="Z700" s="28" t="str">
        <x:v>The Art &amp; Science of Foodpairing.pdf</x:v>
      </x:c>
      <x:c r="AA700" s="28" t="str">
        <x:v>The Art &amp; Science of Foodpairing.pdf: 328</x:v>
      </x:c>
      <x:c r="AB700" s="28" t="str">
        <x:v>Пара представлена в ароматической диаграмме Foodpairing на странице 328.</x:v>
      </x:c>
      <x:c r="AC700" s="28" t="n">
        <x:v>1</x:v>
      </x:c>
      <x:c r="AD700" s="28" t="n">
        <x:v>1</x:v>
      </x:c>
    </x:row>
    <x:row r="701" ht="58" customHeight="1">
      <x:c r="A701" s="28" t="str">
        <x:v>CIT-0700</x:v>
      </x:c>
      <x:c r="B701" s="28" t="str">
        <x:v>Универсальные</x:v>
      </x:c>
      <x:c r="C701" s="28" t="str">
        <x:v>цукаты из лимонной кожуры</x:v>
      </x:c>
      <x:c r="D701" s="28" t="str">
        <x:v>candied lemon peel</x:v>
      </x:c>
      <x:c r="E701" s="28" t="str">
        <x:v>Цитрусовые</x:v>
      </x:c>
      <x:c r="F701" s="28" t="str">
        <x:v>кора кассии</x:v>
      </x:c>
      <x:c r="G701" s="28" t="str">
        <x:v>cassia bark (Chinese cinnamon)</x:v>
      </x:c>
      <x:c r="H701" s="28" t="str">
        <x:v>Прочее</x:v>
      </x:c>
      <x:c r="I701" s="28" t="str">
        <x:v>цитрусовый, свежий, цветочный, древесный</x:v>
      </x:c>
      <x:c r="J701" s="28" t="str">
        <x:v>нейтральный/специфический</x:v>
      </x:c>
      <x:c r="K701" s="28" t="str">
        <x:v>цитраль (гераниаль + нераль), лимонен, гамма-терпинен, бета-пинен</x:v>
      </x:c>
      <x:c r="L701" s="28" t="str">
        <x:v>нужен профиль конкретного продукта</x:v>
      </x:c>
      <x:c r="M701" s="28" t="str">
        <x:v>прямое семейное перекрытие не является главным механизмом</x:v>
      </x:c>
      <x:c r="N701" s="28" t="str">
        <x:v>надёжный общий маркер не заявлен; сочетание объясняется семействами и сенсорным балансом</x:v>
      </x:c>
      <x:c r="O701" s="28" t="str">
        <x:v>вкусовой баланс, тройничное восприятие</x:v>
      </x:c>
      <x:c r="P701" s="28" t="str">
        <x:v>Основной эффект определяется ароматическим контрастом и добавлением кислотной свежести; точный баланс зависит от дозировки и матрицы.</x:v>
      </x:c>
      <x:c r="Q701" s="28" t="str">
        <x:v>кислота усиливает слюноотделение; нет данных</x:v>
      </x:c>
      <x:c r="R701" s="28" t="str">
        <x:v>сок — водная кислая фаза; цедра — гидрофобное эфирное масло; зависит от формы продукта</x:v>
      </x:c>
      <x:c r="S70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01"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Кора кассии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701" s="28" t="str">
        <x:v>Избыток кислоты делает вкус плоско-резким; белая часть кожуры даёт лишнюю горечь.</x:v>
      </x:c>
      <x:c r="V701" s="28" t="str">
        <x:v>мёд или нейтральная жировая основа</x:v>
      </x:c>
      <x:c r="W701" s="28" t="str">
        <x:v>соус, напиток или десерт после пробной дегустации</x:v>
      </x:c>
      <x:c r="X701" s="28" t="str">
        <x:v>универсальное</x:v>
      </x:c>
      <x:c r="Y701" s="28" t="str">
        <x:v>Средняя</x:v>
      </x:c>
      <x:c r="Z701" s="28" t="str">
        <x:v>The Art &amp; Science of Foodpairing.pdf</x:v>
      </x:c>
      <x:c r="AA701" s="28" t="str">
        <x:v>The Art &amp; Science of Foodpairing.pdf: 328</x:v>
      </x:c>
      <x:c r="AB701" s="28" t="str">
        <x:v>Пара представлена в ароматической диаграмме Foodpairing на странице 328.</x:v>
      </x:c>
      <x:c r="AC701" s="28" t="n">
        <x:v>1</x:v>
      </x:c>
      <x:c r="AD701" s="28" t="n">
        <x:v>1</x:v>
      </x:c>
    </x:row>
    <x:row r="702" ht="58" customHeight="1">
      <x:c r="A702" s="28" t="str">
        <x:v>CIT-0701</x:v>
      </x:c>
      <x:c r="B702" s="28" t="str">
        <x:v>Еда и соусы</x:v>
      </x:c>
      <x:c r="C702" s="28" t="str">
        <x:v>цукаты из лимонной кожуры</x:v>
      </x:c>
      <x:c r="D702" s="28" t="str">
        <x:v>candied lemon peel</x:v>
      </x:c>
      <x:c r="E702" s="28" t="str">
        <x:v>Цитрусовые</x:v>
      </x:c>
      <x:c r="F702" s="28" t="str">
        <x:v>отварная цветная капуста</x:v>
      </x:c>
      <x:c r="G702" s="28" t="str">
        <x:v>boiled cauliflower</x:v>
      </x:c>
      <x:c r="H702" s="28" t="str">
        <x:v>Овощи</x:v>
      </x:c>
      <x:c r="I702" s="28" t="str">
        <x:v>цитрусовый, свежий, цветочный, древесный</x:v>
      </x:c>
      <x:c r="J702" s="28" t="str">
        <x:v>зелёный, землистый, растительный, иногда сернистый</x:v>
      </x:c>
      <x:c r="K702" s="28" t="str">
        <x:v>цитраль (гераниаль + нераль), лимонен, гамма-терпинен, бета-пинен</x:v>
      </x:c>
      <x:c r="L702" s="28" t="str">
        <x:v>C6-альдегиды, метоксипиразины, геосмин (землистые), сернистые соединения</x:v>
      </x:c>
      <x:c r="M702" s="28" t="str">
        <x:v>прямое семейное перекрытие не является главным механизмом</x:v>
      </x:c>
      <x:c r="N702" s="28" t="str">
        <x:v>надёжный общий маркер не заявлен; сочетание объясняется семействами и сенсорным балансом</x:v>
      </x:c>
      <x:c r="O702" s="28" t="str">
        <x:v>вкусовой баланс</x:v>
      </x:c>
      <x:c r="P702" s="28" t="str">
        <x:v>Кислота подчёркивает природную сладость овоща, сокращает землистое/сернистое послевкусие и повышает слюноотделение.</x:v>
      </x:c>
      <x:c r="Q702" s="28" t="str">
        <x:v>кислота усиливает слюноотделение; нет выраженного</x:v>
      </x:c>
      <x:c r="R702" s="28" t="str">
        <x:v>сок — водная кислая фаза; цедра — гидрофобное эфирное масло; водная/крахмальная матрица; масло помогает распределить цедру</x:v>
      </x:c>
      <x:c r="S70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02"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Отварная цветная капуста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702" s="28" t="str">
        <x:v>Избыток кислоты делает вкус плоско-резким; белая часть кожуры даёт лишнюю горечь.</x:v>
      </x:c>
      <x:c r="V702" s="28" t="str">
        <x:v>оливковое масло или базилик</x:v>
      </x:c>
      <x:c r="W702" s="28" t="str">
        <x:v>винегрет, салат, пюре, запечённое блюдо или овощной соус</x:v>
      </x:c>
      <x:c r="X702" s="28" t="str">
        <x:v>еда, соусы/маринады</x:v>
      </x:c>
      <x:c r="Y702" s="28" t="str">
        <x:v>Средняя</x:v>
      </x:c>
      <x:c r="Z702" s="28" t="str">
        <x:v>The Art &amp; Science of Foodpairing.pdf</x:v>
      </x:c>
      <x:c r="AA702" s="28" t="str">
        <x:v>The Art &amp; Science of Foodpairing.pdf: 328</x:v>
      </x:c>
      <x:c r="AB702" s="28" t="str">
        <x:v>Пара представлена в ароматической диаграмме Foodpairing на странице 328.</x:v>
      </x:c>
      <x:c r="AC702" s="28" t="n">
        <x:v>1</x:v>
      </x:c>
      <x:c r="AD702" s="28" t="n">
        <x:v>1</x:v>
      </x:c>
    </x:row>
    <x:row r="703" ht="58" customHeight="1">
      <x:c r="A703" s="28" t="str">
        <x:v>CIT-0702</x:v>
      </x:c>
      <x:c r="B703" s="28" t="str">
        <x:v>Универсальные</x:v>
      </x:c>
      <x:c r="C703" s="28" t="str">
        <x:v>цукаты из лимонной кожуры</x:v>
      </x:c>
      <x:c r="D703" s="28" t="str">
        <x:v>candied lemon peel</x:v>
      </x:c>
      <x:c r="E703" s="28" t="str">
        <x:v>Цитрусовые</x:v>
      </x:c>
      <x:c r="F703" s="28" t="str">
        <x:v>пармиджано-реджано</x:v>
      </x:c>
      <x:c r="G703" s="28" t="str">
        <x:v>Parmigiano-Reggiano</x:v>
      </x:c>
      <x:c r="H703" s="28" t="str">
        <x:v>Прочее</x:v>
      </x:c>
      <x:c r="I703" s="28" t="str">
        <x:v>цитрусовый, свежий, цветочный, древесный</x:v>
      </x:c>
      <x:c r="J703" s="28" t="str">
        <x:v>нейтральный/специфический</x:v>
      </x:c>
      <x:c r="K703" s="28" t="str">
        <x:v>цитраль (гераниаль + нераль), лимонен, гамма-терпинен, бета-пинен</x:v>
      </x:c>
      <x:c r="L703" s="28" t="str">
        <x:v>нужен профиль конкретного продукта</x:v>
      </x:c>
      <x:c r="M703" s="28" t="str">
        <x:v>прямое семейное перекрытие не является главным механизмом</x:v>
      </x:c>
      <x:c r="N703" s="28" t="str">
        <x:v>надёжный общий маркер не заявлен; сочетание объясняется семействами и сенсорным балансом</x:v>
      </x:c>
      <x:c r="O703" s="28" t="str">
        <x:v>вкусовой баланс, тройничное восприятие</x:v>
      </x:c>
      <x:c r="P703" s="28" t="str">
        <x:v>Основной эффект определяется ароматическим контрастом и добавлением кислотной свежести; точный баланс зависит от дозировки и матрицы.</x:v>
      </x:c>
      <x:c r="Q703" s="28" t="str">
        <x:v>кислота усиливает слюноотделение; нет данных</x:v>
      </x:c>
      <x:c r="R703" s="28" t="str">
        <x:v>сок — водная кислая фаза; цедра — гидрофобное эфирное масло; зависит от формы продукта</x:v>
      </x:c>
      <x:c r="S70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03"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Пармиджано-реджано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703" s="28" t="str">
        <x:v>Избыток кислоты делает вкус плоско-резким; белая часть кожуры даёт лишнюю горечь.</x:v>
      </x:c>
      <x:c r="V703" s="28" t="str">
        <x:v>мёд или нейтральная жировая основа</x:v>
      </x:c>
      <x:c r="W703" s="28" t="str">
        <x:v>соус, напиток или десерт после пробной дегустации</x:v>
      </x:c>
      <x:c r="X703" s="28" t="str">
        <x:v>универсальное</x:v>
      </x:c>
      <x:c r="Y703" s="28" t="str">
        <x:v>Средняя</x:v>
      </x:c>
      <x:c r="Z703" s="28" t="str">
        <x:v>The Art &amp; Science of Foodpairing.pdf</x:v>
      </x:c>
      <x:c r="AA703" s="28" t="str">
        <x:v>The Art &amp; Science of Foodpairing.pdf: 328</x:v>
      </x:c>
      <x:c r="AB703" s="28" t="str">
        <x:v>Пара представлена в ароматической диаграмме Foodpairing на странице 328.</x:v>
      </x:c>
      <x:c r="AC703" s="28" t="n">
        <x:v>1</x:v>
      </x:c>
      <x:c r="AD703" s="28" t="n">
        <x:v>1</x:v>
      </x:c>
    </x:row>
    <x:row r="704" ht="58" customHeight="1">
      <x:c r="A704" s="28" t="str">
        <x:v>CIT-0703</x:v>
      </x:c>
      <x:c r="B704" s="28" t="str">
        <x:v>Еда и соусы</x:v>
      </x:c>
      <x:c r="C704" s="28" t="str">
        <x:v>цукаты из лимонной кожуры</x:v>
      </x:c>
      <x:c r="D704" s="28" t="str">
        <x:v>candied lemon peel</x:v>
      </x:c>
      <x:c r="E704" s="28" t="str">
        <x:v>Цитрусовые</x:v>
      </x:c>
      <x:c r="F704" s="28" t="str">
        <x:v>приготовленная зелёная чечевица</x:v>
      </x:c>
      <x:c r="G704" s="28" t="str">
        <x:v>cooked green lentils</x:v>
      </x:c>
      <x:c r="H704" s="28" t="str">
        <x:v>Овощи</x:v>
      </x:c>
      <x:c r="I704" s="28" t="str">
        <x:v>цитрусовый, свежий, цветочный, древесный</x:v>
      </x:c>
      <x:c r="J704" s="28" t="str">
        <x:v>зелёный, землистый, растительный, иногда сернистый</x:v>
      </x:c>
      <x:c r="K704" s="28" t="str">
        <x:v>цитраль (гераниаль + нераль), лимонен, гамма-терпинен, бета-пинен</x:v>
      </x:c>
      <x:c r="L704" s="28" t="str">
        <x:v>C6-альдегиды, метоксипиразины, геосмин (землистые), сернистые соединения</x:v>
      </x:c>
      <x:c r="M704" s="28" t="str">
        <x:v>прямое семейное перекрытие не является главным механизмом</x:v>
      </x:c>
      <x:c r="N704" s="28" t="str">
        <x:v>надёжный общий маркер не заявлен; сочетание объясняется семействами и сенсорным балансом</x:v>
      </x:c>
      <x:c r="O704" s="28" t="str">
        <x:v>вкусовой баланс</x:v>
      </x:c>
      <x:c r="P704" s="28" t="str">
        <x:v>Кислота подчёркивает природную сладость овоща, сокращает землистое/сернистое послевкусие и повышает слюноотделение.</x:v>
      </x:c>
      <x:c r="Q704" s="28" t="str">
        <x:v>кислота усиливает слюноотделение; нет выраженного</x:v>
      </x:c>
      <x:c r="R704" s="28" t="str">
        <x:v>сок — водная кислая фаза; цедра — гидрофобное эфирное масло; водная/крахмальная матрица; масло помогает распределить цедру</x:v>
      </x:c>
      <x:c r="S70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04"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Приготовленная зелёная чечевица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U704" s="28" t="str">
        <x:v>Избыток кислоты делает вкус плоско-резким; белая часть кожуры даёт лишнюю горечь.</x:v>
      </x:c>
      <x:c r="V704" s="28" t="str">
        <x:v>оливковое масло или базилик</x:v>
      </x:c>
      <x:c r="W704" s="28" t="str">
        <x:v>винегрет, салат, пюре, запечённое блюдо или овощной соус</x:v>
      </x:c>
      <x:c r="X704" s="28" t="str">
        <x:v>еда, соусы/маринады</x:v>
      </x:c>
      <x:c r="Y704" s="28" t="str">
        <x:v>Средняя</x:v>
      </x:c>
      <x:c r="Z704" s="28" t="str">
        <x:v>The Art &amp; Science of Foodpairing.pdf</x:v>
      </x:c>
      <x:c r="AA704" s="28" t="str">
        <x:v>The Art &amp; Science of Foodpairing.pdf: 328</x:v>
      </x:c>
      <x:c r="AB704" s="28" t="str">
        <x:v>Пара представлена в ароматической диаграмме Foodpairing на странице 328.</x:v>
      </x:c>
      <x:c r="AC704" s="28" t="n">
        <x:v>1</x:v>
      </x:c>
      <x:c r="AD704" s="28" t="n">
        <x:v>1</x:v>
      </x:c>
    </x:row>
    <x:row r="705" ht="58" customHeight="1">
      <x:c r="A705" s="28" t="str">
        <x:v>CIT-0704</x:v>
      </x:c>
      <x:c r="B705" s="28" t="str">
        <x:v>Универсальные</x:v>
      </x:c>
      <x:c r="C705" s="28" t="str">
        <x:v>цукаты из лимонной кожуры</x:v>
      </x:c>
      <x:c r="D705" s="28" t="str">
        <x:v>candied lemon peel</x:v>
      </x:c>
      <x:c r="E705" s="28" t="str">
        <x:v>Цитрусовые</x:v>
      </x:c>
      <x:c r="F705" s="28" t="str">
        <x:v>приготовленный скорцонер</x:v>
      </x:c>
      <x:c r="G705" s="28" t="str">
        <x:v>cooked black salsify</x:v>
      </x:c>
      <x:c r="H705" s="28" t="str">
        <x:v>Прочее</x:v>
      </x:c>
      <x:c r="I705" s="28" t="str">
        <x:v>цитрусовый, свежий, цветочный, древесный</x:v>
      </x:c>
      <x:c r="J705" s="28" t="str">
        <x:v>нейтральный/специфический</x:v>
      </x:c>
      <x:c r="K705" s="28" t="str">
        <x:v>цитраль (гераниаль + нераль), лимонен, гамма-терпинен, бета-пинен</x:v>
      </x:c>
      <x:c r="L705" s="28" t="str">
        <x:v>нужен профиль конкретного продукта</x:v>
      </x:c>
      <x:c r="M705" s="28" t="str">
        <x:v>прямое семейное перекрытие не является главным механизмом</x:v>
      </x:c>
      <x:c r="N705" s="28" t="str">
        <x:v>надёжный общий маркер не заявлен; сочетание объясняется семействами и сенсорным балансом</x:v>
      </x:c>
      <x:c r="O705" s="28" t="str">
        <x:v>вкусовой баланс, тройничное восприятие</x:v>
      </x:c>
      <x:c r="P705" s="28" t="str">
        <x:v>Основной эффект определяется ароматическим контрастом и добавлением кислотной свежести; точный баланс зависит от дозировки и матрицы.</x:v>
      </x:c>
      <x:c r="Q705" s="28" t="str">
        <x:v>кислота усиливает слюноотделение; нет данных</x:v>
      </x:c>
      <x:c r="R705" s="28" t="str">
        <x:v>сок — водная кислая фаза; цедра — гидрофобное эфирное масло; зависит от формы продукта</x:v>
      </x:c>
      <x:c r="S70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05"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Приготовленный скорцонер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705" s="28" t="str">
        <x:v>Избыток кислоты делает вкус плоско-резким; белая часть кожуры даёт лишнюю горечь.</x:v>
      </x:c>
      <x:c r="V705" s="28" t="str">
        <x:v>мёд или нейтральная жировая основа</x:v>
      </x:c>
      <x:c r="W705" s="28" t="str">
        <x:v>соус, напиток или десерт после пробной дегустации</x:v>
      </x:c>
      <x:c r="X705" s="28" t="str">
        <x:v>универсальное</x:v>
      </x:c>
      <x:c r="Y705" s="28" t="str">
        <x:v>Средняя</x:v>
      </x:c>
      <x:c r="Z705" s="28" t="str">
        <x:v>The Art &amp; Science of Foodpairing.pdf</x:v>
      </x:c>
      <x:c r="AA705" s="28" t="str">
        <x:v>The Art &amp; Science of Foodpairing.pdf: 328</x:v>
      </x:c>
      <x:c r="AB705" s="28" t="str">
        <x:v>Пара представлена в ароматической диаграмме Foodpairing на странице 328.</x:v>
      </x:c>
      <x:c r="AC705" s="28" t="n">
        <x:v>1</x:v>
      </x:c>
      <x:c r="AD705" s="28" t="n">
        <x:v>1</x:v>
      </x:c>
    </x:row>
    <x:row r="706" ht="58" customHeight="1">
      <x:c r="A706" s="28" t="str">
        <x:v>CIT-0705</x:v>
      </x:c>
      <x:c r="B706" s="28" t="str">
        <x:v>Еда и соусы</x:v>
      </x:c>
      <x:c r="C706" s="28" t="str">
        <x:v>цукаты из лимонной кожуры</x:v>
      </x:c>
      <x:c r="D706" s="28" t="str">
        <x:v>candied lemon peel</x:v>
      </x:c>
      <x:c r="E706" s="28" t="str">
        <x:v>Цитрусовые</x:v>
      </x:c>
      <x:c r="F706" s="28" t="str">
        <x:v>припущенная барабулька</x:v>
      </x:c>
      <x:c r="G706" s="28" t="str">
        <x:v>poached red mullet</x:v>
      </x:c>
      <x:c r="H706" s="28" t="str">
        <x:v>Рыба и морепродукты</x:v>
      </x:c>
      <x:c r="I706" s="28" t="str">
        <x:v>цитрусовый, свежий, цветочный, древесный</x:v>
      </x:c>
      <x:c r="J706" s="28" t="str">
        <x:v>морской, йодистый, зелёный, жирный</x:v>
      </x:c>
      <x:c r="K706" s="28" t="str">
        <x:v>цитраль (гераниаль + нераль), лимонен, гамма-терпинен, бета-пинен</x:v>
      </x:c>
      <x:c r="L706" s="28" t="str">
        <x:v>альдегиды окисления липидов, бромфенолы, диметилсульфид, умами-соединения</x:v>
      </x:c>
      <x:c r="M706" s="28" t="str">
        <x:v>прямое семейное перекрытие не является главным механизмом</x:v>
      </x:c>
      <x:c r="N706" s="28" t="str">
        <x:v>надёжный общий маркер не заявлен; сочетание объясняется семействами и сенсорным балансом</x:v>
      </x:c>
      <x:c r="O706" s="28" t="str">
        <x:v>вкусовой баланс, влияние матрицы/растворимости</x:v>
      </x:c>
      <x:c r="P706" s="28" t="str">
        <x:v>Кислотность и лёгкая горечь цитруса снижают ощущение жирности; соль и умами, в свою очередь, делают фруктовую часть менее резкой.</x:v>
      </x:c>
      <x:c r="Q706" s="28" t="str">
        <x:v>кислота усиливает слюноотделение; нет выраженного</x:v>
      </x:c>
      <x:c r="R706" s="28" t="str">
        <x:v>сок — водная кислая фаза; цедра — гидрофобное эфирное масло; кислота может денатурировать поверхностные белки; жир рыбы удерживает терпены</x:v>
      </x:c>
      <x:c r="S70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T706"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Припущенная барабулька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U706" s="28" t="str">
        <x:v>Избыток кислоты делает вкус плоско-резким; белая часть кожуры даёт лишнюю горечь; слишком долгая маринация ухудшает текстуру.</x:v>
      </x:c>
      <x:c r="V706" s="28" t="str">
        <x:v>кинза или фенхель</x:v>
      </x:c>
      <x:c r="W706" s="28" t="str">
        <x:v>севиче, маринад, beurre blanc, тартар или салат</x:v>
      </x:c>
      <x:c r="X706" s="28" t="str">
        <x:v>еда, соусы/маринады</x:v>
      </x:c>
      <x:c r="Y706" s="28" t="str">
        <x:v>Средняя</x:v>
      </x:c>
      <x:c r="Z706" s="28" t="str">
        <x:v>The Art &amp; Science of Foodpairing.pdf</x:v>
      </x:c>
      <x:c r="AA706" s="28" t="str">
        <x:v>The Art &amp; Science of Foodpairing.pdf: 328</x:v>
      </x:c>
      <x:c r="AB706" s="28" t="str">
        <x:v>Пара представлена в ароматической диаграмме Foodpairing на странице 328.</x:v>
      </x:c>
      <x:c r="AC706" s="28" t="n">
        <x:v>1</x:v>
      </x:c>
      <x:c r="AD706" s="28" t="n">
        <x:v>1</x:v>
      </x:c>
    </x:row>
    <x:row r="707" ht="58" customHeight="1">
      <x:c r="A707" s="28" t="str">
        <x:v>CIT-0706</x:v>
      </x:c>
      <x:c r="B707" s="28" t="str">
        <x:v>Универсальные</x:v>
      </x:c>
      <x:c r="C707" s="28" t="str">
        <x:v>цукаты из лимонной кожуры</x:v>
      </x:c>
      <x:c r="D707" s="28" t="str">
        <x:v>candled lemon peel</x:v>
      </x:c>
      <x:c r="E707" s="28" t="str">
        <x:v>Цитрусовые</x:v>
      </x:c>
      <x:c r="F707" s="28" t="str">
        <x:v>тмин</x:v>
      </x:c>
      <x:c r="G707" s="28" t="str">
        <x:v>caraway seeds</x:v>
      </x:c>
      <x:c r="H707" s="28" t="str">
        <x:v>Прочее</x:v>
      </x:c>
      <x:c r="I707" s="28" t="str">
        <x:v>цитрусовый, свежий, цветочный, древесный</x:v>
      </x:c>
      <x:c r="J707" s="28" t="str">
        <x:v>нейтральный/специфический</x:v>
      </x:c>
      <x:c r="K707" s="28" t="str">
        <x:v>цитраль (гераниаль + нераль), лимонен, гамма-терпинен, бета-пинен</x:v>
      </x:c>
      <x:c r="L707" s="28" t="str">
        <x:v>нужен профиль конкретного продукта</x:v>
      </x:c>
      <x:c r="M707" s="28" t="str">
        <x:v>прямое семейное перекрытие не является главным механизмом</x:v>
      </x:c>
      <x:c r="N707" s="28" t="str">
        <x:v>надёжный общий маркер не заявлен; сочетание объясняется семействами и сенсорным балансом</x:v>
      </x:c>
      <x:c r="O707" s="28" t="str">
        <x:v>вкусовой баланс, тройничное восприятие</x:v>
      </x:c>
      <x:c r="P707" s="28" t="str">
        <x:v>Основной эффект определяется ароматическим контрастом и добавлением кислотной свежести; точный баланс зависит от дозировки и матрицы.</x:v>
      </x:c>
      <x:c r="Q707" s="28" t="str">
        <x:v>кислота усиливает слюноотделение; нет данных</x:v>
      </x:c>
      <x:c r="R707" s="28" t="str">
        <x:v>сок — водная кислая фаза; цедра — гидрофобное эфирное масло; зависит от формы продукта</x:v>
      </x:c>
      <x:c r="S70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07"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Тмин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Сок определяется цитралем и кислотностью, цедра — лимоненом и терпенами. Для точного молекулярного вывода нужен профиль конкретного ингредиента и способа обработки.</x:v>
      </x:c>
      <x:c r="U707" s="28" t="str">
        <x:v>Избыток кислоты делает вкус плоско-резким; белая часть кожуры даёт лишнюю горечь.</x:v>
      </x:c>
      <x:c r="V707" s="28" t="str">
        <x:v>мёд или нейтральная жировая основа</x:v>
      </x:c>
      <x:c r="W707" s="28" t="str">
        <x:v>соус, напиток или десерт после пробной дегустации</x:v>
      </x:c>
      <x:c r="X707" s="28" t="str">
        <x:v>универсальное</x:v>
      </x:c>
      <x:c r="Y707" s="28" t="str">
        <x:v>Средняя</x:v>
      </x:c>
      <x:c r="Z707" s="28" t="str">
        <x:v>The Art &amp; Science of Foodpairing.pdf</x:v>
      </x:c>
      <x:c r="AA707" s="28" t="str">
        <x:v>The Art &amp; Science of Foodpairing.pdf: 98</x:v>
      </x:c>
      <x:c r="AB707" s="28" t="str">
        <x:v>Пара представлена в ароматической диаграмме Foodpairing на странице 98.</x:v>
      </x:c>
      <x:c r="AC707" s="28" t="n">
        <x:v>1</x:v>
      </x:c>
      <x:c r="AD707" s="28" t="n">
        <x:v>1</x:v>
      </x:c>
    </x:row>
    <x:row r="708" ht="58" customHeight="1">
      <x:c r="A708" s="28" t="str">
        <x:v>CIT-0707</x:v>
      </x:c>
      <x:c r="B708" s="28" t="str">
        <x:v>Универсальные</x:v>
      </x:c>
      <x:c r="C708" s="28" t="str">
        <x:v>юдзу</x:v>
      </x:c>
      <x:c r="D708" s="28" t="str">
        <x:v>yuzu</x:v>
      </x:c>
      <x:c r="E708" s="28" t="str">
        <x:v>Цитрусовые</x:v>
      </x:c>
      <x:c r="F708" s="28" t="str">
        <x:v>бакури</x:v>
      </x:c>
      <x:c r="G708" s="28" t="str">
        <x:v>bacuri</x:v>
      </x:c>
      <x:c r="H708" s="28" t="str">
        <x:v>Прочее</x:v>
      </x:c>
      <x:c r="I708" s="28" t="str">
        <x:v>цитрусовый, зелёный, травяной, камфорный</x:v>
      </x:c>
      <x:c r="J708" s="28" t="str">
        <x:v>нейтральный/специфический</x:v>
      </x:c>
      <x:c r="K708" s="28" t="str">
        <x:v>лимонен, гамма-терпинен, цитраль, бета-пинен, линалол</x:v>
      </x:c>
      <x:c r="L708" s="28" t="str">
        <x:v>нужен профиль конкретного продукта</x:v>
      </x:c>
      <x:c r="M708" s="28" t="str">
        <x:v>прямое семейное перекрытие не является главным механизмом</x:v>
      </x:c>
      <x:c r="N708" s="28" t="str">
        <x:v>надёжный общий маркер не заявлен; сочетание объясняется семействами и сенсорным балансом</x:v>
      </x:c>
      <x:c r="O708" s="28" t="str">
        <x:v>вкусовой баланс, тройничное восприятие</x:v>
      </x:c>
      <x:c r="P708" s="28" t="str">
        <x:v>Основной эффект определяется ароматическим контрастом и добавлением кислотной свежести; точный баланс зависит от дозировки и матрицы.</x:v>
      </x:c>
      <x:c r="Q708" s="28" t="str">
        <x:v>кислота усиливает слюноотделение; зелёные терпены создают ощущение прохлады; нет данных</x:v>
      </x:c>
      <x:c r="R708" s="28" t="str">
        <x:v>сок — водная кислая фаза; цедра — масляная терпеновая; зависит от формы продукта</x:v>
      </x:c>
      <x:c r="S70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08" s="28" t="str">
        <x:v>Юдзу формирует профиль «цитрусовый, зелёный, травяной, камфорный»; характерные маркеры: лимонен, гамма-терпинен, цитраль, бета-пинен, линалол. Бакури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708" s="28" t="str">
        <x:v>Избыток кислоты делает вкус плоско-резким; белая часть кожуры даёт лишнюю горечь.</x:v>
      </x:c>
      <x:c r="V708" s="28" t="str">
        <x:v>мёд или нейтральная жировая основа</x:v>
      </x:c>
      <x:c r="W708" s="28" t="str">
        <x:v>соус, напиток или десерт после пробной дегустации</x:v>
      </x:c>
      <x:c r="X708" s="28" t="str">
        <x:v>универсальное</x:v>
      </x:c>
      <x:c r="Y708" s="28" t="str">
        <x:v>Средняя</x:v>
      </x:c>
      <x:c r="Z708" s="28" t="str">
        <x:v>The Art &amp; Science of Foodpairing.pdf</x:v>
      </x:c>
      <x:c r="AA708" s="28" t="str">
        <x:v>The Art &amp; Science of Foodpairing.pdf: 274</x:v>
      </x:c>
      <x:c r="AB708" s="28" t="str">
        <x:v>Пара представлена в ароматической диаграмме Foodpairing на странице 274.</x:v>
      </x:c>
      <x:c r="AC708" s="28" t="n">
        <x:v>1</x:v>
      </x:c>
      <x:c r="AD708" s="28" t="n">
        <x:v>1</x:v>
      </x:c>
    </x:row>
    <x:row r="709" ht="58" customHeight="1">
      <x:c r="A709" s="28" t="str">
        <x:v>CIT-0708</x:v>
      </x:c>
      <x:c r="B709" s="28" t="str">
        <x:v>Универсальные</x:v>
      </x:c>
      <x:c r="C709" s="28" t="str">
        <x:v>юдзу</x:v>
      </x:c>
      <x:c r="D709" s="28" t="str">
        <x:v>Юдзу</x:v>
      </x:c>
      <x:c r="E709" s="28" t="str">
        <x:v>Цитрусовые</x:v>
      </x:c>
      <x:c r="F709" s="28" t="str">
        <x:v>жасмин</x:v>
      </x:c>
      <x:c r="G709" s="28" t="str">
        <x:v>жасмин</x:v>
      </x:c>
      <x:c r="H709" s="28" t="str">
        <x:v>Прочее</x:v>
      </x:c>
      <x:c r="I709" s="28" t="str">
        <x:v>цитрусовый, зелёный, травяной, камфорный</x:v>
      </x:c>
      <x:c r="J709" s="28" t="str">
        <x:v>нейтральный/специфический</x:v>
      </x:c>
      <x:c r="K709" s="28" t="str">
        <x:v>лимонен, гамма-терпинен, цитраль, бета-пинен, линалол</x:v>
      </x:c>
      <x:c r="L709" s="28" t="str">
        <x:v>нужен профиль конкретного продукта</x:v>
      </x:c>
      <x:c r="M709" s="28" t="str">
        <x:v>прямое семейное перекрытие не является главным механизмом</x:v>
      </x:c>
      <x:c r="N709" s="28" t="str">
        <x:v>надёжный общий маркер не заявлен; сочетание объясняется семействами и сенсорным балансом</x:v>
      </x:c>
      <x:c r="O709" s="28" t="str">
        <x:v>вкусовой баланс, тройничное восприятие</x:v>
      </x:c>
      <x:c r="P709" s="28" t="str">
        <x:v>Основной эффект определяется ароматическим контрастом и добавлением кислотной свежести; точный баланс зависит от дозировки и матрицы.</x:v>
      </x:c>
      <x:c r="Q709" s="28" t="str">
        <x:v>кислота усиливает слюноотделение; зелёные терпены создают ощущение прохлады; нет данных</x:v>
      </x:c>
      <x:c r="R709" s="28" t="str">
        <x:v>сок — водная кислая фаза; цедра — масляная терпеновая; зависит от формы продукта</x:v>
      </x:c>
      <x:c r="S70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09" s="28" t="str">
        <x:v>Юдзу формирует профиль «цитрусовый, зелёный, травяной, камфорный»; характерные маркеры: лимонен, гамма-терпинен, цитраль, бета-пинен, линалол. Жасмин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709" s="28" t="str">
        <x:v>Избыток кислоты делает вкус плоско-резким; белая часть кожуры даёт лишнюю горечь.</x:v>
      </x:c>
      <x:c r="V709" s="28" t="str">
        <x:v>мёд или нейтральная жировая основа</x:v>
      </x:c>
      <x:c r="W709" s="28" t="str">
        <x:v>соус, напиток или десерт после пробной дегустации</x:v>
      </x:c>
      <x:c r="X709" s="28" t="str">
        <x:v>универсальное</x:v>
      </x:c>
      <x:c r="Y709" s="28" t="str">
        <x:v>Гипотеза / практическая</x:v>
      </x:c>
      <x:c r="Z709" s="28" t="str">
        <x:v>Таблица сочетания(1).pdf</x:v>
      </x:c>
      <x:c r="AA709" s="28" t="str">
        <x:v>Таблица сочетания(1).pdf: 22</x:v>
      </x:c>
      <x:c r="AB709" s="28" t="str">
        <x:v>Пара указана в таблице: «Юдзу» → колонка «Другое».</x:v>
      </x:c>
      <x:c r="AC709" s="28" t="n">
        <x:v>1</x:v>
      </x:c>
      <x:c r="AD709" s="28" t="n">
        <x:v>1</x:v>
      </x:c>
    </x:row>
    <x:row r="710" ht="58" customHeight="1">
      <x:c r="A710" s="28" t="str">
        <x:v>CIT-0709</x:v>
      </x:c>
      <x:c r="B710" s="28" t="str">
        <x:v>Универсальные</x:v>
      </x:c>
      <x:c r="C710" s="28" t="str">
        <x:v>юдзу</x:v>
      </x:c>
      <x:c r="D710" s="28" t="str">
        <x:v>Юдзу</x:v>
      </x:c>
      <x:c r="E710" s="28" t="str">
        <x:v>Цитрусовые</x:v>
      </x:c>
      <x:c r="F710" s="28" t="str">
        <x:v>имбирь</x:v>
      </x:c>
      <x:c r="G710" s="28" t="str">
        <x:v>имбирь</x:v>
      </x:c>
      <x:c r="H710" s="28" t="str">
        <x:v>Пряности</x:v>
      </x:c>
      <x:c r="I710" s="28" t="str">
        <x:v>цитрусовый, зелёный, травяной, камфорный</x:v>
      </x:c>
      <x:c r="J710" s="28" t="str">
        <x:v>цитрусовый, пряный, древесный, тёплый</x:v>
      </x:c>
      <x:c r="K710" s="28" t="str">
        <x:v>лимонен, гамма-терпинен, цитраль, бета-пинен, линалол</x:v>
      </x:c>
      <x:c r="L710" s="28" t="str">
        <x:v>зингиберен, цитраль, гераниол, гингеролы/шогаолы</x:v>
      </x:c>
      <x:c r="M710" s="28" t="str">
        <x:v>цитрусовый</x:v>
      </x:c>
      <x:c r="N710" s="28" t="str">
        <x:v>цитраль</x:v>
      </x:c>
      <x:c r="O710" s="28" t="str">
        <x:v>общие ароматические молекулы, перекрытие ароматических семейств, вкусовой баланс, тройничное восприятие</x:v>
      </x:c>
      <x:c r="P710" s="28" t="str">
        <x:v>Кислота усиливает слюноотделение и делает пряный аромат ярче; терпены цитруса образуют мост с эфирными маслами травы или специи.</x:v>
      </x:c>
      <x:c r="Q710" s="28" t="str">
        <x:v>кислота усиливает слюноотделение; зелёные терпены создают ощущение прохлады; гингеролы и шогаолы активируют TRPV1 и дают тепло</x:v>
      </x:c>
      <x:c r="R710" s="28" t="str">
        <x:v>сок — водная кислая фаза; цедра — масляная терпеновая; ароматические терпены лучше извлекаются этанолом и жиром</x:v>
      </x:c>
      <x:c r="S71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710" s="28" t="str">
        <x:v>Юдзу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U710" s="28" t="str">
        <x:v>Избыток кислоты делает вкус плоско-резким; белая часть кожуры даёт лишнюю горечь.</x:v>
      </x:c>
      <x:c r="V710" s="28" t="str">
        <x:v>мёд или ваниль</x:v>
      </x:c>
      <x:c r="W710" s="28" t="str">
        <x:v>сироп, кордиал, чатни, маринад или пряный десерт</x:v>
      </x:c>
      <x:c r="X710" s="28" t="str">
        <x:v>напитки, еда, соусы/маринады</x:v>
      </x:c>
      <x:c r="Y710" s="28" t="str">
        <x:v>Средняя</x:v>
      </x:c>
      <x:c r="Z710" s="28" t="str">
        <x:v>Таблица сочетания(1).pdf</x:v>
      </x:c>
      <x:c r="AA710" s="28" t="str">
        <x:v>Таблица сочетания(1).pdf: 22</x:v>
      </x:c>
      <x:c r="AB710" s="28" t="str">
        <x:v>Пара указана в таблице: «Юдзу» → колонка «Травы и специи».</x:v>
      </x:c>
      <x:c r="AC710" s="28" t="n">
        <x:v>1</x:v>
      </x:c>
      <x:c r="AD710" s="28" t="n">
        <x:v>1</x:v>
      </x:c>
    </x:row>
    <x:row r="711" ht="58" customHeight="1">
      <x:c r="A711" s="28" t="str">
        <x:v>CIT-0710</x:v>
      </x:c>
      <x:c r="B711" s="28" t="str">
        <x:v>Десерты и выпечка</x:v>
      </x:c>
      <x:c r="C711" s="28" t="str">
        <x:v>юдзу</x:v>
      </x:c>
      <x:c r="D711" s="28" t="str">
        <x:v>Юдзу</x:v>
      </x:c>
      <x:c r="E711" s="28" t="str">
        <x:v>Цитрусовые</x:v>
      </x:c>
      <x:c r="F711" s="28" t="str">
        <x:v>кофе</x:v>
      </x:c>
      <x:c r="G711" s="28" t="str">
        <x:v>кофе</x:v>
      </x:c>
      <x:c r="H711" s="28" t="str">
        <x:v>Кофе/обжаренное</x:v>
      </x:c>
      <x:c r="I711" s="28" t="str">
        <x:v>цитрусовый, зелёный, травяной, камфорный</x:v>
      </x:c>
      <x:c r="J711" s="28" t="str">
        <x:v>обжаренный, карамельный, ореховый, сернистый</x:v>
      </x:c>
      <x:c r="K711" s="28" t="str">
        <x:v>лимонен, гамма-терпинен, цитраль, бета-пинен, линалол</x:v>
      </x:c>
      <x:c r="L711" s="28" t="str">
        <x:v>фурантиолы, пиразины, фураны, гуаякол</x:v>
      </x:c>
      <x:c r="M711" s="28" t="str">
        <x:v>прямое семейное перекрытие не является главным механизмом</x:v>
      </x:c>
      <x:c r="N711" s="28" t="str">
        <x:v>надёжный общий маркер не заявлен; сочетание объясняется семействами и сенсорным балансом</x:v>
      </x:c>
      <x:c r="O711" s="28" t="str">
        <x:v>вкусовой баланс</x:v>
      </x:c>
      <x:c r="P711" s="28" t="str">
        <x:v>Высокая кисло-ароматическая нота контрастирует с жареными, горькими и карамельными оттенками; сахар или жир связывает два регистра.</x:v>
      </x:c>
      <x:c r="Q711" s="28" t="str">
        <x:v>кислота усиливает слюноотделение; зелёные терпены создают ощущение прохлады; нет выраженного</x:v>
      </x:c>
      <x:c r="R711" s="28" t="str">
        <x:v>сок — водная кислая фаза; цедра — масляная терпеновая; водная или молочная матрица; масла кофе удерживают аромат</x:v>
      </x:c>
      <x:c r="S71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711" s="28" t="str">
        <x:v>Юдзу формирует профиль «цитрусовый, зелёный, травяной, камфорный»; характерные маркеры: лимонен, гамма-терпинен, цитраль, бета-пинен, линалол. Кофе относится к группе «кофе/обжаренное» и даёт ноты «обжаренный, карамельный, ореховый,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может подчеркнуть естественную кислотность и связаться с фруктовыми нотами кофе.</x:v>
      </x:c>
      <x:c r="U711" s="28" t="str">
        <x:v>Избыток кислоты делает вкус плоско-резким; белая часть кожуры даёт лишнюю горечь.</x:v>
      </x:c>
      <x:c r="V711" s="28" t="str">
        <x:v>шоколад или кардамон</x:v>
      </x:c>
      <x:c r="W711" s="28" t="str">
        <x:v>кофейный напиток, тирамису, ликёр или десертный соус</x:v>
      </x:c>
      <x:c r="X711" s="28" t="str">
        <x:v>десерты</x:v>
      </x:c>
      <x:c r="Y711" s="28" t="str">
        <x:v>Гипотеза / практическая</x:v>
      </x:c>
      <x:c r="Z711" s="28" t="str">
        <x:v>Таблица сочетания(1).pdf</x:v>
      </x:c>
      <x:c r="AA711" s="28" t="str">
        <x:v>Таблица сочетания(1).pdf: 22</x:v>
      </x:c>
      <x:c r="AB711" s="28" t="str">
        <x:v>Пара указана в таблице: «Юдзу» → колонка «Другое».</x:v>
      </x:c>
      <x:c r="AC711" s="28" t="n">
        <x:v>1</x:v>
      </x:c>
      <x:c r="AD711" s="28" t="n">
        <x:v>1</x:v>
      </x:c>
    </x:row>
    <x:row r="712" ht="58" customHeight="1">
      <x:c r="A712" s="28" t="str">
        <x:v>CIT-0711</x:v>
      </x:c>
      <x:c r="B712" s="28" t="str">
        <x:v>Универсальные</x:v>
      </x:c>
      <x:c r="C712" s="28" t="str">
        <x:v>юдзу</x:v>
      </x:c>
      <x:c r="D712" s="28" t="str">
        <x:v>юдзу</x:v>
      </x:c>
      <x:c r="E712" s="28" t="str">
        <x:v>Цитрусовые</x:v>
      </x:c>
      <x:c r="F712" s="28" t="str">
        <x:v>крыжовник</x:v>
      </x:c>
      <x:c r="G712" s="28" t="str">
        <x:v>Крыжовник</x:v>
      </x:c>
      <x:c r="H712" s="28" t="str">
        <x:v>Прочее</x:v>
      </x:c>
      <x:c r="I712" s="28" t="str">
        <x:v>цитрусовый, зелёный, травяной, камфорный</x:v>
      </x:c>
      <x:c r="J712" s="28" t="str">
        <x:v>нейтральный/специфический</x:v>
      </x:c>
      <x:c r="K712" s="28" t="str">
        <x:v>лимонен, гамма-терпинен, цитраль, бета-пинен, линалол</x:v>
      </x:c>
      <x:c r="L712" s="28" t="str">
        <x:v>нужен профиль конкретного продукта</x:v>
      </x:c>
      <x:c r="M712" s="28" t="str">
        <x:v>прямое семейное перекрытие не является главным механизмом</x:v>
      </x:c>
      <x:c r="N712" s="28" t="str">
        <x:v>надёжный общий маркер не заявлен; сочетание объясняется семействами и сенсорным балансом</x:v>
      </x:c>
      <x:c r="O712" s="28" t="str">
        <x:v>вкусовой баланс, тройничное восприятие</x:v>
      </x:c>
      <x:c r="P712" s="28" t="str">
        <x:v>Основной эффект определяется ароматическим контрастом и добавлением кислотной свежести; точный баланс зависит от дозировки и матрицы.</x:v>
      </x:c>
      <x:c r="Q712" s="28" t="str">
        <x:v>кислота усиливает слюноотделение; зелёные терпены создают ощущение прохлады; нет данных</x:v>
      </x:c>
      <x:c r="R712" s="28" t="str">
        <x:v>сок — водная кислая фаза; цедра — масляная терпеновая; зависит от формы продукта</x:v>
      </x:c>
      <x:c r="S71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12" s="28" t="str">
        <x:v>Юдзу формирует профиль «цитрусовый, зелёный, травяной, камфорный»; характерные маркеры: лимонен, гамма-терпинен, цитраль, бета-пинен, линалол. Крыжовник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712" s="28" t="str">
        <x:v>Избыток кислоты делает вкус плоско-резким; белая часть кожуры даёт лишнюю горечь.</x:v>
      </x:c>
      <x:c r="V712" s="28" t="str">
        <x:v>мёд или нейтральная жировая основа</x:v>
      </x:c>
      <x:c r="W712" s="28" t="str">
        <x:v>соус, напиток или десерт после пробной дегустации</x:v>
      </x:c>
      <x:c r="X712" s="28" t="str">
        <x:v>универсальное</x:v>
      </x:c>
      <x:c r="Y712" s="28" t="str">
        <x:v>Гипотеза / практическая</x:v>
      </x:c>
      <x:c r="Z712" s="28" t="str">
        <x:v>Таблица сочетания(1).pdf</x:v>
      </x:c>
      <x:c r="AA712" s="28" t="str">
        <x:v>Таблица сочетания(1).pdf: 9</x:v>
      </x:c>
      <x:c r="AB712" s="28" t="str">
        <x:v>Пара указана в таблице: «Крыжовник» → колонка «Фрукты».</x:v>
      </x:c>
      <x:c r="AC712" s="28" t="n">
        <x:v>1</x:v>
      </x:c>
      <x:c r="AD712" s="28" t="n">
        <x:v>1</x:v>
      </x:c>
    </x:row>
    <x:row r="713" ht="58" customHeight="1">
      <x:c r="A713" s="28" t="str">
        <x:v>CIT-0712</x:v>
      </x:c>
      <x:c r="B713" s="28" t="str">
        <x:v>Десерты и выпечка</x:v>
      </x:c>
      <x:c r="C713" s="28" t="str">
        <x:v>юдзу</x:v>
      </x:c>
      <x:c r="D713" s="28" t="str">
        <x:v>Юдзу</x:v>
      </x:c>
      <x:c r="E713" s="28" t="str">
        <x:v>Цитрусовые</x:v>
      </x:c>
      <x:c r="F713" s="28" t="str">
        <x:v>мёд</x:v>
      </x:c>
      <x:c r="G713" s="28" t="str">
        <x:v>мёд</x:v>
      </x:c>
      <x:c r="H713" s="28" t="str">
        <x:v>Подсластители</x:v>
      </x:c>
      <x:c r="I713" s="28" t="str">
        <x:v>цитрусовый, зелёный, травяной, камфорный</x:v>
      </x:c>
      <x:c r="J713" s="28" t="str">
        <x:v>медовый, цветочный, карамельный</x:v>
      </x:c>
      <x:c r="K713" s="28" t="str">
        <x:v>лимонен, гамма-терпинен, цитраль, бета-пинен, линалол</x:v>
      </x:c>
      <x:c r="L713" s="28" t="str">
        <x:v>фенилуксусные соединения, фураны, норизопреноиды</x:v>
      </x:c>
      <x:c r="M713" s="28" t="str">
        <x:v>прямое семейное перекрытие не является главным механизмом</x:v>
      </x:c>
      <x:c r="N713" s="28" t="str">
        <x:v>надёжный общий маркер не заявлен; сочетание объясняется семействами и сенсорным балансом</x:v>
      </x:c>
      <x:c r="O713" s="28" t="str">
        <x:v>вкусовой баланс</x:v>
      </x:c>
      <x:c r="P713" s="28" t="str">
        <x:v>Сладость подавляет воспринимаемую кислотность и горечь кожуры, а кислота не даёт сочетанию стать приторным.</x:v>
      </x:c>
      <x:c r="Q713" s="28" t="str">
        <x:v>кислота усиливает слюноотделение; зелёные терпены создают ощущение прохлады; нет выраженного</x:v>
      </x:c>
      <x:c r="R713" s="28" t="str">
        <x:v>сок — водная кислая фаза; цедра — масляная терпеновая; сахар повышает вязкость и снижает воспринимаемую кислотность</x:v>
      </x:c>
      <x:c r="S71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13" s="28" t="str">
        <x:v>Юдзу формирует профиль «цитрусовый, зелёный, травяной, камфорный»; характерные маркеры: лимонен, гамма-терпинен, цитраль, бета-пинен, линалол. Мёд относится к группе «подсластители» и даёт ноты «медовый,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Сладость подавляет воспринимаемую кислотность и горечь кожуры, а кислота не даёт сочетанию стать приторным. Лаймовые цитрусы дают более зелёный и камфорный профиль, чем сладкий апельсин. Сладость балансирует кислоту и горечь кожуры; цветочные компоненты могут поддерживать цитрус.</x:v>
      </x:c>
      <x:c r="U713" s="28" t="str">
        <x:v>Избыток кислоты делает вкус плоско-резким; белая часть кожуры даёт лишнюю горечь.</x:v>
      </x:c>
      <x:c r="V713" s="28" t="str">
        <x:v>имбирь или ваниль</x:v>
      </x:c>
      <x:c r="W713" s="28" t="str">
        <x:v>сироп, мармелад, крем, глазурь или лимонад</x:v>
      </x:c>
      <x:c r="X713" s="28" t="str">
        <x:v>напитки, десерты</x:v>
      </x:c>
      <x:c r="Y713" s="28" t="str">
        <x:v>Гипотеза / практическая</x:v>
      </x:c>
      <x:c r="Z713" s="28" t="str">
        <x:v>Таблица сочетания(1).pdf</x:v>
      </x:c>
      <x:c r="AA713" s="28" t="str">
        <x:v>Таблица сочетания(1).pdf: 22</x:v>
      </x:c>
      <x:c r="AB713" s="28" t="str">
        <x:v>Пара указана в таблице: «Юдзу» → колонка «Другое».</x:v>
      </x:c>
      <x:c r="AC713" s="28" t="n">
        <x:v>1</x:v>
      </x:c>
      <x:c r="AD713" s="28" t="n">
        <x:v>1</x:v>
      </x:c>
    </x:row>
    <x:row r="714" ht="58" customHeight="1">
      <x:c r="A714" s="28" t="str">
        <x:v>CIT-0713</x:v>
      </x:c>
      <x:c r="B714" s="28" t="str">
        <x:v>Десерты и выпечка</x:v>
      </x:c>
      <x:c r="C714" s="28" t="str">
        <x:v>юдзу</x:v>
      </x:c>
      <x:c r="D714" s="28" t="str">
        <x:v>Юдзу</x:v>
      </x:c>
      <x:c r="E714" s="28" t="str">
        <x:v>Цитрусовые</x:v>
      </x:c>
      <x:c r="F714" s="28" t="str">
        <x:v>миндаль</x:v>
      </x:c>
      <x:c r="G714" s="28" t="str">
        <x:v>миндаль</x:v>
      </x:c>
      <x:c r="H714" s="28" t="str">
        <x:v>Орехи и семена</x:v>
      </x:c>
      <x:c r="I714" s="28" t="str">
        <x:v>цитрусовый, зелёный, травяной, камфорный</x:v>
      </x:c>
      <x:c r="J714" s="28" t="str">
        <x:v>ореховый, обжаренный, жирный, зелёный</x:v>
      </x:c>
      <x:c r="K714" s="28" t="str">
        <x:v>лимонен, гамма-терпинен, цитраль, бета-пинен, линалол</x:v>
      </x:c>
      <x:c r="L714" s="28" t="str">
        <x:v>пиразины, альдегиды окисления жиров, бензальдегид (миндаль)</x:v>
      </x:c>
      <x:c r="M714" s="28" t="str">
        <x:v>зелёный</x:v>
      </x:c>
      <x:c r="N714" s="28" t="str">
        <x:v>надёжный общий маркер не заявлен; сочетание объясняется семействами и сенсорным балансом</x:v>
      </x:c>
      <x:c r="O714" s="28" t="str">
        <x:v>перекрытие ароматических семейств, вкусовой баланс, влияние матрицы/растворимости</x:v>
      </x:c>
      <x:c r="P714" s="28" t="str">
        <x:v>Кислотность и лёгкая горечь цитруса снижают ощущение жирности; соль и умами, в свою очередь, делают фруктовую часть менее резкой.</x:v>
      </x:c>
      <x:c r="Q714" s="28" t="str">
        <x:v>кислота усиливает слюноотделение; зелёные терпены создают ощущение прохлады; нет выраженного</x:v>
      </x:c>
      <x:c r="R714" s="28" t="str">
        <x:v>сок — водная кислая фаза; цедра — масляная терпеновая; высокая жирность растворяет терпеновые масла цитруса</x:v>
      </x:c>
      <x:c r="S71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T714" s="28" t="str">
        <x:v>Юдзу формирует профиль «цитрусовый, зелёный, травяной, камфорный»; характерные маркеры: лимонен, гамма-терпинен, цитраль, бета-пинен, линалол. Миндаль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U714" s="28" t="str">
        <x:v>Избыток кислоты делает вкус плоско-резким; белая часть кожуры даёт лишнюю горечь.</x:v>
      </x:c>
      <x:c r="V714" s="28" t="str">
        <x:v>мёд или шоколад</x:v>
      </x:c>
      <x:c r="W714" s="28" t="str">
        <x:v>пралине, крем, выпечка, салат или ореховый соус</x:v>
      </x:c>
      <x:c r="X714" s="28" t="str">
        <x:v>десерты</x:v>
      </x:c>
      <x:c r="Y714" s="28" t="str">
        <x:v>Гипотеза / практическая</x:v>
      </x:c>
      <x:c r="Z714" s="28" t="str">
        <x:v>Таблица сочетания(1).pdf</x:v>
      </x:c>
      <x:c r="AA714" s="28" t="str">
        <x:v>Таблица сочетания(1).pdf: 22</x:v>
      </x:c>
      <x:c r="AB714" s="28" t="str">
        <x:v>Пара указана в таблице: «Юдзу» → колонка «Другое».</x:v>
      </x:c>
      <x:c r="AC714" s="28" t="n">
        <x:v>1</x:v>
      </x:c>
      <x:c r="AD714" s="28" t="n">
        <x:v>1</x:v>
      </x:c>
    </x:row>
    <x:row r="715" ht="58" customHeight="1">
      <x:c r="A715" s="28" t="str">
        <x:v>CIT-0714</x:v>
      </x:c>
      <x:c r="B715" s="28" t="str">
        <x:v>Универсальные</x:v>
      </x:c>
      <x:c r="C715" s="28" t="str">
        <x:v>юдзу</x:v>
      </x:c>
      <x:c r="D715" s="28" t="str">
        <x:v>Юдзу</x:v>
      </x:c>
      <x:c r="E715" s="28" t="str">
        <x:v>Цитрусовые</x:v>
      </x:c>
      <x:c r="F715" s="28" t="str">
        <x:v>можжевельник</x:v>
      </x:c>
      <x:c r="G715" s="28" t="str">
        <x:v>можжевельник</x:v>
      </x:c>
      <x:c r="H715" s="28" t="str">
        <x:v>Прочее</x:v>
      </x:c>
      <x:c r="I715" s="28" t="str">
        <x:v>цитрусовый, зелёный, травяной, камфорный</x:v>
      </x:c>
      <x:c r="J715" s="28" t="str">
        <x:v>нейтральный/специфический</x:v>
      </x:c>
      <x:c r="K715" s="28" t="str">
        <x:v>лимонен, гамма-терпинен, цитраль, бета-пинен, линалол</x:v>
      </x:c>
      <x:c r="L715" s="28" t="str">
        <x:v>нужен профиль конкретного продукта</x:v>
      </x:c>
      <x:c r="M715" s="28" t="str">
        <x:v>прямое семейное перекрытие не является главным механизмом</x:v>
      </x:c>
      <x:c r="N715" s="28" t="str">
        <x:v>надёжный общий маркер не заявлен; сочетание объясняется семействами и сенсорным балансом</x:v>
      </x:c>
      <x:c r="O715" s="28" t="str">
        <x:v>вкусовой баланс, тройничное восприятие</x:v>
      </x:c>
      <x:c r="P715" s="28" t="str">
        <x:v>Основной эффект определяется ароматическим контрастом и добавлением кислотной свежести; точный баланс зависит от дозировки и матрицы.</x:v>
      </x:c>
      <x:c r="Q715" s="28" t="str">
        <x:v>кислота усиливает слюноотделение; зелёные терпены создают ощущение прохлады; нет данных</x:v>
      </x:c>
      <x:c r="R715" s="28" t="str">
        <x:v>сок — водная кислая фаза; цедра — масляная терпеновая; зависит от формы продукта</x:v>
      </x:c>
      <x:c r="S71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15" s="28" t="str">
        <x:v>Юдзу формирует профиль «цитрусовый, зелёный, травяной, камфорный»; характерные маркеры: лимонен, гамма-терпинен, цитраль, бета-пинен, линалол. Можжевельник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715" s="28" t="str">
        <x:v>Избыток кислоты делает вкус плоско-резким; белая часть кожуры даёт лишнюю горечь.</x:v>
      </x:c>
      <x:c r="V715" s="28" t="str">
        <x:v>мёд или нейтральная жировая основа</x:v>
      </x:c>
      <x:c r="W715" s="28" t="str">
        <x:v>соус, напиток или десерт после пробной дегустации</x:v>
      </x:c>
      <x:c r="X715" s="28" t="str">
        <x:v>универсальное</x:v>
      </x:c>
      <x:c r="Y715" s="28" t="str">
        <x:v>Гипотеза / практическая</x:v>
      </x:c>
      <x:c r="Z715" s="28" t="str">
        <x:v>Таблица сочетания(1).pdf</x:v>
      </x:c>
      <x:c r="AA715" s="28" t="str">
        <x:v>Таблица сочетания(1).pdf: 22</x:v>
      </x:c>
      <x:c r="AB715" s="28" t="str">
        <x:v>Пара указана в таблице: «Юдзу» → колонка «Другое».</x:v>
      </x:c>
      <x:c r="AC715" s="28" t="n">
        <x:v>1</x:v>
      </x:c>
      <x:c r="AD715" s="28" t="n">
        <x:v>1</x:v>
      </x:c>
    </x:row>
    <x:row r="716" ht="58" customHeight="1">
      <x:c r="A716" s="28" t="str">
        <x:v>CIT-0715</x:v>
      </x:c>
      <x:c r="B716" s="28" t="str">
        <x:v>Универсальные</x:v>
      </x:c>
      <x:c r="C716" s="28" t="str">
        <x:v>юдзу</x:v>
      </x:c>
      <x:c r="D716" s="28" t="str">
        <x:v>Юдзу</x:v>
      </x:c>
      <x:c r="E716" s="28" t="str">
        <x:v>Цитрусовые</x:v>
      </x:c>
      <x:c r="F716" s="28" t="str">
        <x:v>мята</x:v>
      </x:c>
      <x:c r="G716" s="28" t="str">
        <x:v>мята</x:v>
      </x:c>
      <x:c r="H716" s="28" t="str">
        <x:v>Травы</x:v>
      </x:c>
      <x:c r="I716" s="28" t="str">
        <x:v>цитрусовый, зелёный, травяной, камфорный</x:v>
      </x:c>
      <x:c r="J716" s="28" t="str">
        <x:v>мятный, зелёный, свежий</x:v>
      </x:c>
      <x:c r="K716" s="28" t="str">
        <x:v>лимонен, гамма-терпинен, цитраль, бета-пинен, линалол</x:v>
      </x:c>
      <x:c r="L716" s="28" t="str">
        <x:v>ментол, ментон, 1,8-цинеол</x:v>
      </x:c>
      <x:c r="M716" s="28" t="str">
        <x:v>зелёный</x:v>
      </x:c>
      <x:c r="N716" s="28" t="str">
        <x:v>надёжный общий маркер не заявлен; сочетание объясняется семействами и сенсорным балансом</x:v>
      </x:c>
      <x:c r="O716" s="28" t="str">
        <x:v>перекрытие ароматических семейств, вкусовой баланс, тройничное восприятие</x:v>
      </x:c>
      <x:c r="P716" s="28" t="str">
        <x:v>Кислота усиливает слюноотделение и делает пряный аромат ярче; терпены цитруса образуют мост с эфирными маслами травы или специи.</x:v>
      </x:c>
      <x:c r="Q716" s="28" t="str">
        <x:v>кислота усиливает слюноотделение; зелёные терпены создают ощущение прохлады; ментол активирует TRPM8 и создаёт охлаждение</x:v>
      </x:c>
      <x:c r="R716" s="28" t="str">
        <x:v>сок — водная кислая фаза; цедра — масляная терпеновая; эфирные масла извлекаются спиртом; длительный нагрев снижает свежесть</x:v>
      </x:c>
      <x:c r="S71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T716" s="28" t="str">
        <x:v>Юдзу формирует профиль «цитрусовый, зелёный, травяной, камфорный»; характерные маркеры: лимонен, гамма-терпинен, цитраль, бета-пинен, линалол.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Мята усиливает воспринимаемую прохладу и кислотную свежесть.</x:v>
      </x:c>
      <x:c r="U716" s="28" t="str">
        <x:v>Избыток кислоты делает вкус плоско-резким; белая часть кожуры даёт лишнюю горечь; цитрус легко подавляет деликатный аромат партнёра.</x:v>
      </x:c>
      <x:c r="V716" s="28" t="str">
        <x:v>оливковое масло или огурец</x:v>
      </x:c>
      <x:c r="W716" s="28" t="str">
        <x:v>лимонад, кордиал, салатная заправка или зелёный соус</x:v>
      </x:c>
      <x:c r="X716" s="28" t="str">
        <x:v>напитки, еда, соусы/маринады</x:v>
      </x:c>
      <x:c r="Y716" s="28" t="str">
        <x:v>Гипотеза / практическая</x:v>
      </x:c>
      <x:c r="Z716" s="28" t="str">
        <x:v>Таблица сочетания(1).pdf</x:v>
      </x:c>
      <x:c r="AA716" s="28" t="str">
        <x:v>Таблица сочетания(1).pdf: 22</x:v>
      </x:c>
      <x:c r="AB716" s="28" t="str">
        <x:v>Пара указана в таблице: «Юдзу» → колонка «Травы и специи».</x:v>
      </x:c>
      <x:c r="AC716" s="28" t="n">
        <x:v>1</x:v>
      </x:c>
      <x:c r="AD716" s="28" t="n">
        <x:v>1</x:v>
      </x:c>
    </x:row>
    <x:row r="717" ht="58" customHeight="1">
      <x:c r="A717" s="28" t="str">
        <x:v>CIT-0716</x:v>
      </x:c>
      <x:c r="B717" s="28" t="str">
        <x:v>Универсальные</x:v>
      </x:c>
      <x:c r="C717" s="28" t="str">
        <x:v>юдзу</x:v>
      </x:c>
      <x:c r="D717" s="28" t="str">
        <x:v>yuzu</x:v>
      </x:c>
      <x:c r="E717" s="28" t="str">
        <x:v>Цитрусовые</x:v>
      </x:c>
      <x:c r="F717" s="28" t="str">
        <x:v>припущенная лиманда</x:v>
      </x:c>
      <x:c r="G717" s="28" t="str">
        <x:v>poached lemon sole</x:v>
      </x:c>
      <x:c r="H717" s="28" t="str">
        <x:v>Прочее</x:v>
      </x:c>
      <x:c r="I717" s="28" t="str">
        <x:v>цитрусовый, зелёный, травяной, камфорный</x:v>
      </x:c>
      <x:c r="J717" s="28" t="str">
        <x:v>нейтральный/специфический</x:v>
      </x:c>
      <x:c r="K717" s="28" t="str">
        <x:v>лимонен, гамма-терпинен, цитраль, бета-пинен, линалол</x:v>
      </x:c>
      <x:c r="L717" s="28" t="str">
        <x:v>нужен профиль конкретного продукта</x:v>
      </x:c>
      <x:c r="M717" s="28" t="str">
        <x:v>прямое семейное перекрытие не является главным механизмом</x:v>
      </x:c>
      <x:c r="N717" s="28" t="str">
        <x:v>надёжный общий маркер не заявлен; сочетание объясняется семействами и сенсорным балансом</x:v>
      </x:c>
      <x:c r="O717" s="28" t="str">
        <x:v>вкусовой баланс, тройничное восприятие</x:v>
      </x:c>
      <x:c r="P717" s="28" t="str">
        <x:v>Основной эффект определяется ароматическим контрастом и добавлением кислотной свежести; точный баланс зависит от дозировки и матрицы.</x:v>
      </x:c>
      <x:c r="Q717" s="28" t="str">
        <x:v>кислота усиливает слюноотделение; зелёные терпены создают ощущение прохлады; нет данных</x:v>
      </x:c>
      <x:c r="R717" s="28" t="str">
        <x:v>сок — водная кислая фаза; цедра — масляная терпеновая; зависит от формы продукта</x:v>
      </x:c>
      <x:c r="S71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17" s="28" t="str">
        <x:v>Юдзу формирует профиль «цитрусовый, зелёный, травяной, камфорный»; характерные маркеры: лимонен, гамма-терпинен, цитраль, бета-пинен, линалол. Припущенная лиманда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717" s="28" t="str">
        <x:v>Избыток кислоты делает вкус плоско-резким; белая часть кожуры даёт лишнюю горечь.</x:v>
      </x:c>
      <x:c r="V717" s="28" t="str">
        <x:v>мёд или нейтральная жировая основа</x:v>
      </x:c>
      <x:c r="W717" s="28" t="str">
        <x:v>соус, напиток или десерт после пробной дегустации</x:v>
      </x:c>
      <x:c r="X717" s="28" t="str">
        <x:v>универсальное</x:v>
      </x:c>
      <x:c r="Y717" s="28" t="str">
        <x:v>Средняя</x:v>
      </x:c>
      <x:c r="Z717" s="28" t="str">
        <x:v>The Art &amp; Science of Foodpairing.pdf</x:v>
      </x:c>
      <x:c r="AA717" s="28" t="str">
        <x:v>The Art &amp; Science of Foodpairing.pdf: 324</x:v>
      </x:c>
      <x:c r="AB717" s="28" t="str">
        <x:v>Пара представлена в ароматической диаграмме Foodpairing на странице 324.</x:v>
      </x:c>
      <x:c r="AC717" s="28" t="n">
        <x:v>1</x:v>
      </x:c>
      <x:c r="AD717" s="28" t="n">
        <x:v>1</x:v>
      </x:c>
    </x:row>
    <x:row r="718" ht="58" customHeight="1">
      <x:c r="A718" s="28" t="str">
        <x:v>CIT-0717</x:v>
      </x:c>
      <x:c r="B718" s="28" t="str">
        <x:v>Универсальные</x:v>
      </x:c>
      <x:c r="C718" s="28" t="str">
        <x:v>юдзу</x:v>
      </x:c>
      <x:c r="D718" s="28" t="str">
        <x:v>yuzu</x:v>
      </x:c>
      <x:c r="E718" s="28" t="str">
        <x:v>Цитрусовые</x:v>
      </x:c>
      <x:c r="F718" s="28" t="str">
        <x:v>сушёные листья тмина</x:v>
      </x:c>
      <x:c r="G718" s="28" t="str">
        <x:v>dried caraway leaves</x:v>
      </x:c>
      <x:c r="H718" s="28" t="str">
        <x:v>Прочее</x:v>
      </x:c>
      <x:c r="I718" s="28" t="str">
        <x:v>цитрусовый, зелёный, травяной, камфорный</x:v>
      </x:c>
      <x:c r="J718" s="28" t="str">
        <x:v>нейтральный/специфический</x:v>
      </x:c>
      <x:c r="K718" s="28" t="str">
        <x:v>лимонен, гамма-терпинен, цитраль, бета-пинен, линалол</x:v>
      </x:c>
      <x:c r="L718" s="28" t="str">
        <x:v>нужен профиль конкретного продукта</x:v>
      </x:c>
      <x:c r="M718" s="28" t="str">
        <x:v>прямое семейное перекрытие не является главным механизмом</x:v>
      </x:c>
      <x:c r="N718" s="28" t="str">
        <x:v>надёжный общий маркер не заявлен; сочетание объясняется семействами и сенсорным балансом</x:v>
      </x:c>
      <x:c r="O718" s="28" t="str">
        <x:v>вкусовой баланс, тройничное восприятие</x:v>
      </x:c>
      <x:c r="P718" s="28" t="str">
        <x:v>Основной эффект определяется ароматическим контрастом и добавлением кислотной свежести; точный баланс зависит от дозировки и матрицы.</x:v>
      </x:c>
      <x:c r="Q718" s="28" t="str">
        <x:v>кислота усиливает слюноотделение; зелёные терпены создают ощущение прохлады; нет данных</x:v>
      </x:c>
      <x:c r="R718" s="28" t="str">
        <x:v>сок — водная кислая фаза; цедра — масляная терпеновая; зависит от формы продукта</x:v>
      </x:c>
      <x:c r="S7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18" s="28" t="str">
        <x:v>Юдзу формирует профиль «цитрусовый, зелёный, травяной, камфорный»; характерные маркеры: лимонен, гамма-терпинен, цитраль, бета-пинен, линалол. Сушёные листья тмина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718" s="28" t="str">
        <x:v>Избыток кислоты делает вкус плоско-резким; белая часть кожуры даёт лишнюю горечь.</x:v>
      </x:c>
      <x:c r="V718" s="28" t="str">
        <x:v>мёд или нейтральная жировая основа</x:v>
      </x:c>
      <x:c r="W718" s="28" t="str">
        <x:v>соус, напиток или десерт после пробной дегустации</x:v>
      </x:c>
      <x:c r="X718" s="28" t="str">
        <x:v>универсальное</x:v>
      </x:c>
      <x:c r="Y718" s="28" t="str">
        <x:v>Средняя</x:v>
      </x:c>
      <x:c r="Z718" s="28" t="str">
        <x:v>The Art &amp; Science of Foodpairing.pdf</x:v>
      </x:c>
      <x:c r="AA718" s="28" t="str">
        <x:v>The Art &amp; Science of Foodpairing.pdf: 246</x:v>
      </x:c>
      <x:c r="AB718" s="28" t="str">
        <x:v>Пара представлена в ароматической диаграмме Foodpairing на странице 246.</x:v>
      </x:c>
      <x:c r="AC718" s="28" t="n">
        <x:v>1</x:v>
      </x:c>
      <x:c r="AD718" s="28" t="n">
        <x:v>1</x:v>
      </x:c>
    </x:row>
    <x:row r="719" ht="58" customHeight="1">
      <x:c r="A719" s="28" t="str">
        <x:v>CIT-0718</x:v>
      </x:c>
      <x:c r="B719" s="28" t="str">
        <x:v>Универсальные</x:v>
      </x:c>
      <x:c r="C719" s="28" t="str">
        <x:v>юдзу</x:v>
      </x:c>
      <x:c r="D719" s="28" t="str">
        <x:v>Юдзу</x:v>
      </x:c>
      <x:c r="E719" s="28" t="str">
        <x:v>Цитрусовые</x:v>
      </x:c>
      <x:c r="F719" s="28" t="str">
        <x:v>укроп</x:v>
      </x:c>
      <x:c r="G719" s="28" t="str">
        <x:v>укроп</x:v>
      </x:c>
      <x:c r="H719" s="28" t="str">
        <x:v>Прочее</x:v>
      </x:c>
      <x:c r="I719" s="28" t="str">
        <x:v>цитрусовый, зелёный, травяной, камфорный</x:v>
      </x:c>
      <x:c r="J719" s="28" t="str">
        <x:v>нейтральный/специфический</x:v>
      </x:c>
      <x:c r="K719" s="28" t="str">
        <x:v>лимонен, гамма-терпинен, цитраль, бета-пинен, линалол</x:v>
      </x:c>
      <x:c r="L719" s="28" t="str">
        <x:v>нужен профиль конкретного продукта</x:v>
      </x:c>
      <x:c r="M719" s="28" t="str">
        <x:v>прямое семейное перекрытие не является главным механизмом</x:v>
      </x:c>
      <x:c r="N719" s="28" t="str">
        <x:v>надёжный общий маркер не заявлен; сочетание объясняется семействами и сенсорным балансом</x:v>
      </x:c>
      <x:c r="O719" s="28" t="str">
        <x:v>вкусовой баланс, тройничное восприятие</x:v>
      </x:c>
      <x:c r="P719" s="28" t="str">
        <x:v>Основной эффект определяется ароматическим контрастом и добавлением кислотной свежести; точный баланс зависит от дозировки и матрицы.</x:v>
      </x:c>
      <x:c r="Q719" s="28" t="str">
        <x:v>кислота усиливает слюноотделение; зелёные терпены создают ощущение прохлады; нет данных</x:v>
      </x:c>
      <x:c r="R719" s="28" t="str">
        <x:v>сок — водная кислая фаза; цедра — масляная терпеновая; зависит от формы продукта</x:v>
      </x:c>
      <x:c r="S71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T719" s="28" t="str">
        <x:v>Юдзу формирует профиль «цитрусовый, зелёный, травяной, камфорный»; характерные маркеры: лимонен, гамма-терпинен, цитраль, бета-пинен, линалол. Укроп относится к группе «прочее» и даёт ноты «нейтральный/специфический».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Основной эффект определяется ароматическим контрастом и добавлением кислотной свежести; точный баланс зависит от дозировки и матрицы. Лаймовые цитрусы дают более зелёный и камфорный профиль, чем сладкий апельсин. Для точного молекулярного вывода нужен профиль конкретного ингредиента и способа обработки.</x:v>
      </x:c>
      <x:c r="U719" s="28" t="str">
        <x:v>Избыток кислоты делает вкус плоско-резким; белая часть кожуры даёт лишнюю горечь.</x:v>
      </x:c>
      <x:c r="V719" s="28" t="str">
        <x:v>мёд или нейтральная жировая основа</x:v>
      </x:c>
      <x:c r="W719" s="28" t="str">
        <x:v>соус, напиток или десерт после пробной дегустации</x:v>
      </x:c>
      <x:c r="X719" s="28" t="str">
        <x:v>универсальное</x:v>
      </x:c>
      <x:c r="Y719" s="28" t="str">
        <x:v>Гипотеза / практическая</x:v>
      </x:c>
      <x:c r="Z719" s="28" t="str">
        <x:v>Таблица сочетания(1).pdf</x:v>
      </x:c>
      <x:c r="AA719" s="28" t="str">
        <x:v>Таблица сочетания(1).pdf: 22</x:v>
      </x:c>
      <x:c r="AB719" s="28" t="str">
        <x:v>Пара указана в таблице: «Юдзу» → колонка «Травы и специи».</x:v>
      </x:c>
      <x:c r="AC719" s="28" t="n">
        <x:v>1</x:v>
      </x:c>
      <x:c r="AD719" s="28" t="n">
        <x:v>1</x:v>
      </x:c>
    </x:row>
    <x:row r="720" ht="58" customHeight="1">
      <x:c r="A720" s="28" t="str">
        <x:v>CIT-0719</x:v>
      </x:c>
      <x:c r="B720" s="28" t="str">
        <x:v>Десерты и выпечка</x:v>
      </x:c>
      <x:c r="C720" s="28" t="str">
        <x:v>юдзу</x:v>
      </x:c>
      <x:c r="D720" s="28" t="str">
        <x:v>Юдзу</x:v>
      </x:c>
      <x:c r="E720" s="28" t="str">
        <x:v>Цитрусовые</x:v>
      </x:c>
      <x:c r="F720" s="28" t="str">
        <x:v>яблоко</x:v>
      </x:c>
      <x:c r="G720" s="28" t="str">
        <x:v>яблоко</x:v>
      </x:c>
      <x:c r="H720" s="28" t="str">
        <x:v>Фрукты</x:v>
      </x:c>
      <x:c r="I720" s="28" t="str">
        <x:v>цитрусовый, зелёный, травяной, камфорный</x:v>
      </x:c>
      <x:c r="J720" s="28" t="str">
        <x:v>фруктовый, зелёный, цветочный</x:v>
      </x:c>
      <x:c r="K720" s="28" t="str">
        <x:v>лимонен, гамма-терпинен, цитраль, бета-пинен, линалол</x:v>
      </x:c>
      <x:c r="L720" s="28" t="str">
        <x:v>гексилацетат, гексаналь, транс-2-гексеналь, бета-дамасценон</x:v>
      </x:c>
      <x:c r="M720" s="28" t="str">
        <x:v>зелёный</x:v>
      </x:c>
      <x:c r="N720" s="28" t="str">
        <x:v>надёжный общий маркер не заявлен; сочетание объясняется семействами и сенсорным балансом</x:v>
      </x:c>
      <x:c r="O720" s="28" t="str">
        <x:v>перекрытие ароматических семейств, вкусовой баланс</x:v>
      </x:c>
      <x:c r="P720" s="28" t="str">
        <x:v>Общая фруктовая сладость и летучие эфиры создают непрерывный ароматический профиль, а цитрусовая кислота повышает контраст и свежесть.</x:v>
      </x:c>
      <x:c r="Q720" s="28" t="str">
        <x:v>кислота усиливает слюноотделение; зелёные терпены создают ощущение прохлады; нет выраженного</x:v>
      </x:c>
      <x:c r="R720" s="28" t="str">
        <x:v>сок — водная кислая фаза; цедра — масляная терпеновая; водная сочная матрица; пектин повышает вязкость</x:v>
      </x:c>
      <x:c r="S72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T720" s="28" t="str">
        <x:v>Юдзу формирует профиль «цитрусовый, зелёный, травяной, камфорный»; характерные маркеры: лимонен, гамма-терпинен, цитраль, бета-пинен, линалол.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Яблочные эфиры и зелёные альдегиды хорошо поддерживают свежий цитрус.</x:v>
      </x:c>
      <x:c r="U720" s="28" t="str">
        <x:v>Избыток кислоты делает вкус плоско-резким; белая часть кожуры даёт лишнюю горечь.</x:v>
      </x:c>
      <x:c r="V720" s="28" t="str">
        <x:v>мята или имбирь</x:v>
      </x:c>
      <x:c r="W720" s="28" t="str">
        <x:v>лимонад, сорбет, компот, салат или фруктовый кордиал</x:v>
      </x:c>
      <x:c r="X720" s="28" t="str">
        <x:v>напитки, десерты</x:v>
      </x:c>
      <x:c r="Y720" s="28" t="str">
        <x:v>Гипотеза / практическая</x:v>
      </x:c>
      <x:c r="Z720" s="28" t="str">
        <x:v>Таблица сочетания(1).pdf</x:v>
      </x:c>
      <x:c r="AA720" s="28" t="str">
        <x:v>Таблица сочетания(1).pdf: 22</x:v>
      </x:c>
      <x:c r="AB720" s="28" t="str">
        <x:v>Пара указана в таблице: «Юдзу» → колонка «Фрукты».</x:v>
      </x:c>
      <x:c r="AC720" s="28" t="n">
        <x:v>1</x:v>
      </x:c>
      <x:c r="AD720" s="28" t="n">
        <x:v>1</x:v>
      </x:c>
    </x:row>
  </x:sheetData>
  <x:conditionalFormatting sqref="Y2:Y720">
    <x:cfRule type="expression" dxfId="0" priority="1">
      <x:formula>Y2="Высокая"</x:formula>
    </x:cfRule>
    <x:cfRule type="expression" dxfId="1" priority="2">
      <x:formula>Y2="Средняя"</x:formula>
    </x:cfRule>
    <x:cfRule type="expression" dxfId="2" priority="3">
      <x:formula>Y2="Гипотеза / практическая"</x:formula>
    </x:cfRule>
  </x:conditionalFormatting>
  <x:pageMargins left="0.7" right="0.7" top="0.75" bottom="0.75" header="0.3" footer="0.3"/>
  <x:tableParts count="1">
    <x:tablePart xmlns:r="http://schemas.openxmlformats.org/officeDocument/2006/relationships" r:id="R7a505223256b4512"/>
  </x:tableParts>
</x:worksheet>
</file>

<file path=xl/worksheets/sheet3.xml><?xml version="1.0" encoding="utf-8"?>
<x:worksheet xmlns:x="http://schemas.openxmlformats.org/spreadsheetml/2006/main">
  <x:sheetFormatPr defaultRowHeight="15"/>
  <x:cols>
    <x:col min="1" max="1" width="13" hidden="0" customWidth="1"/>
    <x:col min="2" max="2" width="25" hidden="0" customWidth="1"/>
    <x:col min="3" max="3" width="29" hidden="0" customWidth="1"/>
    <x:col min="4" max="4" width="23" hidden="0" customWidth="1"/>
    <x:col min="5" max="5" width="34" hidden="0" customWidth="1"/>
    <x:col min="6" max="6" width="80" hidden="0" customWidth="1"/>
    <x:col min="7" max="7" width="55" hidden="0" customWidth="1"/>
    <x:col min="8" max="8" width="48" hidden="0" customWidth="1"/>
    <x:col min="9" max="9" width="45" hidden="0" customWidth="1"/>
    <x:col min="10" max="10" width="22" hidden="0" customWidth="1"/>
    <x:col min="11" max="11" width="36" hidden="0" customWidth="1"/>
    <x:col min="12" max="12" width="42" hidden="0" customWidth="1"/>
  </x:cols>
  <x:sheetData>
    <x:row r="1">
      <x:c r="A1" s="20" t="str">
        <x:v>ID</x:v>
      </x:c>
      <x:c r="B1" s="20" t="str">
        <x:v>Ингредиент 1</x:v>
      </x:c>
      <x:c r="C1" s="20" t="str">
        <x:v>Ингредиент 2</x:v>
      </x:c>
      <x:c r="D1" s="20" t="str">
        <x:v>Группа партнёра</x:v>
      </x:c>
      <x:c r="E1" s="20" t="str">
        <x:v>Тип механизма</x:v>
      </x:c>
      <x:c r="F1" s="20" t="str">
        <x:v>Подробное научное объяснение</x:v>
      </x:c>
      <x:c r="G1" s="20" t="str">
        <x:v>Обработка</x:v>
      </x:c>
      <x:c r="H1" s="20" t="str">
        <x:v>Критические точки</x:v>
      </x:c>
      <x:c r="I1" s="20" t="str">
        <x:v>Практическое применение</x:v>
      </x:c>
      <x:c r="J1" s="20" t="str">
        <x:v>Уверенность</x:v>
      </x:c>
      <x:c r="K1" s="20" t="str">
        <x:v>Источники</x:v>
      </x:c>
      <x:c r="L1" s="20" t="str">
        <x:v>Страницы</x:v>
      </x:c>
    </x:row>
    <x:row r="2" ht="62" customHeight="1">
      <x:c r="A2" s="28" t="str">
        <x:v>CIT-0003</x:v>
      </x:c>
      <x:c r="B2" s="28" t="str">
        <x:v>апельсин</x:v>
      </x:c>
      <x:c r="C2" s="28" t="str">
        <x:v>ананас</x:v>
      </x:c>
      <x:c r="D2" s="28" t="str">
        <x:v>Тропические фрукты</x:v>
      </x:c>
      <x:c r="E2" s="28" t="str">
        <x:v>перекрытие ароматических семейств, вкусовой баланс</x:v>
      </x:c>
      <x:c r="F2" s="28" t="str">
        <x:v>Апельсин формирует профиль «цитрусовый, сладко-фруктовый, цветочный, восковой»; характерные маркеры: лимонен, линалол, деканаль, октаналь, мирцен.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 s="28" t="str">
        <x:v>Избыток кислоты делает вкус плоско-резким; белая часть кожуры даёт лишнюю горечь.</x:v>
      </x:c>
      <x:c r="I2" s="28" t="str">
        <x:v>смузи, кордиал, сорбет, чатни или коктейль</x:v>
      </x:c>
      <x:c r="J2" s="28" t="str">
        <x:v>Высокая</x:v>
      </x:c>
      <x:c r="K2" s="28" t="str">
        <x:v>Таблица сочетания(1).pdf | Тезариус вкусов (Ники Сегнит)(1).pdf</x:v>
      </x:c>
      <x:c r="L2" s="28" t="str">
        <x:v>Таблица сочетания(1).pdf: 17 | Тезариус вкусов (Ники Сегнит)(1).pdf: 702, 772</x:v>
      </x:c>
    </x:row>
    <x:row r="3" ht="62" customHeight="1">
      <x:c r="A3" s="28" t="str">
        <x:v>CIT-0007</x:v>
      </x:c>
      <x:c r="B3" s="28" t="str">
        <x:v>апельсин</x:v>
      </x:c>
      <x:c r="C3" s="28" t="str">
        <x:v>базилик</x:v>
      </x:c>
      <x:c r="D3" s="28" t="str">
        <x:v>Травы</x:v>
      </x:c>
      <x:c r="E3" s="28" t="str">
        <x:v>общие ароматические молекулы, перекрытие ароматических семейств, вкусовой баланс</x:v>
      </x:c>
      <x:c r="F3" s="28" t="str">
        <x:v>Апельсин формирует профиль «цитрусовый, сладко-фруктовый, цветочный, восковой»; характерные маркеры: лимонен, линалол, деканаль, октаналь, мирцен.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цветочный.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Базилик и эстрагон могут связать цитрус с фруктами, томатом и сливочными матрицами.</x:v>
      </x:c>
      <x:c r="G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 s="28" t="str">
        <x:v>Избыток кислоты делает вкус плоско-резким; белая часть кожуры даёт лишнюю горечь; цитрус легко подавляет деликатный аромат партнёра.</x:v>
      </x:c>
      <x:c r="I3" s="28" t="str">
        <x:v>лимонад, кордиал, салатная заправка или зелёный соус</x:v>
      </x:c>
      <x:c r="J3" s="28" t="str">
        <x:v>Средняя</x:v>
      </x:c>
      <x:c r="K3" s="28" t="str">
        <x:v>Таблица сочетания(1).pdf</x:v>
      </x:c>
      <x:c r="L3" s="28" t="str">
        <x:v>Таблица сочетания(1).pdf: 14</x:v>
      </x:c>
    </x:row>
    <x:row r="4" ht="62" customHeight="1">
      <x:c r="A4" s="28" t="str">
        <x:v>CIT-0009</x:v>
      </x:c>
      <x:c r="B4" s="28" t="str">
        <x:v>апельсин</x:v>
      </x:c>
      <x:c r="C4" s="28" t="str">
        <x:v>банан</x:v>
      </x:c>
      <x:c r="D4" s="28" t="str">
        <x:v>Тропические фрукты</x:v>
      </x:c>
      <x:c r="E4" s="28" t="str">
        <x:v>перекрытие ароматических семейств, вкусовой баланс</x:v>
      </x:c>
      <x:c r="F4" s="28" t="str">
        <x:v>Апельсин формирует профиль «цитрусовый, сладко-фруктовый, цветочный, восковой»; характерные маркеры: лимонен, линалол, деканаль, октаналь, мирцен. Банан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4" s="28" t="str">
        <x:v>Избыток кислоты делает вкус плоско-резким; белая часть кожуры даёт лишнюю горечь.</x:v>
      </x:c>
      <x:c r="I4" s="28" t="str">
        <x:v>смузи, кордиал, сорбет, чатни или коктейль</x:v>
      </x:c>
      <x:c r="J4" s="28" t="str">
        <x:v>Гипотеза / практическая</x:v>
      </x:c>
      <x:c r="K4" s="28" t="str">
        <x:v>Таблица сочетания(1).pdf</x:v>
      </x:c>
      <x:c r="L4" s="28" t="str">
        <x:v>Таблица сочетания(1).pdf: 2, 14</x:v>
      </x:c>
    </x:row>
    <x:row r="5" ht="62" customHeight="1">
      <x:c r="A5" s="28" t="str">
        <x:v>CIT-0014</x:v>
      </x:c>
      <x:c r="B5" s="28" t="str">
        <x:v>апельсин</x:v>
      </x:c>
      <x:c r="C5" s="28" t="str">
        <x:v>ваниль</x:v>
      </x:c>
      <x:c r="D5" s="28" t="str">
        <x:v>Пряности</x:v>
      </x:c>
      <x:c r="E5" s="28" t="str">
        <x:v>вкусовой баланс</x:v>
      </x:c>
      <x:c r="F5" s="28" t="str">
        <x:v>Апельсин формирует профиль «цитрусовый, сладко-фруктовый, цветочный, восковой»; характерные маркеры: лимонен, линалол, деканаль, октаналь, мирцен.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Ваниль округляет кислотность и связывает цитрус с десертными и молочными нотами.</x:v>
      </x:c>
      <x:c r="G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 s="28" t="str">
        <x:v>Избыток кислоты делает вкус плоско-резким; белая часть кожуры даёт лишнюю горечь.</x:v>
      </x:c>
      <x:c r="I5" s="28" t="str">
        <x:v>сироп, кордиал, чатни, маринад или пряный десерт</x:v>
      </x:c>
      <x:c r="J5" s="28" t="str">
        <x:v>Высокая</x:v>
      </x:c>
      <x:c r="K5" s="28" t="str">
        <x:v>Таблица сочетания(1).pdf | Тезариус вкусов (Ники Сегнит)(1).pdf</x:v>
      </x:c>
      <x:c r="L5" s="28" t="str">
        <x:v>Таблица сочетания(1).pdf: 14, 21 | Тезариус вкусов (Ники Сегнит)(1).pdf: 774, 914</x:v>
      </x:c>
    </x:row>
    <x:row r="6" ht="62" customHeight="1">
      <x:c r="A6" s="28" t="str">
        <x:v>CIT-0015</x:v>
      </x:c>
      <x:c r="B6" s="28" t="str">
        <x:v>апельсин</x:v>
      </x:c>
      <x:c r="C6" s="28" t="str">
        <x:v>виноград</x:v>
      </x:c>
      <x:c r="D6" s="28" t="str">
        <x:v>Алкогольные напитки</x:v>
      </x:c>
      <x:c r="E6" s="28" t="str">
        <x:v>вкусовой баланс, тройничное восприятие, влияние матрицы/растворимости</x:v>
      </x:c>
      <x:c r="F6" s="28" t="str">
        <x:v>Апельсин формирует профиль «цитрусовый, сладко-фруктовый, цветочный, восковой»; характерные маркеры: лимонен, линалол, деканаль, октаналь, мирцен. Виноград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Апельсиновый профиль строится на лимонене и альдегидах с восково-сладкой нотой. Спирт извлекает цедру и усиливает ретроназальный выход терпенов; сахар и разбавление меняют баланс.</x:v>
      </x:c>
      <x:c r="G6"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6" s="28" t="str">
        <x:v>Избыток кислоты делает вкус плоско-резким; белая часть кожуры даёт лишнюю горечь.</x:v>
      </x:c>
      <x:c r="I6" s="28" t="str">
        <x:v>коктейль, спритц, настойка, ликёр или кордиал</x:v>
      </x:c>
      <x:c r="J6" s="28" t="str">
        <x:v>Гипотеза / практическая</x:v>
      </x:c>
      <x:c r="K6" s="28" t="str">
        <x:v>Таблица сочетания(1).pdf</x:v>
      </x:c>
      <x:c r="L6" s="28" t="str">
        <x:v>Таблица сочетания(1).pdf: 9</x:v>
      </x:c>
    </x:row>
    <x:row r="7" ht="62" customHeight="1">
      <x:c r="A7" s="28" t="str">
        <x:v>CIT-0016</x:v>
      </x:c>
      <x:c r="B7" s="28" t="str">
        <x:v>апельсин</x:v>
      </x:c>
      <x:c r="C7" s="28" t="str">
        <x:v>вишня</x:v>
      </x:c>
      <x:c r="D7" s="28" t="str">
        <x:v>Ягоды/косточковые</x:v>
      </x:c>
      <x:c r="E7" s="28" t="str">
        <x:v>перекрытие ароматических семейств, вкусовой баланс</x:v>
      </x:c>
      <x:c r="F7" s="28" t="str">
        <x:v>Апельсин формирует профиль «цитрусовый, сладко-фруктовый, цветочный, восковой»; характерные маркеры: лимонен, линалол, деканаль, октаналь, мирцен.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7" s="28" t="str">
        <x:v>Избыток кислоты делает вкус плоско-резким; белая часть кожуры даёт лишнюю горечь.</x:v>
      </x:c>
      <x:c r="I7" s="28" t="str">
        <x:v>джем, сорбет, коктейль или соус</x:v>
      </x:c>
      <x:c r="J7" s="28" t="str">
        <x:v>Гипотеза / практическая</x:v>
      </x:c>
      <x:c r="K7" s="28" t="str">
        <x:v>Таблица сочетания(1).pdf</x:v>
      </x:c>
      <x:c r="L7" s="28" t="str">
        <x:v>Таблица сочетания(1).pdf: 14</x:v>
      </x:c>
    </x:row>
    <x:row r="8" ht="62" customHeight="1">
      <x:c r="A8" s="28" t="str">
        <x:v>CIT-0019</x:v>
      </x:c>
      <x:c r="B8" s="28" t="str">
        <x:v>апельсин</x:v>
      </x:c>
      <x:c r="C8" s="28" t="str">
        <x:v>гвоздика</x:v>
      </x:c>
      <x:c r="D8" s="28" t="str">
        <x:v>Пряности</x:v>
      </x:c>
      <x:c r="E8" s="28" t="str">
        <x:v>вкусовой баланс, тройничное восприятие</x:v>
      </x:c>
      <x:c r="F8" s="28" t="str">
        <x:v>Апельсин формирует профиль «цитрусовый, сладко-фруктовый, цветочный, восковой»; характерные маркеры: лимонен, линалол, деканаль, октаналь, мирцен.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Гвоздика очень интенсивна и легко доминирует.</x:v>
      </x:c>
      <x:c r="G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 s="28" t="str">
        <x:v>Избыток кислоты делает вкус плоско-резким; белая часть кожуры даёт лишнюю горечь.</x:v>
      </x:c>
      <x:c r="I8" s="28" t="str">
        <x:v>сироп, кордиал, чатни, маринад или пряный десерт</x:v>
      </x:c>
      <x:c r="J8" s="28" t="str">
        <x:v>Высокая</x:v>
      </x:c>
      <x:c r="K8" s="28" t="str">
        <x:v>Таблица сочетания(1).pdf | Тезариус вкусов (Ники Сегнит)(1).pdf</x:v>
      </x:c>
      <x:c r="L8" s="28" t="str">
        <x:v>Таблица сочетания(1).pdf: 5, 14 | Тезариус вкусов (Ники Сегнит)(1).pdf: 582, 774</x:v>
      </x:c>
    </x:row>
    <x:row r="9" ht="62" customHeight="1">
      <x:c r="A9" s="28" t="str">
        <x:v>CIT-0021</x:v>
      </x:c>
      <x:c r="B9" s="28" t="str">
        <x:v>апельсин</x:v>
      </x:c>
      <x:c r="C9" s="28" t="str">
        <x:v>грейпфрут</x:v>
      </x:c>
      <x:c r="D9" s="28" t="str">
        <x:v>Цитрусовые</x:v>
      </x:c>
      <x:c r="E9" s="28" t="str">
        <x:v>общие ароматические молекулы, перекрытие ароматических семейств, вкусовой баланс, тройничное восприятие</x:v>
      </x:c>
      <x:c r="F9" s="28" t="str">
        <x:v>Апельсин формирует профиль «цитрусовый, сладко-фруктовый, цветочный, восковой»; характерные маркеры: лимонен, линалол, деканаль, октаналь, мирцен. Грейпфрут относится к группе «цитрусовые» и даёт ноты «цитрусовый, горький, свежий, сернистый».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Горечь задают флавоноиды, аромат кожуры — терпены и следовые тиолы.</x:v>
      </x:c>
      <x:c r="G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9" s="28" t="str">
        <x:v>Избыток кислоты делает вкус плоско-резким; белая часть кожуры даёт лишнюю горечь.</x:v>
      </x:c>
      <x:c r="I9" s="28" t="str">
        <x:v>цитрусовый кордиал, мармелад, сорбет, салат или купаж соков</x:v>
      </x:c>
      <x:c r="J9" s="28" t="str">
        <x:v>Высокая</x:v>
      </x:c>
      <x:c r="K9" s="28" t="str">
        <x:v>Таблица сочетания(1).pdf | Тезариус вкусов (Ники Сегнит)(1).pdf</x:v>
      </x:c>
      <x:c r="L9" s="28" t="str">
        <x:v>Таблица сочетания(1).pdf: 9, 14 | Тезариус вкусов (Ники Сегнит)(1).pdf: 775, 786</x:v>
      </x:c>
    </x:row>
    <x:row r="10" ht="62" customHeight="1">
      <x:c r="A10" s="28" t="str">
        <x:v>CIT-0023</x:v>
      </x:c>
      <x:c r="B10" s="28" t="str">
        <x:v>апельсин</x:v>
      </x:c>
      <x:c r="C10" s="28" t="str">
        <x:v>гуава</x:v>
      </x:c>
      <x:c r="D10" s="28" t="str">
        <x:v>Тропические фрукты</x:v>
      </x:c>
      <x:c r="E10" s="28" t="str">
        <x:v>перекрытие ароматических семейств, вкусовой баланс</x:v>
      </x:c>
      <x:c r="F10" s="28" t="str">
        <x:v>Апельсин формирует профиль «цитрусовый, сладко-фруктовый, цветочный, восковой»; характерные маркеры: лимонен, линалол, деканаль, октаналь, мирцен. Гуава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1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 s="28" t="str">
        <x:v>Избыток кислоты делает вкус плоско-резким; белая часть кожуры даёт лишнюю горечь.</x:v>
      </x:c>
      <x:c r="I10" s="28" t="str">
        <x:v>смузи, кордиал, сорбет, чатни или коктейль</x:v>
      </x:c>
      <x:c r="J10" s="28" t="str">
        <x:v>Гипотеза / практическая</x:v>
      </x:c>
      <x:c r="K10" s="28" t="str">
        <x:v>Таблица сочетания(1).pdf</x:v>
      </x:c>
      <x:c r="L10" s="28" t="str">
        <x:v>Таблица сочетания(1).pdf: 14</x:v>
      </x:c>
    </x:row>
    <x:row r="11" ht="62" customHeight="1">
      <x:c r="A11" s="28" t="str">
        <x:v>CIT-0027</x:v>
      </x:c>
      <x:c r="B11" s="28" t="str">
        <x:v>апельсин</x:v>
      </x:c>
      <x:c r="C11" s="28" t="str">
        <x:v>имбирь</x:v>
      </x:c>
      <x:c r="D11" s="28" t="str">
        <x:v>Пряности</x:v>
      </x:c>
      <x:c r="E11" s="28" t="str">
        <x:v>перекрытие ароматических семейств, вкусовой баланс, тройничное восприятие</x:v>
      </x:c>
      <x:c r="F11" s="28" t="str">
        <x:v>Апельсин формирует профиль «цитрусовый, сладко-фруктовый, цветочный, восковой»; характерные маркеры: лимонен, линалол, деканаль, октаналь, мирцен.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Свежий имбирь более цитрусовый, нагретый и сушёный — более тёплый и жгучий.</x:v>
      </x:c>
      <x:c r="G1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 s="28" t="str">
        <x:v>Избыток кислоты делает вкус плоско-резким; белая часть кожуры даёт лишнюю горечь.</x:v>
      </x:c>
      <x:c r="I11" s="28" t="str">
        <x:v>сироп, кордиал, чатни, маринад или пряный десерт</x:v>
      </x:c>
      <x:c r="J11" s="28" t="str">
        <x:v>Высокая</x:v>
      </x:c>
      <x:c r="K11" s="28" t="str">
        <x:v>Таблица сочетания(1).pdf | Тезариус вкусов (Ники Сегнит)(1).pdf</x:v>
      </x:c>
      <x:c r="L11" s="28" t="str">
        <x:v>Таблица сочетания(1).pdf: 14 | Тезариус вкусов (Ники Сегнит)(1).pdf: 775, 812</x:v>
      </x:c>
    </x:row>
    <x:row r="12" ht="62" customHeight="1">
      <x:c r="A12" s="28" t="str">
        <x:v>CIT-0031</x:v>
      </x:c>
      <x:c r="B12" s="28" t="str">
        <x:v>апельсин</x:v>
      </x:c>
      <x:c r="C12" s="28" t="str">
        <x:v>кардамон</x:v>
      </x:c>
      <x:c r="D12" s="28" t="str">
        <x:v>Пряности</x:v>
      </x:c>
      <x:c r="E12" s="28" t="str">
        <x:v>общие ароматические молекулы, перекрытие ароматических семейств, вкусовой баланс, тройничное восприятие</x:v>
      </x:c>
      <x:c r="F12" s="28" t="str">
        <x:v>Апельсин формирует профиль «цитрусовый, сладко-фруктовый, цветочный, восковой»; характерные маркеры: лимонен, линалол, деканаль, октаналь, мирцен.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Кардамон часто служит мостом между цитрусом, цветами и древесными нотами.</x:v>
      </x:c>
      <x:c r="G1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 s="28" t="str">
        <x:v>Избыток кислоты делает вкус плоско-резким; белая часть кожуры даёт лишнюю горечь.</x:v>
      </x:c>
      <x:c r="I12" s="28" t="str">
        <x:v>сироп, кордиал, чатни, маринад или пряный десерт</x:v>
      </x:c>
      <x:c r="J12" s="28" t="str">
        <x:v>Средняя</x:v>
      </x:c>
      <x:c r="K12" s="28" t="str">
        <x:v>Таблица сочетания(1).pdf</x:v>
      </x:c>
      <x:c r="L12" s="28" t="str">
        <x:v>Таблица сочетания(1).pdf: 3, 14</x:v>
      </x:c>
    </x:row>
    <x:row r="13" ht="62" customHeight="1">
      <x:c r="A13" s="28" t="str">
        <x:v>CIT-0034</x:v>
      </x:c>
      <x:c r="B13" s="28" t="str">
        <x:v>апельсин</x:v>
      </x:c>
      <x:c r="C13" s="28" t="str">
        <x:v>клубника</x:v>
      </x:c>
      <x:c r="D13" s="28" t="str">
        <x:v>Ягоды</x:v>
      </x:c>
      <x:c r="E13" s="28" t="str">
        <x:v>перекрытие ароматических семейств, вкусовой баланс</x:v>
      </x:c>
      <x:c r="F13" s="28" t="str">
        <x:v>Апельсин формирует профиль «цитрусовый, сладко-фруктовый, цветочный, восковой»; характерные маркеры: лимонен, линалол, деканаль, октаналь, мирцен. Клубника относится к группе «ягоды» и даёт ноты «фруктовый,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Фуранеол даёт карамельно-ананасовый оттенок, цитрус подчёркивает свежие эфиры.</x:v>
      </x:c>
      <x:c r="G1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 s="28" t="str">
        <x:v>Избыток кислоты делает вкус плоско-резким; белая часть кожуры даёт лишнюю горечь.</x:v>
      </x:c>
      <x:c r="I13" s="28" t="str">
        <x:v>морс, кордиал, джем, сорбет или коктейль</x:v>
      </x:c>
      <x:c r="J13" s="28" t="str">
        <x:v>Высокая</x:v>
      </x:c>
      <x:c r="K13" s="28" t="str">
        <x:v>Таблица сочетания(1).pdf | Тезариус вкусов (Ники Сегнит)(1).pdf</x:v>
      </x:c>
      <x:c r="L13" s="28" t="str">
        <x:v>Таблица сочетания(1).pdf: 20 | Тезариус вкусов (Ники Сегнит)(1).pdf: 693, 775</x:v>
      </x:c>
    </x:row>
    <x:row r="14" ht="62" customHeight="1">
      <x:c r="A14" s="28" t="str">
        <x:v>CIT-0036</x:v>
      </x:c>
      <x:c r="B14" s="28" t="str">
        <x:v>апельсин</x:v>
      </x:c>
      <x:c r="C14" s="28" t="str">
        <x:v>кокос</x:v>
      </x:c>
      <x:c r="D14" s="28" t="str">
        <x:v>Тропические плоды</x:v>
      </x:c>
      <x:c r="E14" s="28" t="str">
        <x:v>перекрытие ароматических семейств, вкусовой баланс</x:v>
      </x:c>
      <x:c r="F14" s="28" t="str">
        <x:v>Апельсин формирует профиль «цитрусовый, сладко-фруктовый, цветочный, восковой»; характерные маркеры: лимонен, линалол, деканаль, октаналь, мирцен. Кокос относится к группе «тропические плоды» и даёт ноты «сливочный, кокосовый, восковой, ореховый». Прямой общий ключевой одорант из доступных профилей не фиксируется, однако продукты пересекаются на уровне семейств: восковой.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Кокос округляет кислотность и продлевает цитрусовый аромат.</x:v>
      </x:c>
      <x:c r="G1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4" s="28" t="str">
        <x:v>Избыток кислоты делает вкус плоско-резким; белая часть кожуры даёт лишнюю горечь.</x:v>
      </x:c>
      <x:c r="I14" s="28" t="str">
        <x:v>коктейль, крем, сорбет или соус</x:v>
      </x:c>
      <x:c r="J14" s="28" t="str">
        <x:v>Гипотеза / практическая</x:v>
      </x:c>
      <x:c r="K14" s="28" t="str">
        <x:v>Таблица сочетания(1).pdf</x:v>
      </x:c>
      <x:c r="L14" s="28" t="str">
        <x:v>Таблица сочетания(1).pdf: 5, 6</x:v>
      </x:c>
    </x:row>
    <x:row r="15" ht="62" customHeight="1">
      <x:c r="A15" s="28" t="str">
        <x:v>CIT-0037</x:v>
      </x:c>
      <x:c r="B15" s="28" t="str">
        <x:v>апельсин</x:v>
      </x:c>
      <x:c r="C15" s="28" t="str">
        <x:v>корица</x:v>
      </x:c>
      <x:c r="D15" s="28" t="str">
        <x:v>Пряности</x:v>
      </x:c>
      <x:c r="E15" s="28" t="str">
        <x:v>вкусовой баланс, тройничное восприятие</x:v>
      </x:c>
      <x:c r="F15" s="28" t="str">
        <x:v>Апельсин формирует профиль «цитрусовый, сладко-фруктовый, цветочный, восковой»; характерные маркеры: лимонен, линалол, деканаль, октаналь, мирцен.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Корица добавляет тёплый низкий регистр и усиливает впечатление сладости.</x:v>
      </x:c>
      <x:c r="G1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 s="28" t="str">
        <x:v>Избыток кислоты делает вкус плоско-резким; белая часть кожуры даёт лишнюю горечь.</x:v>
      </x:c>
      <x:c r="I15" s="28" t="str">
        <x:v>сироп, кордиал, чатни, маринад или пряный десерт</x:v>
      </x:c>
      <x:c r="J15" s="28" t="str">
        <x:v>Высокая</x:v>
      </x:c>
      <x:c r="K15" s="28" t="str">
        <x:v>Таблица сочетания(1).pdf | Тезариус вкусов (Ники Сегнит)(1).pdf</x:v>
      </x:c>
      <x:c r="L15" s="28" t="str">
        <x:v>Таблица сочетания(1).pdf: 14 | Тезариус вкусов (Ники Сегнит)(1).pdf: 573, 776</x:v>
      </x:c>
    </x:row>
    <x:row r="16" ht="62" customHeight="1">
      <x:c r="A16" s="28" t="str">
        <x:v>CIT-0040</x:v>
      </x:c>
      <x:c r="B16" s="28" t="str">
        <x:v>апельсин</x:v>
      </x:c>
      <x:c r="C16" s="28" t="str">
        <x:v>кумкват</x:v>
      </x:c>
      <x:c r="D16" s="28" t="str">
        <x:v>Цитрусовые</x:v>
      </x:c>
      <x:c r="E16" s="28" t="str">
        <x:v>общие ароматические молекулы, перекрытие ароматических семейств, вкусовой баланс</x:v>
      </x:c>
      <x:c r="F16" s="28" t="str">
        <x:v>Апельсин формирует профиль «цитрусовый, сладко-фруктовый, цветочный, восковой»; характерные маркеры: лимонен, линалол, деканаль, октаналь, мирцен. Кумкват относится к группе «цитрусовые» и даёт ноты «цитрусовый, фруктовый, цветочный, пряный». Наиболее правдоподобный молекулярный мост — лимонен, линалол;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Мандариновая группа мягче по кислотности и выраженнее по сладко-цветочным нотам.</x:v>
      </x:c>
      <x:c r="G1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6" s="28" t="str">
        <x:v>Избыток кислоты делает вкус плоско-резким; белая часть кожуры даёт лишнюю горечь.</x:v>
      </x:c>
      <x:c r="I16" s="28" t="str">
        <x:v>цитрусовый кордиал, мармелад, сорбет, салат или купаж соков</x:v>
      </x:c>
      <x:c r="J16" s="28" t="str">
        <x:v>Средняя</x:v>
      </x:c>
      <x:c r="K16" s="28" t="str">
        <x:v>Таблица сочетания(1).pdf</x:v>
      </x:c>
      <x:c r="L16" s="28" t="str">
        <x:v>Таблица сочетания(1).pdf: 14</x:v>
      </x:c>
    </x:row>
    <x:row r="17" ht="62" customHeight="1">
      <x:c r="A17" s="28" t="str">
        <x:v>CIT-0042</x:v>
      </x:c>
      <x:c r="B17" s="28" t="str">
        <x:v>апельсин</x:v>
      </x:c>
      <x:c r="C17" s="28" t="str">
        <x:v>лайм</x:v>
      </x:c>
      <x:c r="D17" s="28" t="str">
        <x:v>Цитрусовые</x:v>
      </x:c>
      <x:c r="E17" s="28" t="str">
        <x:v>общие ароматические молекулы, перекрытие ароматических семейств, вкусовой баланс, тройничное восприятие</x:v>
      </x:c>
      <x:c r="F17" s="28" t="str">
        <x:v>Апельсин формирует профиль «цитрусовый, сладко-фруктовый, цветочный, восковой»; характерные маркеры: лимонен, линалол, деканаль, октаналь, мирцен. Лайм относится к группе «цитрусовые» и даёт ноты «цитрусовый, зелёный, травяной, камфорный». Наиболее правдоподобный молекулярный мост —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Лаймовые цитрусы дают более зелёный и камфорный профиль, чем сладкий апельсин.</x:v>
      </x:c>
      <x:c r="G1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 s="28" t="str">
        <x:v>Избыток кислоты делает вкус плоско-резким; белая часть кожуры даёт лишнюю горечь.</x:v>
      </x:c>
      <x:c r="I17" s="28" t="str">
        <x:v>цитрусовый кордиал, мармелад, сорбет, салат или купаж соков</x:v>
      </x:c>
      <x:c r="J17" s="28" t="str">
        <x:v>Высокая</x:v>
      </x:c>
      <x:c r="K17" s="28" t="str">
        <x:v>Таблица сочетания(1).pdf | Тезариус вкусов (Ники Сегнит)(1).pdf</x:v>
      </x:c>
      <x:c r="L17" s="28" t="str">
        <x:v>Таблица сочетания(1).pdf: 12 | Тезариус вкусов (Ники Сегнит)(1).pdf: 776, 792</x:v>
      </x:c>
    </x:row>
    <x:row r="18" ht="62" customHeight="1">
      <x:c r="A18" s="28" t="str">
        <x:v>CIT-0043</x:v>
      </x:c>
      <x:c r="B18" s="28" t="str">
        <x:v>апельсин</x:v>
      </x:c>
      <x:c r="C18" s="28" t="str">
        <x:v>лимон</x:v>
      </x:c>
      <x:c r="D18" s="28" t="str">
        <x:v>Цитрусовые</x:v>
      </x:c>
      <x:c r="E18" s="28" t="str">
        <x:v>общие ароматические молекулы, перекрытие ароматических семейств, вкусовой баланс, тройничное восприятие</x:v>
      </x:c>
      <x:c r="F18" s="28" t="str">
        <x:v>Апельсин формирует профиль «цитрусовый, сладко-фруктовый, цветочный, восковой»; характерные маркеры: лимонен, линалол, деканаль, октаналь, мирцен. Лимон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G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 s="28" t="str">
        <x:v>Избыток кислоты делает вкус плоско-резким; белая часть кожуры даёт лишнюю горечь.</x:v>
      </x:c>
      <x:c r="I18" s="28" t="str">
        <x:v>цитрусовый кордиал, мармелад, сорбет, салат или купаж соков</x:v>
      </x:c>
      <x:c r="J18" s="28" t="str">
        <x:v>Высокая</x:v>
      </x:c>
      <x:c r="K18" s="28" t="str">
        <x:v>Тезариус вкусов (Ники Сегнит)(1).pdf</x:v>
      </x:c>
      <x:c r="L18" s="28" t="str">
        <x:v>Тезариус вкусов (Ники Сегнит)(1).pdf: 776, 800, 809</x:v>
      </x:c>
    </x:row>
    <x:row r="19" ht="62" customHeight="1">
      <x:c r="A19" s="28" t="str">
        <x:v>CIT-0044</x:v>
      </x:c>
      <x:c r="B19" s="28" t="str">
        <x:v>апельсин</x:v>
      </x:c>
      <x:c r="C19" s="28" t="str">
        <x:v>лимонная вербена</x:v>
      </x:c>
      <x:c r="D19" s="28" t="str">
        <x:v>Цитрусовые</x:v>
      </x:c>
      <x:c r="E19" s="28" t="str">
        <x:v>общие ароматические молекулы, перекрытие ароматических семейств, вкусовой баланс, тройничное восприятие</x:v>
      </x:c>
      <x:c r="F19" s="28" t="str">
        <x:v>Апельсин формирует профиль «цитрусовый, сладко-фруктовый, цветочный, восковой»; характерные маркеры: лимонен, линалол, деканаль, октаналь, мирцен. Лимонная вербена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G1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 s="28" t="str">
        <x:v>Избыток кислоты делает вкус плоско-резким; белая часть кожуры даёт лишнюю горечь.</x:v>
      </x:c>
      <x:c r="I19" s="28" t="str">
        <x:v>цитрусовый кордиал, мармелад, сорбет, салат или купаж соков</x:v>
      </x:c>
      <x:c r="J19" s="28" t="str">
        <x:v>Средняя</x:v>
      </x:c>
      <x:c r="K19" s="28" t="str">
        <x:v>The Art &amp; Science of Foodpairing.pdf</x:v>
      </x:c>
      <x:c r="L19" s="28" t="str">
        <x:v>The Art &amp; Science of Foodpairing.pdf: 236</x:v>
      </x:c>
    </x:row>
    <x:row r="20" ht="62" customHeight="1">
      <x:c r="A20" s="28" t="str">
        <x:v>CIT-0045</x:v>
      </x:c>
      <x:c r="B20" s="28" t="str">
        <x:v>апельсин</x:v>
      </x:c>
      <x:c r="C20" s="28" t="str">
        <x:v>лимонный тимьян</x:v>
      </x:c>
      <x:c r="D20" s="28" t="str">
        <x:v>Травы</x:v>
      </x:c>
      <x:c r="E20" s="28" t="str">
        <x:v>вкусовой баланс, тройничное восприятие</x:v>
      </x:c>
      <x:c r="F20" s="28" t="str">
        <x:v>Апельсин формирует профиль «цитрусовый, сладко-фруктовый, цветочный, восковой»; характерные маркеры: лимонен, линалол, деканаль, октаналь, мирцен.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2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0" s="28" t="str">
        <x:v>Избыток кислоты делает вкус плоско-резким; белая часть кожуры даёт лишнюю горечь; цитрус легко подавляет деликатный аромат партнёра.</x:v>
      </x:c>
      <x:c r="I20" s="28" t="str">
        <x:v>лимонад, кордиал, салатная заправка или зелёный соус</x:v>
      </x:c>
      <x:c r="J20" s="28" t="str">
        <x:v>Гипотеза / практическая</x:v>
      </x:c>
      <x:c r="K20" s="28" t="str">
        <x:v>Таблица сочетания(1).pdf</x:v>
      </x:c>
      <x:c r="L20" s="28" t="str">
        <x:v>Таблица сочетания(1).pdf: 11</x:v>
      </x:c>
    </x:row>
    <x:row r="21" ht="62" customHeight="1">
      <x:c r="A21" s="28" t="str">
        <x:v>CIT-0046</x:v>
      </x:c>
      <x:c r="B21" s="28" t="str">
        <x:v>апельсин</x:v>
      </x:c>
      <x:c r="C21" s="28" t="str">
        <x:v>листья кориандра</x:v>
      </x:c>
      <x:c r="D21" s="28" t="str">
        <x:v>Травы/пряности</x:v>
      </x:c>
      <x:c r="E21" s="28" t="str">
        <x:v>общие ароматические молекулы, перекрытие ароматических семейств, вкусовой баланс</x:v>
      </x:c>
      <x:c r="F21" s="28" t="str">
        <x:v>Апельсин формирует профиль «цитрусовый, сладко-фруктовый, цветочный, восковой»; характерные маркеры: лимонен, линалол, деканаль, октаналь, мирцен. Листья кориандра относится к группе «травы/пряности» и даёт ноты «цитрусовый, зелёный, цветочный». Наиболее правдоподобный молекулярный мост — деканаль,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Линалоол создаёт прямой ароматический мост с цитрусами.</x:v>
      </x:c>
      <x:c r="G2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 s="28" t="str">
        <x:v>Избыток кислоты делает вкус плоско-резким; белая часть кожуры даёт лишнюю горечь; цитрус легко подавляет деликатный аромат партнёра.</x:v>
      </x:c>
      <x:c r="I21" s="28" t="str">
        <x:v>лимонад, кордиал, маринад или пряный соус</x:v>
      </x:c>
      <x:c r="J21" s="28" t="str">
        <x:v>Высокая</x:v>
      </x:c>
      <x:c r="K21" s="28" t="str">
        <x:v>Тезариус вкусов (Ники Сегнит)(1).pdf</x:v>
      </x:c>
      <x:c r="L21" s="28" t="str">
        <x:v>Тезариус вкусов (Ники Сегнит)(1).pdf: 515, 776</x:v>
      </x:c>
    </x:row>
    <x:row r="22" ht="62" customHeight="1">
      <x:c r="A22" s="28" t="str">
        <x:v>CIT-0047</x:v>
      </x:c>
      <x:c r="B22" s="28" t="str">
        <x:v>апельсин</x:v>
      </x:c>
      <x:c r="C22" s="28" t="str">
        <x:v>лонган</x:v>
      </x:c>
      <x:c r="D22" s="28" t="str">
        <x:v>Тропические фрукты</x:v>
      </x:c>
      <x:c r="E22" s="28" t="str">
        <x:v>перекрытие ароматических семейств, вкусовой баланс</x:v>
      </x:c>
      <x:c r="F22" s="28" t="str">
        <x:v>Апельсин формирует профиль «цитрусовый, сладко-фруктовый, цветочный, восковой»; характерные маркеры: лимонен, линалол, деканаль, октаналь, мирцен. Лонган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2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2" s="28" t="str">
        <x:v>Избыток кислоты делает вкус плоско-резким; белая часть кожуры даёт лишнюю горечь.</x:v>
      </x:c>
      <x:c r="I22" s="28" t="str">
        <x:v>смузи, кордиал, сорбет, чатни или коктейль</x:v>
      </x:c>
      <x:c r="J22" s="28" t="str">
        <x:v>Гипотеза / практическая</x:v>
      </x:c>
      <x:c r="K22" s="28" t="str">
        <x:v>Таблица сочетания(1).pdf</x:v>
      </x:c>
      <x:c r="L22" s="28" t="str">
        <x:v>Таблица сочетания(1).pdf: 12</x:v>
      </x:c>
    </x:row>
    <x:row r="23" ht="62" customHeight="1">
      <x:c r="A23" s="28" t="str">
        <x:v>CIT-0049</x:v>
      </x:c>
      <x:c r="B23" s="28" t="str">
        <x:v>апельсин</x:v>
      </x:c>
      <x:c r="C23" s="28" t="str">
        <x:v>манго</x:v>
      </x:c>
      <x:c r="D23" s="28" t="str">
        <x:v>Тропические фрукты</x:v>
      </x:c>
      <x:c r="E23" s="28" t="str">
        <x:v>перекрытие ароматических семейств, вкусовой баланс</x:v>
      </x:c>
      <x:c r="F23" s="28" t="str">
        <x:v>Апельсин формирует профиль «цитрусовый, сладко-фруктовый, цветочный, восковой»; характерные маркеры: лимонен, линалол, деканаль, октаналь, мирцен.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2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 s="28" t="str">
        <x:v>Избыток кислоты делает вкус плоско-резким; белая часть кожуры даёт лишнюю горечь.</x:v>
      </x:c>
      <x:c r="I23" s="28" t="str">
        <x:v>смузи, кордиал, сорбет, чатни или коктейль</x:v>
      </x:c>
      <x:c r="J23" s="28" t="str">
        <x:v>Высокая</x:v>
      </x:c>
      <x:c r="K23" s="28" t="str">
        <x:v>Таблица сочетания(1).pdf | Тезариус вкусов (Ники Сегнит)(1).pdf</x:v>
      </x:c>
      <x:c r="L23" s="28" t="str">
        <x:v>Таблица сочетания(1).pdf: 13, 14 | Тезариус вкусов (Ники Сегнит)(1).pdf: 764, 777</x:v>
      </x:c>
    </x:row>
    <x:row r="24" ht="62" customHeight="1">
      <x:c r="A24" s="28" t="str">
        <x:v>CIT-0050</x:v>
      </x:c>
      <x:c r="B24" s="28" t="str">
        <x:v>апельсин</x:v>
      </x:c>
      <x:c r="C24" s="28" t="str">
        <x:v>маракуйя</x:v>
      </x:c>
      <x:c r="D24" s="28" t="str">
        <x:v>Тропические фрукты</x:v>
      </x:c>
      <x:c r="E24" s="28" t="str">
        <x:v>перекрытие ароматических семейств, вкусовой баланс</x:v>
      </x:c>
      <x:c r="F24" s="28" t="str">
        <x:v>Апельсин формирует профиль «цитрусовый, сладко-фруктовый, цветочный, восковой»; характерные маркеры: лимонен, линалол, деканаль, октаналь, мирцен. Маракуйя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2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4" s="28" t="str">
        <x:v>Избыток кислоты делает вкус плоско-резким; белая часть кожуры даёт лишнюю горечь.</x:v>
      </x:c>
      <x:c r="I24" s="28" t="str">
        <x:v>смузи, кордиал, сорбет, чатни или коктейль</x:v>
      </x:c>
      <x:c r="J24" s="28" t="str">
        <x:v>Гипотеза / практическая</x:v>
      </x:c>
      <x:c r="K24" s="28" t="str">
        <x:v>Таблица сочетания(1).pdf</x:v>
      </x:c>
      <x:c r="L24" s="28" t="str">
        <x:v>Таблица сочетания(1).pdf: 15</x:v>
      </x:c>
    </x:row>
    <x:row r="25" ht="62" customHeight="1">
      <x:c r="A25" s="28" t="str">
        <x:v>CIT-0052</x:v>
      </x:c>
      <x:c r="B25" s="28" t="str">
        <x:v>апельсин</x:v>
      </x:c>
      <x:c r="C25" s="28" t="str">
        <x:v>мёд</x:v>
      </x:c>
      <x:c r="D25" s="28" t="str">
        <x:v>Подсластители</x:v>
      </x:c>
      <x:c r="E25" s="28" t="str">
        <x:v>перекрытие ароматических семейств, вкусовой баланс</x:v>
      </x:c>
      <x:c r="F25" s="28" t="str">
        <x:v>Апельсин формирует профиль «цитрусовый, сладко-фруктовый, цветочный, восковой»; характерные маркеры: лимонен, линалол, деканаль, октаналь, мирцен.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Апельсиновый профиль строится на лимонене и альдегидах с восково-сладкой нотой. Сладость балансирует кислоту и горечь кожуры; цветочные компоненты могут поддерживать цитрус.</x:v>
      </x:c>
      <x:c r="G2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5" s="28" t="str">
        <x:v>Избыток кислоты делает вкус плоско-резким; белая часть кожуры даёт лишнюю горечь.</x:v>
      </x:c>
      <x:c r="I25" s="28" t="str">
        <x:v>сироп, мармелад, крем, глазурь или лимонад</x:v>
      </x:c>
      <x:c r="J25" s="28" t="str">
        <x:v>Гипотеза / практическая</x:v>
      </x:c>
      <x:c r="K25" s="28" t="str">
        <x:v>Таблица сочетания(1).pdf</x:v>
      </x:c>
      <x:c r="L25" s="28" t="str">
        <x:v>Таблица сочетания(1).pdf: 9</x:v>
      </x:c>
    </x:row>
    <x:row r="26" ht="62" customHeight="1">
      <x:c r="A26" s="28" t="str">
        <x:v>CIT-0059</x:v>
      </x:c>
      <x:c r="B26" s="28" t="str">
        <x:v>апельсин</x:v>
      </x:c>
      <x:c r="C26" s="28" t="str">
        <x:v>мята</x:v>
      </x:c>
      <x:c r="D26" s="28" t="str">
        <x:v>Травы</x:v>
      </x:c>
      <x:c r="E26" s="28" t="str">
        <x:v>вкусовой баланс, тройничное восприятие</x:v>
      </x:c>
      <x:c r="F26" s="28" t="str">
        <x:v>Апельсин формирует профиль «цитрусовый, сладко-фруктовый, цветочный, восковой»; характерные маркеры: лимонен, линалол, деканаль, октаналь, мирцен.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Мята усиливает воспринимаемую прохладу и кислотную свежесть.</x:v>
      </x:c>
      <x:c r="G2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6" s="28" t="str">
        <x:v>Избыток кислоты делает вкус плоско-резким; белая часть кожуры даёт лишнюю горечь; цитрус легко подавляет деликатный аромат партнёра.</x:v>
      </x:c>
      <x:c r="I26" s="28" t="str">
        <x:v>лимонад, кордиал, салатная заправка или зелёный соус</x:v>
      </x:c>
      <x:c r="J26" s="28" t="str">
        <x:v>Высокая</x:v>
      </x:c>
      <x:c r="K26" s="28" t="str">
        <x:v>Таблица сочетания(1).pdf | Тезариус вкусов (Ники Сегнит)(1).pdf</x:v>
      </x:c>
      <x:c r="L26" s="28" t="str">
        <x:v>Таблица сочетания(1).pdf: 14 | Тезариус вкусов (Ники Сегнит)(1).pdf: 778, 864</x:v>
      </x:c>
    </x:row>
    <x:row r="27" ht="62" customHeight="1">
      <x:c r="A27" s="28" t="str">
        <x:v>CIT-0067</x:v>
      </x:c>
      <x:c r="B27" s="28" t="str">
        <x:v>апельсин</x:v>
      </x:c>
      <x:c r="C27" s="28" t="str">
        <x:v>папайя</x:v>
      </x:c>
      <x:c r="D27" s="28" t="str">
        <x:v>Тропические фрукты</x:v>
      </x:c>
      <x:c r="E27" s="28" t="str">
        <x:v>перекрытие ароматических семейств, вкусовой баланс</x:v>
      </x:c>
      <x:c r="F27" s="28" t="str">
        <x:v>Апельсин формирует профиль «цитрусовый, сладко-фруктовый, цветочный, восковой»; характерные маркеры: лимонен, линалол, деканаль, октаналь, мирцен. Папайя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2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7" s="28" t="str">
        <x:v>Избыток кислоты делает вкус плоско-резким; белая часть кожуры даёт лишнюю горечь.</x:v>
      </x:c>
      <x:c r="I27" s="28" t="str">
        <x:v>смузи, кордиал, сорбет, чатни или коктейль</x:v>
      </x:c>
      <x:c r="J27" s="28" t="str">
        <x:v>Гипотеза / практическая</x:v>
      </x:c>
      <x:c r="K27" s="28" t="str">
        <x:v>Таблица сочетания(1).pdf</x:v>
      </x:c>
      <x:c r="L27" s="28" t="str">
        <x:v>Таблица сочетания(1).pdf: 15</x:v>
      </x:c>
    </x:row>
    <x:row r="28" ht="62" customHeight="1">
      <x:c r="A28" s="28" t="str">
        <x:v>CIT-0072</x:v>
      </x:c>
      <x:c r="B28" s="28" t="str">
        <x:v>апельсин</x:v>
      </x:c>
      <x:c r="C28" s="28" t="str">
        <x:v>розмарин</x:v>
      </x:c>
      <x:c r="D28" s="28" t="str">
        <x:v>Травы</x:v>
      </x:c>
      <x:c r="E28" s="28" t="str">
        <x:v>вкусовой баланс, тройничное восприятие</x:v>
      </x:c>
      <x:c r="F28" s="28" t="str">
        <x:v>Апельсин формирует профиль «цитрусовый, сладко-фруктовый, цветочный, восковой»; характерные маркеры: лимонен, линалол, деканаль, октаналь, мирцен.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2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8" s="28" t="str">
        <x:v>Избыток кислоты делает вкус плоско-резким; белая часть кожуры даёт лишнюю горечь; цитрус легко подавляет деликатный аромат партнёра.</x:v>
      </x:c>
      <x:c r="I28" s="28" t="str">
        <x:v>лимонад, кордиал, салатная заправка или зелёный соус</x:v>
      </x:c>
      <x:c r="J28" s="28" t="str">
        <x:v>Высокая</x:v>
      </x:c>
      <x:c r="K28" s="28" t="str">
        <x:v>Таблица сочетания(1).pdf | Тезариус вкусов (Ники Сегнит)(1).pdf</x:v>
      </x:c>
      <x:c r="L28" s="28" t="str">
        <x:v>Таблица сочетания(1).pdf: 14, 19 | Тезариус вкусов (Ники Сегнит)(1).pdf: 780, 834</x:v>
      </x:c>
    </x:row>
    <x:row r="29" ht="62" customHeight="1">
      <x:c r="A29" s="28" t="str">
        <x:v>CIT-0076</x:v>
      </x:c>
      <x:c r="B29" s="28" t="str">
        <x:v>апельсин</x:v>
      </x:c>
      <x:c r="C29" s="28" t="str">
        <x:v>семена кориандра</x:v>
      </x:c>
      <x:c r="D29" s="28" t="str">
        <x:v>Травы/пряности</x:v>
      </x:c>
      <x:c r="E29" s="28" t="str">
        <x:v>общие ароматические молекулы, перекрытие ароматических семейств, вкусовой баланс</x:v>
      </x:c>
      <x:c r="F29" s="28" t="str">
        <x:v>Апельсин формирует профиль «цитрусовый, сладко-фруктовый, цветочный, восковой»; характерные маркеры: лимонен, линалол, деканаль, октаналь, мирцен. Семена кориандра относится к группе «травы/пряности» и даёт ноты «цитрусовый, зелёный, цветочный». Наиболее правдоподобный молекулярный мост — деканаль,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Линалоол создаёт прямой ароматический мост с цитрусами.</x:v>
      </x:c>
      <x:c r="G2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9" s="28" t="str">
        <x:v>Избыток кислоты делает вкус плоско-резким; белая часть кожуры даёт лишнюю горечь; цитрус легко подавляет деликатный аромат партнёра.</x:v>
      </x:c>
      <x:c r="I29" s="28" t="str">
        <x:v>лимонад, кордиал, маринад или пряный соус</x:v>
      </x:c>
      <x:c r="J29" s="28" t="str">
        <x:v>Высокая</x:v>
      </x:c>
      <x:c r="K29" s="28" t="str">
        <x:v>Тезариус вкусов (Ники Сегнит)(1).pdf</x:v>
      </x:c>
      <x:c r="L29" s="28" t="str">
        <x:v>Тезариус вкусов (Ники Сегнит)(1).pdf: 780, 906</x:v>
      </x:c>
    </x:row>
    <x:row r="30" ht="62" customHeight="1">
      <x:c r="A30" s="28" t="str">
        <x:v>CIT-0079</x:v>
      </x:c>
      <x:c r="B30" s="28" t="str">
        <x:v>апельсин</x:v>
      </x:c>
      <x:c r="C30" s="28" t="str">
        <x:v>танжерин (tangerine)</x:v>
      </x:c>
      <x:c r="D30" s="28" t="str">
        <x:v>Цитрусовые</x:v>
      </x:c>
      <x:c r="E30" s="28" t="str">
        <x:v>общие ароматические молекулы, перекрытие ароматических семейств, вкусовой баланс</x:v>
      </x:c>
      <x:c r="F30" s="28" t="str">
        <x:v>Апельсин формирует профиль «цитрусовый, сладко-фруктовый, цветочный, восковой»; характерные маркеры: лимонен, линалол, деканаль, октаналь, мирцен. Танжерин (tangerine) относится к группе «цитрусовые» и даёт ноты «цитрусовый, фруктовый, цветочный, пряный». Наиболее правдоподобный молекулярный мост — лимонен, линалол;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Мандариновая группа мягче по кислотности и выраженнее по сладко-цветочным нотам.</x:v>
      </x:c>
      <x:c r="G3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30" s="28" t="str">
        <x:v>Избыток кислоты делает вкус плоско-резким; белая часть кожуры даёт лишнюю горечь.</x:v>
      </x:c>
      <x:c r="I30" s="28" t="str">
        <x:v>цитрусовый кордиал, мармелад, сорбет, салат или купаж соков</x:v>
      </x:c>
      <x:c r="J30" s="28" t="str">
        <x:v>Средняя</x:v>
      </x:c>
      <x:c r="K30" s="28" t="str">
        <x:v>Таблица сочетания(1).pdf</x:v>
      </x:c>
      <x:c r="L30" s="28" t="str">
        <x:v>Таблица сочетания(1).pdf: 21</x:v>
      </x:c>
    </x:row>
    <x:row r="31" ht="62" customHeight="1">
      <x:c r="A31" s="28" t="str">
        <x:v>CIT-0082</x:v>
      </x:c>
      <x:c r="B31" s="28" t="str">
        <x:v>апельсин</x:v>
      </x:c>
      <x:c r="C31" s="28" t="str">
        <x:v>тимьян</x:v>
      </x:c>
      <x:c r="D31" s="28" t="str">
        <x:v>Травы</x:v>
      </x:c>
      <x:c r="E31" s="28" t="str">
        <x:v>вкусовой баланс, тройничное восприятие</x:v>
      </x:c>
      <x:c r="F31" s="28" t="str">
        <x:v>Апельсин формирует профиль «цитрусовый, сладко-фруктовый, цветочный, восковой»; характерные маркеры: лимонен, линалол, деканаль, октаналь, мирцен.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3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1" s="28" t="str">
        <x:v>Избыток кислоты делает вкус плоско-резким; белая часть кожуры даёт лишнюю горечь; цитрус легко подавляет деликатный аромат партнёра.</x:v>
      </x:c>
      <x:c r="I31" s="28" t="str">
        <x:v>лимонад, кордиал, салатная заправка или зелёный соус</x:v>
      </x:c>
      <x:c r="J31" s="28" t="str">
        <x:v>Высокая</x:v>
      </x:c>
      <x:c r="K31" s="28" t="str">
        <x:v>Таблица сочетания(1).pdf | Тезариус вкусов (Ники Сегнит)(1).pdf</x:v>
      </x:c>
      <x:c r="L31" s="28" t="str">
        <x:v>Таблица сочетания(1).pdf: 14, 21 | Тезариус вкусов (Ники Сегнит)(1).pdf: 782, 855</x:v>
      </x:c>
    </x:row>
    <x:row r="32" ht="62" customHeight="1">
      <x:c r="A32" s="28" t="str">
        <x:v>CIT-0088</x:v>
      </x:c>
      <x:c r="B32" s="28" t="str">
        <x:v>апельсин</x:v>
      </x:c>
      <x:c r="C32" s="28" t="str">
        <x:v>цитрусовые</x:v>
      </x:c>
      <x:c r="D32" s="28" t="str">
        <x:v>Цитрусовые</x:v>
      </x:c>
      <x:c r="E32" s="28" t="str">
        <x:v>общие ароматические молекулы, перекрытие ароматических семейств, вкусовой баланс, тройничное восприятие</x:v>
      </x:c>
      <x:c r="F32" s="28" t="str">
        <x:v>Апельсин формирует профиль «цитрусовый, сладко-фруктовый, цветочный, восковой»; характерные маркеры: лимонен, линалол, деканаль, октаналь, мирцен. Цитрусовые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G3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32" s="28" t="str">
        <x:v>Избыток кислоты делает вкус плоско-резким; белая часть кожуры даёт лишнюю горечь.</x:v>
      </x:c>
      <x:c r="I32" s="28" t="str">
        <x:v>цитрусовый кордиал, мармелад, сорбет, салат или купаж соков</x:v>
      </x:c>
      <x:c r="J32" s="28" t="str">
        <x:v>Средняя</x:v>
      </x:c>
      <x:c r="K32" s="28" t="str">
        <x:v>Таблица сочетания(1).pdf</x:v>
      </x:c>
      <x:c r="L32" s="28" t="str">
        <x:v>Таблица сочетания(1).pdf: 14</x:v>
      </x:c>
    </x:row>
    <x:row r="33" ht="62" customHeight="1">
      <x:c r="A33" s="28" t="str">
        <x:v>CIT-0090</x:v>
      </x:c>
      <x:c r="B33" s="28" t="str">
        <x:v>апельсин</x:v>
      </x:c>
      <x:c r="C33" s="28" t="str">
        <x:v>чили</x:v>
      </x:c>
      <x:c r="D33" s="28" t="str">
        <x:v>Пряности</x:v>
      </x:c>
      <x:c r="E33" s="28" t="str">
        <x:v>вкусовой баланс, тройничное восприятие</x:v>
      </x:c>
      <x:c r="F33" s="28" t="str">
        <x:v>Апельсин формирует профиль «цитрусовый, сладко-фруктовый, цветочный, восковой»; характерные маркеры: лимонен, линалол, деканаль, октаналь, мирцен.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Фруктовые чили могут поддерживать цитрусовые эфиры, но острота требует баланса.</x:v>
      </x:c>
      <x:c r="G3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3"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33" s="28" t="str">
        <x:v>сироп, кордиал, чатни, маринад или пряный десерт</x:v>
      </x:c>
      <x:c r="J33" s="28" t="str">
        <x:v>Высокая</x:v>
      </x:c>
      <x:c r="K33" s="28" t="str">
        <x:v>Тезариус вкусов (Ники Сегнит)(1).pdf</x:v>
      </x:c>
      <x:c r="L33" s="28" t="str">
        <x:v>Тезариус вкусов (Ники Сегнит)(1).pdf: 551, 782</x:v>
      </x:c>
    </x:row>
    <x:row r="34" ht="62" customHeight="1">
      <x:c r="A34" s="28" t="str">
        <x:v>CIT-0091</x:v>
      </x:c>
      <x:c r="B34" s="28" t="str">
        <x:v>апельсин</x:v>
      </x:c>
      <x:c r="C34" s="28" t="str">
        <x:v>чили (перцы)</x:v>
      </x:c>
      <x:c r="D34" s="28" t="str">
        <x:v>Пряности</x:v>
      </x:c>
      <x:c r="E34" s="28" t="str">
        <x:v>вкусовой баланс, тройничное восприятие</x:v>
      </x:c>
      <x:c r="F34" s="28" t="str">
        <x:v>Апельсин формирует профиль «цитрусовый, сладко-фруктовый, цветочный, восковой»; характерные маркеры: лимонен, линалол, деканаль, октаналь, мирцен. Чили (перцы)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Фруктовые чили могут поддерживать цитрусовые эфиры, но острота требует баланса.</x:v>
      </x:c>
      <x:c r="G3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4"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34" s="28" t="str">
        <x:v>сироп, кордиал, чатни, маринад или пряный десерт</x:v>
      </x:c>
      <x:c r="J34" s="28" t="str">
        <x:v>Гипотеза / практическая</x:v>
      </x:c>
      <x:c r="K34" s="28" t="str">
        <x:v>Таблица сочетания(1).pdf</x:v>
      </x:c>
      <x:c r="L34" s="28" t="str">
        <x:v>Таблица сочетания(1).pdf: 5</x:v>
      </x:c>
    </x:row>
    <x:row r="35" ht="62" customHeight="1">
      <x:c r="A35" s="28" t="str">
        <x:v>CIT-0092</x:v>
      </x:c>
      <x:c r="B35" s="28" t="str">
        <x:v>апельсин</x:v>
      </x:c>
      <x:c r="C35" s="28" t="str">
        <x:v>шафран</x:v>
      </x:c>
      <x:c r="D35" s="28" t="str">
        <x:v>Пряности</x:v>
      </x:c>
      <x:c r="E35" s="28" t="str">
        <x:v>перекрытие ароматических семейств, вкусовой баланс</x:v>
      </x:c>
      <x:c r="F35" s="28" t="str">
        <x:v>Апельсин формирует профиль «цитрусовый, сладко-фруктовый, цветочный, восковой»; характерные маркеры: лимонен, линалол, деканаль, октаналь, мирцен. Шафран относится к группе «пряности» и даёт ноты «медовый, сенной, цветочный, кожистый».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Шафран даёт сухую цветочно-медовую глубину.</x:v>
      </x:c>
      <x:c r="G3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5" s="28" t="str">
        <x:v>Избыток кислоты делает вкус плоско-резким; белая часть кожуры даёт лишнюю горечь.</x:v>
      </x:c>
      <x:c r="I35" s="28" t="str">
        <x:v>сироп, кордиал, чатни, маринад или пряный десерт</x:v>
      </x:c>
      <x:c r="J35" s="28" t="str">
        <x:v>Высокая</x:v>
      </x:c>
      <x:c r="K35" s="28" t="str">
        <x:v>Тезариус вкусов (Ники Сегнит)(1).pdf</x:v>
      </x:c>
      <x:c r="L35" s="28" t="str">
        <x:v>Тезариус вкусов (Ники Сегнит)(1).pdf: 474, 783</x:v>
      </x:c>
    </x:row>
    <x:row r="36" ht="62" customHeight="1">
      <x:c r="A36" s="28" t="str">
        <x:v>CIT-0094</x:v>
      </x:c>
      <x:c r="B36" s="28" t="str">
        <x:v>апельсин</x:v>
      </x:c>
      <x:c r="C36" s="28" t="str">
        <x:v>юдзу</x:v>
      </x:c>
      <x:c r="D36" s="28" t="str">
        <x:v>Цитрусовые</x:v>
      </x:c>
      <x:c r="E36" s="28" t="str">
        <x:v>общие ароматические молекулы, перекрытие ароматических семейств, вкусовой баланс, тройничное восприятие</x:v>
      </x:c>
      <x:c r="F36" s="28" t="str">
        <x:v>Апельсин формирует профиль «цитрусовый, сладко-фруктовый, цветочный, восковой»; характерные маркеры: лимонен, линалол, деканаль, октаналь, мирцен. Юдзу относится к группе «цитрусовые» и даёт ноты «цитрусовый, зелёный, травяной, камфорный». Наиболее правдоподобный молекулярный мост —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Лаймовые цитрусы дают более зелёный и камфорный профиль, чем сладкий апельсин.</x:v>
      </x:c>
      <x:c r="G3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36" s="28" t="str">
        <x:v>Избыток кислоты делает вкус плоско-резким; белая часть кожуры даёт лишнюю горечь.</x:v>
      </x:c>
      <x:c r="I36" s="28" t="str">
        <x:v>цитрусовый кордиал, мармелад, сорбет, салат или купаж соков</x:v>
      </x:c>
      <x:c r="J36" s="28" t="str">
        <x:v>Средняя</x:v>
      </x:c>
      <x:c r="K36" s="28" t="str">
        <x:v>Таблица сочетания(1).pdf</x:v>
      </x:c>
      <x:c r="L36" s="28" t="str">
        <x:v>Таблица сочетания(1).pdf: 22</x:v>
      </x:c>
    </x:row>
    <x:row r="37" ht="62" customHeight="1">
      <x:c r="A37" s="28" t="str">
        <x:v>CIT-0095</x:v>
      </x:c>
      <x:c r="B37" s="28" t="str">
        <x:v>апельсин</x:v>
      </x:c>
      <x:c r="C37" s="28" t="str">
        <x:v>яблоко</x:v>
      </x:c>
      <x:c r="D37" s="28" t="str">
        <x:v>Фрукты</x:v>
      </x:c>
      <x:c r="E37" s="28" t="str">
        <x:v>перекрытие ароматических семейств, вкусовой баланс</x:v>
      </x:c>
      <x:c r="F37" s="28" t="str">
        <x:v>Апельсин формирует профиль «цитрусовый, сладко-фруктовый, цветочный, восковой»; характерные маркеры: лимонен, линалол, деканаль, октаналь, мирцен.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Яблочные эфиры и зелёные альдегиды хорошо поддерживают свежий цитрус.</x:v>
      </x:c>
      <x:c r="G3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37" s="28" t="str">
        <x:v>Избыток кислоты делает вкус плоско-резким; белая часть кожуры даёт лишнюю горечь.</x:v>
      </x:c>
      <x:c r="I37" s="28" t="str">
        <x:v>лимонад, сорбет, компот, салат или фруктовый кордиал</x:v>
      </x:c>
      <x:c r="J37" s="28" t="str">
        <x:v>Высокая</x:v>
      </x:c>
      <x:c r="K37" s="28" t="str">
        <x:v>Таблица сочетания(1).pdf | Тезариус вкусов (Ники Сегнит)(1).pdf</x:v>
      </x:c>
      <x:c r="L37" s="28" t="str">
        <x:v>Таблица сочетания(1).pdf: 14 | Тезариус вкусов (Ники Сегнит)(1).pdf: 710, 784</x:v>
      </x:c>
    </x:row>
    <x:row r="38" ht="62" customHeight="1">
      <x:c r="A38" s="28" t="str">
        <x:v>CIT-0096</x:v>
      </x:c>
      <x:c r="B38" s="28" t="str">
        <x:v>апельсин</x:v>
      </x:c>
      <x:c r="C38" s="28" t="str">
        <x:v>ягоды</x:v>
      </x:c>
      <x:c r="D38" s="28" t="str">
        <x:v>Ягоды/косточковые</x:v>
      </x:c>
      <x:c r="E38" s="28" t="str">
        <x:v>перекрытие ароматических семейств, вкусовой баланс</x:v>
      </x:c>
      <x:c r="F38" s="28" t="str">
        <x:v>Апельсин формирует профиль «цитрусовый, сладко-фруктовый, цветочный, восковой»; характерные маркеры: лимонен, линалол, деканаль, октаналь, мирцен.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3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38" s="28" t="str">
        <x:v>Избыток кислоты делает вкус плоско-резким; белая часть кожуры даёт лишнюю горечь.</x:v>
      </x:c>
      <x:c r="I38" s="28" t="str">
        <x:v>джем, сорбет, коктейль или соус</x:v>
      </x:c>
      <x:c r="J38" s="28" t="str">
        <x:v>Гипотеза / практическая</x:v>
      </x:c>
      <x:c r="K38" s="28" t="str">
        <x:v>Таблица сочетания(1).pdf</x:v>
      </x:c>
      <x:c r="L38" s="28" t="str">
        <x:v>Таблица сочетания(1).pdf: 14</x:v>
      </x:c>
    </x:row>
    <x:row r="39" ht="62" customHeight="1">
      <x:c r="A39" s="28" t="str">
        <x:v>CIT-0097</x:v>
      </x:c>
      <x:c r="B39" s="28" t="str">
        <x:v>апельсин</x:v>
      </x:c>
      <x:c r="C39" s="28" t="str">
        <x:v>ягоды можжевельника</x:v>
      </x:c>
      <x:c r="D39" s="28" t="str">
        <x:v>Ягоды/косточковые</x:v>
      </x:c>
      <x:c r="E39" s="28" t="str">
        <x:v>перекрытие ароматических семейств, вкусовой баланс</x:v>
      </x:c>
      <x:c r="F39" s="28" t="str">
        <x:v>Апельсин формирует профиль «цитрусовый, сладко-фруктовый, цветочный, восковой»; характерные маркеры: лимонен, линалол, деканаль, октаналь, мирцен. Ягоды можжевельника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3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39" s="28" t="str">
        <x:v>Избыток кислоты делает вкус плоско-резким; белая часть кожуры даёт лишнюю горечь.</x:v>
      </x:c>
      <x:c r="I39" s="28" t="str">
        <x:v>джем, сорбет, коктейль или соус</x:v>
      </x:c>
      <x:c r="J39" s="28" t="str">
        <x:v>Гипотеза / практическая</x:v>
      </x:c>
      <x:c r="K39" s="28" t="str">
        <x:v>Таблица сочетания(1).pdf</x:v>
      </x:c>
      <x:c r="L39" s="28" t="str">
        <x:v>Таблица сочетания(1).pdf: 10</x:v>
      </x:c>
    </x:row>
    <x:row r="40" ht="62" customHeight="1">
      <x:c r="A40" s="28" t="str">
        <x:v>CIT-0101</x:v>
      </x:c>
      <x:c r="B40" s="28" t="str">
        <x:v>апельсиновая кожура</x:v>
      </x:c>
      <x:c r="C40" s="28" t="str">
        <x:v>кальвадос</x:v>
      </x:c>
      <x:c r="D40" s="28" t="str">
        <x:v>Алкогольные напитки</x:v>
      </x:c>
      <x:c r="E40" s="28" t="str">
        <x:v>вкусовой баланс, тройничное восприятие, влияние матрицы/растворимости</x:v>
      </x:c>
      <x:c r="F40" s="28" t="str">
        <x:v>Апельсиновая кожура формирует профиль «цитрусовый, сладко-фруктовый, цветочный, восковой»; характерные маркеры: лимонен, линалол, деканаль, октаналь, мирцен. Кальвадос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Апельсиновый профиль строится на лимонене и альдегидах с восково-сладкой нотой. Спирт извлекает цедру и усиливает ретроназальный выход терпенов; сахар и разбавление меняют баланс.</x:v>
      </x:c>
      <x:c r="G40"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40" s="28" t="str">
        <x:v>Избыток кислоты делает вкус плоско-резким; белая часть кожуры даёт лишнюю горечь.</x:v>
      </x:c>
      <x:c r="I40" s="28" t="str">
        <x:v>коктейль, спритц, настойка, ликёр или кордиал</x:v>
      </x:c>
      <x:c r="J40" s="28" t="str">
        <x:v>Средняя</x:v>
      </x:c>
      <x:c r="K40" s="28" t="str">
        <x:v>The Art &amp; Science of Foodpairing.pdf</x:v>
      </x:c>
      <x:c r="L40" s="28" t="str">
        <x:v>The Art &amp; Science of Foodpairing.pdf: 292</x:v>
      </x:c>
    </x:row>
    <x:row r="41" ht="62" customHeight="1">
      <x:c r="A41" s="28" t="str">
        <x:v>CIT-0104</x:v>
      </x:c>
      <x:c r="B41" s="28" t="str">
        <x:v>апельсиновый сок</x:v>
      </x:c>
      <x:c r="C41" s="28" t="str">
        <x:v>бойзенова ягода</x:v>
      </x:c>
      <x:c r="D41" s="28" t="str">
        <x:v>Ягоды/косточковые</x:v>
      </x:c>
      <x:c r="E41" s="28" t="str">
        <x:v>перекрытие ароматических семейств, вкусовой баланс</x:v>
      </x:c>
      <x:c r="F41"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Бойзенова ягода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4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41" s="28" t="str">
        <x:v>Избыток кислоты делает вкус плоско-резким; белая часть кожуры даёт лишнюю горечь.</x:v>
      </x:c>
      <x:c r="I41" s="28" t="str">
        <x:v>джем, сорбет, коктейль или соус</x:v>
      </x:c>
      <x:c r="J41" s="28" t="str">
        <x:v>Средняя</x:v>
      </x:c>
      <x:c r="K41" s="28" t="str">
        <x:v>The Art &amp; Science of Foodpairing.pdf</x:v>
      </x:c>
      <x:c r="L41" s="28" t="str">
        <x:v>The Art &amp; Science of Foodpairing.pdf: 74</x:v>
      </x:c>
    </x:row>
    <x:row r="42" ht="62" customHeight="1">
      <x:c r="A42" s="28" t="str">
        <x:v>CIT-0110</x:v>
      </x:c>
      <x:c r="B42" s="28" t="str">
        <x:v>бергамот</x:v>
      </x:c>
      <x:c r="C42" s="28" t="str">
        <x:v>джин Bombay Sapphire</x:v>
      </x:c>
      <x:c r="D42" s="28" t="str">
        <x:v>Алкогольные напитки</x:v>
      </x:c>
      <x:c r="E42" s="28" t="str">
        <x:v>вкусовой баланс, тройничное восприятие, влияние матрицы/растворимости</x:v>
      </x:c>
      <x:c r="F42" s="28" t="str">
        <x:v>Бергамот формирует профиль «цитрусовый, цветочный, травяной, хвойный»; характерные маркеры: лимонен, линалол, линалил ацетат, гамма-терпинен. Джин bombay sapphire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Бергамот отличается высоким вкладом линалоола и линалилацетата. Спирт извлекает цедру и усиливает ретроназальный выход терпенов; сахар и разбавление меняют баланс.</x:v>
      </x:c>
      <x:c r="G42"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42" s="28" t="str">
        <x:v>Избыток кислоты делает вкус плоско-резким; белая часть кожуры даёт лишнюю горечь.</x:v>
      </x:c>
      <x:c r="I42" s="28" t="str">
        <x:v>коктейль, спритц, настойка, ликёр или кордиал</x:v>
      </x:c>
      <x:c r="J42" s="28" t="str">
        <x:v>Средняя</x:v>
      </x:c>
      <x:c r="K42" s="28" t="str">
        <x:v>The Art &amp; Science of Foodpairing.pdf</x:v>
      </x:c>
      <x:c r="L42" s="28" t="str">
        <x:v>The Art &amp; Science of Foodpairing.pdf: 218</x:v>
      </x:c>
    </x:row>
    <x:row r="43" ht="62" customHeight="1">
      <x:c r="A43" s="28" t="str">
        <x:v>CIT-0111</x:v>
      </x:c>
      <x:c r="B43" s="28" t="str">
        <x:v>бергамот</x:v>
      </x:c>
      <x:c r="C43" s="28" t="str">
        <x:v>джин де Маон</x:v>
      </x:c>
      <x:c r="D43" s="28" t="str">
        <x:v>Алкогольные напитки</x:v>
      </x:c>
      <x:c r="E43" s="28" t="str">
        <x:v>вкусовой баланс, тройничное восприятие, влияние матрицы/растворимости</x:v>
      </x:c>
      <x:c r="F43" s="28" t="str">
        <x:v>Бергамот формирует профиль «цитрусовый, цветочный, травяной, хвойный»; характерные маркеры: лимонен, линалол, линалил ацетат, гамма-терпинен. Джин де маон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Бергамот отличается высоким вкладом линалоола и линалилацетата. Спирт извлекает цедру и усиливает ретроназальный выход терпенов; сахар и разбавление меняют баланс.</x:v>
      </x:c>
      <x:c r="G43"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43" s="28" t="str">
        <x:v>Избыток кислоты делает вкус плоско-резким; белая часть кожуры даёт лишнюю горечь.</x:v>
      </x:c>
      <x:c r="I43" s="28" t="str">
        <x:v>коктейль, спритц, настойка, ликёр или кордиал</x:v>
      </x:c>
      <x:c r="J43" s="28" t="str">
        <x:v>Средняя</x:v>
      </x:c>
      <x:c r="K43" s="28" t="str">
        <x:v>The Art &amp; Science of Foodpairing.pdf</x:v>
      </x:c>
      <x:c r="L43" s="28" t="str">
        <x:v>The Art &amp; Science of Foodpairing.pdf: 215</x:v>
      </x:c>
    </x:row>
    <x:row r="44" ht="62" customHeight="1">
      <x:c r="A44" s="28" t="str">
        <x:v>CIT-0112</x:v>
      </x:c>
      <x:c r="B44" s="28" t="str">
        <x:v>бергамот</x:v>
      </x:c>
      <x:c r="C44" s="28" t="str">
        <x:v>жасминовый чай</x:v>
      </x:c>
      <x:c r="D44" s="28" t="str">
        <x:v>Чай и настои</x:v>
      </x:c>
      <x:c r="E44" s="28" t="str">
        <x:v>общие ароматические молекулы, перекрытие ароматических семейств, вкусовой баланс</x:v>
      </x:c>
      <x:c r="F44" s="28" t="str">
        <x:v>Бергамот формирует профиль «цитрусовый, цветочный, травяной, хвойный»; характерные маркеры: лимонен, линалол, линалил ацетат, гамма-терпинен. Жасминовый чай относится к группе «чай и настои» и даёт ноты «травяной, цветочный, танинный, иногда обжаренный». Наиболее правдоподобный молекулярный мост — линалол; дополнительно совпадают ароматические семейства: травяной, цветочный. Цитрус добавляет верхние ароматические ноты; сахар может смягчить совместную кислотность и танинную вяжущесть. Бергамот отличается высоким вкладом линалоола и линалилацетата. Цитрус связывается с цветочными терпенами чая и снижает ощущение вяжущей сухости при наличии сахара.</x:v>
      </x:c>
      <x:c r="G4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44" s="28" t="str">
        <x:v>Избыток кислоты делает вкус плоско-резким; белая часть кожуры даёт лишнюю горечь.</x:v>
      </x:c>
      <x:c r="I44" s="28" t="str">
        <x:v>чайный кордиал, холодный чай, пунш или безалкогольный напиток</x:v>
      </x:c>
      <x:c r="J44" s="28" t="str">
        <x:v>Средняя</x:v>
      </x:c>
      <x:c r="K44" s="28" t="str">
        <x:v>The Art &amp; Science of Foodpairing.pdf</x:v>
      </x:c>
      <x:c r="L44" s="28" t="str">
        <x:v>The Art &amp; Science of Foodpairing.pdf: 82</x:v>
      </x:c>
    </x:row>
    <x:row r="45" ht="62" customHeight="1">
      <x:c r="A45" s="28" t="str">
        <x:v>CIT-0113</x:v>
      </x:c>
      <x:c r="B45" s="28" t="str">
        <x:v>бергамот</x:v>
      </x:c>
      <x:c r="C45" s="28" t="str">
        <x:v>ирисовый ликёр</x:v>
      </x:c>
      <x:c r="D45" s="28" t="str">
        <x:v>Алкогольные напитки</x:v>
      </x:c>
      <x:c r="E45" s="28" t="str">
        <x:v>вкусовой баланс, тройничное восприятие, влияние матрицы/растворимости</x:v>
      </x:c>
      <x:c r="F45" s="28" t="str">
        <x:v>Бергамот формирует профиль «цитрусовый, цветочный, травяной, хвойный»; характерные маркеры: лимонен, линалол, линалил ацетат, гамма-терпинен. Ирисовый ликёр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Бергамот отличается высоким вкладом линалоола и линалилацетата. Спирт извлекает цедру и усиливает ретроназальный выход терпенов; сахар и разбавление меняют баланс.</x:v>
      </x:c>
      <x:c r="G45"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45" s="28" t="str">
        <x:v>Избыток кислоты делает вкус плоско-резким; белая часть кожуры даёт лишнюю горечь.</x:v>
      </x:c>
      <x:c r="I45" s="28" t="str">
        <x:v>коктейль, спритц, настойка, ликёр или кордиал</x:v>
      </x:c>
      <x:c r="J45" s="28" t="str">
        <x:v>Средняя</x:v>
      </x:c>
      <x:c r="K45" s="28" t="str">
        <x:v>The Art &amp; Science of Foodpairing.pdf</x:v>
      </x:c>
      <x:c r="L45" s="28" t="str">
        <x:v>The Art &amp; Science of Foodpairing.pdf: 260</x:v>
      </x:c>
    </x:row>
    <x:row r="46" ht="62" customHeight="1">
      <x:c r="A46" s="28" t="str">
        <x:v>CIT-0114</x:v>
      </x:c>
      <x:c r="B46" s="28" t="str">
        <x:v>бергамот</x:v>
      </x:c>
      <x:c r="C46" s="28" t="str">
        <x:v>йерба мате</x:v>
      </x:c>
      <x:c r="D46" s="28" t="str">
        <x:v>Чай и настои</x:v>
      </x:c>
      <x:c r="E46" s="28" t="str">
        <x:v>общие ароматические молекулы, перекрытие ароматических семейств, вкусовой баланс</x:v>
      </x:c>
      <x:c r="F46" s="28" t="str">
        <x:v>Бергамот формирует профиль «цитрусовый, цветочный, травяной, хвойный»; характерные маркеры: лимонен, линалол, линалил ацетат, гамма-терпинен. Йерба мате относится к группе «чай и настои» и даёт ноты «травяной, цветочный, танинный, иногда обжаренный». Наиболее правдоподобный молекулярный мост — линалол; дополнительно совпадают ароматические семейства: травяной, цветочный. Цитрус добавляет верхние ароматические ноты; сахар может смягчить совместную кислотность и танинную вяжущесть. Бергамот отличается высоким вкладом линалоола и линалилацетата. Цитрус связывается с цветочными терпенами чая и снижает ощущение вяжущей сухости при наличии сахара.</x:v>
      </x:c>
      <x:c r="G4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46" s="28" t="str">
        <x:v>Избыток кислоты делает вкус плоско-резким; белая часть кожуры даёт лишнюю горечь.</x:v>
      </x:c>
      <x:c r="I46" s="28" t="str">
        <x:v>чайный кордиал, холодный чай, пунш или безалкогольный напиток</x:v>
      </x:c>
      <x:c r="J46" s="28" t="str">
        <x:v>Средняя</x:v>
      </x:c>
      <x:c r="K46" s="28" t="str">
        <x:v>The Art &amp; Science of Foodpairing.pdf</x:v>
      </x:c>
      <x:c r="L46" s="28" t="str">
        <x:v>The Art &amp; Science of Foodpairing.pdf: 147</x:v>
      </x:c>
    </x:row>
    <x:row r="47" ht="62" customHeight="1">
      <x:c r="A47" s="28" t="str">
        <x:v>CIT-0118</x:v>
      </x:c>
      <x:c r="B47" s="28" t="str">
        <x:v>бергамот</x:v>
      </x:c>
      <x:c r="C47" s="28" t="str">
        <x:v>лавандовый мёд</x:v>
      </x:c>
      <x:c r="D47" s="28" t="str">
        <x:v>Подсластители</x:v>
      </x:c>
      <x:c r="E47" s="28" t="str">
        <x:v>перекрытие ароматических семейств, вкусовой баланс</x:v>
      </x:c>
      <x:c r="F47" s="28" t="str">
        <x:v>Бергамот формирует профиль «цитрусовый, цветочный, травяной, хвойный»; характерные маркеры: лимонен, линалол, линалил ацетат, гамма-терпинен. Лавандовый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Бергамот отличается высоким вкладом линалоола и линалилацетата. Сладость балансирует кислоту и горечь кожуры; цветочные компоненты могут поддерживать цитрус.</x:v>
      </x:c>
      <x:c r="G4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47" s="28" t="str">
        <x:v>Избыток кислоты делает вкус плоско-резким; белая часть кожуры даёт лишнюю горечь.</x:v>
      </x:c>
      <x:c r="I47" s="28" t="str">
        <x:v>сироп, мармелад, крем, глазурь или лимонад</x:v>
      </x:c>
      <x:c r="J47" s="28" t="str">
        <x:v>Средняя</x:v>
      </x:c>
      <x:c r="K47" s="28" t="str">
        <x:v>The Art &amp; Science of Foodpairing.pdf</x:v>
      </x:c>
      <x:c r="L47" s="28" t="str">
        <x:v>The Art &amp; Science of Foodpairing.pdf: 188</x:v>
      </x:c>
    </x:row>
    <x:row r="48" ht="62" customHeight="1">
      <x:c r="A48" s="28" t="str">
        <x:v>CIT-0119</x:v>
      </x:c>
      <x:c r="B48" s="28" t="str">
        <x:v>бергамот</x:v>
      </x:c>
      <x:c r="C48" s="28" t="str">
        <x:v>лимонник китайский (омиджа)</x:v>
      </x:c>
      <x:c r="D48" s="28" t="str">
        <x:v>Цитрусовые</x:v>
      </x:c>
      <x:c r="E48" s="28" t="str">
        <x:v>общие ароматические молекулы, перекрытие ароматических семейств, вкусовой баланс, тройничное восприятие</x:v>
      </x:c>
      <x:c r="F48" s="28" t="str">
        <x:v>Бергамот формирует профиль «цитрусовый, цветочный, травяной, хвойный»; характерные маркеры: лимонен, линалол, линалил ацетат, гамма-терпинен. Лимонник китайский (омиджа) относится к группе «цитрусовые» и даёт ноты «цитрусовый, свежий, цветочный, древесный».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Бергамот отличается высоким вкладом линалоола и линалилацетата. Сок определяется цитралем и кислотностью, цедра — лимоненом и терпенами.</x:v>
      </x:c>
      <x:c r="G4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48" s="28" t="str">
        <x:v>Избыток кислоты делает вкус плоско-резким; белая часть кожуры даёт лишнюю горечь.</x:v>
      </x:c>
      <x:c r="I48" s="28" t="str">
        <x:v>цитрусовый кордиал, мармелад, сорбет, салат или купаж соков</x:v>
      </x:c>
      <x:c r="J48" s="28" t="str">
        <x:v>Средняя</x:v>
      </x:c>
      <x:c r="K48" s="28" t="str">
        <x:v>The Art &amp; Science of Foodpairing.pdf</x:v>
      </x:c>
      <x:c r="L48" s="28" t="str">
        <x:v>The Art &amp; Science of Foodpairing.pdf: 218</x:v>
      </x:c>
    </x:row>
    <x:row r="49" ht="62" customHeight="1">
      <x:c r="A49" s="28" t="str">
        <x:v>CIT-0120</x:v>
      </x:c>
      <x:c r="B49" s="28" t="str">
        <x:v>бергамот</x:v>
      </x:c>
      <x:c r="C49" s="28" t="str">
        <x:v>личи</x:v>
      </x:c>
      <x:c r="D49" s="28" t="str">
        <x:v>Тропические фрукты</x:v>
      </x:c>
      <x:c r="E49" s="28" t="str">
        <x:v>перекрытие ароматических семейств, вкусовой баланс</x:v>
      </x:c>
      <x:c r="F49" s="28" t="str">
        <x:v>Бергамот формирует профиль «цитрусовый, цветочный, травяной, хвойный»; характерные маркеры: лимонен, линалол, линалил ацетат, гамма-терпинен. Личи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Бергамот отличается высоким вкладом линалоола и линалилацетата. Цитрус снижает ощущение приторности и усиливает летучие фруктовые эфиры.</x:v>
      </x:c>
      <x:c r="G4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49" s="28" t="str">
        <x:v>Избыток кислоты делает вкус плоско-резким; белая часть кожуры даёт лишнюю горечь.</x:v>
      </x:c>
      <x:c r="I49" s="28" t="str">
        <x:v>смузи, кордиал, сорбет, чатни или коктейль</x:v>
      </x:c>
      <x:c r="J49" s="28" t="str">
        <x:v>Средняя</x:v>
      </x:c>
      <x:c r="K49" s="28" t="str">
        <x:v>The Art &amp; Science of Foodpairing.pdf</x:v>
      </x:c>
      <x:c r="L49" s="28" t="str">
        <x:v>The Art &amp; Science of Foodpairing.pdf: 210</x:v>
      </x:c>
    </x:row>
    <x:row r="50" ht="62" customHeight="1">
      <x:c r="A50" s="28" t="str">
        <x:v>CIT-0123</x:v>
      </x:c>
      <x:c r="B50" s="28" t="str">
        <x:v>бергамот</x:v>
      </x:c>
      <x:c r="C50" s="28" t="str">
        <x:v>соус чили</x:v>
      </x:c>
      <x:c r="D50" s="28" t="str">
        <x:v>Пряности</x:v>
      </x:c>
      <x:c r="E50" s="28" t="str">
        <x:v>вкусовой баланс, тройничное восприятие</x:v>
      </x:c>
      <x:c r="F50" s="28" t="str">
        <x:v>Бергамот формирует профиль «цитрусовый, цветочный, травяной, хвойный»; характерные маркеры: лимонен, линалол, линалил ацетат, гамма-терпинен. Соус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Бергамот отличается высоким вкладом линалоола и линалилацетата. Фруктовые чили могут поддерживать цитрусовые эфиры, но острота требует баланса.</x:v>
      </x:c>
      <x:c r="G5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0"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50" s="28" t="str">
        <x:v>сироп, кордиал, чатни, маринад или пряный десерт</x:v>
      </x:c>
      <x:c r="J50" s="28" t="str">
        <x:v>Средняя</x:v>
      </x:c>
      <x:c r="K50" s="28" t="str">
        <x:v>The Art &amp; Science of Foodpairing.pdf</x:v>
      </x:c>
      <x:c r="L50" s="28" t="str">
        <x:v>The Art &amp; Science of Foodpairing.pdf: 161</x:v>
      </x:c>
    </x:row>
    <x:row r="51" ht="62" customHeight="1">
      <x:c r="A51" s="28" t="str">
        <x:v>CIT-0125</x:v>
      </x:c>
      <x:c r="B51" s="28" t="str">
        <x:v>бергамот</x:v>
      </x:c>
      <x:c r="C51" s="28" t="str">
        <x:v>умэсю</x:v>
      </x:c>
      <x:c r="D51" s="28" t="str">
        <x:v>Алкогольные напитки</x:v>
      </x:c>
      <x:c r="E51" s="28" t="str">
        <x:v>вкусовой баланс, тройничное восприятие, влияние матрицы/растворимости</x:v>
      </x:c>
      <x:c r="F51" s="28" t="str">
        <x:v>Бергамот формирует профиль «цитрусовый, цветочный, травяной, хвойный»; характерные маркеры: лимонен, линалол, линалил ацетат, гамма-терпинен. Умэсю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Бергамот отличается высоким вкладом линалоола и линалилацетата. Спирт извлекает цедру и усиливает ретроназальный выход терпенов; сахар и разбавление меняют баланс.</x:v>
      </x:c>
      <x:c r="G51"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51" s="28" t="str">
        <x:v>Избыток кислоты делает вкус плоско-резким; белая часть кожуры даёт лишнюю горечь.</x:v>
      </x:c>
      <x:c r="I51" s="28" t="str">
        <x:v>коктейль, спритц, настойка, ликёр или кордиал</x:v>
      </x:c>
      <x:c r="J51" s="28" t="str">
        <x:v>Средняя</x:v>
      </x:c>
      <x:c r="K51" s="28" t="str">
        <x:v>The Art &amp; Science of Foodpairing.pdf</x:v>
      </x:c>
      <x:c r="L51" s="28" t="str">
        <x:v>The Art &amp; Science of Foodpairing.pdf: 130</x:v>
      </x:c>
    </x:row>
    <x:row r="52" ht="62" customHeight="1">
      <x:c r="A52" s="28" t="str">
        <x:v>CIT-0130</x:v>
      </x:c>
      <x:c r="B52" s="28" t="str">
        <x:v>грейпфрут</x:v>
      </x:c>
      <x:c r="C52" s="28" t="str">
        <x:v>ананас</x:v>
      </x:c>
      <x:c r="D52" s="28" t="str">
        <x:v>Тропические фрукты</x:v>
      </x:c>
      <x:c r="E52" s="28" t="str">
        <x:v>вкусовой баланс</x:v>
      </x:c>
      <x:c r="F52" s="28" t="str">
        <x:v>Грейпфрут формирует профиль «цитрусовый, горький, свежий, сернистый»; характерные маркеры: лимонен, нооткатон, грейпфрутовые тиолы, нарингин. Ананас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снижает ощущение приторности и усиливает летучие фруктовые эфиры.</x:v>
      </x:c>
      <x:c r="G5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52"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2" s="28" t="str">
        <x:v>смузи, кордиал, сорбет, чатни или коктейль</x:v>
      </x:c>
      <x:c r="J52" s="28" t="str">
        <x:v>Высокая</x:v>
      </x:c>
      <x:c r="K52" s="28" t="str">
        <x:v>Таблица сочетания(1).pdf | Тезариус вкусов (Ники Сегнит)(1).pdf</x:v>
      </x:c>
      <x:c r="L52" s="28" t="str">
        <x:v>Таблица сочетания(1).pdf: 9, 17 | Тезариус вкусов (Ники Сегнит)(1).pdf: 703, 786</x:v>
      </x:c>
    </x:row>
    <x:row r="53" ht="62" customHeight="1">
      <x:c r="A53" s="28" t="str">
        <x:v>CIT-0131</x:v>
      </x:c>
      <x:c r="B53" s="28" t="str">
        <x:v>грейпфрут</x:v>
      </x:c>
      <x:c r="C53" s="28" t="str">
        <x:v>базилик</x:v>
      </x:c>
      <x:c r="D53" s="28" t="str">
        <x:v>Травы</x:v>
      </x:c>
      <x:c r="E53" s="28" t="str">
        <x:v>вкусовой баланс</x:v>
      </x:c>
      <x:c r="F53" s="28" t="str">
        <x:v>Грейпфрут формирует профиль «цитрусовый, горький, свежий, сернистый»; характерные маркеры: лимонен, нооткатон, грейпфрутовые тиолы, нарингин. Базилик относится к группе «травы» и даёт ноты «зелёный, анисовый, цветочный,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Базилик и эстрагон могут связать цитрус с фруктами, томатом и сливочными матрицами.</x:v>
      </x:c>
      <x:c r="G5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3"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53" s="28" t="str">
        <x:v>лимонад, кордиал, салатная заправка или зелёный соус</x:v>
      </x:c>
      <x:c r="J53" s="28" t="str">
        <x:v>Гипотеза / практическая</x:v>
      </x:c>
      <x:c r="K53" s="28" t="str">
        <x:v>Таблица сочетания(1).pdf</x:v>
      </x:c>
      <x:c r="L53" s="28" t="str">
        <x:v>Таблица сочетания(1).pdf: 9</x:v>
      </x:c>
    </x:row>
    <x:row r="54" ht="62" customHeight="1">
      <x:c r="A54" s="28" t="str">
        <x:v>CIT-0134</x:v>
      </x:c>
      <x:c r="B54" s="28" t="str">
        <x:v>грейпфрут</x:v>
      </x:c>
      <x:c r="C54" s="28" t="str">
        <x:v>ваниль</x:v>
      </x:c>
      <x:c r="D54" s="28" t="str">
        <x:v>Пряности</x:v>
      </x:c>
      <x:c r="E54" s="28" t="str">
        <x:v>вкусовой баланс</x:v>
      </x:c>
      <x:c r="F54" s="28" t="str">
        <x:v>Грейпфрут формирует профиль «цитрусовый, горький, свежий, сернистый»; характерные маркеры: лимонен, нооткатон, грейпфрутовые тиолы, нарингин.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Ваниль округляет кислотность и связывает цитрус с десертными и молочными нотами.</x:v>
      </x:c>
      <x:c r="G5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4" s="28" t="str">
        <x:v>сироп, кордиал, чатни, маринад или пряный десерт</x:v>
      </x:c>
      <x:c r="J54" s="28" t="str">
        <x:v>Гипотеза / практическая</x:v>
      </x:c>
      <x:c r="K54" s="28" t="str">
        <x:v>Таблица сочетания(1).pdf</x:v>
      </x:c>
      <x:c r="L54" s="28" t="str">
        <x:v>Таблица сочетания(1).pdf: 9</x:v>
      </x:c>
    </x:row>
    <x:row r="55" ht="62" customHeight="1">
      <x:c r="A55" s="28" t="str">
        <x:v>CIT-0139</x:v>
      </x:c>
      <x:c r="B55" s="28" t="str">
        <x:v>грейпфрут</x:v>
      </x:c>
      <x:c r="C55" s="28" t="str">
        <x:v>имбирь</x:v>
      </x:c>
      <x:c r="D55" s="28" t="str">
        <x:v>Пряности</x:v>
      </x:c>
      <x:c r="E55" s="28" t="str">
        <x:v>перекрытие ароматических семейств, вкусовой баланс, тройничное восприятие</x:v>
      </x:c>
      <x:c r="F55" s="28" t="str">
        <x:v>Грейпфрут формирует профиль «цитрусовый, горький, свежий, сернистый»; характерные маркеры: лимонен, нооткатон, грейпфрутовые тиолы, нарингин.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Свежий имбирь более цитрусовый, нагретый и сушёный — более тёплый и жгучий.</x:v>
      </x:c>
      <x:c r="G5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5"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5" s="28" t="str">
        <x:v>сироп, кордиал, чатни, маринад или пряный десерт</x:v>
      </x:c>
      <x:c r="J55" s="28" t="str">
        <x:v>Гипотеза / практическая</x:v>
      </x:c>
      <x:c r="K55" s="28" t="str">
        <x:v>Таблица сочетания(1).pdf</x:v>
      </x:c>
      <x:c r="L55" s="28" t="str">
        <x:v>Таблица сочетания(1).pdf: 8, 9</x:v>
      </x:c>
    </x:row>
    <x:row r="56" ht="62" customHeight="1">
      <x:c r="A56" s="28" t="str">
        <x:v>CIT-0140</x:v>
      </x:c>
      <x:c r="B56" s="28" t="str">
        <x:v>грейпфрут</x:v>
      </x:c>
      <x:c r="C56" s="28" t="str">
        <x:v>кардамон</x:v>
      </x:c>
      <x:c r="D56" s="28" t="str">
        <x:v>Пряности</x:v>
      </x:c>
      <x:c r="E56" s="28" t="str">
        <x:v>общие ароматические молекулы, перекрытие ароматических семейств, вкусовой баланс, тройничное восприятие</x:v>
      </x:c>
      <x:c r="F56" s="28" t="str">
        <x:v>Грейпфрут формирует профиль «цитрусовый, горький, свежий, сернистый»; характерные маркеры: лимонен, нооткатон, грейпфрутовые тиолы, нарингин. Кардамон относится к группе «пряности» и даёт ноты «цитрусовый, камфорный, цветочный, эвкалиптовый».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Кардамон часто служит мостом между цитрусом, цветами и древесными нотами.</x:v>
      </x:c>
      <x:c r="G5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6"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6" s="28" t="str">
        <x:v>сироп, кордиал, чатни, маринад или пряный десерт</x:v>
      </x:c>
      <x:c r="J56" s="28" t="str">
        <x:v>Средняя</x:v>
      </x:c>
      <x:c r="K56" s="28" t="str">
        <x:v>Таблица сочетания(1).pdf</x:v>
      </x:c>
      <x:c r="L56" s="28" t="str">
        <x:v>Таблица сочетания(1).pdf: 4, 9</x:v>
      </x:c>
    </x:row>
    <x:row r="57" ht="62" customHeight="1">
      <x:c r="A57" s="28" t="str">
        <x:v>CIT-0141</x:v>
      </x:c>
      <x:c r="B57" s="28" t="str">
        <x:v>грейпфрут</x:v>
      </x:c>
      <x:c r="C57" s="28" t="str">
        <x:v>клубника</x:v>
      </x:c>
      <x:c r="D57" s="28" t="str">
        <x:v>Ягоды</x:v>
      </x:c>
      <x:c r="E57" s="28" t="str">
        <x:v>вкусовой баланс</x:v>
      </x:c>
      <x:c r="F57" s="28" t="str">
        <x:v>Грейпфрут формирует профиль «цитрусовый, горький, свежий, сернистый»; характерные маркеры: лимонен, нооткатон, грейпфрутовые тиолы, нарингин. Клубника относится к группе «ягоды» и даёт ноты «фруктовый,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Фуранеол даёт карамельно-ананасовый оттенок, цитрус подчёркивает свежие эфиры.</x:v>
      </x:c>
      <x:c r="G5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57"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7" s="28" t="str">
        <x:v>морс, кордиал, джем, сорбет или коктейль</x:v>
      </x:c>
      <x:c r="J57" s="28" t="str">
        <x:v>Гипотеза / практическая</x:v>
      </x:c>
      <x:c r="K57" s="28" t="str">
        <x:v>Таблица сочетания(1).pdf</x:v>
      </x:c>
      <x:c r="L57" s="28" t="str">
        <x:v>Таблица сочетания(1).pdf: 20</x:v>
      </x:c>
    </x:row>
    <x:row r="58" ht="62" customHeight="1">
      <x:c r="A58" s="28" t="str">
        <x:v>CIT-0142</x:v>
      </x:c>
      <x:c r="B58" s="28" t="str">
        <x:v>грейпфрут</x:v>
      </x:c>
      <x:c r="C58" s="28" t="str">
        <x:v>корица</x:v>
      </x:c>
      <x:c r="D58" s="28" t="str">
        <x:v>Пряности</x:v>
      </x:c>
      <x:c r="E58" s="28" t="str">
        <x:v>вкусовой баланс, тройничное восприятие</x:v>
      </x:c>
      <x:c r="F58" s="28" t="str">
        <x:v>Грейпфрут формирует профиль «цитрусовый, горький, свежий, сернистый»; характерные маркеры: лимонен, нооткатон, грейпфрутовые тиолы, нарингин.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Корица добавляет тёплый низкий регистр и усиливает впечатление сладости.</x:v>
      </x:c>
      <x:c r="G5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8"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8" s="28" t="str">
        <x:v>сироп, кордиал, чатни, маринад или пряный десерт</x:v>
      </x:c>
      <x:c r="J58" s="28" t="str">
        <x:v>Высокая</x:v>
      </x:c>
      <x:c r="K58" s="28" t="str">
        <x:v>Таблица сочетания(1).pdf | Тезариус вкусов (Ники Сегнит)(1).pdf</x:v>
      </x:c>
      <x:c r="L58" s="28" t="str">
        <x:v>Таблица сочетания(1).pdf: 5 | Тезариус вкусов (Ники Сегнит)(1).pdf: 576, 787</x:v>
      </x:c>
    </x:row>
    <x:row r="59" ht="62" customHeight="1">
      <x:c r="A59" s="28" t="str">
        <x:v>CIT-0143</x:v>
      </x:c>
      <x:c r="B59" s="28" t="str">
        <x:v>грейпфрут</x:v>
      </x:c>
      <x:c r="C59" s="28" t="str">
        <x:v>кумкват</x:v>
      </x:c>
      <x:c r="D59" s="28" t="str">
        <x:v>Цитрусовые</x:v>
      </x:c>
      <x:c r="E59" s="28" t="str">
        <x:v>общие ароматические молекулы, перекрытие ароматических семейств, вкусовой баланс</x:v>
      </x:c>
      <x:c r="F59" s="28" t="str">
        <x:v>Грейпфрут формирует профиль «цитрусовый, горький, свежий, сернистый»; характерные маркеры: лимонен, нооткатон, грейпфрутовые тиолы, нарингин. Кумкват относится к группе «цитрусовые» и даёт ноты «цитрусовый, фруктовый, цветочный, пряный».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Мандариновая группа мягче по кислотности и выраженнее по сладко-цветочным нотам.</x:v>
      </x:c>
      <x:c r="G5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9"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9" s="28" t="str">
        <x:v>цитрусовый кордиал, мармелад, сорбет, салат или купаж соков</x:v>
      </x:c>
      <x:c r="J59" s="28" t="str">
        <x:v>Средняя</x:v>
      </x:c>
      <x:c r="K59" s="28" t="str">
        <x:v>The Art &amp; Science of Foodpairing.pdf</x:v>
      </x:c>
      <x:c r="L59" s="28" t="str">
        <x:v>The Art &amp; Science of Foodpairing.pdf: 215</x:v>
      </x:c>
    </x:row>
    <x:row r="60" ht="62" customHeight="1">
      <x:c r="A60" s="28" t="str">
        <x:v>CIT-0145</x:v>
      </x:c>
      <x:c r="B60" s="28" t="str">
        <x:v>грейпфрут</x:v>
      </x:c>
      <x:c r="C60" s="28" t="str">
        <x:v>лайм</x:v>
      </x:c>
      <x:c r="D60" s="28" t="str">
        <x:v>Цитрусовые</x:v>
      </x:c>
      <x:c r="E60" s="28" t="str">
        <x:v>общие ароматические молекулы, перекрытие ароматических семейств, вкусовой баланс, тройничное восприятие</x:v>
      </x:c>
      <x:c r="F60" s="28" t="str">
        <x:v>Грейпфрут формирует профиль «цитрусовый, горький, свежий, сернистый»; характерные маркеры: лимонен, нооткатон, грейпфрутовые тиолы, нарингин. Лайм относится к группе «цитрусовые» и даёт ноты «цитрусовый, зелёный, травяной, камфорный».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Лаймовые цитрусы дают более зелёный и камфорный профиль, чем сладкий апельсин.</x:v>
      </x:c>
      <x:c r="G6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0"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0" s="28" t="str">
        <x:v>цитрусовый кордиал, мармелад, сорбет, салат или купаж соков</x:v>
      </x:c>
      <x:c r="J60" s="28" t="str">
        <x:v>Средняя</x:v>
      </x:c>
      <x:c r="K60" s="28" t="str">
        <x:v>Таблица сочетания(1).pdf</x:v>
      </x:c>
      <x:c r="L60" s="28" t="str">
        <x:v>Таблица сочетания(1).pdf: 9, 12</x:v>
      </x:c>
    </x:row>
    <x:row r="61" ht="62" customHeight="1">
      <x:c r="A61" s="28" t="str">
        <x:v>CIT-0146</x:v>
      </x:c>
      <x:c r="B61" s="28" t="str">
        <x:v>грейпфрут</x:v>
      </x:c>
      <x:c r="C61" s="28" t="str">
        <x:v>лимон</x:v>
      </x:c>
      <x:c r="D61" s="28" t="str">
        <x:v>Цитрусовые</x:v>
      </x:c>
      <x:c r="E61" s="28" t="str">
        <x:v>общие ароматические молекулы, перекрытие ароматических семейств, вкусовой баланс, тройничное восприятие</x:v>
      </x:c>
      <x:c r="F61" s="28" t="str">
        <x:v>Грейпфрут формирует профиль «цитрусовый, горький, свежий, сернистый»; характерные маркеры: лимонен, нооткатон, грейпфрутовые тиолы, нарингин. Лимон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свежий,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Сок определяется цитралем и кислотностью, цедра — лимоненом и терпенами.</x:v>
      </x:c>
      <x:c r="G6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1"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1" s="28" t="str">
        <x:v>цитрусовый кордиал, мармелад, сорбет, салат или купаж соков</x:v>
      </x:c>
      <x:c r="J61" s="28" t="str">
        <x:v>Средняя</x:v>
      </x:c>
      <x:c r="K61" s="28" t="str">
        <x:v>Таблица сочетания(1).pdf</x:v>
      </x:c>
      <x:c r="L61" s="28" t="str">
        <x:v>Таблица сочетания(1).pdf: 9, 11</x:v>
      </x:c>
    </x:row>
    <x:row r="62" ht="62" customHeight="1">
      <x:c r="A62" s="28" t="str">
        <x:v>CIT-0147</x:v>
      </x:c>
      <x:c r="B62" s="28" t="str">
        <x:v>грейпфрут</x:v>
      </x:c>
      <x:c r="C62" s="28" t="str">
        <x:v>лимонный тимьян</x:v>
      </x:c>
      <x:c r="D62" s="28" t="str">
        <x:v>Травы</x:v>
      </x:c>
      <x:c r="E62" s="28" t="str">
        <x:v>вкусовой баланс, тройничное восприятие</x:v>
      </x:c>
      <x:c r="F62" s="28" t="str">
        <x:v>Грейпфрут формирует профиль «цитрусовый, горький, свежий, сернистый»; характерные маркеры: лимонен, нооткатон, грейпфрутовые тиолы, нарингин.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6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2"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62" s="28" t="str">
        <x:v>лимонад, кордиал, салатная заправка или зелёный соус</x:v>
      </x:c>
      <x:c r="J62" s="28" t="str">
        <x:v>Гипотеза / практическая</x:v>
      </x:c>
      <x:c r="K62" s="28" t="str">
        <x:v>Таблица сочетания(1).pdf</x:v>
      </x:c>
      <x:c r="L62" s="28" t="str">
        <x:v>Таблица сочетания(1).pdf: 9</x:v>
      </x:c>
    </x:row>
    <x:row r="63" ht="62" customHeight="1">
      <x:c r="A63" s="28" t="str">
        <x:v>CIT-0148</x:v>
      </x:c>
      <x:c r="B63" s="28" t="str">
        <x:v>грейпфрут</x:v>
      </x:c>
      <x:c r="C63" s="28" t="str">
        <x:v>малина</x:v>
      </x:c>
      <x:c r="D63" s="28" t="str">
        <x:v>Ягоды/косточковые</x:v>
      </x:c>
      <x:c r="E63" s="28" t="str">
        <x:v>вкусовой баланс</x:v>
      </x:c>
      <x:c r="F63" s="28" t="str">
        <x:v>Грейпфрут формирует профиль «цитрусовый, горький, свежий, сернистый»; характерные маркеры: лимонен, нооткатон, грейпфрутовые тиолы, нарингин. Малина относится к группе «ягоды/косточковые» и даёт ноты «фруктовый, цветочный, зелёный, винный».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усиливает кислотный контур, а цветочные терпены поддерживают ягодный аромат.</x:v>
      </x:c>
      <x:c r="G6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63"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3" s="28" t="str">
        <x:v>джем, сорбет, коктейль или соус</x:v>
      </x:c>
      <x:c r="J63" s="28" t="str">
        <x:v>Гипотеза / практическая</x:v>
      </x:c>
      <x:c r="K63" s="28" t="str">
        <x:v>Таблица сочетания(1).pdf</x:v>
      </x:c>
      <x:c r="L63" s="28" t="str">
        <x:v>Таблица сочетания(1).pdf: 9</x:v>
      </x:c>
    </x:row>
    <x:row r="64" ht="62" customHeight="1">
      <x:c r="A64" s="28" t="str">
        <x:v>CIT-0149</x:v>
      </x:c>
      <x:c r="B64" s="28" t="str">
        <x:v>грейпфрут</x:v>
      </x:c>
      <x:c r="C64" s="28" t="str">
        <x:v>мёд</x:v>
      </x:c>
      <x:c r="D64" s="28" t="str">
        <x:v>Подсластители</x:v>
      </x:c>
      <x:c r="E64" s="28" t="str">
        <x:v>вкусовой баланс</x:v>
      </x:c>
      <x:c r="F64" s="28" t="str">
        <x:v>Грейпфрут формирует профиль «цитрусовый, горький, свежий, сернистый»; характерные маркеры: лимонен, нооткатон, грейпфрутовые тиолы, нарингин. Мёд относится к группе «подсластители» и даёт ноты «медовый,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Сладость подавляет воспринимаемую кислотность и горечь кожуры, а кислота не даёт сочетанию стать приторным. Горечь задают флавоноиды, аромат кожуры — терпены и следовые тиолы. Сладость балансирует кислоту и горечь кожуры; цветочные компоненты могут поддерживать цитрус.</x:v>
      </x:c>
      <x:c r="G6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4" s="28" t="str">
        <x:v>сироп, мармелад, крем, глазурь или лимонад</x:v>
      </x:c>
      <x:c r="J64" s="28" t="str">
        <x:v>Гипотеза / практическая</x:v>
      </x:c>
      <x:c r="K64" s="28" t="str">
        <x:v>Таблица сочетания(1).pdf</x:v>
      </x:c>
      <x:c r="L64" s="28" t="str">
        <x:v>Таблица сочетания(1).pdf: 9, 10</x:v>
      </x:c>
    </x:row>
    <x:row r="65" ht="62" customHeight="1">
      <x:c r="A65" s="28" t="str">
        <x:v>CIT-0153</x:v>
      </x:c>
      <x:c r="B65" s="28" t="str">
        <x:v>грейпфрут</x:v>
      </x:c>
      <x:c r="C65" s="28" t="str">
        <x:v>мята</x:v>
      </x:c>
      <x:c r="D65" s="28" t="str">
        <x:v>Травы</x:v>
      </x:c>
      <x:c r="E65" s="28" t="str">
        <x:v>перекрытие ароматических семейств, вкусовой баланс, тройничное восприятие</x:v>
      </x:c>
      <x:c r="F65" s="28" t="str">
        <x:v>Грейпфрут формирует профиль «цитрусовый, горький, свежий, сернистый»; характерные маркеры: лимонен, нооткатон, грейпфрутовые тиолы, нарингин.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Мята усиливает воспринимаемую прохладу и кислотную свежесть.</x:v>
      </x:c>
      <x:c r="G6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5"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65" s="28" t="str">
        <x:v>лимонад, кордиал, салатная заправка или зелёный соус</x:v>
      </x:c>
      <x:c r="J65" s="28" t="str">
        <x:v>Гипотеза / практическая</x:v>
      </x:c>
      <x:c r="K65" s="28" t="str">
        <x:v>Таблица сочетания(1).pdf</x:v>
      </x:c>
      <x:c r="L65" s="28" t="str">
        <x:v>Таблица сочетания(1).pdf: 9</x:v>
      </x:c>
    </x:row>
    <x:row r="66" ht="62" customHeight="1">
      <x:c r="A66" s="28" t="str">
        <x:v>CIT-0158</x:v>
      </x:c>
      <x:c r="B66" s="28" t="str">
        <x:v>грейпфрут</x:v>
      </x:c>
      <x:c r="C66" s="28" t="str">
        <x:v>папайя</x:v>
      </x:c>
      <x:c r="D66" s="28" t="str">
        <x:v>Тропические фрукты</x:v>
      </x:c>
      <x:c r="E66" s="28" t="str">
        <x:v>вкусовой баланс</x:v>
      </x:c>
      <x:c r="F66" s="28" t="str">
        <x:v>Грейпфрут формирует профиль «цитрусовый, горький, свежий, сернистый»; характерные маркеры: лимонен, нооткатон, грейпфрутовые тиолы, нарингин. Папайя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снижает ощущение приторности и усиливает летучие фруктовые эфиры.</x:v>
      </x:c>
      <x:c r="G6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66"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6" s="28" t="str">
        <x:v>смузи, кордиал, сорбет, чатни или коктейль</x:v>
      </x:c>
      <x:c r="J66" s="28" t="str">
        <x:v>Гипотеза / практическая</x:v>
      </x:c>
      <x:c r="K66" s="28" t="str">
        <x:v>Таблица сочетания(1).pdf</x:v>
      </x:c>
      <x:c r="L66" s="28" t="str">
        <x:v>Таблица сочетания(1).pdf: 9, 15</x:v>
      </x:c>
    </x:row>
    <x:row r="67" ht="62" customHeight="1">
      <x:c r="A67" s="28" t="str">
        <x:v>CIT-0160</x:v>
      </x:c>
      <x:c r="B67" s="28" t="str">
        <x:v>грейпфрут</x:v>
      </x:c>
      <x:c r="C67" s="28" t="str">
        <x:v>рапсовый мёд</x:v>
      </x:c>
      <x:c r="D67" s="28" t="str">
        <x:v>Подсластители</x:v>
      </x:c>
      <x:c r="E67" s="28" t="str">
        <x:v>вкусовой баланс</x:v>
      </x:c>
      <x:c r="F67" s="28" t="str">
        <x:v>Грейпфрут формирует профиль «цитрусовый, горький, свежий, сернистый»; характерные маркеры: лимонен, нооткатон, грейпфрутовые тиолы, нарингин. Рапсовый мёд относится к группе «подсластители» и даёт ноты «медовый,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Сладость подавляет воспринимаемую кислотность и горечь кожуры, а кислота не даёт сочетанию стать приторным. Горечь задают флавоноиды, аромат кожуры — терпены и следовые тиолы. Сладость балансирует кислоту и горечь кожуры; цветочные компоненты могут поддерживать цитрус.</x:v>
      </x:c>
      <x:c r="G6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7"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7" s="28" t="str">
        <x:v>сироп, мармелад, крем, глазурь или лимонад</x:v>
      </x:c>
      <x:c r="J67" s="28" t="str">
        <x:v>Средняя</x:v>
      </x:c>
      <x:c r="K67" s="28" t="str">
        <x:v>The Art &amp; Science of Foodpairing.pdf</x:v>
      </x:c>
      <x:c r="L67" s="28" t="str">
        <x:v>The Art &amp; Science of Foodpairing.pdf: 350</x:v>
      </x:c>
    </x:row>
    <x:row r="68" ht="62" customHeight="1">
      <x:c r="A68" s="28" t="str">
        <x:v>CIT-0161</x:v>
      </x:c>
      <x:c r="B68" s="28" t="str">
        <x:v>грейпфрут</x:v>
      </x:c>
      <x:c r="C68" s="28" t="str">
        <x:v>розмарин</x:v>
      </x:c>
      <x:c r="D68" s="28" t="str">
        <x:v>Травы</x:v>
      </x:c>
      <x:c r="E68" s="28" t="str">
        <x:v>вкусовой баланс, тройничное восприятие</x:v>
      </x:c>
      <x:c r="F68" s="28" t="str">
        <x:v>Грейпфрут формирует профиль «цитрусовый, горький, свежий, сернистый»; характерные маркеры: лимонен, нооткатон, грейпфрутовые тиолы, нарингин.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6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8"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68" s="28" t="str">
        <x:v>лимонад, кордиал, салатная заправка или зелёный соус</x:v>
      </x:c>
      <x:c r="J68" s="28" t="str">
        <x:v>Гипотеза / практическая</x:v>
      </x:c>
      <x:c r="K68" s="28" t="str">
        <x:v>Таблица сочетания(1).pdf</x:v>
      </x:c>
      <x:c r="L68" s="28" t="str">
        <x:v>Таблица сочетания(1).pdf: 9</x:v>
      </x:c>
    </x:row>
    <x:row r="69" ht="62" customHeight="1">
      <x:c r="A69" s="28" t="str">
        <x:v>CIT-0163</x:v>
      </x:c>
      <x:c r="B69" s="28" t="str">
        <x:v>грейпфрут</x:v>
      </x:c>
      <x:c r="C69" s="28" t="str">
        <x:v>ромашка</x:v>
      </x:c>
      <x:c r="D69" s="28" t="str">
        <x:v>Алкогольные напитки</x:v>
      </x:c>
      <x:c r="E69" s="28" t="str">
        <x:v>вкусовой баланс, тройничное восприятие, влияние матрицы/растворимости</x:v>
      </x:c>
      <x:c r="F69" s="28" t="str">
        <x:v>Грейпфрут формирует профиль «цитрусовый, горький, свежий, сернистый»; характерные маркеры: лимонен, нооткатон, грейпфрутовые тиолы, нарингин. Ромашка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Горечь задают флавоноиды, аромат кожуры — терпены и следовые тиолы. Спирт извлекает цедру и усиливает ретроназальный выход терпенов; сахар и разбавление меняют баланс.</x:v>
      </x:c>
      <x:c r="G69"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69"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9" s="28" t="str">
        <x:v>коктейль, спритц, настойка, ликёр или кордиал</x:v>
      </x:c>
      <x:c r="J69" s="28" t="str">
        <x:v>Гипотеза / практическая</x:v>
      </x:c>
      <x:c r="K69" s="28" t="str">
        <x:v>Таблица сочетания(1).pdf</x:v>
      </x:c>
      <x:c r="L69" s="28" t="str">
        <x:v>Таблица сочетания(1).pdf: 9</x:v>
      </x:c>
    </x:row>
    <x:row r="70" ht="62" customHeight="1">
      <x:c r="A70" s="28" t="str">
        <x:v>CIT-0167</x:v>
      </x:c>
      <x:c r="B70" s="28" t="str">
        <x:v>грейпфрут</x:v>
      </x:c>
      <x:c r="C70" s="28" t="str">
        <x:v>танжерин (tangerine)</x:v>
      </x:c>
      <x:c r="D70" s="28" t="str">
        <x:v>Цитрусовые</x:v>
      </x:c>
      <x:c r="E70" s="28" t="str">
        <x:v>общие ароматические молекулы, перекрытие ароматических семейств, вкусовой баланс</x:v>
      </x:c>
      <x:c r="F70" s="28" t="str">
        <x:v>Грейпфрут формирует профиль «цитрусовый, горький, свежий, сернистый»; характерные маркеры: лимонен, нооткатон, грейпфрутовые тиолы, нарингин. Танжерин (tangerine) относится к группе «цитрусовые» и даёт ноты «цитрусовый, фруктовый, цветочный, пряный».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Мандариновая группа мягче по кислотности и выраженнее по сладко-цветочным нотам.</x:v>
      </x:c>
      <x:c r="G7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0"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70" s="28" t="str">
        <x:v>цитрусовый кордиал, мармелад, сорбет, салат или купаж соков</x:v>
      </x:c>
      <x:c r="J70" s="28" t="str">
        <x:v>Средняя</x:v>
      </x:c>
      <x:c r="K70" s="28" t="str">
        <x:v>Таблица сочетания(1).pdf</x:v>
      </x:c>
      <x:c r="L70" s="28" t="str">
        <x:v>Таблица сочетания(1).pdf: 21</x:v>
      </x:c>
    </x:row>
    <x:row r="71" ht="62" customHeight="1">
      <x:c r="A71" s="28" t="str">
        <x:v>CIT-0169</x:v>
      </x:c>
      <x:c r="B71" s="28" t="str">
        <x:v>грейпфрут</x:v>
      </x:c>
      <x:c r="C71" s="28" t="str">
        <x:v>тимьян</x:v>
      </x:c>
      <x:c r="D71" s="28" t="str">
        <x:v>Травы</x:v>
      </x:c>
      <x:c r="E71" s="28" t="str">
        <x:v>вкусовой баланс, тройничное восприятие</x:v>
      </x:c>
      <x:c r="F71" s="28" t="str">
        <x:v>Грейпфрут формирует профиль «цитрусовый, горький, свежий, сернистый»; характерные маркеры: лимонен, нооткатон, грейпфрутовые тиолы, нарингин.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7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1"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71" s="28" t="str">
        <x:v>лимонад, кордиал, салатная заправка или зелёный соус</x:v>
      </x:c>
      <x:c r="J71" s="28" t="str">
        <x:v>Гипотеза / практическая</x:v>
      </x:c>
      <x:c r="K71" s="28" t="str">
        <x:v>Таблица сочетания(1).pdf</x:v>
      </x:c>
      <x:c r="L71" s="28" t="str">
        <x:v>Таблица сочетания(1).pdf: 21</x:v>
      </x:c>
    </x:row>
    <x:row r="72" ht="62" customHeight="1">
      <x:c r="A72" s="28" t="str">
        <x:v>CIT-0175</x:v>
      </x:c>
      <x:c r="B72" s="28" t="str">
        <x:v>грейпфрут</x:v>
      </x:c>
      <x:c r="C72" s="28" t="str">
        <x:v>чили (перцы)</x:v>
      </x:c>
      <x:c r="D72" s="28" t="str">
        <x:v>Пряности</x:v>
      </x:c>
      <x:c r="E72" s="28" t="str">
        <x:v>вкусовой баланс, тройничное восприятие</x:v>
      </x:c>
      <x:c r="F72" s="28" t="str">
        <x:v>Грейпфрут формирует профиль «цитрусовый, горький, свежий, сернистый»; характерные маркеры: лимонен, нооткатон, грейпфрутовые тиолы, нарингин. Чили (перцы)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Фруктовые чили могут поддерживать цитрусовые эфиры, но острота требует баланса.</x:v>
      </x:c>
      <x:c r="G7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2"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 горечь нооткатона и нарингина требует контроля сахара и соли.</x:v>
      </x:c>
      <x:c r="I72" s="28" t="str">
        <x:v>сироп, кордиал, чатни, маринад или пряный десерт</x:v>
      </x:c>
      <x:c r="J72" s="28" t="str">
        <x:v>Гипотеза / практическая</x:v>
      </x:c>
      <x:c r="K72" s="28" t="str">
        <x:v>Таблица сочетания(1).pdf</x:v>
      </x:c>
      <x:c r="L72" s="28" t="str">
        <x:v>Таблица сочетания(1).pdf: 5</x:v>
      </x:c>
    </x:row>
    <x:row r="73" ht="62" customHeight="1">
      <x:c r="A73" s="28" t="str">
        <x:v>CIT-0176</x:v>
      </x:c>
      <x:c r="B73" s="28" t="str">
        <x:v>грейпфрут</x:v>
      </x:c>
      <x:c r="C73" s="28" t="str">
        <x:v>чили ахи мирасоль</x:v>
      </x:c>
      <x:c r="D73" s="28" t="str">
        <x:v>Пряности</x:v>
      </x:c>
      <x:c r="E73" s="28" t="str">
        <x:v>вкусовой баланс, тройничное восприятие</x:v>
      </x:c>
      <x:c r="F73" s="28" t="str">
        <x:v>Грейпфрут формирует профиль «цитрусовый, горький, свежий, сернистый»; характерные маркеры: лимонен, нооткатон, грейпфрутовые тиолы, нарингин. Чили ахи мирасоль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Фруктовые чили могут поддерживать цитрусовые эфиры, но острота требует баланса.</x:v>
      </x:c>
      <x:c r="G7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3"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 горечь нооткатона и нарингина требует контроля сахара и соли.</x:v>
      </x:c>
      <x:c r="I73" s="28" t="str">
        <x:v>сироп, кордиал, чатни, маринад или пряный десерт</x:v>
      </x:c>
      <x:c r="J73" s="28" t="str">
        <x:v>Средняя</x:v>
      </x:c>
      <x:c r="K73" s="28" t="str">
        <x:v>The Art &amp; Science of Foodpairing.pdf</x:v>
      </x:c>
      <x:c r="L73" s="28" t="str">
        <x:v>The Art &amp; Science of Foodpairing.pdf: 358</x:v>
      </x:c>
    </x:row>
    <x:row r="74" ht="62" customHeight="1">
      <x:c r="A74" s="28" t="str">
        <x:v>CIT-0177</x:v>
      </x:c>
      <x:c r="B74" s="28" t="str">
        <x:v>грейпфрут</x:v>
      </x:c>
      <x:c r="C74" s="28" t="str">
        <x:v>шалфей</x:v>
      </x:c>
      <x:c r="D74" s="28" t="str">
        <x:v>Травы</x:v>
      </x:c>
      <x:c r="E74" s="28" t="str">
        <x:v>вкусовой баланс, тройничное восприятие</x:v>
      </x:c>
      <x:c r="F74" s="28" t="str">
        <x:v>Грейпфрут формирует профиль «цитрусовый, горький, свежий, сернистый»; характерные маркеры: лимонен, нооткатон, грейпфрутовые тиолы, нарингин. Шалфей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7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4"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74" s="28" t="str">
        <x:v>лимонад, кордиал, салатная заправка или зелёный соус</x:v>
      </x:c>
      <x:c r="J74" s="28" t="str">
        <x:v>Средняя</x:v>
      </x:c>
      <x:c r="K74" s="28" t="str">
        <x:v>The Art &amp; Science of Foodpairing.pdf</x:v>
      </x:c>
      <x:c r="L74" s="28" t="str">
        <x:v>The Art &amp; Science of Foodpairing.pdf: 278</x:v>
      </x:c>
    </x:row>
    <x:row r="75" ht="62" customHeight="1">
      <x:c r="A75" s="28" t="str">
        <x:v>CIT-0178</x:v>
      </x:c>
      <x:c r="B75" s="28" t="str">
        <x:v>грейпфрут</x:v>
      </x:c>
      <x:c r="C75" s="28" t="str">
        <x:v>юдзу</x:v>
      </x:c>
      <x:c r="D75" s="28" t="str">
        <x:v>Цитрусовые</x:v>
      </x:c>
      <x:c r="E75" s="28" t="str">
        <x:v>общие ароматические молекулы, перекрытие ароматических семейств, вкусовой баланс, тройничное восприятие</x:v>
      </x:c>
      <x:c r="F75" s="28" t="str">
        <x:v>Грейпфрут формирует профиль «цитрусовый, горький, свежий, сернистый»; характерные маркеры: лимонен, нооткатон, грейпфрутовые тиолы, нарингин. Юдзу относится к группе «цитрусовые» и даёт ноты «цитрусовый, зелёный, травяной, камфорный».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Лаймовые цитрусы дают более зелёный и камфорный профиль, чем сладкий апельсин.</x:v>
      </x:c>
      <x:c r="G7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5"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75" s="28" t="str">
        <x:v>цитрусовый кордиал, мармелад, сорбет, салат или купаж соков</x:v>
      </x:c>
      <x:c r="J75" s="28" t="str">
        <x:v>Средняя</x:v>
      </x:c>
      <x:c r="K75" s="28" t="str">
        <x:v>Таблица сочетания(1).pdf</x:v>
      </x:c>
      <x:c r="L75" s="28" t="str">
        <x:v>Таблица сочетания(1).pdf: 22</x:v>
      </x:c>
    </x:row>
    <x:row r="76" ht="62" customHeight="1">
      <x:c r="A76" s="28" t="str">
        <x:v>CIT-0179</x:v>
      </x:c>
      <x:c r="B76" s="28" t="str">
        <x:v>грейпфрут</x:v>
      </x:c>
      <x:c r="C76" s="28" t="str">
        <x:v>ягоды можжевельника</x:v>
      </x:c>
      <x:c r="D76" s="28" t="str">
        <x:v>Ягоды/косточковые</x:v>
      </x:c>
      <x:c r="E76" s="28" t="str">
        <x:v>вкусовой баланс</x:v>
      </x:c>
      <x:c r="F76" s="28" t="str">
        <x:v>Грейпфрут формирует профиль «цитрусовый, горький, свежий, сернистый»; характерные маркеры: лимонен, нооткатон, грейпфрутовые тиолы, нарингин. Ягоды можжевельника относится к группе «ягоды/косточковые» и даёт ноты «фруктовый, цветочный, зелёный, винный».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усиливает кислотный контур, а цветочные терпены поддерживают ягодный аромат.</x:v>
      </x:c>
      <x:c r="G7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76"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76" s="28" t="str">
        <x:v>джем, сорбет, коктейль или соус</x:v>
      </x:c>
      <x:c r="J76" s="28" t="str">
        <x:v>Гипотеза / практическая</x:v>
      </x:c>
      <x:c r="K76" s="28" t="str">
        <x:v>Таблица сочетания(1).pdf</x:v>
      </x:c>
      <x:c r="L76" s="28" t="str">
        <x:v>Таблица сочетания(1).pdf: 10</x:v>
      </x:c>
    </x:row>
    <x:row r="77" ht="62" customHeight="1">
      <x:c r="A77" s="28" t="str">
        <x:v>CIT-0180</x:v>
      </x:c>
      <x:c r="B77" s="28" t="str">
        <x:v>грейпфрутовый сок</x:v>
      </x:c>
      <x:c r="C77" s="28" t="str">
        <x:v>водка Belvedere</x:v>
      </x:c>
      <x:c r="D77" s="28" t="str">
        <x:v>Алкогольные напитки</x:v>
      </x:c>
      <x:c r="E77" s="28" t="str">
        <x:v>вкусовой баланс, тройничное восприятие, влияние матрицы/растворимости</x:v>
      </x:c>
      <x:c r="F77" s="28" t="str">
        <x:v>Грейпфрутовый сок формирует профиль «цитрусовый, горький, свежий, сернистый»; характерные маркеры: лимонен, нооткатон, грейпфрутовые тиолы, нарингин. Водка belvedere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Горечь задают флавоноиды, аромат кожуры — терпены и следовые тиолы. Спирт извлекает цедру и усиливает ретроназальный выход терпенов; сахар и разбавление меняют баланс.</x:v>
      </x:c>
      <x:c r="G77"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77"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77" s="28" t="str">
        <x:v>коктейль, спритц, настойка, ликёр или кордиал</x:v>
      </x:c>
      <x:c r="J77" s="28" t="str">
        <x:v>Средняя</x:v>
      </x:c>
      <x:c r="K77" s="28" t="str">
        <x:v>The Art &amp; Science of Foodpairing.pdf</x:v>
      </x:c>
      <x:c r="L77" s="28" t="str">
        <x:v>The Art &amp; Science of Foodpairing.pdf: 232</x:v>
      </x:c>
    </x:row>
    <x:row r="78" ht="62" customHeight="1">
      <x:c r="A78" s="28" t="str">
        <x:v>CIT-0184</x:v>
      </x:c>
      <x:c r="B78" s="28" t="str">
        <x:v>кабосу</x:v>
      </x:c>
      <x:c r="C78" s="28" t="str">
        <x:v>базилик</x:v>
      </x:c>
      <x:c r="D78" s="28" t="str">
        <x:v>Травы</x:v>
      </x:c>
      <x:c r="E78" s="28" t="str">
        <x:v>вкусовой баланс</x:v>
      </x:c>
      <x:c r="F78" s="28" t="str">
        <x:v>Кабосу формирует профиль «нейтральный/специфический»; характерные маркеры: . Базилик относится к группе «травы» и даёт ноты «зелёный, анисовый, цветочный,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Для точного молекулярного вывода нужен профиль конкретного ингредиента и способа обработки. Базилик и эстрагон могут связать цитрус с фруктами, томатом и сливочными матрицами.</x:v>
      </x:c>
      <x:c r="G7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8" s="28" t="str">
        <x:v>Избыток кислоты делает вкус плоско-резким; белая часть кожуры даёт лишнюю горечь; цитрус легко подавляет деликатный аромат партнёра.</x:v>
      </x:c>
      <x:c r="I78" s="28" t="str">
        <x:v>лимонад, кордиал, салатная заправка или зелёный соус</x:v>
      </x:c>
      <x:c r="J78" s="28" t="str">
        <x:v>Средняя</x:v>
      </x:c>
      <x:c r="K78" s="28" t="str">
        <x:v>The Art &amp; Science of Foodpairing.pdf</x:v>
      </x:c>
      <x:c r="L78" s="28" t="str">
        <x:v>The Art &amp; Science of Foodpairing.pdf: 177</x:v>
      </x:c>
    </x:row>
    <x:row r="79" ht="62" customHeight="1">
      <x:c r="A79" s="28" t="str">
        <x:v>CIT-0185</x:v>
      </x:c>
      <x:c r="B79" s="28" t="str">
        <x:v>кабосу</x:v>
      </x:c>
      <x:c r="C79" s="28" t="str">
        <x:v>зелёный чай</x:v>
      </x:c>
      <x:c r="D79" s="28" t="str">
        <x:v>Чай и настои</x:v>
      </x:c>
      <x:c r="E79" s="28" t="str">
        <x:v>вкусовой баланс</x:v>
      </x:c>
      <x:c r="F79" s="28" t="str">
        <x:v>Кабосу формирует профиль «нейтральный/специфический»; характерные маркеры: . Зелёный чай относится к группе «чай и настои» и даёт ноты «травяной, цветочный, танинный, иногда обжаренный».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 добавляет верхние ароматические ноты; сахар может смягчить совместную кислотность и танинную вяжущесть. Для точного молекулярного вывода нужен профиль конкретного ингредиента и способа обработки. Цитрус связывается с цветочными терпенами чая и снижает ощущение вяжущей сухости при наличии сахара.</x:v>
      </x:c>
      <x:c r="G7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9" s="28" t="str">
        <x:v>Избыток кислоты делает вкус плоско-резким; белая часть кожуры даёт лишнюю горечь.</x:v>
      </x:c>
      <x:c r="I79" s="28" t="str">
        <x:v>чайный кордиал, холодный чай, пунш или безалкогольный напиток</x:v>
      </x:c>
      <x:c r="J79" s="28" t="str">
        <x:v>Средняя</x:v>
      </x:c>
      <x:c r="K79" s="28" t="str">
        <x:v>The Art &amp; Science of Foodpairing.pdf</x:v>
      </x:c>
      <x:c r="L79" s="28" t="str">
        <x:v>The Art &amp; Science of Foodpairing.pdf: 177</x:v>
      </x:c>
    </x:row>
    <x:row r="80" ht="62" customHeight="1">
      <x:c r="A80" s="28" t="str">
        <x:v>CIT-0195</x:v>
      </x:c>
      <x:c r="B80" s="28" t="str">
        <x:v>каламондин</x:v>
      </x:c>
      <x:c r="C80" s="28" t="str">
        <x:v>каламонси</x:v>
      </x:c>
      <x:c r="D80" s="28" t="str">
        <x:v>Цитрусовые</x:v>
      </x:c>
      <x:c r="E80" s="28" t="str">
        <x:v>общие ароматические молекулы, перекрытие ароматических семейств, вкусовой баланс, тройничное восприятие</x:v>
      </x:c>
      <x:c r="F80" s="28" t="str">
        <x:v>Каламондин формирует профиль «цитрусовый, зелёный, травяной, камфорный»; характерные маркеры: лимонен, гамма-терпинен, цитраль, бета-пинен, линалол. Каламонси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линалол, цитраль; дополнительно совпадают ароматические семейства: зелёный, камфорный, травяной,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Лаймовые цитрусы дают более зелёный и камфорный профиль, чем сладкий апельсин.</x:v>
      </x:c>
      <x:c r="G8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80" s="28" t="str">
        <x:v>Избыток кислоты делает вкус плоско-резким; белая часть кожуры даёт лишнюю горечь.</x:v>
      </x:c>
      <x:c r="I80" s="28" t="str">
        <x:v>цитрусовый кордиал, мармелад, сорбет, салат или купаж соков</x:v>
      </x:c>
      <x:c r="J80" s="28" t="str">
        <x:v>Средняя</x:v>
      </x:c>
      <x:c r="K80" s="28" t="str">
        <x:v>The Art &amp; Science of Foodpairing.pdf</x:v>
      </x:c>
      <x:c r="L80" s="28" t="str">
        <x:v>The Art &amp; Science of Foodpairing.pdf: 142</x:v>
      </x:c>
    </x:row>
    <x:row r="81" ht="62" customHeight="1">
      <x:c r="A81" s="28" t="str">
        <x:v>CIT-0198</x:v>
      </x:c>
      <x:c r="B81" s="28" t="str">
        <x:v>каламонси</x:v>
      </x:c>
      <x:c r="C81" s="28" t="str">
        <x:v>имбирь</x:v>
      </x:c>
      <x:c r="D81" s="28" t="str">
        <x:v>Пряности</x:v>
      </x:c>
      <x:c r="E81" s="28" t="str">
        <x:v>общие ароматические молекулы, перекрытие ароматических семейств, вкусовой баланс, тройничное восприятие</x:v>
      </x:c>
      <x:c r="F81" s="28" t="str">
        <x:v>Каламонси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8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1" s="28" t="str">
        <x:v>Избыток кислоты делает вкус плоско-резким; белая часть кожуры даёт лишнюю горечь.</x:v>
      </x:c>
      <x:c r="I81" s="28" t="str">
        <x:v>сироп, кордиал, чатни, маринад или пряный десерт</x:v>
      </x:c>
      <x:c r="J81" s="28" t="str">
        <x:v>Средняя</x:v>
      </x:c>
      <x:c r="K81" s="28" t="str">
        <x:v>The Art &amp; Science of Foodpairing.pdf</x:v>
      </x:c>
      <x:c r="L81" s="28" t="str">
        <x:v>The Art &amp; Science of Foodpairing.pdf: 142</x:v>
      </x:c>
    </x:row>
    <x:row r="82" ht="62" customHeight="1">
      <x:c r="A82" s="28" t="str">
        <x:v>CIT-0201</x:v>
      </x:c>
      <x:c r="B82" s="28" t="str">
        <x:v>каламонси</x:v>
      </x:c>
      <x:c r="C82" s="28" t="str">
        <x:v>куантро</x:v>
      </x:c>
      <x:c r="D82" s="28" t="str">
        <x:v>Цитрусовые</x:v>
      </x:c>
      <x:c r="E82" s="28" t="str">
        <x:v>общие ароматические молекулы, перекрытие ароматических семейств, вкусовой баланс</x:v>
      </x:c>
      <x:c r="F82" s="28" t="str">
        <x:v>Каламонси формирует профиль «цитрусовый, зелёный, травяной, камфорный»; характерные маркеры: лимонен, гамма-терпинен, цитраль, бета-пинен, линалол. Куантро относится к группе «цитрусовые» и даёт ноты «цитрусовый, сладко-фруктовый, цветочный, восковой». Наиболее правдоподобный молекулярный мост —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Апельсиновый профиль строится на лимонене и альдегидах с восково-сладкой нотой.</x:v>
      </x:c>
      <x:c r="G8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82" s="28" t="str">
        <x:v>Избыток кислоты делает вкус плоско-резким; белая часть кожуры даёт лишнюю горечь.</x:v>
      </x:c>
      <x:c r="I82" s="28" t="str">
        <x:v>цитрусовый кордиал, мармелад, сорбет, салат или купаж соков</x:v>
      </x:c>
      <x:c r="J82" s="28" t="str">
        <x:v>Средняя</x:v>
      </x:c>
      <x:c r="K82" s="28" t="str">
        <x:v>The Art &amp; Science of Foodpairing.pdf</x:v>
      </x:c>
      <x:c r="L82" s="28" t="str">
        <x:v>The Art &amp; Science of Foodpairing.pdf: 142</x:v>
      </x:c>
    </x:row>
    <x:row r="83" ht="62" customHeight="1">
      <x:c r="A83" s="28" t="str">
        <x:v>CIT-0202</x:v>
      </x:c>
      <x:c r="B83" s="28" t="str">
        <x:v>каламонси</x:v>
      </x:c>
      <x:c r="C83" s="28" t="str">
        <x:v>листья кинзы</x:v>
      </x:c>
      <x:c r="D83" s="28" t="str">
        <x:v>Травы/пряности</x:v>
      </x:c>
      <x:c r="E83" s="28" t="str">
        <x:v>общие ароматические молекулы, перекрытие ароматических семейств, вкусовой баланс</x:v>
      </x:c>
      <x:c r="F83" s="28" t="str">
        <x:v>Каламонси формирует профиль «цитрусовый, зелёный, травяной, камфорный»; характерные маркеры: лимонен, гамма-терпинен, цитраль, бета-пинен, линалол. Листья кинзы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G8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3" s="28" t="str">
        <x:v>Избыток кислоты делает вкус плоско-резким; белая часть кожуры даёт лишнюю горечь; цитрус легко подавляет деликатный аромат партнёра.</x:v>
      </x:c>
      <x:c r="I83" s="28" t="str">
        <x:v>лимонад, кордиал, маринад или пряный соус</x:v>
      </x:c>
      <x:c r="J83" s="28" t="str">
        <x:v>Средняя</x:v>
      </x:c>
      <x:c r="K83" s="28" t="str">
        <x:v>The Art &amp; Science of Foodpairing.pdf</x:v>
      </x:c>
      <x:c r="L83" s="28" t="str">
        <x:v>The Art &amp; Science of Foodpairing.pdf: 142</x:v>
      </x:c>
    </x:row>
    <x:row r="84" ht="62" customHeight="1">
      <x:c r="A84" s="28" t="str">
        <x:v>CIT-0207</x:v>
      </x:c>
      <x:c r="B84" s="28" t="str">
        <x:v>каламонси</x:v>
      </x:c>
      <x:c r="C84" s="28" t="str">
        <x:v>розмарин</x:v>
      </x:c>
      <x:c r="D84" s="28" t="str">
        <x:v>Травы</x:v>
      </x:c>
      <x:c r="E84" s="28" t="str">
        <x:v>перекрытие ароматических семейств, вкусовой баланс, тройничное восприятие</x:v>
      </x:c>
      <x:c r="F84" s="28" t="str">
        <x:v>Каламонси формирует профиль «цитрусовый, зелёный, травяной, камфорный»; характерные маркеры: лимонен, гамма-терпинен, цитраль, бета-пинен, линалол.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8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4" s="28" t="str">
        <x:v>Избыток кислоты делает вкус плоско-резким; белая часть кожуры даёт лишнюю горечь; цитрус легко подавляет деликатный аромат партнёра.</x:v>
      </x:c>
      <x:c r="I84" s="28" t="str">
        <x:v>лимонад, кордиал, салатная заправка или зелёный соус</x:v>
      </x:c>
      <x:c r="J84" s="28" t="str">
        <x:v>Средняя</x:v>
      </x:c>
      <x:c r="K84" s="28" t="str">
        <x:v>The Art &amp; Science of Foodpairing.pdf</x:v>
      </x:c>
      <x:c r="L84" s="28" t="str">
        <x:v>The Art &amp; Science of Foodpairing.pdf: 142</x:v>
      </x:c>
    </x:row>
    <x:row r="85" ht="62" customHeight="1">
      <x:c r="A85" s="28" t="str">
        <x:v>CIT-0208</x:v>
      </x:c>
      <x:c r="B85" s="28" t="str">
        <x:v>каламонси</x:v>
      </x:c>
      <x:c r="C85" s="28" t="str">
        <x:v>свежий корень имбиря</x:v>
      </x:c>
      <x:c r="D85" s="28" t="str">
        <x:v>Пряности</x:v>
      </x:c>
      <x:c r="E85" s="28" t="str">
        <x:v>общие ароматические молекулы, перекрытие ароматических семейств, вкусовой баланс, тройничное восприятие</x:v>
      </x:c>
      <x:c r="F85" s="28" t="str">
        <x:v>Каламонси формирует профиль «цитрусовый, зелёный, травяной, камфорный»; характерные маркеры: лимонен, гамма-терпинен, цитраль, бета-пинен, линалол. Свежий корень имбиря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8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5" s="28" t="str">
        <x:v>Избыток кислоты делает вкус плоско-резким; белая часть кожуры даёт лишнюю горечь.</x:v>
      </x:c>
      <x:c r="I85" s="28" t="str">
        <x:v>сироп, кордиал, чатни, маринад или пряный десерт</x:v>
      </x:c>
      <x:c r="J85" s="28" t="str">
        <x:v>Средняя</x:v>
      </x:c>
      <x:c r="K85" s="28" t="str">
        <x:v>The Art &amp; Science of Foodpairing.pdf</x:v>
      </x:c>
      <x:c r="L85" s="28" t="str">
        <x:v>The Art &amp; Science of Foodpairing.pdf: 142</x:v>
      </x:c>
    </x:row>
    <x:row r="86" ht="62" customHeight="1">
      <x:c r="A86" s="28" t="str">
        <x:v>CIT-0212</x:v>
      </x:c>
      <x:c r="B86" s="28" t="str">
        <x:v>кожура горького апельсина</x:v>
      </x:c>
      <x:c r="C86" s="28" t="str">
        <x:v>черника</x:v>
      </x:c>
      <x:c r="D86" s="28" t="str">
        <x:v>Ягоды/косточковые</x:v>
      </x:c>
      <x:c r="E86" s="28" t="str">
        <x:v>перекрытие ароматических семейств, вкусовой баланс</x:v>
      </x:c>
      <x:c r="F86" s="28" t="str">
        <x:v>Кожура горького апельсина формирует профиль «цитрусовый, сладко-фруктовый, цветочный, восковой»; характерные маркеры: лимонен, линалол, деканаль, октаналь, мирцен. Черника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8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86" s="28" t="str">
        <x:v>Избыток кислоты делает вкус плоско-резким; белая часть кожуры даёт лишнюю горечь.</x:v>
      </x:c>
      <x:c r="I86" s="28" t="str">
        <x:v>джем, сорбет, коктейль или соус</x:v>
      </x:c>
      <x:c r="J86" s="28" t="str">
        <x:v>Средняя</x:v>
      </x:c>
      <x:c r="K86" s="28" t="str">
        <x:v>The Art &amp; Science of Foodpairing.pdf</x:v>
      </x:c>
      <x:c r="L86" s="28" t="str">
        <x:v>The Art &amp; Science of Foodpairing.pdf: 47</x:v>
      </x:c>
    </x:row>
    <x:row r="87" ht="62" customHeight="1">
      <x:c r="A87" s="28" t="str">
        <x:v>CIT-0226</x:v>
      </x:c>
      <x:c r="B87" s="28" t="str">
        <x:v>кожура мандарина</x:v>
      </x:c>
      <x:c r="C87" s="28" t="str">
        <x:v>розмарин</x:v>
      </x:c>
      <x:c r="D87" s="28" t="str">
        <x:v>Травы</x:v>
      </x:c>
      <x:c r="E87" s="28" t="str">
        <x:v>вкусовой баланс, тройничное восприятие</x:v>
      </x:c>
      <x:c r="F87"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8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7" s="28" t="str">
        <x:v>Избыток кислоты делает вкус плоско-резким; белая часть кожуры даёт лишнюю горечь; цитрус легко подавляет деликатный аромат партнёра.</x:v>
      </x:c>
      <x:c r="I87" s="28" t="str">
        <x:v>лимонад, кордиал, салатная заправка или зелёный соус</x:v>
      </x:c>
      <x:c r="J87" s="28" t="str">
        <x:v>Средняя</x:v>
      </x:c>
      <x:c r="K87" s="28" t="str">
        <x:v>The Art &amp; Science of Foodpairing.pdf</x:v>
      </x:c>
      <x:c r="L87" s="28" t="str">
        <x:v>The Art &amp; Science of Foodpairing.pdf: 113</x:v>
      </x:c>
    </x:row>
    <x:row r="88" ht="62" customHeight="1">
      <x:c r="A88" s="28" t="str">
        <x:v>CIT-0231</x:v>
      </x:c>
      <x:c r="B88" s="28" t="str">
        <x:v>кожура мандарина</x:v>
      </x:c>
      <x:c r="C88" s="28" t="str">
        <x:v>чили ахи мирасоль</x:v>
      </x:c>
      <x:c r="D88" s="28" t="str">
        <x:v>Пряности</x:v>
      </x:c>
      <x:c r="E88" s="28" t="str">
        <x:v>перекрытие ароматических семейств, вкусовой баланс, тройничное восприятие</x:v>
      </x:c>
      <x:c r="F88"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Чили ахи мирасоль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пряный, фруктовый.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Фруктовые чили могут поддерживать цитрусовые эфиры, но острота требует баланса.</x:v>
      </x:c>
      <x:c r="G8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8"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88" s="28" t="str">
        <x:v>сироп, кордиал, чатни, маринад или пряный десерт</x:v>
      </x:c>
      <x:c r="J88" s="28" t="str">
        <x:v>Средняя</x:v>
      </x:c>
      <x:c r="K88" s="28" t="str">
        <x:v>The Art &amp; Science of Foodpairing.pdf</x:v>
      </x:c>
      <x:c r="L88" s="28" t="str">
        <x:v>The Art &amp; Science of Foodpairing.pdf: 358</x:v>
      </x:c>
    </x:row>
    <x:row r="89" ht="62" customHeight="1">
      <x:c r="A89" s="28" t="str">
        <x:v>CIT-0234</x:v>
      </x:c>
      <x:c r="B89" s="28" t="str">
        <x:v>красный апельсин</x:v>
      </x:c>
      <x:c r="C89" s="28" t="str">
        <x:v>ананас</x:v>
      </x:c>
      <x:c r="D89" s="28" t="str">
        <x:v>Тропические фрукты</x:v>
      </x:c>
      <x:c r="E89" s="28" t="str">
        <x:v>перекрытие ароматических семейств, вкусовой баланс</x:v>
      </x:c>
      <x:c r="F89"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8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89" s="28" t="str">
        <x:v>Избыток кислоты делает вкус плоско-резким; белая часть кожуры даёт лишнюю горечь.</x:v>
      </x:c>
      <x:c r="I89" s="28" t="str">
        <x:v>смузи, кордиал, сорбет, чатни или коктейль</x:v>
      </x:c>
      <x:c r="J89" s="28" t="str">
        <x:v>Гипотеза / практическая</x:v>
      </x:c>
      <x:c r="K89" s="28" t="str">
        <x:v>Таблица сочетания(1).pdf</x:v>
      </x:c>
      <x:c r="L89" s="28" t="str">
        <x:v>Таблица сочетания(1).pdf: 3</x:v>
      </x:c>
    </x:row>
    <x:row r="90" ht="62" customHeight="1">
      <x:c r="A90" s="28" t="str">
        <x:v>CIT-0235</x:v>
      </x:c>
      <x:c r="B90" s="28" t="str">
        <x:v>красный апельсин</x:v>
      </x:c>
      <x:c r="C90" s="28" t="str">
        <x:v>гвоздика</x:v>
      </x:c>
      <x:c r="D90" s="28" t="str">
        <x:v>Пряности</x:v>
      </x:c>
      <x:c r="E90" s="28" t="str">
        <x:v>вкусовой баланс, тройничное восприятие</x:v>
      </x:c>
      <x:c r="F90"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Гвоздика очень интенсивна и легко доминирует.</x:v>
      </x:c>
      <x:c r="G9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0" s="28" t="str">
        <x:v>Избыток кислоты делает вкус плоско-резким; белая часть кожуры даёт лишнюю горечь.</x:v>
      </x:c>
      <x:c r="I90" s="28" t="str">
        <x:v>сироп, кордиал, чатни, маринад или пряный десерт</x:v>
      </x:c>
      <x:c r="J90" s="28" t="str">
        <x:v>Гипотеза / практическая</x:v>
      </x:c>
      <x:c r="K90" s="28" t="str">
        <x:v>Таблица сочетания(1).pdf</x:v>
      </x:c>
      <x:c r="L90" s="28" t="str">
        <x:v>Таблица сочетания(1).pdf: 3</x:v>
      </x:c>
    </x:row>
    <x:row r="91" ht="62" customHeight="1">
      <x:c r="A91" s="28" t="str">
        <x:v>CIT-0236</x:v>
      </x:c>
      <x:c r="B91" s="28" t="str">
        <x:v>красный апельсин</x:v>
      </x:c>
      <x:c r="C91" s="28" t="str">
        <x:v>имбирь</x:v>
      </x:c>
      <x:c r="D91" s="28" t="str">
        <x:v>Пряности</x:v>
      </x:c>
      <x:c r="E91" s="28" t="str">
        <x:v>перекрытие ароматических семейств, вкусовой баланс, тройничное восприятие</x:v>
      </x:c>
      <x:c r="F91"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Свежий имбирь более цитрусовый, нагретый и сушёный — более тёплый и жгучий.</x:v>
      </x:c>
      <x:c r="G9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1" s="28" t="str">
        <x:v>Избыток кислоты делает вкус плоско-резким; белая часть кожуры даёт лишнюю горечь.</x:v>
      </x:c>
      <x:c r="I91" s="28" t="str">
        <x:v>сироп, кордиал, чатни, маринад или пряный десерт</x:v>
      </x:c>
      <x:c r="J91" s="28" t="str">
        <x:v>Гипотеза / практическая</x:v>
      </x:c>
      <x:c r="K91" s="28" t="str">
        <x:v>Таблица сочетания(1).pdf</x:v>
      </x:c>
      <x:c r="L91" s="28" t="str">
        <x:v>Таблица сочетания(1).pdf: 3</x:v>
      </x:c>
    </x:row>
    <x:row r="92" ht="62" customHeight="1">
      <x:c r="A92" s="28" t="str">
        <x:v>CIT-0238</x:v>
      </x:c>
      <x:c r="B92" s="28" t="str">
        <x:v>красный апельсин</x:v>
      </x:c>
      <x:c r="C92" s="28" t="str">
        <x:v>кардамон</x:v>
      </x:c>
      <x:c r="D92" s="28" t="str">
        <x:v>Пряности</x:v>
      </x:c>
      <x:c r="E92" s="28" t="str">
        <x:v>общие ароматические молекулы, перекрытие ароматических семейств, вкусовой баланс, тройничное восприятие</x:v>
      </x:c>
      <x:c r="F92"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Кардамон часто служит мостом между цитрусом, цветами и древесными нотами.</x:v>
      </x:c>
      <x:c r="G9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2" s="28" t="str">
        <x:v>Избыток кислоты делает вкус плоско-резким; белая часть кожуры даёт лишнюю горечь.</x:v>
      </x:c>
      <x:c r="I92" s="28" t="str">
        <x:v>сироп, кордиал, чатни, маринад или пряный десерт</x:v>
      </x:c>
      <x:c r="J92" s="28" t="str">
        <x:v>Средняя</x:v>
      </x:c>
      <x:c r="K92" s="28" t="str">
        <x:v>Таблица сочетания(1).pdf</x:v>
      </x:c>
      <x:c r="L92" s="28" t="str">
        <x:v>Таблица сочетания(1).pdf: 3</x:v>
      </x:c>
    </x:row>
    <x:row r="93" ht="62" customHeight="1">
      <x:c r="A93" s="28" t="str">
        <x:v>CIT-0239</x:v>
      </x:c>
      <x:c r="B93" s="28" t="str">
        <x:v>красный апельсин</x:v>
      </x:c>
      <x:c r="C93" s="28" t="str">
        <x:v>корица</x:v>
      </x:c>
      <x:c r="D93" s="28" t="str">
        <x:v>Пряности</x:v>
      </x:c>
      <x:c r="E93" s="28" t="str">
        <x:v>вкусовой баланс, тройничное восприятие</x:v>
      </x:c>
      <x:c r="F93"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Корица добавляет тёплый низкий регистр и усиливает впечатление сладости.</x:v>
      </x:c>
      <x:c r="G9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3" s="28" t="str">
        <x:v>Избыток кислоты делает вкус плоско-резким; белая часть кожуры даёт лишнюю горечь.</x:v>
      </x:c>
      <x:c r="I93" s="28" t="str">
        <x:v>сироп, кордиал, чатни, маринад или пряный десерт</x:v>
      </x:c>
      <x:c r="J93" s="28" t="str">
        <x:v>Гипотеза / практическая</x:v>
      </x:c>
      <x:c r="K93" s="28" t="str">
        <x:v>Таблица сочетания(1).pdf</x:v>
      </x:c>
      <x:c r="L93" s="28" t="str">
        <x:v>Таблица сочетания(1).pdf: 3</x:v>
      </x:c>
    </x:row>
    <x:row r="94" ht="62" customHeight="1">
      <x:c r="A94" s="28" t="str">
        <x:v>CIT-0240</x:v>
      </x:c>
      <x:c r="B94" s="28" t="str">
        <x:v>красный апельсин</x:v>
      </x:c>
      <x:c r="C94" s="28" t="str">
        <x:v>маракуйя</x:v>
      </x:c>
      <x:c r="D94" s="28" t="str">
        <x:v>Тропические фрукты</x:v>
      </x:c>
      <x:c r="E94" s="28" t="str">
        <x:v>перекрытие ароматических семейств, вкусовой баланс</x:v>
      </x:c>
      <x:c r="F94"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Маракуйя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9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94" s="28" t="str">
        <x:v>Избыток кислоты делает вкус плоско-резким; белая часть кожуры даёт лишнюю горечь.</x:v>
      </x:c>
      <x:c r="I94" s="28" t="str">
        <x:v>смузи, кордиал, сорбет, чатни или коктейль</x:v>
      </x:c>
      <x:c r="J94" s="28" t="str">
        <x:v>Гипотеза / практическая</x:v>
      </x:c>
      <x:c r="K94" s="28" t="str">
        <x:v>Таблица сочетания(1).pdf</x:v>
      </x:c>
      <x:c r="L94" s="28" t="str">
        <x:v>Таблица сочетания(1).pdf: 3</x:v>
      </x:c>
    </x:row>
    <x:row r="95" ht="62" customHeight="1">
      <x:c r="A95" s="28" t="str">
        <x:v>CIT-0241</x:v>
      </x:c>
      <x:c r="B95" s="28" t="str">
        <x:v>красный апельсин</x:v>
      </x:c>
      <x:c r="C95" s="28" t="str">
        <x:v>мёд</x:v>
      </x:c>
      <x:c r="D95" s="28" t="str">
        <x:v>Подсластители</x:v>
      </x:c>
      <x:c r="E95" s="28" t="str">
        <x:v>перекрытие ароматических семейств, вкусовой баланс</x:v>
      </x:c>
      <x:c r="F95"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Апельсиновый профиль строится на лимонене и альдегидах с восково-сладкой нотой. Сладость балансирует кислоту и горечь кожуры; цветочные компоненты могут поддерживать цитрус.</x:v>
      </x:c>
      <x:c r="G9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95" s="28" t="str">
        <x:v>Избыток кислоты делает вкус плоско-резким; белая часть кожуры даёт лишнюю горечь.</x:v>
      </x:c>
      <x:c r="I95" s="28" t="str">
        <x:v>сироп, мармелад, крем, глазурь или лимонад</x:v>
      </x:c>
      <x:c r="J95" s="28" t="str">
        <x:v>Гипотеза / практическая</x:v>
      </x:c>
      <x:c r="K95" s="28" t="str">
        <x:v>Таблица сочетания(1).pdf</x:v>
      </x:c>
      <x:c r="L95" s="28" t="str">
        <x:v>Таблица сочетания(1).pdf: 3</x:v>
      </x:c>
    </x:row>
    <x:row r="96" ht="62" customHeight="1">
      <x:c r="A96" s="28" t="str">
        <x:v>CIT-0243</x:v>
      </x:c>
      <x:c r="B96" s="28" t="str">
        <x:v>красный апельсин</x:v>
      </x:c>
      <x:c r="C96" s="28" t="str">
        <x:v>мята</x:v>
      </x:c>
      <x:c r="D96" s="28" t="str">
        <x:v>Травы</x:v>
      </x:c>
      <x:c r="E96" s="28" t="str">
        <x:v>вкусовой баланс, тройничное восприятие</x:v>
      </x:c>
      <x:c r="F96"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Мята усиливает воспринимаемую прохладу и кислотную свежесть.</x:v>
      </x:c>
      <x:c r="G9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6" s="28" t="str">
        <x:v>Избыток кислоты делает вкус плоско-резким; белая часть кожуры даёт лишнюю горечь; цитрус легко подавляет деликатный аромат партнёра.</x:v>
      </x:c>
      <x:c r="I96" s="28" t="str">
        <x:v>лимонад, кордиал, салатная заправка или зелёный соус</x:v>
      </x:c>
      <x:c r="J96" s="28" t="str">
        <x:v>Гипотеза / практическая</x:v>
      </x:c>
      <x:c r="K96" s="28" t="str">
        <x:v>Таблица сочетания(1).pdf</x:v>
      </x:c>
      <x:c r="L96" s="28" t="str">
        <x:v>Таблица сочетания(1).pdf: 3</x:v>
      </x:c>
    </x:row>
    <x:row r="97" ht="62" customHeight="1">
      <x:c r="A97" s="28" t="str">
        <x:v>CIT-0244</x:v>
      </x:c>
      <x:c r="B97" s="28" t="str">
        <x:v>красный апельсин</x:v>
      </x:c>
      <x:c r="C97" s="28" t="str">
        <x:v>розмарин</x:v>
      </x:c>
      <x:c r="D97" s="28" t="str">
        <x:v>Травы</x:v>
      </x:c>
      <x:c r="E97" s="28" t="str">
        <x:v>вкусовой баланс, тройничное восприятие</x:v>
      </x:c>
      <x:c r="F97"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9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7" s="28" t="str">
        <x:v>Избыток кислоты делает вкус плоско-резким; белая часть кожуры даёт лишнюю горечь; цитрус легко подавляет деликатный аромат партнёра.</x:v>
      </x:c>
      <x:c r="I97" s="28" t="str">
        <x:v>лимонад, кордиал, салатная заправка или зелёный соус</x:v>
      </x:c>
      <x:c r="J97" s="28" t="str">
        <x:v>Гипотеза / практическая</x:v>
      </x:c>
      <x:c r="K97" s="28" t="str">
        <x:v>Таблица сочетания(1).pdf</x:v>
      </x:c>
      <x:c r="L97" s="28" t="str">
        <x:v>Таблица сочетания(1).pdf: 3</x:v>
      </x:c>
    </x:row>
    <x:row r="98" ht="62" customHeight="1">
      <x:c r="A98" s="28" t="str">
        <x:v>CIT-0259</x:v>
      </x:c>
      <x:c r="B98" s="28" t="str">
        <x:v>красный апельсин Тарокко</x:v>
      </x:c>
      <x:c r="C98" s="28" t="str">
        <x:v>абсент</x:v>
      </x:c>
      <x:c r="D98" s="28" t="str">
        <x:v>Алкогольные напитки</x:v>
      </x:c>
      <x:c r="E98" s="28" t="str">
        <x:v>вкусовой баланс, тройничное восприятие, влияние матрицы/растворимости</x:v>
      </x:c>
      <x:c r="F98"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Абсент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Апельсиновый профиль строится на лимонене и альдегидах с восково-сладкой нотой. Спирт извлекает цедру и усиливает ретроназальный выход терпенов; сахар и разбавление меняют баланс.</x:v>
      </x:c>
      <x:c r="G98"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98" s="28" t="str">
        <x:v>Избыток кислоты делает вкус плоско-резким; белая часть кожуры даёт лишнюю горечь.</x:v>
      </x:c>
      <x:c r="I98" s="28" t="str">
        <x:v>коктейль, спритц, настойка, ликёр или кордиал</x:v>
      </x:c>
      <x:c r="J98" s="28" t="str">
        <x:v>Средняя</x:v>
      </x:c>
      <x:c r="K98" s="28" t="str">
        <x:v>The Art &amp; Science of Foodpairing.pdf</x:v>
      </x:c>
      <x:c r="L98" s="28" t="str">
        <x:v>The Art &amp; Science of Foodpairing.pdf: 292</x:v>
      </x:c>
    </x:row>
    <x:row r="99" ht="62" customHeight="1">
      <x:c r="A99" s="28" t="str">
        <x:v>CIT-0261</x:v>
      </x:c>
      <x:c r="B99" s="28" t="str">
        <x:v>красный апельсин Тарокко</x:v>
      </x:c>
      <x:c r="C99" s="28" t="str">
        <x:v>дуриан</x:v>
      </x:c>
      <x:c r="D99" s="28" t="str">
        <x:v>Тропические фрукты</x:v>
      </x:c>
      <x:c r="E99" s="28" t="str">
        <x:v>перекрытие ароматических семейств, вкусовой баланс</x:v>
      </x:c>
      <x:c r="F99"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Дуриан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9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99" s="28" t="str">
        <x:v>Избыток кислоты делает вкус плоско-резким; белая часть кожуры даёт лишнюю горечь.</x:v>
      </x:c>
      <x:c r="I99" s="28" t="str">
        <x:v>смузи, кордиал, сорбет, чатни или коктейль</x:v>
      </x:c>
      <x:c r="J99" s="28" t="str">
        <x:v>Средняя</x:v>
      </x:c>
      <x:c r="K99" s="28" t="str">
        <x:v>The Art &amp; Science of Foodpairing.pdf</x:v>
      </x:c>
      <x:c r="L99" s="28" t="str">
        <x:v>The Art &amp; Science of Foodpairing.pdf: 292</x:v>
      </x:c>
    </x:row>
    <x:row r="100" ht="62" customHeight="1">
      <x:c r="A100" s="28" t="str">
        <x:v>CIT-0262</x:v>
      </x:c>
      <x:c r="B100" s="28" t="str">
        <x:v>красный апельсин Тарокко</x:v>
      </x:c>
      <x:c r="C100" s="28" t="str">
        <x:v>дуриан Мон Тонг</x:v>
      </x:c>
      <x:c r="D100" s="28" t="str">
        <x:v>Тропические фрукты</x:v>
      </x:c>
      <x:c r="E100" s="28" t="str">
        <x:v>перекрытие ароматических семейств, вкусовой баланс</x:v>
      </x:c>
      <x:c r="F100"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Дуриан мон тонг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10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0" s="28" t="str">
        <x:v>Избыток кислоты делает вкус плоско-резким; белая часть кожуры даёт лишнюю горечь.</x:v>
      </x:c>
      <x:c r="I100" s="28" t="str">
        <x:v>смузи, кордиал, сорбет, чатни или коктейль</x:v>
      </x:c>
      <x:c r="J100" s="28" t="str">
        <x:v>Средняя</x:v>
      </x:c>
      <x:c r="K100" s="28" t="str">
        <x:v>The Art &amp; Science of Foodpairing.pdf</x:v>
      </x:c>
      <x:c r="L100" s="28" t="str">
        <x:v>The Art &amp; Science of Foodpairing.pdf: 292</x:v>
      </x:c>
    </x:row>
    <x:row r="101" ht="62" customHeight="1">
      <x:c r="A101" s="28" t="str">
        <x:v>CIT-0267</x:v>
      </x:c>
      <x:c r="B101" s="28" t="str">
        <x:v>красный апельсин Тарокко</x:v>
      </x:c>
      <x:c r="C101" s="28" t="str">
        <x:v>кокосовая вода</x:v>
      </x:c>
      <x:c r="D101" s="28" t="str">
        <x:v>Тропические плоды</x:v>
      </x:c>
      <x:c r="E101" s="28" t="str">
        <x:v>перекрытие ароматических семейств, вкусовой баланс</x:v>
      </x:c>
      <x:c r="F101"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Кокосовая вода относится к группе «тропические плоды» и даёт ноты «сливочный, кокосовый, восковой, ореховый». Прямой общий ключевой одорант из доступных профилей не фиксируется, однако продукты пересекаются на уровне семейств: восковой.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Кокос округляет кислотность и продлевает цитрусовый аромат.</x:v>
      </x:c>
      <x:c r="G10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1" s="28" t="str">
        <x:v>Избыток кислоты делает вкус плоско-резким; белая часть кожуры даёт лишнюю горечь.</x:v>
      </x:c>
      <x:c r="I101" s="28" t="str">
        <x:v>коктейль, крем, сорбет или соус</x:v>
      </x:c>
      <x:c r="J101" s="28" t="str">
        <x:v>Средняя</x:v>
      </x:c>
      <x:c r="K101" s="28" t="str">
        <x:v>The Art &amp; Science of Foodpairing.pdf</x:v>
      </x:c>
      <x:c r="L101" s="28" t="str">
        <x:v>The Art &amp; Science of Foodpairing.pdf: 292</x:v>
      </x:c>
    </x:row>
    <x:row r="102" ht="62" customHeight="1">
      <x:c r="A102" s="28" t="str">
        <x:v>CIT-0269</x:v>
      </x:c>
      <x:c r="B102" s="28" t="str">
        <x:v>красный апельсин Тарокко</x:v>
      </x:c>
      <x:c r="C102" s="28" t="str">
        <x:v>лимонник китайский (омиджа)</x:v>
      </x:c>
      <x:c r="D102" s="28" t="str">
        <x:v>Цитрусовые</x:v>
      </x:c>
      <x:c r="E102" s="28" t="str">
        <x:v>общие ароматические молекулы, перекрытие ароматических семейств, вкусовой баланс, тройничное восприятие</x:v>
      </x:c>
      <x:c r="F102"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Лимонник китайский (омиджа)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G10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02" s="28" t="str">
        <x:v>Избыток кислоты делает вкус плоско-резким; белая часть кожуры даёт лишнюю горечь.</x:v>
      </x:c>
      <x:c r="I102" s="28" t="str">
        <x:v>цитрусовый кордиал, мармелад, сорбет, салат или купаж соков</x:v>
      </x:c>
      <x:c r="J102" s="28" t="str">
        <x:v>Средняя</x:v>
      </x:c>
      <x:c r="K102" s="28" t="str">
        <x:v>The Art &amp; Science of Foodpairing.pdf</x:v>
      </x:c>
      <x:c r="L102" s="28" t="str">
        <x:v>The Art &amp; Science of Foodpairing.pdf: 218</x:v>
      </x:c>
    </x:row>
    <x:row r="103" ht="62" customHeight="1">
      <x:c r="A103" s="28" t="str">
        <x:v>CIT-0271</x:v>
      </x:c>
      <x:c r="B103" s="28" t="str">
        <x:v>красный апельсин Тарокко</x:v>
      </x:c>
      <x:c r="C103" s="28" t="str">
        <x:v>лонган</x:v>
      </x:c>
      <x:c r="D103" s="28" t="str">
        <x:v>Тропические фрукты</x:v>
      </x:c>
      <x:c r="E103" s="28" t="str">
        <x:v>перекрытие ароматических семейств, вкусовой баланс</x:v>
      </x:c>
      <x:c r="F103"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Лонган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10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3" s="28" t="str">
        <x:v>Избыток кислоты делает вкус плоско-резким; белая часть кожуры даёт лишнюю горечь.</x:v>
      </x:c>
      <x:c r="I103" s="28" t="str">
        <x:v>смузи, кордиал, сорбет, чатни или коктейль</x:v>
      </x:c>
      <x:c r="J103" s="28" t="str">
        <x:v>Средняя</x:v>
      </x:c>
      <x:c r="K103" s="28" t="str">
        <x:v>The Art &amp; Science of Foodpairing.pdf</x:v>
      </x:c>
      <x:c r="L103" s="28" t="str">
        <x:v>The Art &amp; Science of Foodpairing.pdf: 74</x:v>
      </x:c>
    </x:row>
    <x:row r="104" ht="62" customHeight="1">
      <x:c r="A104" s="28" t="str">
        <x:v>CIT-0272</x:v>
      </x:c>
      <x:c r="B104" s="28" t="str">
        <x:v>красный апельсин Тарокко</x:v>
      </x:c>
      <x:c r="C104" s="28" t="str">
        <x:v>манго</x:v>
      </x:c>
      <x:c r="D104" s="28" t="str">
        <x:v>Тропические фрукты</x:v>
      </x:c>
      <x:c r="E104" s="28" t="str">
        <x:v>перекрытие ароматических семейств, вкусовой баланс</x:v>
      </x:c>
      <x:c r="F104"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10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4" s="28" t="str">
        <x:v>Избыток кислоты делает вкус плоско-резким; белая часть кожуры даёт лишнюю горечь.</x:v>
      </x:c>
      <x:c r="I104" s="28" t="str">
        <x:v>смузи, кордиал, сорбет, чатни или коктейль</x:v>
      </x:c>
      <x:c r="J104" s="28" t="str">
        <x:v>Средняя</x:v>
      </x:c>
      <x:c r="K104" s="28" t="str">
        <x:v>The Art &amp; Science of Foodpairing.pdf</x:v>
      </x:c>
      <x:c r="L104" s="28" t="str">
        <x:v>The Art &amp; Science of Foodpairing.pdf: 292</x:v>
      </x:c>
    </x:row>
    <x:row r="105" ht="62" customHeight="1">
      <x:c r="A105" s="28" t="str">
        <x:v>CIT-0273</x:v>
      </x:c>
      <x:c r="B105" s="28" t="str">
        <x:v>красный апельсин Тарокко</x:v>
      </x:c>
      <x:c r="C105" s="28" t="str">
        <x:v>облепиховый ликёр</x:v>
      </x:c>
      <x:c r="D105" s="28" t="str">
        <x:v>Алкогольные напитки</x:v>
      </x:c>
      <x:c r="E105" s="28" t="str">
        <x:v>вкусовой баланс, тройничное восприятие, влияние матрицы/растворимости</x:v>
      </x:c>
      <x:c r="F105"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Облепиховый ликёр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Апельсиновый профиль строится на лимонене и альдегидах с восково-сладкой нотой. Спирт извлекает цедру и усиливает ретроназальный выход терпенов; сахар и разбавление меняют баланс.</x:v>
      </x:c>
      <x:c r="G105"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05" s="28" t="str">
        <x:v>Избыток кислоты делает вкус плоско-резким; белая часть кожуры даёт лишнюю горечь.</x:v>
      </x:c>
      <x:c r="I105" s="28" t="str">
        <x:v>коктейль, спритц, настойка, ликёр или кордиал</x:v>
      </x:c>
      <x:c r="J105" s="28" t="str">
        <x:v>Средняя</x:v>
      </x:c>
      <x:c r="K105" s="28" t="str">
        <x:v>The Art &amp; Science of Foodpairing.pdf</x:v>
      </x:c>
      <x:c r="L105" s="28" t="str">
        <x:v>The Art &amp; Science of Foodpairing.pdf: 347</x:v>
      </x:c>
    </x:row>
    <x:row r="106" ht="62" customHeight="1">
      <x:c r="A106" s="28" t="str">
        <x:v>CIT-0274</x:v>
      </x:c>
      <x:c r="B106" s="28" t="str">
        <x:v>красный апельсин Тарокко</x:v>
      </x:c>
      <x:c r="C106" s="28" t="str">
        <x:v>отварной чайот</x:v>
      </x:c>
      <x:c r="D106" s="28" t="str">
        <x:v>Чай и настои</x:v>
      </x:c>
      <x:c r="E106" s="28" t="str">
        <x:v>общие ароматические молекулы, перекрытие ароматических семейств, вкусовой баланс</x:v>
      </x:c>
      <x:c r="F106"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Отварной чайот относится к группе «чай и настои» и даёт ноты «травяной, цветочный, танинный, иногда обжаренный». Наиболее правдоподобный молекулярный мост — линалол; дополнительно совпадают ароматические семейства: цветочный. Цитрус добавляет верхние ароматические ноты; сахар может смягчить совместную кислотность и танинную вяжущесть. Апельсиновый профиль строится на лимонене и альдегидах с восково-сладкой нотой. Цитрус связывается с цветочными терпенами чая и снижает ощущение вяжущей сухости при наличии сахара.</x:v>
      </x:c>
      <x:c r="G10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06" s="28" t="str">
        <x:v>Избыток кислоты делает вкус плоско-резким; белая часть кожуры даёт лишнюю горечь.</x:v>
      </x:c>
      <x:c r="I106" s="28" t="str">
        <x:v>чайный кордиал, холодный чай, пунш или безалкогольный напиток</x:v>
      </x:c>
      <x:c r="J106" s="28" t="str">
        <x:v>Средняя</x:v>
      </x:c>
      <x:c r="K106" s="28" t="str">
        <x:v>The Art &amp; Science of Foodpairing.pdf</x:v>
      </x:c>
      <x:c r="L106" s="28" t="str">
        <x:v>The Art &amp; Science of Foodpairing.pdf: 42</x:v>
      </x:c>
    </x:row>
    <x:row r="107" ht="62" customHeight="1">
      <x:c r="A107" s="28" t="str">
        <x:v>CIT-0279</x:v>
      </x:c>
      <x:c r="B107" s="28" t="str">
        <x:v>кумкват</x:v>
      </x:c>
      <x:c r="C107" s="28" t="str">
        <x:v>ананас</x:v>
      </x:c>
      <x:c r="D107" s="28" t="str">
        <x:v>Тропические фрукты</x:v>
      </x:c>
      <x:c r="E107" s="28" t="str">
        <x:v>перекрытие ароматических семейств, вкусовой баланс</x:v>
      </x:c>
      <x:c r="F107" s="28" t="str">
        <x:v>Кумкват формирует профиль «цитрусовый, фруктовый, цветочный, пряный»; характерные маркеры: лимонен, гамма-терпинен, метил-N-метилантранилат, линалол.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10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7" s="28" t="str">
        <x:v>Избыток кислоты делает вкус плоско-резким; белая часть кожуры даёт лишнюю горечь.</x:v>
      </x:c>
      <x:c r="I107" s="28" t="str">
        <x:v>смузи, кордиал, сорбет, чатни или коктейль</x:v>
      </x:c>
      <x:c r="J107" s="28" t="str">
        <x:v>Гипотеза / практическая</x:v>
      </x:c>
      <x:c r="K107" s="28" t="str">
        <x:v>Таблица сочетания(1).pdf</x:v>
      </x:c>
      <x:c r="L107" s="28" t="str">
        <x:v>Таблица сочетания(1).pdf: 17</x:v>
      </x:c>
    </x:row>
    <x:row r="108" ht="62" customHeight="1">
      <x:c r="A108" s="28" t="str">
        <x:v>CIT-0281</x:v>
      </x:c>
      <x:c r="B108" s="28" t="str">
        <x:v>кумкват</x:v>
      </x:c>
      <x:c r="C108" s="28" t="str">
        <x:v>базилик</x:v>
      </x:c>
      <x:c r="D108" s="28" t="str">
        <x:v>Травы</x:v>
      </x:c>
      <x:c r="E108" s="28" t="str">
        <x:v>общие ароматические молекулы, перекрытие ароматических семейств, вкусовой баланс</x:v>
      </x:c>
      <x:c r="F108" s="28" t="str">
        <x:v>Кумкват формирует профиль «цитрусовый, фруктовый, цветочный, пряный»; характерные маркеры: лимонен, гамма-терпинен, метил-N-метилантранилат,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пряный, цветочный.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Базилик и эстрагон могут связать цитрус с фруктами, томатом и сливочными матрицами.</x:v>
      </x:c>
      <x:c r="G10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8" s="28" t="str">
        <x:v>Избыток кислоты делает вкус плоско-резким; белая часть кожуры даёт лишнюю горечь; цитрус легко подавляет деликатный аромат партнёра.</x:v>
      </x:c>
      <x:c r="I108" s="28" t="str">
        <x:v>лимонад, кордиал, салатная заправка или зелёный соус</x:v>
      </x:c>
      <x:c r="J108" s="28" t="str">
        <x:v>Средняя</x:v>
      </x:c>
      <x:c r="K108" s="28" t="str">
        <x:v>Таблица сочетания(1).pdf</x:v>
      </x:c>
      <x:c r="L108" s="28" t="str">
        <x:v>Таблица сочетания(1).pdf: 10</x:v>
      </x:c>
    </x:row>
    <x:row r="109" ht="62" customHeight="1">
      <x:c r="A109" s="28" t="str">
        <x:v>CIT-0282</x:v>
      </x:c>
      <x:c r="B109" s="28" t="str">
        <x:v>кумкват</x:v>
      </x:c>
      <x:c r="C109" s="28" t="str">
        <x:v>банан</x:v>
      </x:c>
      <x:c r="D109" s="28" t="str">
        <x:v>Тропические фрукты</x:v>
      </x:c>
      <x:c r="E109" s="28" t="str">
        <x:v>перекрытие ароматических семейств, вкусовой баланс</x:v>
      </x:c>
      <x:c r="F109" s="28" t="str">
        <x:v>Кумкват формирует профиль «цитрусовый, фруктовый, цветочный, пряный»; характерные маркеры: лимонен, гамма-терпинен, метил-N-метилантранилат, линалол. Банан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10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9" s="28" t="str">
        <x:v>Избыток кислоты делает вкус плоско-резким; белая часть кожуры даёт лишнюю горечь.</x:v>
      </x:c>
      <x:c r="I109" s="28" t="str">
        <x:v>смузи, кордиал, сорбет, чатни или коктейль</x:v>
      </x:c>
      <x:c r="J109" s="28" t="str">
        <x:v>Гипотеза / практическая</x:v>
      </x:c>
      <x:c r="K109" s="28" t="str">
        <x:v>Таблица сочетания(1).pdf</x:v>
      </x:c>
      <x:c r="L109" s="28" t="str">
        <x:v>Таблица сочетания(1).pdf: 2</x:v>
      </x:c>
    </x:row>
    <x:row r="110" ht="62" customHeight="1">
      <x:c r="A110" s="28" t="str">
        <x:v>CIT-0283</x:v>
      </x:c>
      <x:c r="B110" s="28" t="str">
        <x:v>кумкват</x:v>
      </x:c>
      <x:c r="C110" s="28" t="str">
        <x:v>ваниль</x:v>
      </x:c>
      <x:c r="D110" s="28" t="str">
        <x:v>Пряности</x:v>
      </x:c>
      <x:c r="E110" s="28" t="str">
        <x:v>вкусовой баланс</x:v>
      </x:c>
      <x:c r="F110" s="28" t="str">
        <x:v>Кумкват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G11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0" s="28" t="str">
        <x:v>Избыток кислоты делает вкус плоско-резким; белая часть кожуры даёт лишнюю горечь.</x:v>
      </x:c>
      <x:c r="I110" s="28" t="str">
        <x:v>сироп, кордиал, чатни, маринад или пряный десерт</x:v>
      </x:c>
      <x:c r="J110" s="28" t="str">
        <x:v>Гипотеза / практическая</x:v>
      </x:c>
      <x:c r="K110" s="28" t="str">
        <x:v>Таблица сочетания(1).pdf</x:v>
      </x:c>
      <x:c r="L110" s="28" t="str">
        <x:v>Таблица сочетания(1).pdf: 10</x:v>
      </x:c>
    </x:row>
    <x:row r="111" ht="62" customHeight="1">
      <x:c r="A111" s="28" t="str">
        <x:v>CIT-0284</x:v>
      </x:c>
      <x:c r="B111" s="28" t="str">
        <x:v>кумкват</x:v>
      </x:c>
      <x:c r="C111" s="28" t="str">
        <x:v>вишня</x:v>
      </x:c>
      <x:c r="D111" s="28" t="str">
        <x:v>Ягоды/косточковые</x:v>
      </x:c>
      <x:c r="E111" s="28" t="str">
        <x:v>перекрытие ароматических семейств, вкусовой баланс</x:v>
      </x:c>
      <x:c r="F111" s="28" t="str">
        <x:v>Кумкват формирует профиль «цитрусовый, фруктовый, цветочный, пряный»; характерные маркеры: лимонен, гамма-терпинен, метил-N-метилантранилат, линалол.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11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1" s="28" t="str">
        <x:v>Избыток кислоты делает вкус плоско-резким; белая часть кожуры даёт лишнюю горечь.</x:v>
      </x:c>
      <x:c r="I111" s="28" t="str">
        <x:v>джем, сорбет, коктейль или соус</x:v>
      </x:c>
      <x:c r="J111" s="28" t="str">
        <x:v>Гипотеза / практическая</x:v>
      </x:c>
      <x:c r="K111" s="28" t="str">
        <x:v>Таблица сочетания(1).pdf</x:v>
      </x:c>
      <x:c r="L111" s="28" t="str">
        <x:v>Таблица сочетания(1).pdf: 10</x:v>
      </x:c>
    </x:row>
    <x:row r="112" ht="62" customHeight="1">
      <x:c r="A112" s="28" t="str">
        <x:v>CIT-0286</x:v>
      </x:c>
      <x:c r="B112" s="28" t="str">
        <x:v>кумкват</x:v>
      </x:c>
      <x:c r="C112" s="28" t="str">
        <x:v>джин</x:v>
      </x:c>
      <x:c r="D112" s="28" t="str">
        <x:v>Алкогольные напитки</x:v>
      </x:c>
      <x:c r="E112" s="28" t="str">
        <x:v>вкусовой баланс, тройничное восприятие, влияние матрицы/растворимости</x:v>
      </x:c>
      <x:c r="F112" s="28" t="str">
        <x:v>Кумкват формирует профиль «цитрусовый, фруктовый, цветочный, пряный»; характерные маркеры: лимонен, гамма-терпинен, метил-N-метилантранилат, линалол. Джин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G112"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12" s="28" t="str">
        <x:v>Избыток кислоты делает вкус плоско-резким; белая часть кожуры даёт лишнюю горечь.</x:v>
      </x:c>
      <x:c r="I112" s="28" t="str">
        <x:v>коктейль, спритц, настойка, ликёр или кордиал</x:v>
      </x:c>
      <x:c r="J112" s="28" t="str">
        <x:v>Средняя</x:v>
      </x:c>
      <x:c r="K112" s="28" t="str">
        <x:v>The Art &amp; Science of Foodpairing.pdf</x:v>
      </x:c>
      <x:c r="L112" s="28" t="str">
        <x:v>The Art &amp; Science of Foodpairing.pdf: 215</x:v>
      </x:c>
    </x:row>
    <x:row r="113" ht="62" customHeight="1">
      <x:c r="A113" s="28" t="str">
        <x:v>CIT-0287</x:v>
      </x:c>
      <x:c r="B113" s="28" t="str">
        <x:v>кумкват</x:v>
      </x:c>
      <x:c r="C113" s="28" t="str">
        <x:v>ежевика</x:v>
      </x:c>
      <x:c r="D113" s="28" t="str">
        <x:v>Ягоды/косточковые</x:v>
      </x:c>
      <x:c r="E113" s="28" t="str">
        <x:v>перекрытие ароматических семейств, вкусовой баланс</x:v>
      </x:c>
      <x:c r="F113" s="28" t="str">
        <x:v>Кумкват формирует профиль «цитрусовый, фруктовый, цветочный, пряный»; характерные маркеры: лимонен, гамма-терпинен, метил-N-метилантранилат, линалол. Ежевика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11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3" s="28" t="str">
        <x:v>Избыток кислоты делает вкус плоско-резким; белая часть кожуры даёт лишнюю горечь.</x:v>
      </x:c>
      <x:c r="I113" s="28" t="str">
        <x:v>джем, сорбет, коктейль или соус</x:v>
      </x:c>
      <x:c r="J113" s="28" t="str">
        <x:v>Средняя</x:v>
      </x:c>
      <x:c r="K113" s="28" t="str">
        <x:v>The Art &amp; Science of Foodpairing.pdf</x:v>
      </x:c>
      <x:c r="L113" s="28" t="str">
        <x:v>The Art &amp; Science of Foodpairing.pdf: 215</x:v>
      </x:c>
    </x:row>
    <x:row r="114" ht="62" customHeight="1">
      <x:c r="A114" s="28" t="str">
        <x:v>CIT-0289</x:v>
      </x:c>
      <x:c r="B114" s="28" t="str">
        <x:v>кумкват</x:v>
      </x:c>
      <x:c r="C114" s="28" t="str">
        <x:v>имбирь</x:v>
      </x:c>
      <x:c r="D114" s="28" t="str">
        <x:v>Пряности</x:v>
      </x:c>
      <x:c r="E114" s="28" t="str">
        <x:v>перекрытие ароматических семейств, вкусовой баланс, тройничное восприятие</x:v>
      </x:c>
      <x:c r="F114" s="28" t="str">
        <x:v>Кумкват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11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4" s="28" t="str">
        <x:v>Избыток кислоты делает вкус плоско-резким; белая часть кожуры даёт лишнюю горечь.</x:v>
      </x:c>
      <x:c r="I114" s="28" t="str">
        <x:v>сироп, кордиал, чатни, маринад или пряный десерт</x:v>
      </x:c>
      <x:c r="J114" s="28" t="str">
        <x:v>Гипотеза / практическая</x:v>
      </x:c>
      <x:c r="K114" s="28" t="str">
        <x:v>Таблица сочетания(1).pdf</x:v>
      </x:c>
      <x:c r="L114" s="28" t="str">
        <x:v>Таблица сочетания(1).pdf: 10</x:v>
      </x:c>
    </x:row>
    <x:row r="115" ht="62" customHeight="1">
      <x:c r="A115" s="28" t="str">
        <x:v>CIT-0290</x:v>
      </x:c>
      <x:c r="B115" s="28" t="str">
        <x:v>кумкват</x:v>
      </x:c>
      <x:c r="C115" s="28" t="str">
        <x:v>клубника</x:v>
      </x:c>
      <x:c r="D115" s="28" t="str">
        <x:v>Ягоды</x:v>
      </x:c>
      <x:c r="E115" s="28" t="str">
        <x:v>перекрытие ароматических семейств, вкусовой баланс</x:v>
      </x:c>
      <x:c r="F115" s="28" t="str">
        <x:v>Кумкват формирует профиль «цитрусовый, фруктовый, цветочный, пряный»; характерные маркеры: лимонен, гамма-терпинен, метил-N-метилантранилат, линалол. Клубника относится к группе «ягоды» и даёт ноты «фруктовый, цветочный, карамельный».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Фуранеол даёт карамельно-ананасовый оттенок, цитрус подчёркивает свежие эфиры.</x:v>
      </x:c>
      <x:c r="G11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5" s="28" t="str">
        <x:v>Избыток кислоты делает вкус плоско-резким; белая часть кожуры даёт лишнюю горечь.</x:v>
      </x:c>
      <x:c r="I115" s="28" t="str">
        <x:v>морс, кордиал, джем, сорбет или коктейль</x:v>
      </x:c>
      <x:c r="J115" s="28" t="str">
        <x:v>Гипотеза / практическая</x:v>
      </x:c>
      <x:c r="K115" s="28" t="str">
        <x:v>Таблица сочетания(1).pdf</x:v>
      </x:c>
      <x:c r="L115" s="28" t="str">
        <x:v>Таблица сочетания(1).pdf: 20</x:v>
      </x:c>
    </x:row>
    <x:row r="116" ht="62" customHeight="1">
      <x:c r="A116" s="28" t="str">
        <x:v>CIT-0291</x:v>
      </x:c>
      <x:c r="B116" s="28" t="str">
        <x:v>кумкват</x:v>
      </x:c>
      <x:c r="C116" s="28" t="str">
        <x:v>корица</x:v>
      </x:c>
      <x:c r="D116" s="28" t="str">
        <x:v>Пряности</x:v>
      </x:c>
      <x:c r="E116" s="28" t="str">
        <x:v>вкусовой баланс, тройничное восприятие</x:v>
      </x:c>
      <x:c r="F116" s="28" t="str">
        <x:v>Кумкват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G11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6" s="28" t="str">
        <x:v>Избыток кислоты делает вкус плоско-резким; белая часть кожуры даёт лишнюю горечь.</x:v>
      </x:c>
      <x:c r="I116" s="28" t="str">
        <x:v>сироп, кордиал, чатни, маринад или пряный десерт</x:v>
      </x:c>
      <x:c r="J116" s="28" t="str">
        <x:v>Гипотеза / практическая</x:v>
      </x:c>
      <x:c r="K116" s="28" t="str">
        <x:v>Таблица сочетания(1).pdf</x:v>
      </x:c>
      <x:c r="L116" s="28" t="str">
        <x:v>Таблица сочетания(1).pdf: 10</x:v>
      </x:c>
    </x:row>
    <x:row r="117" ht="62" customHeight="1">
      <x:c r="A117" s="28" t="str">
        <x:v>CIT-0293</x:v>
      </x:c>
      <x:c r="B117" s="28" t="str">
        <x:v>кумкват</x:v>
      </x:c>
      <x:c r="C117" s="28" t="str">
        <x:v>лайм</x:v>
      </x:c>
      <x:c r="D117" s="28" t="str">
        <x:v>Цитрусовые</x:v>
      </x:c>
      <x:c r="E117" s="28" t="str">
        <x:v>общие ароматические молекулы, перекрытие ароматических семейств, вкусовой баланс, тройничное восприятие</x:v>
      </x:c>
      <x:c r="F117" s="28" t="str">
        <x:v>Кумкват формирует профиль «цитрусовый, фруктовый, цветочный, пряный»; характерные маркеры: лимонен, гамма-терпинен, метил-N-метилантранилат, линалол. Лайм относится к группе «цитрусовые» и даёт ноты «цитрусовый, зелёный, травяной, камфорный». Наиболее правдоподобный молекулярный мост — гамма-терпинен,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Лаймовые цитрусы дают более зелёный и камфорный профиль, чем сладкий апельсин.</x:v>
      </x:c>
      <x:c r="G11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17" s="28" t="str">
        <x:v>Избыток кислоты делает вкус плоско-резким; белая часть кожуры даёт лишнюю горечь.</x:v>
      </x:c>
      <x:c r="I117" s="28" t="str">
        <x:v>цитрусовый кордиал, мармелад, сорбет, салат или купаж соков</x:v>
      </x:c>
      <x:c r="J117" s="28" t="str">
        <x:v>Средняя</x:v>
      </x:c>
      <x:c r="K117" s="28" t="str">
        <x:v>Таблица сочетания(1).pdf</x:v>
      </x:c>
      <x:c r="L117" s="28" t="str">
        <x:v>Таблица сочетания(1).pdf: 10, 12</x:v>
      </x:c>
    </x:row>
    <x:row r="118" ht="62" customHeight="1">
      <x:c r="A118" s="28" t="str">
        <x:v>CIT-0294</x:v>
      </x:c>
      <x:c r="B118" s="28" t="str">
        <x:v>кумкват</x:v>
      </x:c>
      <x:c r="C118" s="28" t="str">
        <x:v>лимон</x:v>
      </x:c>
      <x:c r="D118" s="28" t="str">
        <x:v>Цитрусовые</x:v>
      </x:c>
      <x:c r="E118" s="28" t="str">
        <x:v>общие ароматические молекулы, перекрытие ароматических семейств, вкусовой баланс, тройничное восприятие</x:v>
      </x:c>
      <x:c r="F118" s="28" t="str">
        <x:v>Кумкват формирует профиль «цитрусовый, фруктовый, цветочный, пряный»; характерные маркеры: лимонен, гамма-терпинен, метил-N-метилантранилат, линалол. Лимон относится к группе «цитрусовые» и даёт ноты «цитрусовый, свежий, цветочный, древесный».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Сок определяется цитралем и кислотностью, цедра — лимоненом и терпенами.</x:v>
      </x:c>
      <x:c r="G1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18" s="28" t="str">
        <x:v>Избыток кислоты делает вкус плоско-резким; белая часть кожуры даёт лишнюю горечь.</x:v>
      </x:c>
      <x:c r="I118" s="28" t="str">
        <x:v>цитрусовый кордиал, мармелад, сорбет, салат или купаж соков</x:v>
      </x:c>
      <x:c r="J118" s="28" t="str">
        <x:v>Средняя</x:v>
      </x:c>
      <x:c r="K118" s="28" t="str">
        <x:v>Таблица сочетания(1).pdf</x:v>
      </x:c>
      <x:c r="L118" s="28" t="str">
        <x:v>Таблица сочетания(1).pdf: 11</x:v>
      </x:c>
    </x:row>
    <x:row r="119" ht="62" customHeight="1">
      <x:c r="A119" s="28" t="str">
        <x:v>CIT-0295</x:v>
      </x:c>
      <x:c r="B119" s="28" t="str">
        <x:v>кумкват</x:v>
      </x:c>
      <x:c r="C119" s="28" t="str">
        <x:v>манго</x:v>
      </x:c>
      <x:c r="D119" s="28" t="str">
        <x:v>Тропические фрукты</x:v>
      </x:c>
      <x:c r="E119" s="28" t="str">
        <x:v>перекрытие ароматических семейств, вкусовой баланс</x:v>
      </x:c>
      <x:c r="F119" s="28" t="str">
        <x:v>Кумкват формирует профиль «цитрусовый, фруктовый, цветочный, пряный»; характерные маркеры: лимонен, гамма-терпинен, метил-N-метилантранилат, линалол.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11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9" s="28" t="str">
        <x:v>Избыток кислоты делает вкус плоско-резким; белая часть кожуры даёт лишнюю горечь.</x:v>
      </x:c>
      <x:c r="I119" s="28" t="str">
        <x:v>смузи, кордиал, сорбет, чатни или коктейль</x:v>
      </x:c>
      <x:c r="J119" s="28" t="str">
        <x:v>Гипотеза / практическая</x:v>
      </x:c>
      <x:c r="K119" s="28" t="str">
        <x:v>Таблица сочетания(1).pdf</x:v>
      </x:c>
      <x:c r="L119" s="28" t="str">
        <x:v>Таблица сочетания(1).pdf: 13</x:v>
      </x:c>
    </x:row>
    <x:row r="120" ht="62" customHeight="1">
      <x:c r="A120" s="28" t="str">
        <x:v>CIT-0296</x:v>
      </x:c>
      <x:c r="B120" s="28" t="str">
        <x:v>кумкват</x:v>
      </x:c>
      <x:c r="C120" s="28" t="str">
        <x:v>мёд</x:v>
      </x:c>
      <x:c r="D120" s="28" t="str">
        <x:v>Подсластители</x:v>
      </x:c>
      <x:c r="E120" s="28" t="str">
        <x:v>перекрытие ароматических семейств, вкусовой баланс</x:v>
      </x:c>
      <x:c r="F120" s="28" t="str">
        <x:v>Кумкват формирует профиль «цитрусовый, фруктовый, цветочный, пряный»; характерные маркеры: лимонен, гамма-терпинен, метил-N-метилантранилат, линалол.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G12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20" s="28" t="str">
        <x:v>Избыток кислоты делает вкус плоско-резким; белая часть кожуры даёт лишнюю горечь.</x:v>
      </x:c>
      <x:c r="I120" s="28" t="str">
        <x:v>сироп, мармелад, крем, глазурь или лимонад</x:v>
      </x:c>
      <x:c r="J120" s="28" t="str">
        <x:v>Гипотеза / практическая</x:v>
      </x:c>
      <x:c r="K120" s="28" t="str">
        <x:v>Таблица сочетания(1).pdf</x:v>
      </x:c>
      <x:c r="L120" s="28" t="str">
        <x:v>Таблица сочетания(1).pdf: 10</x:v>
      </x:c>
    </x:row>
    <x:row r="121" ht="62" customHeight="1">
      <x:c r="A121" s="28" t="str">
        <x:v>CIT-0298</x:v>
      </x:c>
      <x:c r="B121" s="28" t="str">
        <x:v>кумкват</x:v>
      </x:c>
      <x:c r="C121" s="28" t="str">
        <x:v>мята</x:v>
      </x:c>
      <x:c r="D121" s="28" t="str">
        <x:v>Травы</x:v>
      </x:c>
      <x:c r="E121" s="28" t="str">
        <x:v>вкусовой баланс, тройничное восприятие</x:v>
      </x:c>
      <x:c r="F121" s="28" t="str">
        <x:v>Кумкват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G12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1" s="28" t="str">
        <x:v>Избыток кислоты делает вкус плоско-резким; белая часть кожуры даёт лишнюю горечь; цитрус легко подавляет деликатный аромат партнёра.</x:v>
      </x:c>
      <x:c r="I121" s="28" t="str">
        <x:v>лимонад, кордиал, салатная заправка или зелёный соус</x:v>
      </x:c>
      <x:c r="J121" s="28" t="str">
        <x:v>Гипотеза / практическая</x:v>
      </x:c>
      <x:c r="K121" s="28" t="str">
        <x:v>Таблица сочетания(1).pdf</x:v>
      </x:c>
      <x:c r="L121" s="28" t="str">
        <x:v>Таблица сочетания(1).pdf: 10</x:v>
      </x:c>
    </x:row>
    <x:row r="122" ht="62" customHeight="1">
      <x:c r="A122" s="28" t="str">
        <x:v>CIT-0299</x:v>
      </x:c>
      <x:c r="B122" s="28" t="str">
        <x:v>кумкват</x:v>
      </x:c>
      <x:c r="C122" s="28" t="str">
        <x:v>папайя</x:v>
      </x:c>
      <x:c r="D122" s="28" t="str">
        <x:v>Тропические фрукты</x:v>
      </x:c>
      <x:c r="E122" s="28" t="str">
        <x:v>перекрытие ароматических семейств, вкусовой баланс</x:v>
      </x:c>
      <x:c r="F122" s="28" t="str">
        <x:v>Кумкват формирует профиль «цитрусовый, фруктовый, цветочный, пряный»; характерные маркеры: лимонен, гамма-терпинен, метил-N-метилантранилат, линалол. Папайя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12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2" s="28" t="str">
        <x:v>Избыток кислоты делает вкус плоско-резким; белая часть кожуры даёт лишнюю горечь.</x:v>
      </x:c>
      <x:c r="I122" s="28" t="str">
        <x:v>смузи, кордиал, сорбет, чатни или коктейль</x:v>
      </x:c>
      <x:c r="J122" s="28" t="str">
        <x:v>Гипотеза / практическая</x:v>
      </x:c>
      <x:c r="K122" s="28" t="str">
        <x:v>Таблица сочетания(1).pdf</x:v>
      </x:c>
      <x:c r="L122" s="28" t="str">
        <x:v>Таблица сочетания(1).pdf: 10, 15</x:v>
      </x:c>
    </x:row>
    <x:row r="123" ht="62" customHeight="1">
      <x:c r="A123" s="28" t="str">
        <x:v>CIT-0300</x:v>
      </x:c>
      <x:c r="B123" s="28" t="str">
        <x:v>кумкват</x:v>
      </x:c>
      <x:c r="C123" s="28" t="str">
        <x:v>плимутский джин</x:v>
      </x:c>
      <x:c r="D123" s="28" t="str">
        <x:v>Алкогольные напитки</x:v>
      </x:c>
      <x:c r="E123" s="28" t="str">
        <x:v>вкусовой баланс, тройничное восприятие, влияние матрицы/растворимости</x:v>
      </x:c>
      <x:c r="F123" s="28" t="str">
        <x:v>Кумкват формирует профиль «цитрусовый, фруктовый, цветочный, пряный»; характерные маркеры: лимонен, гамма-терпинен, метил-N-метилантранилат, линалол. Плимутский джин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G123"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23" s="28" t="str">
        <x:v>Избыток кислоты делает вкус плоско-резким; белая часть кожуры даёт лишнюю горечь.</x:v>
      </x:c>
      <x:c r="I123" s="28" t="str">
        <x:v>коктейль, спритц, настойка, ликёр или кордиал</x:v>
      </x:c>
      <x:c r="J123" s="28" t="str">
        <x:v>Средняя</x:v>
      </x:c>
      <x:c r="K123" s="28" t="str">
        <x:v>The Art &amp; Science of Foodpairing.pdf</x:v>
      </x:c>
      <x:c r="L123" s="28" t="str">
        <x:v>The Art &amp; Science of Foodpairing.pdf: 215</x:v>
      </x:c>
    </x:row>
    <x:row r="124" ht="62" customHeight="1">
      <x:c r="A124" s="28" t="str">
        <x:v>CIT-0301</x:v>
      </x:c>
      <x:c r="B124" s="28" t="str">
        <x:v>кумкват</x:v>
      </x:c>
      <x:c r="C124" s="28" t="str">
        <x:v>розмарин</x:v>
      </x:c>
      <x:c r="D124" s="28" t="str">
        <x:v>Травы</x:v>
      </x:c>
      <x:c r="E124" s="28" t="str">
        <x:v>вкусовой баланс, тройничное восприятие</x:v>
      </x:c>
      <x:c r="F124" s="28" t="str">
        <x:v>Кумкват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12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4" s="28" t="str">
        <x:v>Избыток кислоты делает вкус плоско-резким; белая часть кожуры даёт лишнюю горечь; цитрус легко подавляет деликатный аромат партнёра.</x:v>
      </x:c>
      <x:c r="I124" s="28" t="str">
        <x:v>лимонад, кордиал, салатная заправка или зелёный соус</x:v>
      </x:c>
      <x:c r="J124" s="28" t="str">
        <x:v>Средняя</x:v>
      </x:c>
      <x:c r="K124" s="28" t="str">
        <x:v>The Art &amp; Science of Foodpairing.pdf</x:v>
      </x:c>
      <x:c r="L124" s="28" t="str">
        <x:v>The Art &amp; Science of Foodpairing.pdf: 113</x:v>
      </x:c>
    </x:row>
    <x:row r="125" ht="62" customHeight="1">
      <x:c r="A125" s="28" t="str">
        <x:v>CIT-0302</x:v>
      </x:c>
      <x:c r="B125" s="28" t="str">
        <x:v>кумкват</x:v>
      </x:c>
      <x:c r="C125" s="28" t="str">
        <x:v>свежий корень имбиря</x:v>
      </x:c>
      <x:c r="D125" s="28" t="str">
        <x:v>Пряности</x:v>
      </x:c>
      <x:c r="E125" s="28" t="str">
        <x:v>перекрытие ароматических семейств, вкусовой баланс, тройничное восприятие</x:v>
      </x:c>
      <x:c r="F125" s="28" t="str">
        <x:v>Кумкват формирует профиль «цитрусовый, фруктовый, цветочный, пряный»; характерные маркеры: лимонен, гамма-терпинен, метил-N-метилантранилат, линалол. Свежий корень имбиря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12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5" s="28" t="str">
        <x:v>Избыток кислоты делает вкус плоско-резким; белая часть кожуры даёт лишнюю горечь.</x:v>
      </x:c>
      <x:c r="I125" s="28" t="str">
        <x:v>сироп, кордиал, чатни, маринад или пряный десерт</x:v>
      </x:c>
      <x:c r="J125" s="28" t="str">
        <x:v>Средняя</x:v>
      </x:c>
      <x:c r="K125" s="28" t="str">
        <x:v>The Art &amp; Science of Foodpairing.pdf</x:v>
      </x:c>
      <x:c r="L125" s="28" t="str">
        <x:v>The Art &amp; Science of Foodpairing.pdf: 215</x:v>
      </x:c>
    </x:row>
    <x:row r="126" ht="62" customHeight="1">
      <x:c r="A126" s="28" t="str">
        <x:v>CIT-0303</x:v>
      </x:c>
      <x:c r="B126" s="28" t="str">
        <x:v>кумкват</x:v>
      </x:c>
      <x:c r="C126" s="28" t="str">
        <x:v>семена кардамона</x:v>
      </x:c>
      <x:c r="D126" s="28" t="str">
        <x:v>Пряности</x:v>
      </x:c>
      <x:c r="E126" s="28" t="str">
        <x:v>общие ароматические молекулы, перекрытие ароматических семейств, вкусовой баланс, тройничное восприятие</x:v>
      </x:c>
      <x:c r="F126" s="28" t="str">
        <x:v>Кумкват формирует профиль «цитрусовый, фруктовый, цветочный, пряный»; характерные маркеры: лимонен, гамма-терпинен, метил-N-метилантранилат, линалол. Семена кардамона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Кардамон часто служит мостом между цитрусом, цветами и древесными нотами.</x:v>
      </x:c>
      <x:c r="G12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6" s="28" t="str">
        <x:v>Избыток кислоты делает вкус плоско-резким; белая часть кожуры даёт лишнюю горечь.</x:v>
      </x:c>
      <x:c r="I126" s="28" t="str">
        <x:v>сироп, кордиал, чатни, маринад или пряный десерт</x:v>
      </x:c>
      <x:c r="J126" s="28" t="str">
        <x:v>Средняя</x:v>
      </x:c>
      <x:c r="K126" s="28" t="str">
        <x:v>The Art &amp; Science of Foodpairing.pdf</x:v>
      </x:c>
      <x:c r="L126" s="28" t="str">
        <x:v>The Art &amp; Science of Foodpairing.pdf: 215</x:v>
      </x:c>
    </x:row>
    <x:row r="127" ht="62" customHeight="1">
      <x:c r="A127" s="28" t="str">
        <x:v>CIT-0306</x:v>
      </x:c>
      <x:c r="B127" s="28" t="str">
        <x:v>кумкват</x:v>
      </x:c>
      <x:c r="C127" s="28" t="str">
        <x:v>сушёный лист макрут-лайма</x:v>
      </x:c>
      <x:c r="D127" s="28" t="str">
        <x:v>Цитрусовые</x:v>
      </x:c>
      <x:c r="E127" s="28" t="str">
        <x:v>общие ароматические молекулы, перекрытие ароматических семейств, вкусовой баланс, тройничное восприятие</x:v>
      </x:c>
      <x:c r="F127" s="28" t="str">
        <x:v>Кумкват формирует профиль «цитрусовый, фруктовый, цветочный, пряный»; характерные маркеры: лимонен, гамма-терпинен, метил-N-метилантранилат, линалол. Сушёный лист макрут-лайма относится к группе «цитрусовые» и даёт ноты «цитрусовый, зелёный, травяной, камфорный». Наиболее правдоподобный молекулярный мост — гамма-терпинен,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Лаймовые цитрусы дают более зелёный и камфорный профиль, чем сладкий апельсин.</x:v>
      </x:c>
      <x:c r="G12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27" s="28" t="str">
        <x:v>Избыток кислоты делает вкус плоско-резким; белая часть кожуры даёт лишнюю горечь.</x:v>
      </x:c>
      <x:c r="I127" s="28" t="str">
        <x:v>цитрусовый кордиал, мармелад, сорбет, салат или купаж соков</x:v>
      </x:c>
      <x:c r="J127" s="28" t="str">
        <x:v>Средняя</x:v>
      </x:c>
      <x:c r="K127" s="28" t="str">
        <x:v>The Art &amp; Science of Foodpairing.pdf</x:v>
      </x:c>
      <x:c r="L127" s="28" t="str">
        <x:v>The Art &amp; Science of Foodpairing.pdf: 215</x:v>
      </x:c>
    </x:row>
    <x:row r="128" ht="62" customHeight="1">
      <x:c r="A128" s="28" t="str">
        <x:v>CIT-0310</x:v>
      </x:c>
      <x:c r="B128" s="28" t="str">
        <x:v>кумкват</x:v>
      </x:c>
      <x:c r="C128" s="28" t="str">
        <x:v>чёрный перец</x:v>
      </x:c>
      <x:c r="D128" s="28" t="str">
        <x:v>Пряности</x:v>
      </x:c>
      <x:c r="E128" s="28" t="str">
        <x:v>общие ароматические молекулы, перекрытие ароматических семейств, вкусовой баланс, тройничное восприятие</x:v>
      </x:c>
      <x:c r="F128" s="28" t="str">
        <x:v>Кумкват формирует профиль «цитрусовый, фруктовый, цветочный, пряный»; характерные маркеры: лимонен, гамма-терпинен, метил-N-метилантранилат, линалол.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G12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8" s="28" t="str">
        <x:v>Избыток кислоты делает вкус плоско-резким; белая часть кожуры даёт лишнюю горечь.</x:v>
      </x:c>
      <x:c r="I128" s="28" t="str">
        <x:v>сироп, кордиал, чатни, маринад или пряный десерт</x:v>
      </x:c>
      <x:c r="J128" s="28" t="str">
        <x:v>Средняя</x:v>
      </x:c>
      <x:c r="K128" s="28" t="str">
        <x:v>The Art &amp; Science of Foodpairing.pdf</x:v>
      </x:c>
      <x:c r="L128" s="28" t="str">
        <x:v>The Art &amp; Science of Foodpairing.pdf: 215</x:v>
      </x:c>
    </x:row>
    <x:row r="129" ht="62" customHeight="1">
      <x:c r="A129" s="28" t="str">
        <x:v>CIT-0311</x:v>
      </x:c>
      <x:c r="B129" s="28" t="str">
        <x:v>кумкват</x:v>
      </x:c>
      <x:c r="C129" s="28" t="str">
        <x:v>яблоко</x:v>
      </x:c>
      <x:c r="D129" s="28" t="str">
        <x:v>Фрукты</x:v>
      </x:c>
      <x:c r="E129" s="28" t="str">
        <x:v>перекрытие ароматических семейств, вкусовой баланс</x:v>
      </x:c>
      <x:c r="F129" s="28" t="str">
        <x:v>Кумкват формирует профиль «цитрусовый, фруктовый, цветочный, пряный»; характерные маркеры: лимонен, гамма-терпинен, метил-N-метилантранилат, линалол.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Яблочные эфиры и зелёные альдегиды хорошо поддерживают свежий цитрус.</x:v>
      </x:c>
      <x:c r="G12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9" s="28" t="str">
        <x:v>Избыток кислоты делает вкус плоско-резким; белая часть кожуры даёт лишнюю горечь.</x:v>
      </x:c>
      <x:c r="I129" s="28" t="str">
        <x:v>лимонад, сорбет, компот, салат или фруктовый кордиал</x:v>
      </x:c>
      <x:c r="J129" s="28" t="str">
        <x:v>Гипотеза / практическая</x:v>
      </x:c>
      <x:c r="K129" s="28" t="str">
        <x:v>Таблица сочетания(1).pdf</x:v>
      </x:c>
      <x:c r="L129" s="28" t="str">
        <x:v>Таблица сочетания(1).pdf: 10</x:v>
      </x:c>
    </x:row>
    <x:row r="130" ht="62" customHeight="1">
      <x:c r="A130" s="28" t="str">
        <x:v>CIT-0312</x:v>
      </x:c>
      <x:c r="B130" s="28" t="str">
        <x:v>кумкват</x:v>
      </x:c>
      <x:c r="C130" s="28" t="str">
        <x:v>ягоды</x:v>
      </x:c>
      <x:c r="D130" s="28" t="str">
        <x:v>Ягоды/косточковые</x:v>
      </x:c>
      <x:c r="E130" s="28" t="str">
        <x:v>перекрытие ароматических семейств, вкусовой баланс</x:v>
      </x:c>
      <x:c r="F130" s="28" t="str">
        <x:v>Кумкват формирует профиль «цитрусовый, фруктовый, цветочный, пряный»; характерные маркеры: лимонен, гамма-терпинен, метил-N-метилантранилат, линалол.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13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0" s="28" t="str">
        <x:v>Избыток кислоты делает вкус плоско-резким; белая часть кожуры даёт лишнюю горечь.</x:v>
      </x:c>
      <x:c r="I130" s="28" t="str">
        <x:v>джем, сорбет, коктейль или соус</x:v>
      </x:c>
      <x:c r="J130" s="28" t="str">
        <x:v>Гипотеза / практическая</x:v>
      </x:c>
      <x:c r="K130" s="28" t="str">
        <x:v>Таблица сочетания(1).pdf</x:v>
      </x:c>
      <x:c r="L130" s="28" t="str">
        <x:v>Таблица сочетания(1).pdf: 10</x:v>
      </x:c>
    </x:row>
    <x:row r="131" ht="62" customHeight="1">
      <x:c r="A131" s="28" t="str">
        <x:v>CIT-0316</x:v>
      </x:c>
      <x:c r="B131" s="28" t="str">
        <x:v>лайм</x:v>
      </x:c>
      <x:c r="C131" s="28" t="str">
        <x:v>ананас</x:v>
      </x:c>
      <x:c r="D131" s="28" t="str">
        <x:v>Тропические фрукты</x:v>
      </x:c>
      <x:c r="E131" s="28" t="str">
        <x:v>вкусовой баланс</x:v>
      </x:c>
      <x:c r="F131" s="28" t="str">
        <x:v>Лайм формирует профиль «цитрусовый, зелёный, травяной, камфорный»; характерные маркеры: лимонен, гамма-терпинен, цитраль, бета-пинен, линалол. Ананас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3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1" s="28" t="str">
        <x:v>Избыток кислоты делает вкус плоско-резким; белая часть кожуры даёт лишнюю горечь.</x:v>
      </x:c>
      <x:c r="I131" s="28" t="str">
        <x:v>смузи, кордиал, сорбет, чатни или коктейль</x:v>
      </x:c>
      <x:c r="J131" s="28" t="str">
        <x:v>Гипотеза / практическая</x:v>
      </x:c>
      <x:c r="K131" s="28" t="str">
        <x:v>Таблица сочетания(1).pdf</x:v>
      </x:c>
      <x:c r="L131" s="28" t="str">
        <x:v>Таблица сочетания(1).pdf: 17</x:v>
      </x:c>
    </x:row>
    <x:row r="132" ht="62" customHeight="1">
      <x:c r="A132" s="28" t="str">
        <x:v>CIT-0322</x:v>
      </x:c>
      <x:c r="B132" s="28" t="str">
        <x:v>лайм</x:v>
      </x:c>
      <x:c r="C132" s="28" t="str">
        <x:v>аррак</x:v>
      </x:c>
      <x:c r="D132" s="28" t="str">
        <x:v>Алкогольные напитки</x:v>
      </x:c>
      <x:c r="E132" s="28" t="str">
        <x:v>вкусовой баланс, тройничное восприятие, влияние матрицы/растворимости</x:v>
      </x:c>
      <x:c r="F132" s="28" t="str">
        <x:v>Лайм формирует профиль «цитрусовый, зелёный, травяной, камфорный»; характерные маркеры: лимонен, гамма-терпинен, цитраль, бета-пинен, линалол. Аррак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Лаймовые цитрусы дают более зелёный и камфорный профиль, чем сладкий апельсин. Спирт извлекает цедру и усиливает ретроназальный выход терпенов; сахар и разбавление меняют баланс.</x:v>
      </x:c>
      <x:c r="G132"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32" s="28" t="str">
        <x:v>Избыток кислоты делает вкус плоско-резким; белая часть кожуры даёт лишнюю горечь.</x:v>
      </x:c>
      <x:c r="I132" s="28" t="str">
        <x:v>коктейль, спритц, настойка, ликёр или кордиал</x:v>
      </x:c>
      <x:c r="J132" s="28" t="str">
        <x:v>Средняя</x:v>
      </x:c>
      <x:c r="K132" s="28" t="str">
        <x:v>The Art &amp; Science of Foodpairing.pdf</x:v>
      </x:c>
      <x:c r="L132" s="28" t="str">
        <x:v>The Art &amp; Science of Foodpairing.pdf: 88</x:v>
      </x:c>
    </x:row>
    <x:row r="133" ht="62" customHeight="1">
      <x:c r="A133" s="28" t="str">
        <x:v>CIT-0324</x:v>
      </x:c>
      <x:c r="B133" s="28" t="str">
        <x:v>лайм</x:v>
      </x:c>
      <x:c r="C133" s="28" t="str">
        <x:v>базилик</x:v>
      </x:c>
      <x:c r="D133" s="28" t="str">
        <x:v>Травы</x:v>
      </x:c>
      <x:c r="E133" s="28" t="str">
        <x:v>общие ароматические молекулы, перекрытие ароматических семейств, вкусовой баланс</x:v>
      </x:c>
      <x:c r="F133" s="28" t="str">
        <x:v>Лайм формирует профиль «цитрусовый, зелёный, травяной, камфорный»; характерные маркеры: лимонен, гамма-терпинен, цитраль, бета-пинен,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зелёный.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Базилик и эстрагон могут связать цитрус с фруктами, томатом и сливочными матрицами.</x:v>
      </x:c>
      <x:c r="G13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3" s="28" t="str">
        <x:v>Избыток кислоты делает вкус плоско-резким; белая часть кожуры даёт лишнюю горечь; цитрус легко подавляет деликатный аромат партнёра.</x:v>
      </x:c>
      <x:c r="I133" s="28" t="str">
        <x:v>лимонад, кордиал, салатная заправка или зелёный соус</x:v>
      </x:c>
      <x:c r="J133" s="28" t="str">
        <x:v>Высокая</x:v>
      </x:c>
      <x:c r="K133" s="28" t="str">
        <x:v>Тезариус вкусов (Ники Сегнит)(1).pdf</x:v>
      </x:c>
      <x:c r="L133" s="28" t="str">
        <x:v>Тезариус вкусов (Ники Сегнит)(1).pdf: 567, 792</x:v>
      </x:c>
    </x:row>
    <x:row r="134" ht="62" customHeight="1">
      <x:c r="A134" s="28" t="str">
        <x:v>CIT-0325</x:v>
      </x:c>
      <x:c r="B134" s="28" t="str">
        <x:v>лайм</x:v>
      </x:c>
      <x:c r="C134" s="28" t="str">
        <x:v>банан</x:v>
      </x:c>
      <x:c r="D134" s="28" t="str">
        <x:v>Тропические фрукты</x:v>
      </x:c>
      <x:c r="E134" s="28" t="str">
        <x:v>вкусовой баланс</x:v>
      </x:c>
      <x:c r="F134" s="28" t="str">
        <x:v>Лайм формирует профиль «цитрусовый, зелёный, травяной, камфорный»; характерные маркеры: лимонен, гамма-терпинен, цитраль, бета-пинен, линалол. Банан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3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4" s="28" t="str">
        <x:v>Избыток кислоты делает вкус плоско-резким; белая часть кожуры даёт лишнюю горечь.</x:v>
      </x:c>
      <x:c r="I134" s="28" t="str">
        <x:v>смузи, кордиал, сорбет, чатни или коктейль</x:v>
      </x:c>
      <x:c r="J134" s="28" t="str">
        <x:v>Гипотеза / практическая</x:v>
      </x:c>
      <x:c r="K134" s="28" t="str">
        <x:v>Таблица сочетания(1).pdf</x:v>
      </x:c>
      <x:c r="L134" s="28" t="str">
        <x:v>Таблица сочетания(1).pdf: 2, 11</x:v>
      </x:c>
    </x:row>
    <x:row r="135" ht="62" customHeight="1">
      <x:c r="A135" s="28" t="str">
        <x:v>CIT-0326</x:v>
      </x:c>
      <x:c r="B135" s="28" t="str">
        <x:v>лайм</x:v>
      </x:c>
      <x:c r="C135" s="28" t="str">
        <x:v>банановый ликёр</x:v>
      </x:c>
      <x:c r="D135" s="28" t="str">
        <x:v>Тропические фрукты</x:v>
      </x:c>
      <x:c r="E135" s="28" t="str">
        <x:v>вкусовой баланс</x:v>
      </x:c>
      <x:c r="F135" s="28" t="str">
        <x:v>Лайм формирует профиль «цитрусовый, зелёный, травяной, камфорный»; характерные маркеры: лимонен, гамма-терпинен, цитраль, бета-пинен, линалол. Банановый ликёр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3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5" s="28" t="str">
        <x:v>Избыток кислоты делает вкус плоско-резким; белая часть кожуры даёт лишнюю горечь.</x:v>
      </x:c>
      <x:c r="I135" s="28" t="str">
        <x:v>смузи, кордиал, сорбет, чатни или коктейль</x:v>
      </x:c>
      <x:c r="J135" s="28" t="str">
        <x:v>Средняя</x:v>
      </x:c>
      <x:c r="K135" s="28" t="str">
        <x:v>The Art &amp; Science of Foodpairing.pdf</x:v>
      </x:c>
      <x:c r="L135" s="28" t="str">
        <x:v>The Art &amp; Science of Foodpairing.pdf: 88</x:v>
      </x:c>
    </x:row>
    <x:row r="136" ht="62" customHeight="1">
      <x:c r="A136" s="28" t="str">
        <x:v>CIT-0328</x:v>
      </x:c>
      <x:c r="B136" s="28" t="str">
        <x:v>лайм</x:v>
      </x:c>
      <x:c r="C136" s="28" t="str">
        <x:v>галангал</x:v>
      </x:c>
      <x:c r="D136" s="28" t="str">
        <x:v>Пряности</x:v>
      </x:c>
      <x:c r="E136" s="28" t="str">
        <x:v>общие ароматические молекулы, перекрытие ароматических семейств, вкусовой баланс, тройничное восприятие</x:v>
      </x:c>
      <x:c r="F136" s="28" t="str">
        <x:v>Лайм формирует профиль «цитрусовый, зелёный, травяной, камфорный»; характерные маркеры: лимонен, гамма-терпинен, цитраль, бета-пинен, линалол.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13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6" s="28" t="str">
        <x:v>Избыток кислоты делает вкус плоско-резким; белая часть кожуры даёт лишнюю горечь.</x:v>
      </x:c>
      <x:c r="I136" s="28" t="str">
        <x:v>сироп, кордиал, чатни, маринад или пряный десерт</x:v>
      </x:c>
      <x:c r="J136" s="28" t="str">
        <x:v>Средняя</x:v>
      </x:c>
      <x:c r="K136" s="28" t="str">
        <x:v>The Art &amp; Science of Foodpairing.pdf</x:v>
      </x:c>
      <x:c r="L136" s="28" t="str">
        <x:v>The Art &amp; Science of Foodpairing.pdf: 87</x:v>
      </x:c>
    </x:row>
    <x:row r="137" ht="62" customHeight="1">
      <x:c r="A137" s="28" t="str">
        <x:v>CIT-0329</x:v>
      </x:c>
      <x:c r="B137" s="28" t="str">
        <x:v>лайм</x:v>
      </x:c>
      <x:c r="C137" s="28" t="str">
        <x:v>гвоздика</x:v>
      </x:c>
      <x:c r="D137" s="28" t="str">
        <x:v>Пряности</x:v>
      </x:c>
      <x:c r="E137" s="28" t="str">
        <x:v>вкусовой баланс, тройничное восприятие</x:v>
      </x:c>
      <x:c r="F137" s="28" t="str">
        <x:v>Лайм формирует профиль «цитрусовый, зелёный, травяной, камфорный»; характерные маркеры: лимонен, гамма-терпинен, цитраль, бета-пинен, линалол.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Гвоздика очень интенсивна и легко доминирует.</x:v>
      </x:c>
      <x:c r="G13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7" s="28" t="str">
        <x:v>Избыток кислоты делает вкус плоско-резким; белая часть кожуры даёт лишнюю горечь.</x:v>
      </x:c>
      <x:c r="I137" s="28" t="str">
        <x:v>сироп, кордиал, чатни, маринад или пряный десерт</x:v>
      </x:c>
      <x:c r="J137" s="28" t="str">
        <x:v>Гипотеза / практическая</x:v>
      </x:c>
      <x:c r="K137" s="28" t="str">
        <x:v>Таблица сочетания(1).pdf</x:v>
      </x:c>
      <x:c r="L137" s="28" t="str">
        <x:v>Таблица сочетания(1).pdf: 5</x:v>
      </x:c>
    </x:row>
    <x:row r="138" ht="62" customHeight="1">
      <x:c r="A138" s="28" t="str">
        <x:v>CIT-0332</x:v>
      </x:c>
      <x:c r="B138" s="28" t="str">
        <x:v>лайм</x:v>
      </x:c>
      <x:c r="C138" s="28" t="str">
        <x:v>гуава</x:v>
      </x:c>
      <x:c r="D138" s="28" t="str">
        <x:v>Тропические фрукты</x:v>
      </x:c>
      <x:c r="E138" s="28" t="str">
        <x:v>вкусовой баланс</x:v>
      </x:c>
      <x:c r="F138" s="28" t="str">
        <x:v>Лайм формирует профиль «цитрусовый, зелёный, травяной, камфорный»; характерные маркеры: лимонен, гамма-терпинен, цитраль, бета-пинен, линалол. Гуава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3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8" s="28" t="str">
        <x:v>Избыток кислоты делает вкус плоско-резким; белая часть кожуры даёт лишнюю горечь.</x:v>
      </x:c>
      <x:c r="I138" s="28" t="str">
        <x:v>смузи, кордиал, сорбет, чатни или коктейль</x:v>
      </x:c>
      <x:c r="J138" s="28" t="str">
        <x:v>Гипотеза / практическая</x:v>
      </x:c>
      <x:c r="K138" s="28" t="str">
        <x:v>Таблица сочетания(1).pdf</x:v>
      </x:c>
      <x:c r="L138" s="28" t="str">
        <x:v>Таблица сочетания(1).pdf: 9, 12</x:v>
      </x:c>
    </x:row>
    <x:row r="139" ht="62" customHeight="1">
      <x:c r="A139" s="28" t="str">
        <x:v>CIT-0333</x:v>
      </x:c>
      <x:c r="B139" s="28" t="str">
        <x:v>лайм</x:v>
      </x:c>
      <x:c r="C139" s="28" t="str">
        <x:v>дуриан</x:v>
      </x:c>
      <x:c r="D139" s="28" t="str">
        <x:v>Тропические фрукты</x:v>
      </x:c>
      <x:c r="E139" s="28" t="str">
        <x:v>вкусовой баланс</x:v>
      </x:c>
      <x:c r="F139" s="28" t="str">
        <x:v>Лайм формирует профиль «цитрусовый, зелёный, травяной, камфорный»; характерные маркеры: лимонен, гамма-терпинен, цитраль, бета-пинен, линалол. Дуриан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3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9" s="28" t="str">
        <x:v>Избыток кислоты делает вкус плоско-резким; белая часть кожуры даёт лишнюю горечь.</x:v>
      </x:c>
      <x:c r="I139" s="28" t="str">
        <x:v>смузи, кордиал, сорбет, чатни или коктейль</x:v>
      </x:c>
      <x:c r="J139" s="28" t="str">
        <x:v>Гипотеза / практическая</x:v>
      </x:c>
      <x:c r="K139" s="28" t="str">
        <x:v>Таблица сочетания(1).pdf</x:v>
      </x:c>
      <x:c r="L139" s="28" t="str">
        <x:v>Таблица сочетания(1).pdf: 7</x:v>
      </x:c>
    </x:row>
    <x:row r="140" ht="62" customHeight="1">
      <x:c r="A140" s="28" t="str">
        <x:v>CIT-0336</x:v>
      </x:c>
      <x:c r="B140" s="28" t="str">
        <x:v>лайм</x:v>
      </x:c>
      <x:c r="C140" s="28" t="str">
        <x:v>имбирь</x:v>
      </x:c>
      <x:c r="D140" s="28" t="str">
        <x:v>Пряности</x:v>
      </x:c>
      <x:c r="E140" s="28" t="str">
        <x:v>общие ароматические молекулы, перекрытие ароматических семейств, вкусовой баланс, тройничное восприятие</x:v>
      </x:c>
      <x:c r="F140" s="28" t="str">
        <x:v>Лайм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14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0" s="28" t="str">
        <x:v>Избыток кислоты делает вкус плоско-резким; белая часть кожуры даёт лишнюю горечь.</x:v>
      </x:c>
      <x:c r="I140" s="28" t="str">
        <x:v>сироп, кордиал, чатни, маринад или пряный десерт</x:v>
      </x:c>
      <x:c r="J140" s="28" t="str">
        <x:v>Высокая</x:v>
      </x:c>
      <x:c r="K140" s="28" t="str">
        <x:v>Таблица сочетания(1).pdf | Тезариус вкусов (Ники Сегнит)(1).pdf</x:v>
      </x:c>
      <x:c r="L140" s="28" t="str">
        <x:v>Таблица сочетания(1).pdf: 8, 11 | Тезариус вкусов (Ники Сегнит)(1).pdf: 794, 817</x:v>
      </x:c>
    </x:row>
    <x:row r="141" ht="62" customHeight="1">
      <x:c r="A141" s="28" t="str">
        <x:v>CIT-0340</x:v>
      </x:c>
      <x:c r="B141" s="28" t="str">
        <x:v>лайм</x:v>
      </x:c>
      <x:c r="C141" s="28" t="str">
        <x:v>кардамон</x:v>
      </x:c>
      <x:c r="D141" s="28" t="str">
        <x:v>Пряности</x:v>
      </x:c>
      <x:c r="E141" s="28" t="str">
        <x:v>общие ароматические молекулы, перекрытие ароматических семейств, вкусовой баланс, тройничное восприятие</x:v>
      </x:c>
      <x:c r="F141" s="28" t="str">
        <x:v>Лайм формирует профиль «цитрусовый, зелёный, травяной, камфорный»; характерные маркеры: лимонен, гамма-терпинен, цитраль, бета-пинен, линалол.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камфорный,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Кардамон часто служит мостом между цитрусом, цветами и древесными нотами.</x:v>
      </x:c>
      <x:c r="G14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1" s="28" t="str">
        <x:v>Избыток кислоты делает вкус плоско-резким; белая часть кожуры даёт лишнюю горечь.</x:v>
      </x:c>
      <x:c r="I141" s="28" t="str">
        <x:v>сироп, кордиал, чатни, маринад или пряный десерт</x:v>
      </x:c>
      <x:c r="J141" s="28" t="str">
        <x:v>Средняя</x:v>
      </x:c>
      <x:c r="K141" s="28" t="str">
        <x:v>Таблица сочетания(1).pdf</x:v>
      </x:c>
      <x:c r="L141" s="28" t="str">
        <x:v>Таблица сочетания(1).pdf: 3, 11</x:v>
      </x:c>
    </x:row>
    <x:row r="142" ht="62" customHeight="1">
      <x:c r="A142" s="28" t="str">
        <x:v>CIT-0341</x:v>
      </x:c>
      <x:c r="B142" s="28" t="str">
        <x:v>лайм</x:v>
      </x:c>
      <x:c r="C142" s="28" t="str">
        <x:v>кашаса</x:v>
      </x:c>
      <x:c r="D142" s="28" t="str">
        <x:v>Алкогольные напитки</x:v>
      </x:c>
      <x:c r="E142" s="28" t="str">
        <x:v>вкусовой баланс, тройничное восприятие, влияние матрицы/растворимости</x:v>
      </x:c>
      <x:c r="F142" s="28" t="str">
        <x:v>Лайм формирует профиль «цитрусовый, зелёный, травяной, камфорный»; характерные маркеры: лимонен, гамма-терпинен, цитраль, бета-пинен, линалол. Кашаса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Лаймовые цитрусы дают более зелёный и камфорный профиль, чем сладкий апельсин. Спирт извлекает цедру и усиливает ретроназальный выход терпенов; сахар и разбавление меняют баланс.</x:v>
      </x:c>
      <x:c r="G142"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42" s="28" t="str">
        <x:v>Избыток кислоты делает вкус плоско-резким; белая часть кожуры даёт лишнюю горечь.</x:v>
      </x:c>
      <x:c r="I142" s="28" t="str">
        <x:v>коктейль, спритц, настойка, ликёр или кордиал</x:v>
      </x:c>
      <x:c r="J142" s="28" t="str">
        <x:v>Средняя</x:v>
      </x:c>
      <x:c r="K142" s="28" t="str">
        <x:v>The Art &amp; Science of Foodpairing.pdf</x:v>
      </x:c>
      <x:c r="L142" s="28" t="str">
        <x:v>The Art &amp; Science of Foodpairing.pdf: 87</x:v>
      </x:c>
    </x:row>
    <x:row r="143" ht="62" customHeight="1">
      <x:c r="A143" s="28" t="str">
        <x:v>CIT-0343</x:v>
      </x:c>
      <x:c r="B143" s="28" t="str">
        <x:v>лайм</x:v>
      </x:c>
      <x:c r="C143" s="28" t="str">
        <x:v>кокос</x:v>
      </x:c>
      <x:c r="D143" s="28" t="str">
        <x:v>Тропические плоды</x:v>
      </x:c>
      <x:c r="E143" s="28" t="str">
        <x:v>вкусовой баланс</x:v>
      </x:c>
      <x:c r="F143" s="28" t="str">
        <x:v>Лайм формирует профиль «цитрусовый, зелёный, травяной, камфорный»; характерные маркеры: лимонен, гамма-терпинен, цитраль, бета-пинен, линалол. Кокос относится к группе «тропические плоды» и даёт ноты «сливочный, кокосовый, восковой, ореховый».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Кокос округляет кислотность и продлевает цитрусовый аромат.</x:v>
      </x:c>
      <x:c r="G14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43" s="28" t="str">
        <x:v>Избыток кислоты делает вкус плоско-резким; белая часть кожуры даёт лишнюю горечь.</x:v>
      </x:c>
      <x:c r="I143" s="28" t="str">
        <x:v>коктейль, крем, сорбет или соус</x:v>
      </x:c>
      <x:c r="J143" s="28" t="str">
        <x:v>Высокая</x:v>
      </x:c>
      <x:c r="K143" s="28" t="str">
        <x:v>Тезариус вкусов (Ники Сегнит)(1).pdf</x:v>
      </x:c>
      <x:c r="L143" s="28" t="str">
        <x:v>Тезариус вкусов (Ники Сегнит)(1).pdf: 757, 794</x:v>
      </x:c>
    </x:row>
    <x:row r="144" ht="62" customHeight="1">
      <x:c r="A144" s="28" t="str">
        <x:v>CIT-0344</x:v>
      </x:c>
      <x:c r="B144" s="28" t="str">
        <x:v>лайм</x:v>
      </x:c>
      <x:c r="C144" s="28" t="str">
        <x:v>кориандр</x:v>
      </x:c>
      <x:c r="D144" s="28" t="str">
        <x:v>Травы/пряности</x:v>
      </x:c>
      <x:c r="E144" s="28" t="str">
        <x:v>общие ароматические молекулы, перекрытие ароматических семейств, вкусовой баланс</x:v>
      </x:c>
      <x:c r="F144" s="28" t="str">
        <x:v>Лайм формирует профиль «цитрусовый, зелёный, травяной, камфорный»; характерные маркеры: лимонен, гамма-терпинен, цитраль, бета-пинен, линалол. Кориандр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G14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4" s="28" t="str">
        <x:v>Избыток кислоты делает вкус плоско-резким; белая часть кожуры даёт лишнюю горечь; цитрус легко подавляет деликатный аромат партнёра.</x:v>
      </x:c>
      <x:c r="I144" s="28" t="str">
        <x:v>лимонад, кордиал, маринад или пряный соус</x:v>
      </x:c>
      <x:c r="J144" s="28" t="str">
        <x:v>Средняя</x:v>
      </x:c>
      <x:c r="K144" s="28" t="str">
        <x:v>Таблица сочетания(1).pdf</x:v>
      </x:c>
      <x:c r="L144" s="28" t="str">
        <x:v>Таблица сочетания(1).pdf: 6</x:v>
      </x:c>
    </x:row>
    <x:row r="145" ht="62" customHeight="1">
      <x:c r="A145" s="28" t="str">
        <x:v>CIT-0345</x:v>
      </x:c>
      <x:c r="B145" s="28" t="str">
        <x:v>лайм</x:v>
      </x:c>
      <x:c r="C145" s="28" t="str">
        <x:v>корица</x:v>
      </x:c>
      <x:c r="D145" s="28" t="str">
        <x:v>Пряности</x:v>
      </x:c>
      <x:c r="E145" s="28" t="str">
        <x:v>вкусовой баланс, тройничное восприятие</x:v>
      </x:c>
      <x:c r="F145" s="28" t="str">
        <x:v>Лайм формирует профиль «цитрусовый, зелёный, травяной, камфорный»; характерные маркеры: лимонен, гамма-терпинен, цитраль, бета-пинен,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Корица добавляет тёплый низкий регистр и усиливает впечатление сладости.</x:v>
      </x:c>
      <x:c r="G14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5" s="28" t="str">
        <x:v>Избыток кислоты делает вкус плоско-резким; белая часть кожуры даёт лишнюю горечь.</x:v>
      </x:c>
      <x:c r="I145" s="28" t="str">
        <x:v>сироп, кордиал, чатни, маринад или пряный десерт</x:v>
      </x:c>
      <x:c r="J145" s="28" t="str">
        <x:v>Высокая</x:v>
      </x:c>
      <x:c r="K145" s="28" t="str">
        <x:v>Таблица сочетания(1).pdf | Тезариус вкусов (Ники Сегнит)(1).pdf</x:v>
      </x:c>
      <x:c r="L145" s="28" t="str">
        <x:v>Таблица сочетания(1).pdf: 5, 11 | Тезариус вкусов (Ники Сегнит)(1).pdf: 577, 795</x:v>
      </x:c>
    </x:row>
    <x:row r="146" ht="62" customHeight="1">
      <x:c r="A146" s="28" t="str">
        <x:v>CIT-0348</x:v>
      </x:c>
      <x:c r="B146" s="28" t="str">
        <x:v>лайм</x:v>
      </x:c>
      <x:c r="C146" s="28" t="str">
        <x:v>ликёр</x:v>
      </x:c>
      <x:c r="D146" s="28" t="str">
        <x:v>Алкогольные напитки</x:v>
      </x:c>
      <x:c r="E146" s="28" t="str">
        <x:v>вкусовой баланс, тройничное восприятие, влияние матрицы/растворимости</x:v>
      </x:c>
      <x:c r="F146" s="28" t="str">
        <x:v>Лайм формирует профиль «цитрусовый, зелёный, травяной, камфорный»; характерные маркеры: лимонен, гамма-терпинен, цитраль, бета-пинен, линалол. Ликёр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Лаймовые цитрусы дают более зелёный и камфорный профиль, чем сладкий апельсин. Спирт извлекает цедру и усиливает ретроназальный выход терпенов; сахар и разбавление меняют баланс.</x:v>
      </x:c>
      <x:c r="G146"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46" s="28" t="str">
        <x:v>Избыток кислоты делает вкус плоско-резким; белая часть кожуры даёт лишнюю горечь.</x:v>
      </x:c>
      <x:c r="I146" s="28" t="str">
        <x:v>коктейль, спритц, настойка, ликёр или кордиал</x:v>
      </x:c>
      <x:c r="J146" s="28" t="str">
        <x:v>Средняя</x:v>
      </x:c>
      <x:c r="K146" s="28" t="str">
        <x:v>The Art &amp; Science of Foodpairing.pdf</x:v>
      </x:c>
      <x:c r="L146" s="28" t="str">
        <x:v>The Art &amp; Science of Foodpairing.pdf: 123</x:v>
      </x:c>
    </x:row>
    <x:row r="147" ht="62" customHeight="1">
      <x:c r="A147" s="28" t="str">
        <x:v>CIT-0349</x:v>
      </x:c>
      <x:c r="B147" s="28" t="str">
        <x:v>лайм</x:v>
      </x:c>
      <x:c r="C147" s="28" t="str">
        <x:v>лимон</x:v>
      </x:c>
      <x:c r="D147" s="28" t="str">
        <x:v>Цитрусовые</x:v>
      </x:c>
      <x:c r="E147" s="28" t="str">
        <x:v>общие ароматические молекулы, перекрытие ароматических семейств, вкусовой баланс, тройничное восприятие</x:v>
      </x:c>
      <x:c r="F147" s="28" t="str">
        <x:v>Лайм формирует профиль «цитрусовый, зелёный, травяной, камфорный»; характерные маркеры: лимонен, гамма-терпинен, цитраль, бета-пинен, линалол. Лимон относится к группе «цитрусовые» и даёт ноты «цитрусовый, свежий, цветочный, древесный».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Сок определяется цитралем и кислотностью, цедра — лимоненом и терпенами.</x:v>
      </x:c>
      <x:c r="G14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47" s="28" t="str">
        <x:v>Избыток кислоты делает вкус плоско-резким; белая часть кожуры даёт лишнюю горечь.</x:v>
      </x:c>
      <x:c r="I147" s="28" t="str">
        <x:v>цитрусовый кордиал, мармелад, сорбет, салат или купаж соков</x:v>
      </x:c>
      <x:c r="J147" s="28" t="str">
        <x:v>Высокая</x:v>
      </x:c>
      <x:c r="K147" s="28" t="str">
        <x:v>Таблица сочетания(1).pdf | Тезариус вкусов (Ники Сегнит)(1).pdf</x:v>
      </x:c>
      <x:c r="L147" s="28" t="str">
        <x:v>Таблица сочетания(1).pdf: 11, 12 | Тезариус вкусов (Ники Сегнит)(1).pdf: 795, 804</x:v>
      </x:c>
    </x:row>
    <x:row r="148" ht="62" customHeight="1">
      <x:c r="A148" s="28" t="str">
        <x:v>CIT-0350</x:v>
      </x:c>
      <x:c r="B148" s="28" t="str">
        <x:v>лайм</x:v>
      </x:c>
      <x:c r="C148" s="28" t="str">
        <x:v>листья кориандра</x:v>
      </x:c>
      <x:c r="D148" s="28" t="str">
        <x:v>Травы/пряности</x:v>
      </x:c>
      <x:c r="E148" s="28" t="str">
        <x:v>общие ароматические молекулы, перекрытие ароматических семейств, вкусовой баланс</x:v>
      </x:c>
      <x:c r="F148" s="28" t="str">
        <x:v>Лайм формирует профиль «цитрусовый, зелёный, травяной, камфорный»; характерные маркеры: лимонен, гамма-терпинен, цитраль, бета-пинен, линалол. Листья кориандра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G14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8" s="28" t="str">
        <x:v>Избыток кислоты делает вкус плоско-резким; белая часть кожуры даёт лишнюю горечь; цитрус легко подавляет деликатный аромат партнёра.</x:v>
      </x:c>
      <x:c r="I148" s="28" t="str">
        <x:v>лимонад, кордиал, маринад или пряный соус</x:v>
      </x:c>
      <x:c r="J148" s="28" t="str">
        <x:v>Высокая</x:v>
      </x:c>
      <x:c r="K148" s="28" t="str">
        <x:v>Тезариус вкусов (Ники Сегнит)(1).pdf</x:v>
      </x:c>
      <x:c r="L148" s="28" t="str">
        <x:v>Тезариус вкусов (Ники Сегнит)(1).pdf: 521, 795</x:v>
      </x:c>
    </x:row>
    <x:row r="149" ht="62" customHeight="1">
      <x:c r="A149" s="28" t="str">
        <x:v>CIT-0351</x:v>
      </x:c>
      <x:c r="B149" s="28" t="str">
        <x:v>лайм</x:v>
      </x:c>
      <x:c r="C149" s="28" t="str">
        <x:v>личи</x:v>
      </x:c>
      <x:c r="D149" s="28" t="str">
        <x:v>Тропические фрукты</x:v>
      </x:c>
      <x:c r="E149" s="28" t="str">
        <x:v>вкусовой баланс</x:v>
      </x:c>
      <x:c r="F149" s="28" t="str">
        <x:v>Лайм формирует профиль «цитрусовый, зелёный, травяной, камфорный»; характерные маркеры: лимонен, гамма-терпинен, цитраль, бета-пинен, линалол. Личи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4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49" s="28" t="str">
        <x:v>Избыток кислоты делает вкус плоско-резким; белая часть кожуры даёт лишнюю горечь.</x:v>
      </x:c>
      <x:c r="I149" s="28" t="str">
        <x:v>смузи, кордиал, сорбет, чатни или коктейль</x:v>
      </x:c>
      <x:c r="J149" s="28" t="str">
        <x:v>Гипотеза / практическая</x:v>
      </x:c>
      <x:c r="K149" s="28" t="str">
        <x:v>Таблица сочетания(1).pdf</x:v>
      </x:c>
      <x:c r="L149" s="28" t="str">
        <x:v>Таблица сочетания(1).pdf: 12</x:v>
      </x:c>
    </x:row>
    <x:row r="150" ht="62" customHeight="1">
      <x:c r="A150" s="28" t="str">
        <x:v>CIT-0352</x:v>
      </x:c>
      <x:c r="B150" s="28" t="str">
        <x:v>лайм</x:v>
      </x:c>
      <x:c r="C150" s="28" t="str">
        <x:v>манго</x:v>
      </x:c>
      <x:c r="D150" s="28" t="str">
        <x:v>Тропические фрукты</x:v>
      </x:c>
      <x:c r="E150" s="28" t="str">
        <x:v>вкусовой баланс</x:v>
      </x:c>
      <x:c r="F150" s="28" t="str">
        <x:v>Лайм формирует профиль «цитрусовый, зелёный, травяной, камфорный»; характерные маркеры: лимонен, гамма-терпинен, цитраль, бета-пинен, линалол. Манго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5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50" s="28" t="str">
        <x:v>Избыток кислоты делает вкус плоско-резким; белая часть кожуры даёт лишнюю горечь.</x:v>
      </x:c>
      <x:c r="I150" s="28" t="str">
        <x:v>смузи, кордиал, сорбет, чатни или коктейль</x:v>
      </x:c>
      <x:c r="J150" s="28" t="str">
        <x:v>Высокая</x:v>
      </x:c>
      <x:c r="K150" s="28" t="str">
        <x:v>Таблица сочетания(1).pdf | Тезариус вкусов (Ники Сегнит)(1).pdf</x:v>
      </x:c>
      <x:c r="L150" s="28" t="str">
        <x:v>Таблица сочетания(1).pdf: 12, 13 | Тезариус вкусов (Ники Сегнит)(1).pdf: 765, 795</x:v>
      </x:c>
    </x:row>
    <x:row r="151" ht="62" customHeight="1">
      <x:c r="A151" s="28" t="str">
        <x:v>CIT-0353</x:v>
      </x:c>
      <x:c r="B151" s="28" t="str">
        <x:v>лайм</x:v>
      </x:c>
      <x:c r="C151" s="28" t="str">
        <x:v>манго Альфонсо</x:v>
      </x:c>
      <x:c r="D151" s="28" t="str">
        <x:v>Тропические фрукты</x:v>
      </x:c>
      <x:c r="E151" s="28" t="str">
        <x:v>вкусовой баланс</x:v>
      </x:c>
      <x:c r="F151" s="28" t="str">
        <x:v>Лайм формирует профиль «цитрусовый, зелёный, травяной, камфорный»; характерные маркеры: лимонен, гамма-терпинен, цитраль, бета-пинен, линалол. Манго альфонсо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5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51" s="28" t="str">
        <x:v>Избыток кислоты делает вкус плоско-резким; белая часть кожуры даёт лишнюю горечь.</x:v>
      </x:c>
      <x:c r="I151" s="28" t="str">
        <x:v>смузи, кордиал, сорбет, чатни или коктейль</x:v>
      </x:c>
      <x:c r="J151" s="28" t="str">
        <x:v>Средняя</x:v>
      </x:c>
      <x:c r="K151" s="28" t="str">
        <x:v>The Art &amp; Science of Foodpairing.pdf</x:v>
      </x:c>
      <x:c r="L151" s="28" t="str">
        <x:v>The Art &amp; Science of Foodpairing.pdf: 87</x:v>
      </x:c>
    </x:row>
    <x:row r="152" ht="62" customHeight="1">
      <x:c r="A152" s="28" t="str">
        <x:v>CIT-0358</x:v>
      </x:c>
      <x:c r="B152" s="28" t="str">
        <x:v>лайм</x:v>
      </x:c>
      <x:c r="C152" s="28" t="str">
        <x:v>мята</x:v>
      </x:c>
      <x:c r="D152" s="28" t="str">
        <x:v>Травы</x:v>
      </x:c>
      <x:c r="E152" s="28" t="str">
        <x:v>перекрытие ароматических семейств, вкусовой баланс, тройничное восприятие</x:v>
      </x:c>
      <x:c r="F152" s="28" t="str">
        <x:v>Лайм формирует профиль «цитрусовый, зелёный, травяной, камфорный»; характерные маркеры: лимонен, гамма-терпинен, цитраль, бета-пинен, линалол.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Мята усиливает воспринимаемую прохладу и кислотную свежесть.</x:v>
      </x:c>
      <x:c r="G15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2" s="28" t="str">
        <x:v>Избыток кислоты делает вкус плоско-резким; белая часть кожуры даёт лишнюю горечь; цитрус легко подавляет деликатный аромат партнёра.</x:v>
      </x:c>
      <x:c r="I152" s="28" t="str">
        <x:v>лимонад, кордиал, салатная заправка или зелёный соус</x:v>
      </x:c>
      <x:c r="J152" s="28" t="str">
        <x:v>Высокая</x:v>
      </x:c>
      <x:c r="K152" s="28" t="str">
        <x:v>Таблица сочетания(1).pdf | Тезариус вкусов (Ники Сегнит)(1).pdf</x:v>
      </x:c>
      <x:c r="L152" s="28" t="str">
        <x:v>Таблица сочетания(1).pdf: 12, 13 | Тезариус вкусов (Ники Сегнит)(1).pdf: 795, 868</x:v>
      </x:c>
    </x:row>
    <x:row r="153" ht="62" customHeight="1">
      <x:c r="A153" s="28" t="str">
        <x:v>CIT-0360</x:v>
      </x:c>
      <x:c r="B153" s="28" t="str">
        <x:v>лайм</x:v>
      </x:c>
      <x:c r="C153" s="28" t="str">
        <x:v>папайя</x:v>
      </x:c>
      <x:c r="D153" s="28" t="str">
        <x:v>Тропические фрукты</x:v>
      </x:c>
      <x:c r="E153" s="28" t="str">
        <x:v>вкусовой баланс</x:v>
      </x:c>
      <x:c r="F153" s="28" t="str">
        <x:v>Лайм формирует профиль «цитрусовый, зелёный, травяной, камфорный»; характерные маркеры: лимонен, гамма-терпинен, цитраль, бета-пинен, линалол. Папайя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5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53" s="28" t="str">
        <x:v>Избыток кислоты делает вкус плоско-резким; белая часть кожуры даёт лишнюю горечь.</x:v>
      </x:c>
      <x:c r="I153" s="28" t="str">
        <x:v>смузи, кордиал, сорбет, чатни или коктейль</x:v>
      </x:c>
      <x:c r="J153" s="28" t="str">
        <x:v>Гипотеза / практическая</x:v>
      </x:c>
      <x:c r="K153" s="28" t="str">
        <x:v>Таблица сочетания(1).pdf</x:v>
      </x:c>
      <x:c r="L153" s="28" t="str">
        <x:v>Таблица сочетания(1).pdf: 12, 15</x:v>
      </x:c>
    </x:row>
    <x:row r="154" ht="62" customHeight="1">
      <x:c r="A154" s="28" t="str">
        <x:v>CIT-0361</x:v>
      </x:c>
      <x:c r="B154" s="28" t="str">
        <x:v>лайм</x:v>
      </x:c>
      <x:c r="C154" s="28" t="str">
        <x:v>перец</x:v>
      </x:c>
      <x:c r="D154" s="28" t="str">
        <x:v>Пряности</x:v>
      </x:c>
      <x:c r="E154" s="28" t="str">
        <x:v>общие ароматические молекулы, перекрытие ароматических семейств, вкусовой баланс, тройничное восприятие</x:v>
      </x:c>
      <x:c r="F154" s="28" t="str">
        <x:v>Лайм формирует профиль «цитрусовый, зелёный, травяной, камфорный»; характерные маркеры: лимонен, гамма-терпинен, цитраль, бета-пинен, линалол.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Перец добавляет сухую пряность и усиливает яркость цедры.</x:v>
      </x:c>
      <x:c r="G15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4" s="28" t="str">
        <x:v>Избыток кислоты делает вкус плоско-резким; белая часть кожуры даёт лишнюю горечь.</x:v>
      </x:c>
      <x:c r="I154" s="28" t="str">
        <x:v>сироп, кордиал, чатни, маринад или пряный десерт</x:v>
      </x:c>
      <x:c r="J154" s="28" t="str">
        <x:v>Средняя</x:v>
      </x:c>
      <x:c r="K154" s="28" t="str">
        <x:v>Таблица сочетания(1).pdf</x:v>
      </x:c>
      <x:c r="L154" s="28" t="str">
        <x:v>Таблица сочетания(1).pdf: 16</x:v>
      </x:c>
    </x:row>
    <x:row r="155" ht="62" customHeight="1">
      <x:c r="A155" s="28" t="str">
        <x:v>CIT-0366</x:v>
      </x:c>
      <x:c r="B155" s="28" t="str">
        <x:v>лайм</x:v>
      </x:c>
      <x:c r="C155" s="28" t="str">
        <x:v>розмарин</x:v>
      </x:c>
      <x:c r="D155" s="28" t="str">
        <x:v>Травы</x:v>
      </x:c>
      <x:c r="E155" s="28" t="str">
        <x:v>перекрытие ароматических семейств, вкусовой баланс, тройничное восприятие</x:v>
      </x:c>
      <x:c r="F155" s="28" t="str">
        <x:v>Лайм формирует профиль «цитрусовый, зелёный, травяной, камфорный»; характерные маркеры: лимонен, гамма-терпинен, цитраль, бета-пинен, линалол.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5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5" s="28" t="str">
        <x:v>Избыток кислоты делает вкус плоско-резким; белая часть кожуры даёт лишнюю горечь; цитрус легко подавляет деликатный аромат партнёра.</x:v>
      </x:c>
      <x:c r="I155" s="28" t="str">
        <x:v>лимонад, кордиал, салатная заправка или зелёный соус</x:v>
      </x:c>
      <x:c r="J155" s="28" t="str">
        <x:v>Гипотеза / практическая</x:v>
      </x:c>
      <x:c r="K155" s="28" t="str">
        <x:v>Таблица сочетания(1).pdf</x:v>
      </x:c>
      <x:c r="L155" s="28" t="str">
        <x:v>Таблица сочетания(1).pdf: 12, 19</x:v>
      </x:c>
    </x:row>
    <x:row r="156" ht="62" customHeight="1">
      <x:c r="A156" s="28" t="str">
        <x:v>CIT-0368</x:v>
      </x:c>
      <x:c r="B156" s="28" t="str">
        <x:v>лайм</x:v>
      </x:c>
      <x:c r="C156" s="28" t="str">
        <x:v>сок лайма</x:v>
      </x:c>
      <x:c r="D156" s="28" t="str">
        <x:v>Цитрусовые</x:v>
      </x:c>
      <x:c r="E156" s="28" t="str">
        <x:v>общие ароматические молекулы, перекрытие ароматических семейств, вкусовой баланс, тройничное восприятие</x:v>
      </x:c>
      <x:c r="F156" s="28" t="str">
        <x:v>Лайм формирует профиль «цитрусовый, зелёный, травяной, камфорный»; характерные маркеры: лимонен, гамма-терпинен, цитраль, бета-пинен, линалол. Сок лайма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линалол, цитраль; дополнительно совпадают ароматические семейства: зелёный, камфорный, травяной,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Лаймовые цитрусы дают более зелёный и камфорный профиль, чем сладкий апельсин.</x:v>
      </x:c>
      <x:c r="G15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56" s="28" t="str">
        <x:v>Избыток кислоты делает вкус плоско-резким; белая часть кожуры даёт лишнюю горечь.</x:v>
      </x:c>
      <x:c r="I156" s="28" t="str">
        <x:v>цитрусовый кордиал, мармелад, сорбет, салат или купаж соков</x:v>
      </x:c>
      <x:c r="J156" s="28" t="str">
        <x:v>Средняя</x:v>
      </x:c>
      <x:c r="K156" s="28" t="str">
        <x:v>The Art &amp; Science of Foodpairing.pdf</x:v>
      </x:c>
      <x:c r="L156" s="28" t="str">
        <x:v>The Art &amp; Science of Foodpairing.pdf: 87</x:v>
      </x:c>
    </x:row>
    <x:row r="157" ht="62" customHeight="1">
      <x:c r="A157" s="28" t="str">
        <x:v>CIT-0369</x:v>
      </x:c>
      <x:c r="B157" s="28" t="str">
        <x:v>лайм</x:v>
      </x:c>
      <x:c r="C157" s="28" t="str">
        <x:v>сушёный орегано</x:v>
      </x:c>
      <x:c r="D157" s="28" t="str">
        <x:v>Травы</x:v>
      </x:c>
      <x:c r="E157" s="28" t="str">
        <x:v>перекрытие ароматических семейств, вкусовой баланс, тройничное восприятие</x:v>
      </x:c>
      <x:c r="F157" s="28" t="str">
        <x:v>Лайм формирует профиль «цитрусовый, зелёный, травяной, камфорный»; характерные маркеры: лимонен, гамма-терпинен, цитраль, бета-пинен, линалол.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5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7" s="28" t="str">
        <x:v>Избыток кислоты делает вкус плоско-резким; белая часть кожуры даёт лишнюю горечь; цитрус легко подавляет деликатный аромат партнёра.</x:v>
      </x:c>
      <x:c r="I157" s="28" t="str">
        <x:v>лимонад, кордиал, салатная заправка или зелёный соус</x:v>
      </x:c>
      <x:c r="J157" s="28" t="str">
        <x:v>Средняя</x:v>
      </x:c>
      <x:c r="K157" s="28" t="str">
        <x:v>The Art &amp; Science of Foodpairing.pdf</x:v>
      </x:c>
      <x:c r="L157" s="28" t="str">
        <x:v>The Art &amp; Science of Foodpairing.pdf: 87</x:v>
      </x:c>
    </x:row>
    <x:row r="158" ht="62" customHeight="1">
      <x:c r="A158" s="28" t="str">
        <x:v>CIT-0371</x:v>
      </x:c>
      <x:c r="B158" s="28" t="str">
        <x:v>лайм</x:v>
      </x:c>
      <x:c r="C158" s="28" t="str">
        <x:v>тимьян</x:v>
      </x:c>
      <x:c r="D158" s="28" t="str">
        <x:v>Травы</x:v>
      </x:c>
      <x:c r="E158" s="28" t="str">
        <x:v>перекрытие ароматических семейств, вкусовой баланс, тройничное восприятие</x:v>
      </x:c>
      <x:c r="F158" s="28" t="str">
        <x:v>Лайм формирует профиль «цитрусовый, зелёный, травяной, камфорный»; характерные маркеры: лимонен, гамма-терпинен, цитраль, бета-пинен, линалол.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5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8" s="28" t="str">
        <x:v>Избыток кислоты делает вкус плоско-резким; белая часть кожуры даёт лишнюю горечь; цитрус легко подавляет деликатный аромат партнёра.</x:v>
      </x:c>
      <x:c r="I158" s="28" t="str">
        <x:v>лимонад, кордиал, салатная заправка или зелёный соус</x:v>
      </x:c>
      <x:c r="J158" s="28" t="str">
        <x:v>Гипотеза / практическая</x:v>
      </x:c>
      <x:c r="K158" s="28" t="str">
        <x:v>Таблица сочетания(1).pdf</x:v>
      </x:c>
      <x:c r="L158" s="28" t="str">
        <x:v>Таблица сочетания(1).pdf: 12</x:v>
      </x:c>
    </x:row>
    <x:row r="159" ht="62" customHeight="1">
      <x:c r="A159" s="28" t="str">
        <x:v>CIT-0380</x:v>
      </x:c>
      <x:c r="B159" s="28" t="str">
        <x:v>лайм</x:v>
      </x:c>
      <x:c r="C159" s="28" t="str">
        <x:v>чили</x:v>
      </x:c>
      <x:c r="D159" s="28" t="str">
        <x:v>Пряности</x:v>
      </x:c>
      <x:c r="E159" s="28" t="str">
        <x:v>перекрытие ароматических семейств, вкусовой баланс, тройничное восприятие</x:v>
      </x:c>
      <x:c r="F159" s="28" t="str">
        <x:v>Лайм формирует профиль «цитрусовый, зелёный, травяной, камфорный»; характерные маркеры: лимонен, гамма-терпинен, цитраль, бета-пинен, линалол. Чили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G15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9"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59" s="28" t="str">
        <x:v>сироп, кордиал, чатни, маринад или пряный десерт</x:v>
      </x:c>
      <x:c r="J159" s="28" t="str">
        <x:v>Высокая</x:v>
      </x:c>
      <x:c r="K159" s="28" t="str">
        <x:v>Таблица сочетания(1).pdf | Тезариус вкусов (Ники Сегнит)(1).pdf</x:v>
      </x:c>
      <x:c r="L159" s="28" t="str">
        <x:v>Таблица сочетания(1).pdf: 11 | Тезариус вкусов (Ники Сегнит)(1).pdf: 556</x:v>
      </x:c>
    </x:row>
    <x:row r="160" ht="62" customHeight="1">
      <x:c r="A160" s="28" t="str">
        <x:v>CIT-0381</x:v>
      </x:c>
      <x:c r="B160" s="28" t="str">
        <x:v>лайм</x:v>
      </x:c>
      <x:c r="C160" s="28" t="str">
        <x:v>чили (перцы)</x:v>
      </x:c>
      <x:c r="D160" s="28" t="str">
        <x:v>Пряности</x:v>
      </x:c>
      <x:c r="E160" s="28" t="str">
        <x:v>перекрытие ароматических семейств, вкусовой баланс, тройничное восприятие</x:v>
      </x:c>
      <x:c r="F160" s="28" t="str">
        <x:v>Лайм формирует профиль «цитрусовый, зелёный, травяной, камфорный»; характерные маркеры: лимонен, гамма-терпинен, цитраль, бета-пинен, линалол. Чили (перцы)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G16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0"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60" s="28" t="str">
        <x:v>сироп, кордиал, чатни, маринад или пряный десерт</x:v>
      </x:c>
      <x:c r="J160" s="28" t="str">
        <x:v>Гипотеза / практическая</x:v>
      </x:c>
      <x:c r="K160" s="28" t="str">
        <x:v>Таблица сочетания(1).pdf</x:v>
      </x:c>
      <x:c r="L160" s="28" t="str">
        <x:v>Таблица сочетания(1).pdf: 5</x:v>
      </x:c>
    </x:row>
    <x:row r="161" ht="62" customHeight="1">
      <x:c r="A161" s="28" t="str">
        <x:v>CIT-0382</x:v>
      </x:c>
      <x:c r="B161" s="28" t="str">
        <x:v>лайм</x:v>
      </x:c>
      <x:c r="C161" s="28" t="str">
        <x:v>чили – это Диего Ривера и Фрида Кало</x:v>
      </x:c>
      <x:c r="D161" s="28" t="str">
        <x:v>Пряности</x:v>
      </x:c>
      <x:c r="E161" s="28" t="str">
        <x:v>перекрытие ароматических семейств, вкусовой баланс, тройничное восприятие</x:v>
      </x:c>
      <x:c r="F161" s="28" t="str">
        <x:v>Лайм формирует профиль «цитрусовый, зелёный, травяной, камфорный»; характерные маркеры: лимонен, гамма-терпинен, цитраль, бета-пинен, линалол. Чили – это диего ривера и фрида кало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G16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1"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61" s="28" t="str">
        <x:v>сироп, кордиал, чатни, маринад или пряный десерт</x:v>
      </x:c>
      <x:c r="J161" s="28" t="str">
        <x:v>Высокая</x:v>
      </x:c>
      <x:c r="K161" s="28" t="str">
        <x:v>Тезариус вкусов (Ники Сегнит)(1).pdf</x:v>
      </x:c>
      <x:c r="L161" s="28" t="str">
        <x:v>Тезариус вкусов (Ники Сегнит)(1).pdf: 797</x:v>
      </x:c>
    </x:row>
    <x:row r="162" ht="62" customHeight="1">
      <x:c r="A162" s="28" t="str">
        <x:v>CIT-0383</x:v>
      </x:c>
      <x:c r="B162" s="28" t="str">
        <x:v>лайм</x:v>
      </x:c>
      <x:c r="C162" s="28" t="str">
        <x:v>шалфей</x:v>
      </x:c>
      <x:c r="D162" s="28" t="str">
        <x:v>Травы</x:v>
      </x:c>
      <x:c r="E162" s="28" t="str">
        <x:v>перекрытие ароматических семейств, вкусовой баланс, тройничное восприятие</x:v>
      </x:c>
      <x:c r="F162" s="28" t="str">
        <x:v>Лайм формирует профиль «цитрусовый, зелёный, травяной, камфорный»; характерные маркеры: лимонен, гамма-терпинен, цитраль, бета-пинен, линалол. Шалфей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6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2" s="28" t="str">
        <x:v>Избыток кислоты делает вкус плоско-резким; белая часть кожуры даёт лишнюю горечь; цитрус легко подавляет деликатный аромат партнёра.</x:v>
      </x:c>
      <x:c r="I162" s="28" t="str">
        <x:v>лимонад, кордиал, салатная заправка или зелёный соус</x:v>
      </x:c>
      <x:c r="J162" s="28" t="str">
        <x:v>Гипотеза / практическая</x:v>
      </x:c>
      <x:c r="K162" s="28" t="str">
        <x:v>Таблица сочетания(1).pdf</x:v>
      </x:c>
      <x:c r="L162" s="28" t="str">
        <x:v>Таблица сочетания(1).pdf: 12, 20</x:v>
      </x:c>
    </x:row>
    <x:row r="163" ht="62" customHeight="1">
      <x:c r="A163" s="28" t="str">
        <x:v>CIT-0385</x:v>
      </x:c>
      <x:c r="B163" s="28" t="str">
        <x:v>лайм</x:v>
      </x:c>
      <x:c r="C163" s="28" t="str">
        <x:v>ягоды</x:v>
      </x:c>
      <x:c r="D163" s="28" t="str">
        <x:v>Ягоды/косточковые</x:v>
      </x:c>
      <x:c r="E163" s="28" t="str">
        <x:v>перекрытие ароматических семейств, вкусовой баланс</x:v>
      </x:c>
      <x:c r="F163" s="28" t="str">
        <x:v>Лайм формирует профиль «цитрусовый, зелёный, травяной, камфорный»; характерные маркеры: лимонен, гамма-терпинен, цитраль, бета-пинен, линалол.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усиливает кислотный контур, а цветочные терпены поддерживают ягодный аромат.</x:v>
      </x:c>
      <x:c r="G16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63" s="28" t="str">
        <x:v>Избыток кислоты делает вкус плоско-резким; белая часть кожуры даёт лишнюю горечь.</x:v>
      </x:c>
      <x:c r="I163" s="28" t="str">
        <x:v>джем, сорбет, коктейль или соус</x:v>
      </x:c>
      <x:c r="J163" s="28" t="str">
        <x:v>Гипотеза / практическая</x:v>
      </x:c>
      <x:c r="K163" s="28" t="str">
        <x:v>Таблица сочетания(1).pdf</x:v>
      </x:c>
      <x:c r="L163" s="28" t="str">
        <x:v>Таблица сочетания(1).pdf: 12</x:v>
      </x:c>
    </x:row>
    <x:row r="164" ht="62" customHeight="1">
      <x:c r="A164" s="28" t="str">
        <x:v>CIT-0387</x:v>
      </x:c>
      <x:c r="B164" s="28" t="str">
        <x:v>ликёр Mandarine Napoléon</x:v>
      </x:c>
      <x:c r="C164" s="28" t="str">
        <x:v>коньяк</x:v>
      </x:c>
      <x:c r="D164" s="28" t="str">
        <x:v>Алкогольные напитки</x:v>
      </x:c>
      <x:c r="E164" s="28" t="str">
        <x:v>вкусовой баланс, тройничное восприятие, влияние матрицы/растворимости</x:v>
      </x:c>
      <x:c r="F164" s="28" t="str">
        <x:v>Ликёр mandarine napoléon формирует профиль «цитрусовый, фруктовый, цветочный, пряный»; характерные маркеры: лимонен, гамма-терпинен, метил-N-метилантранилат, линалол. Коньяк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G164"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64" s="28" t="str">
        <x:v>Избыток кислоты делает вкус плоско-резким; белая часть кожуры даёт лишнюю горечь.</x:v>
      </x:c>
      <x:c r="I164" s="28" t="str">
        <x:v>коктейль, спритц, настойка, ликёр или кордиал</x:v>
      </x:c>
      <x:c r="J164" s="28" t="str">
        <x:v>Средняя</x:v>
      </x:c>
      <x:c r="K164" s="28" t="str">
        <x:v>The Art &amp; Science of Foodpairing.pdf</x:v>
      </x:c>
      <x:c r="L164" s="28" t="str">
        <x:v>The Art &amp; Science of Foodpairing.pdf: 123</x:v>
      </x:c>
    </x:row>
    <x:row r="165" ht="62" customHeight="1">
      <x:c r="A165" s="28" t="str">
        <x:v>CIT-0388</x:v>
      </x:c>
      <x:c r="B165" s="28" t="str">
        <x:v>ликёр Mandarine Napoléon</x:v>
      </x:c>
      <x:c r="C165" s="28" t="str">
        <x:v>сушёные ягоды годжи</x:v>
      </x:c>
      <x:c r="D165" s="28" t="str">
        <x:v>Ягоды/косточковые</x:v>
      </x:c>
      <x:c r="E165" s="28" t="str">
        <x:v>перекрытие ароматических семейств, вкусовой баланс</x:v>
      </x:c>
      <x:c r="F165" s="28" t="str">
        <x:v>Ликёр mandarine napoléon формирует профиль «цитрусовый, фруктовый, цветочный, пряный»; характерные маркеры: лимонен, гамма-терпинен, метил-N-метилантранилат, линалол. Сушёные ягоды годжи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16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65" s="28" t="str">
        <x:v>Избыток кислоты делает вкус плоско-резким; белая часть кожуры даёт лишнюю горечь.</x:v>
      </x:c>
      <x:c r="I165" s="28" t="str">
        <x:v>джем, сорбет, коктейль или соус</x:v>
      </x:c>
      <x:c r="J165" s="28" t="str">
        <x:v>Средняя</x:v>
      </x:c>
      <x:c r="K165" s="28" t="str">
        <x:v>The Art &amp; Science of Foodpairing.pdf</x:v>
      </x:c>
      <x:c r="L165" s="28" t="str">
        <x:v>The Art &amp; Science of Foodpairing.pdf: 370</x:v>
      </x:c>
    </x:row>
    <x:row r="166" ht="62" customHeight="1">
      <x:c r="A166" s="28" t="str">
        <x:v>CIT-0394</x:v>
      </x:c>
      <x:c r="B166" s="28" t="str">
        <x:v>лимон</x:v>
      </x:c>
      <x:c r="C166" s="28" t="str">
        <x:v>аррак</x:v>
      </x:c>
      <x:c r="D166" s="28" t="str">
        <x:v>Алкогольные напитки</x:v>
      </x:c>
      <x:c r="E166" s="28" t="str">
        <x:v>вкусовой баланс, тройничное восприятие, влияние матрицы/растворимости</x:v>
      </x:c>
      <x:c r="F166" s="28" t="str">
        <x:v>Лимон формирует профиль «цитрусовый, свежий, цветочный, древесный»; характерные маркеры: цитраль (гераниаль + нераль), лимонен, гамма-терпинен, бета-пинен. Аррак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G166"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66" s="28" t="str">
        <x:v>Избыток кислоты делает вкус плоско-резким; белая часть кожуры даёт лишнюю горечь.</x:v>
      </x:c>
      <x:c r="I166" s="28" t="str">
        <x:v>коктейль, спритц, настойка, ликёр или кордиал</x:v>
      </x:c>
      <x:c r="J166" s="28" t="str">
        <x:v>Средняя</x:v>
      </x:c>
      <x:c r="K166" s="28" t="str">
        <x:v>The Art &amp; Science of Foodpairing.pdf</x:v>
      </x:c>
      <x:c r="L166" s="28" t="str">
        <x:v>The Art &amp; Science of Foodpairing.pdf: 88</x:v>
      </x:c>
    </x:row>
    <x:row r="167" ht="62" customHeight="1">
      <x:c r="A167" s="28" t="str">
        <x:v>CIT-0396</x:v>
      </x:c>
      <x:c r="B167" s="28" t="str">
        <x:v>лимон</x:v>
      </x:c>
      <x:c r="C167" s="28" t="str">
        <x:v>базилик</x:v>
      </x:c>
      <x:c r="D167" s="28" t="str">
        <x:v>Травы</x:v>
      </x:c>
      <x:c r="E167" s="28" t="str">
        <x:v>перекрытие ароматических семейств, вкусовой баланс</x:v>
      </x:c>
      <x:c r="F167"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Базилик относится к группе «травы» и даёт ноты «зелёный, анисовый, цветочный, пряный».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Базилик и эстрагон могут связать цитрус с фруктами, томатом и сливочными матрицами.</x:v>
      </x:c>
      <x:c r="G16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7" s="28" t="str">
        <x:v>Избыток кислоты делает вкус плоско-резким; белая часть кожуры даёт лишнюю горечь; цитрус легко подавляет деликатный аромат партнёра.</x:v>
      </x:c>
      <x:c r="I167" s="28" t="str">
        <x:v>лимонад, кордиал, салатная заправка или зелёный соус</x:v>
      </x:c>
      <x:c r="J167" s="28" t="str">
        <x:v>Высокая</x:v>
      </x:c>
      <x:c r="K167" s="28" t="str">
        <x:v>Таблица сочетания(1).pdf | Тезариус вкусов (Ники Сегнит)(1).pdf</x:v>
      </x:c>
      <x:c r="L167" s="28" t="str">
        <x:v>Таблица сочетания(1).pdf: 11 | Тезариус вкусов (Ники Сегнит)(1).pdf: 567, 800</x:v>
      </x:c>
    </x:row>
    <x:row r="168" ht="62" customHeight="1">
      <x:c r="A168" s="28" t="str">
        <x:v>CIT-0397</x:v>
      </x:c>
      <x:c r="B168" s="28" t="str">
        <x:v>лимон</x:v>
      </x:c>
      <x:c r="C168" s="28" t="str">
        <x:v>банан</x:v>
      </x:c>
      <x:c r="D168" s="28" t="str">
        <x:v>Тропические фрукты</x:v>
      </x:c>
      <x:c r="E168" s="28" t="str">
        <x:v>перекрытие ароматических семейств, вкусовой баланс</x:v>
      </x:c>
      <x:c r="F168"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Банан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6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68" s="28" t="str">
        <x:v>Избыток кислоты делает вкус плоско-резким; белая часть кожуры даёт лишнюю горечь.</x:v>
      </x:c>
      <x:c r="I168" s="28" t="str">
        <x:v>смузи, кордиал, сорбет, чатни или коктейль</x:v>
      </x:c>
      <x:c r="J168" s="28" t="str">
        <x:v>Гипотеза / практическая</x:v>
      </x:c>
      <x:c r="K168" s="28" t="str">
        <x:v>Таблица сочетания(1).pdf</x:v>
      </x:c>
      <x:c r="L168" s="28" t="str">
        <x:v>Таблица сочетания(1).pdf: 11</x:v>
      </x:c>
    </x:row>
    <x:row r="169" ht="62" customHeight="1">
      <x:c r="A169" s="28" t="str">
        <x:v>CIT-0398</x:v>
      </x:c>
      <x:c r="B169" s="28" t="str">
        <x:v>лимон</x:v>
      </x:c>
      <x:c r="C169" s="28" t="str">
        <x:v>банановый ликёр</x:v>
      </x:c>
      <x:c r="D169" s="28" t="str">
        <x:v>Тропические фрукты</x:v>
      </x:c>
      <x:c r="E169" s="28" t="str">
        <x:v>перекрытие ароматических семейств, вкусовой баланс</x:v>
      </x:c>
      <x:c r="F169"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Банановый ликёр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6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69" s="28" t="str">
        <x:v>Избыток кислоты делает вкус плоско-резким; белая часть кожуры даёт лишнюю горечь.</x:v>
      </x:c>
      <x:c r="I169" s="28" t="str">
        <x:v>смузи, кордиал, сорбет, чатни или коктейль</x:v>
      </x:c>
      <x:c r="J169" s="28" t="str">
        <x:v>Средняя</x:v>
      </x:c>
      <x:c r="K169" s="28" t="str">
        <x:v>The Art &amp; Science of Foodpairing.pdf</x:v>
      </x:c>
      <x:c r="L169" s="28" t="str">
        <x:v>The Art &amp; Science of Foodpairing.pdf: 88</x:v>
      </x:c>
    </x:row>
    <x:row r="170" ht="62" customHeight="1">
      <x:c r="A170" s="28" t="str">
        <x:v>CIT-0404</x:v>
      </x:c>
      <x:c r="B170" s="28" t="str">
        <x:v>лимон</x:v>
      </x:c>
      <x:c r="C170" s="28" t="str">
        <x:v>виноград</x:v>
      </x:c>
      <x:c r="D170" s="28" t="str">
        <x:v>Алкогольные напитки</x:v>
      </x:c>
      <x:c r="E170" s="28" t="str">
        <x:v>вкусовой баланс, тройничное восприятие, влияние матрицы/растворимости</x:v>
      </x:c>
      <x:c r="F170" s="28" t="str">
        <x:v>Лимон формирует профиль «цитрусовый, свежий, цветочный, древесный»; характерные маркеры: цитраль (гераниаль + нераль), лимонен, гамма-терпинен, бета-пинен. Виноград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G170"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70" s="28" t="str">
        <x:v>Избыток кислоты делает вкус плоско-резким; белая часть кожуры даёт лишнюю горечь.</x:v>
      </x:c>
      <x:c r="I170" s="28" t="str">
        <x:v>коктейль, спритц, настойка, ликёр или кордиал</x:v>
      </x:c>
      <x:c r="J170" s="28" t="str">
        <x:v>Гипотеза / практическая</x:v>
      </x:c>
      <x:c r="K170" s="28" t="str">
        <x:v>Таблица сочетания(1).pdf</x:v>
      </x:c>
      <x:c r="L170" s="28" t="str">
        <x:v>Таблица сочетания(1).pdf: 11</x:v>
      </x:c>
    </x:row>
    <x:row r="171" ht="62" customHeight="1">
      <x:c r="A171" s="28" t="str">
        <x:v>CIT-0405</x:v>
      </x:c>
      <x:c r="B171" s="28" t="str">
        <x:v>лимон</x:v>
      </x:c>
      <x:c r="C171" s="28" t="str">
        <x:v>вишня</x:v>
      </x:c>
      <x:c r="D171" s="28" t="str">
        <x:v>Ягоды/косточковые</x:v>
      </x:c>
      <x:c r="E171" s="28" t="str">
        <x:v>перекрытие ароматических семейств, вкусовой баланс</x:v>
      </x:c>
      <x:c r="F171" s="28" t="str">
        <x:v>Лимон формирует профиль «цитрусовый, свежий, цветочный, древесный»; характерные маркеры: цитраль (гераниаль + нераль), лимонен, гамма-терпинен, бета-пинен.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7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71" s="28" t="str">
        <x:v>Избыток кислоты делает вкус плоско-резким; белая часть кожуры даёт лишнюю горечь.</x:v>
      </x:c>
      <x:c r="I171" s="28" t="str">
        <x:v>джем, сорбет, коктейль или соус</x:v>
      </x:c>
      <x:c r="J171" s="28" t="str">
        <x:v>Гипотеза / практическая</x:v>
      </x:c>
      <x:c r="K171" s="28" t="str">
        <x:v>Таблица сочетания(1).pdf</x:v>
      </x:c>
      <x:c r="L171" s="28" t="str">
        <x:v>Таблица сочетания(1).pdf: 11</x:v>
      </x:c>
    </x:row>
    <x:row r="172" ht="62" customHeight="1">
      <x:c r="A172" s="28" t="str">
        <x:v>CIT-0406</x:v>
      </x:c>
      <x:c r="B172" s="28" t="str">
        <x:v>лимон</x:v>
      </x:c>
      <x:c r="C172" s="28" t="str">
        <x:v>галангал</x:v>
      </x:c>
      <x:c r="D172" s="28" t="str">
        <x:v>Пряности</x:v>
      </x:c>
      <x:c r="E172" s="28" t="str">
        <x:v>общие ароматические молекулы, перекрытие ароматических семейств, вкусовой баланс, тройничное восприятие</x:v>
      </x:c>
      <x:c r="F172" s="28" t="str">
        <x:v>Лимон формирует профиль «цитрусовый, свежий, цветочный, древесный»; характерные маркеры: цитраль (гераниаль + нераль), лимонен, гамма-терпинен, бета-пинен.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Свежий имбирь более цитрусовый, нагретый и сушёный — более тёплый и жгучий.</x:v>
      </x:c>
      <x:c r="G17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72" s="28" t="str">
        <x:v>Избыток кислоты делает вкус плоско-резким; белая часть кожуры даёт лишнюю горечь.</x:v>
      </x:c>
      <x:c r="I172" s="28" t="str">
        <x:v>сироп, кордиал, чатни, маринад или пряный десерт</x:v>
      </x:c>
      <x:c r="J172" s="28" t="str">
        <x:v>Средняя</x:v>
      </x:c>
      <x:c r="K172" s="28" t="str">
        <x:v>The Art &amp; Science of Foodpairing.pdf</x:v>
      </x:c>
      <x:c r="L172" s="28" t="str">
        <x:v>The Art &amp; Science of Foodpairing.pdf: 87</x:v>
      </x:c>
    </x:row>
    <x:row r="173" ht="62" customHeight="1">
      <x:c r="A173" s="28" t="str">
        <x:v>CIT-0410</x:v>
      </x:c>
      <x:c r="B173" s="28" t="str">
        <x:v>лимон</x:v>
      </x:c>
      <x:c r="C173" s="28" t="str">
        <x:v>гуава</x:v>
      </x:c>
      <x:c r="D173" s="28" t="str">
        <x:v>Тропические фрукты</x:v>
      </x:c>
      <x:c r="E173" s="28" t="str">
        <x:v>перекрытие ароматических семейств, вкусовой баланс</x:v>
      </x:c>
      <x:c r="F173" s="28" t="str">
        <x:v>Лимон формирует профиль «цитрусовый, свежий, цветочный, древесный»; характерные маркеры: цитраль (гераниаль + нераль), лимонен, гамма-терпинен, бета-пинен. Гуава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7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73" s="28" t="str">
        <x:v>Избыток кислоты делает вкус плоско-резким; белая часть кожуры даёт лишнюю горечь.</x:v>
      </x:c>
      <x:c r="I173" s="28" t="str">
        <x:v>смузи, кордиал, сорбет, чатни или коктейль</x:v>
      </x:c>
      <x:c r="J173" s="28" t="str">
        <x:v>Гипотеза / практическая</x:v>
      </x:c>
      <x:c r="K173" s="28" t="str">
        <x:v>Таблица сочетания(1).pdf</x:v>
      </x:c>
      <x:c r="L173" s="28" t="str">
        <x:v>Таблица сочетания(1).pdf: 11</x:v>
      </x:c>
    </x:row>
    <x:row r="174" ht="62" customHeight="1">
      <x:c r="A174" s="28" t="str">
        <x:v>CIT-0416</x:v>
      </x:c>
      <x:c r="B174" s="28" t="str">
        <x:v>лимон</x:v>
      </x:c>
      <x:c r="C174" s="28" t="str">
        <x:v>имбирь</x:v>
      </x:c>
      <x:c r="D174" s="28" t="str">
        <x:v>Пряности</x:v>
      </x:c>
      <x:c r="E174" s="28" t="str">
        <x:v>общие ароматические молекулы, перекрытие ароматических семейств, вкусовой баланс, тройничное восприятие</x:v>
      </x:c>
      <x:c r="F174" s="28" t="str">
        <x:v>Лимон формирует профиль «цитрусовый, свежий, цветочный, древесный»; характерные маркеры: цитраль (гераниаль + нераль), лимонен, гамма-терпинен, бета-пинен.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Свежий имбирь более цитрусовый, нагретый и сушёный — более тёплый и жгучий.</x:v>
      </x:c>
      <x:c r="G17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74" s="28" t="str">
        <x:v>Избыток кислоты делает вкус плоско-резким; белая часть кожуры даёт лишнюю горечь.</x:v>
      </x:c>
      <x:c r="I174" s="28" t="str">
        <x:v>сироп, кордиал, чатни, маринад или пряный десерт</x:v>
      </x:c>
      <x:c r="J174" s="28" t="str">
        <x:v>Высокая</x:v>
      </x:c>
      <x:c r="K174" s="28" t="str">
        <x:v>Таблица сочетания(1).pdf | Тезариус вкусов (Ники Сегнит)(1).pdf</x:v>
      </x:c>
      <x:c r="L174" s="28" t="str">
        <x:v>Таблица сочетания(1).pdf: 8 | Тезариус вкусов (Ники Сегнит)(1).pdf: 802, 818</x:v>
      </x:c>
    </x:row>
    <x:row r="175" ht="62" customHeight="1">
      <x:c r="A175" s="28" t="str">
        <x:v>CIT-0419</x:v>
      </x:c>
      <x:c r="B175" s="28" t="str">
        <x:v>лимон</x:v>
      </x:c>
      <x:c r="C175" s="28" t="str">
        <x:v>карамель</x:v>
      </x:c>
      <x:c r="D175" s="28" t="str">
        <x:v>Подсластители</x:v>
      </x:c>
      <x:c r="E175" s="28" t="str">
        <x:v>перекрытие ароматических семейств, вкусовой баланс</x:v>
      </x:c>
      <x:c r="F175"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Карамель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Сок определяется цитралем и кислотностью, цедра — лимоненом и терпенами. Сладость балансирует кислоту и горечь кожуры; цветочные компоненты могут поддерживать цитрус.</x:v>
      </x:c>
      <x:c r="G17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5" s="28" t="str">
        <x:v>Избыток кислоты делает вкус плоско-резким; белая часть кожуры даёт лишнюю горечь.</x:v>
      </x:c>
      <x:c r="I175" s="28" t="str">
        <x:v>сироп, мармелад, крем, глазурь или лимонад</x:v>
      </x:c>
      <x:c r="J175" s="28" t="str">
        <x:v>Гипотеза / практическая</x:v>
      </x:c>
      <x:c r="K175" s="28" t="str">
        <x:v>Таблица сочетания(1).pdf</x:v>
      </x:c>
      <x:c r="L175" s="28" t="str">
        <x:v>Таблица сочетания(1).pdf: 11</x:v>
      </x:c>
    </x:row>
    <x:row r="176" ht="62" customHeight="1">
      <x:c r="A176" s="28" t="str">
        <x:v>CIT-0420</x:v>
      </x:c>
      <x:c r="B176" s="28" t="str">
        <x:v>лимон</x:v>
      </x:c>
      <x:c r="C176" s="28" t="str">
        <x:v>кардамон</x:v>
      </x:c>
      <x:c r="D176" s="28" t="str">
        <x:v>Пряности</x:v>
      </x:c>
      <x:c r="E176" s="28" t="str">
        <x:v>общие ароматические молекулы, перекрытие ароматических семейств, вкусовой баланс, тройничное восприятие</x:v>
      </x:c>
      <x:c r="F176"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Кардамон относится к группе «пряности» и даёт ноты «цитрусовый, камфорный, цветочный, эвкалиптовый». Наиболее правдоподобный молекулярный мост — лимонен;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Кардамон часто служит мостом между цитрусом, цветами и древесными нотами.</x:v>
      </x:c>
      <x:c r="G17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76" s="28" t="str">
        <x:v>Избыток кислоты делает вкус плоско-резким; белая часть кожуры даёт лишнюю горечь.</x:v>
      </x:c>
      <x:c r="I176" s="28" t="str">
        <x:v>сироп, кордиал, чатни, маринад или пряный десерт</x:v>
      </x:c>
      <x:c r="J176" s="28" t="str">
        <x:v>Средняя</x:v>
      </x:c>
      <x:c r="K176" s="28" t="str">
        <x:v>Таблица сочетания(1).pdf</x:v>
      </x:c>
      <x:c r="L176" s="28" t="str">
        <x:v>Таблица сочетания(1).pdf: 11</x:v>
      </x:c>
    </x:row>
    <x:row r="177" ht="62" customHeight="1">
      <x:c r="A177" s="28" t="str">
        <x:v>CIT-0422</x:v>
      </x:c>
      <x:c r="B177" s="28" t="str">
        <x:v>лимон</x:v>
      </x:c>
      <x:c r="C177" s="28" t="str">
        <x:v>кашаса</x:v>
      </x:c>
      <x:c r="D177" s="28" t="str">
        <x:v>Алкогольные напитки</x:v>
      </x:c>
      <x:c r="E177" s="28" t="str">
        <x:v>вкусовой баланс, тройничное восприятие, влияние матрицы/растворимости</x:v>
      </x:c>
      <x:c r="F177"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Кашаса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G177"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77" s="28" t="str">
        <x:v>Избыток кислоты делает вкус плоско-резким; белая часть кожуры даёт лишнюю горечь.</x:v>
      </x:c>
      <x:c r="I177" s="28" t="str">
        <x:v>коктейль, спритц, настойка, ликёр или кордиал</x:v>
      </x:c>
      <x:c r="J177" s="28" t="str">
        <x:v>Средняя</x:v>
      </x:c>
      <x:c r="K177" s="28" t="str">
        <x:v>The Art &amp; Science of Foodpairing.pdf</x:v>
      </x:c>
      <x:c r="L177" s="28" t="str">
        <x:v>The Art &amp; Science of Foodpairing.pdf: 87</x:v>
      </x:c>
    </x:row>
    <x:row r="178" ht="62" customHeight="1">
      <x:c r="A178" s="28" t="str">
        <x:v>CIT-0428</x:v>
      </x:c>
      <x:c r="B178" s="28" t="str">
        <x:v>лимон</x:v>
      </x:c>
      <x:c r="C178" s="28" t="str">
        <x:v>кокос</x:v>
      </x:c>
      <x:c r="D178" s="28" t="str">
        <x:v>Тропические плоды</x:v>
      </x:c>
      <x:c r="E178" s="28" t="str">
        <x:v>вкусовой баланс</x:v>
      </x:c>
      <x:c r="F178"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Кокос относится к группе «тропические плоды» и даёт ноты «сливочный, кокосовый, восковой, ореховый».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Кокос округляет кислотность и продлевает цитрусовый аромат.</x:v>
      </x:c>
      <x:c r="G17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78" s="28" t="str">
        <x:v>Избыток кислоты делает вкус плоско-резким; белая часть кожуры даёт лишнюю горечь.</x:v>
      </x:c>
      <x:c r="I178" s="28" t="str">
        <x:v>коктейль, крем, сорбет или соус</x:v>
      </x:c>
      <x:c r="J178" s="28" t="str">
        <x:v>Высокая</x:v>
      </x:c>
      <x:c r="K178" s="28" t="str">
        <x:v>Тезариус вкусов (Ники Сегнит)(1).pdf</x:v>
      </x:c>
      <x:c r="L178" s="28" t="str">
        <x:v>Тезариус вкусов (Ники Сегнит)(1).pdf: 757, 804</x:v>
      </x:c>
    </x:row>
    <x:row r="179" ht="62" customHeight="1">
      <x:c r="A179" s="28" t="str">
        <x:v>CIT-0430</x:v>
      </x:c>
      <x:c r="B179" s="28" t="str">
        <x:v>лимон</x:v>
      </x:c>
      <x:c r="C179" s="28" t="str">
        <x:v>кориандр</x:v>
      </x:c>
      <x:c r="D179" s="28" t="str">
        <x:v>Травы/пряности</x:v>
      </x:c>
      <x:c r="E179" s="28" t="str">
        <x:v>перекрытие ароматических семейств, вкусовой баланс</x:v>
      </x:c>
      <x:c r="F179"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Кориандр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G17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79" s="28" t="str">
        <x:v>Избыток кислоты делает вкус плоско-резким; белая часть кожуры даёт лишнюю горечь; цитрус легко подавляет деликатный аромат партнёра.</x:v>
      </x:c>
      <x:c r="I179" s="28" t="str">
        <x:v>лимонад, кордиал, маринад или пряный соус</x:v>
      </x:c>
      <x:c r="J179" s="28" t="str">
        <x:v>Гипотеза / практическая</x:v>
      </x:c>
      <x:c r="K179" s="28" t="str">
        <x:v>Таблица сочетания(1).pdf</x:v>
      </x:c>
      <x:c r="L179" s="28" t="str">
        <x:v>Таблица сочетания(1).pdf: 6</x:v>
      </x:c>
    </x:row>
    <x:row r="180" ht="62" customHeight="1">
      <x:c r="A180" s="28" t="str">
        <x:v>CIT-0436</x:v>
      </x:c>
      <x:c r="B180" s="28" t="str">
        <x:v>лимон</x:v>
      </x:c>
      <x:c r="C180" s="28" t="str">
        <x:v>лимонный тимьян</x:v>
      </x:c>
      <x:c r="D180" s="28" t="str">
        <x:v>Травы</x:v>
      </x:c>
      <x:c r="E180" s="28" t="str">
        <x:v>перекрытие ароматических семейств, вкусовой баланс, тройничное восприятие</x:v>
      </x:c>
      <x:c r="F180" s="28" t="str">
        <x:v>Лимон формирует профиль «цитрусовый, свежий, цветочный, древесный»; характерные маркеры: цитраль (гераниаль + нераль), лимонен, гамма-терпинен, бета-пинен. Лимонный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8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0" s="28" t="str">
        <x:v>Избыток кислоты делает вкус плоско-резким; белая часть кожуры даёт лишнюю горечь; цитрус легко подавляет деликатный аромат партнёра.</x:v>
      </x:c>
      <x:c r="I180" s="28" t="str">
        <x:v>лимонад, кордиал, салатная заправка или зелёный соус</x:v>
      </x:c>
      <x:c r="J180" s="28" t="str">
        <x:v>Гипотеза / практическая</x:v>
      </x:c>
      <x:c r="K180" s="28" t="str">
        <x:v>Таблица сочетания(1).pdf</x:v>
      </x:c>
      <x:c r="L180" s="28" t="str">
        <x:v>Таблица сочетания(1).pdf: 11</x:v>
      </x:c>
    </x:row>
    <x:row r="181" ht="62" customHeight="1">
      <x:c r="A181" s="28" t="str">
        <x:v>CIT-0437</x:v>
      </x:c>
      <x:c r="B181" s="28" t="str">
        <x:v>лимон</x:v>
      </x:c>
      <x:c r="C181" s="28" t="str">
        <x:v>листья кориандра</x:v>
      </x:c>
      <x:c r="D181" s="28" t="str">
        <x:v>Травы/пряности</x:v>
      </x:c>
      <x:c r="E181" s="28" t="str">
        <x:v>перекрытие ароматических семейств, вкусовой баланс</x:v>
      </x:c>
      <x:c r="F181" s="28" t="str">
        <x:v>Лимон формирует профиль «цитрусовый, свежий, цветочный, древесный»; характерные маркеры: цитраль (гераниаль + нераль), лимонен, гамма-терпинен, бета-пинен. Листья кориандра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G18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1" s="28" t="str">
        <x:v>Избыток кислоты делает вкус плоско-резким; белая часть кожуры даёт лишнюю горечь; цитрус легко подавляет деликатный аромат партнёра.</x:v>
      </x:c>
      <x:c r="I181" s="28" t="str">
        <x:v>лимонад, кордиал, маринад или пряный соус</x:v>
      </x:c>
      <x:c r="J181" s="28" t="str">
        <x:v>Высокая</x:v>
      </x:c>
      <x:c r="K181" s="28" t="str">
        <x:v>Тезариус вкусов (Ники Сегнит)(1).pdf</x:v>
      </x:c>
      <x:c r="L181" s="28" t="str">
        <x:v>Тезариус вкусов (Ники Сегнит)(1).pdf: 521, 805</x:v>
      </x:c>
    </x:row>
    <x:row r="182" ht="62" customHeight="1">
      <x:c r="A182" s="28" t="str">
        <x:v>CIT-0439</x:v>
      </x:c>
      <x:c r="B182" s="28" t="str">
        <x:v>лимон</x:v>
      </x:c>
      <x:c r="C182" s="28" t="str">
        <x:v>малина</x:v>
      </x:c>
      <x:c r="D182" s="28" t="str">
        <x:v>Ягоды/косточковые</x:v>
      </x:c>
      <x:c r="E182" s="28" t="str">
        <x:v>перекрытие ароматических семейств, вкусовой баланс</x:v>
      </x:c>
      <x:c r="F182" s="28" t="str">
        <x:v>Лимон формирует профиль «цитрусовый, свежий, цветочный, древесный»; характерные маркеры: цитраль (гераниаль + нераль), лимонен, гамма-терпинен, бета-пинен. Малина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8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82" s="28" t="str">
        <x:v>Избыток кислоты делает вкус плоско-резким; белая часть кожуры даёт лишнюю горечь.</x:v>
      </x:c>
      <x:c r="I182" s="28" t="str">
        <x:v>джем, сорбет, коктейль или соус</x:v>
      </x:c>
      <x:c r="J182" s="28" t="str">
        <x:v>Гипотеза / практическая</x:v>
      </x:c>
      <x:c r="K182" s="28" t="str">
        <x:v>Таблица сочетания(1).pdf</x:v>
      </x:c>
      <x:c r="L182" s="28" t="str">
        <x:v>Таблица сочетания(1).pdf: 19</x:v>
      </x:c>
    </x:row>
    <x:row r="183" ht="62" customHeight="1">
      <x:c r="A183" s="28" t="str">
        <x:v>CIT-0440</x:v>
      </x:c>
      <x:c r="B183" s="28" t="str">
        <x:v>лимон</x:v>
      </x:c>
      <x:c r="C183" s="28" t="str">
        <x:v>манго</x:v>
      </x:c>
      <x:c r="D183" s="28" t="str">
        <x:v>Тропические фрукты</x:v>
      </x:c>
      <x:c r="E183" s="28" t="str">
        <x:v>перекрытие ароматических семейств, вкусовой баланс</x:v>
      </x:c>
      <x:c r="F183" s="28" t="str">
        <x:v>Лимон формирует профиль «цитрусовый, свежий, цветочный, древесный»; характерные маркеры: цитраль (гераниаль + нераль), лимонен, гамма-терпинен, бета-пинен.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8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83" s="28" t="str">
        <x:v>Избыток кислоты делает вкус плоско-резким; белая часть кожуры даёт лишнюю горечь.</x:v>
      </x:c>
      <x:c r="I183" s="28" t="str">
        <x:v>смузи, кордиал, сорбет, чатни или коктейль</x:v>
      </x:c>
      <x:c r="J183" s="28" t="str">
        <x:v>Гипотеза / практическая</x:v>
      </x:c>
      <x:c r="K183" s="28" t="str">
        <x:v>Таблица сочетания(1).pdf</x:v>
      </x:c>
      <x:c r="L183" s="28" t="str">
        <x:v>Таблица сочетания(1).pdf: 11, 13</x:v>
      </x:c>
    </x:row>
    <x:row r="184" ht="62" customHeight="1">
      <x:c r="A184" s="28" t="str">
        <x:v>CIT-0441</x:v>
      </x:c>
      <x:c r="B184" s="28" t="str">
        <x:v>лимон</x:v>
      </x:c>
      <x:c r="C184" s="28" t="str">
        <x:v>манго Альфонсо</x:v>
      </x:c>
      <x:c r="D184" s="28" t="str">
        <x:v>Тропические фрукты</x:v>
      </x:c>
      <x:c r="E184" s="28" t="str">
        <x:v>перекрытие ароматических семейств, вкусовой баланс</x:v>
      </x:c>
      <x:c r="F184" s="28" t="str">
        <x:v>Лимон формирует профиль «цитрусовый, свежий, цветочный, древесный»; характерные маркеры: цитраль (гераниаль + нераль), лимонен, гамма-терпинен, бета-пинен. Манго альфонсо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8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84" s="28" t="str">
        <x:v>Избыток кислоты делает вкус плоско-резким; белая часть кожуры даёт лишнюю горечь.</x:v>
      </x:c>
      <x:c r="I184" s="28" t="str">
        <x:v>смузи, кордиал, сорбет, чатни или коктейль</x:v>
      </x:c>
      <x:c r="J184" s="28" t="str">
        <x:v>Средняя</x:v>
      </x:c>
      <x:c r="K184" s="28" t="str">
        <x:v>The Art &amp; Science of Foodpairing.pdf</x:v>
      </x:c>
      <x:c r="L184" s="28" t="str">
        <x:v>The Art &amp; Science of Foodpairing.pdf: 87</x:v>
      </x:c>
    </x:row>
    <x:row r="185" ht="62" customHeight="1">
      <x:c r="A185" s="28" t="str">
        <x:v>CIT-0442</x:v>
      </x:c>
      <x:c r="B185" s="28" t="str">
        <x:v>лимон</x:v>
      </x:c>
      <x:c r="C185" s="28" t="str">
        <x:v>мёд</x:v>
      </x:c>
      <x:c r="D185" s="28" t="str">
        <x:v>Подсластители</x:v>
      </x:c>
      <x:c r="E185" s="28" t="str">
        <x:v>перекрытие ароматических семейств, вкусовой баланс</x:v>
      </x:c>
      <x:c r="F185" s="28" t="str">
        <x:v>Лимон формирует профиль «цитрусовый, свежий, цветочный, древесный»; характерные маркеры: цитраль (гераниаль + нераль), лимонен, гамма-терпинен, бета-пинен.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Сок определяется цитралем и кислотностью, цедра — лимоненом и терпенами. Сладость балансирует кислоту и горечь кожуры; цветочные компоненты могут поддерживать цитрус.</x:v>
      </x:c>
      <x:c r="G18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5" s="28" t="str">
        <x:v>Избыток кислоты делает вкус плоско-резким; белая часть кожуры даёт лишнюю горечь.</x:v>
      </x:c>
      <x:c r="I185" s="28" t="str">
        <x:v>сироп, мармелад, крем, глазурь или лимонад</x:v>
      </x:c>
      <x:c r="J185" s="28" t="str">
        <x:v>Гипотеза / практическая</x:v>
      </x:c>
      <x:c r="K185" s="28" t="str">
        <x:v>Таблица сочетания(1).pdf</x:v>
      </x:c>
      <x:c r="L185" s="28" t="str">
        <x:v>Таблица сочетания(1).pdf: 9, 11</x:v>
      </x:c>
    </x:row>
    <x:row r="186" ht="62" customHeight="1">
      <x:c r="A186" s="28" t="str">
        <x:v>CIT-0447</x:v>
      </x:c>
      <x:c r="B186" s="28" t="str">
        <x:v>лимон</x:v>
      </x:c>
      <x:c r="C186" s="28" t="str">
        <x:v>мята</x:v>
      </x:c>
      <x:c r="D186" s="28" t="str">
        <x:v>Травы</x:v>
      </x:c>
      <x:c r="E186" s="28" t="str">
        <x:v>перекрытие ароматических семейств, вкусовой баланс, тройничное восприятие</x:v>
      </x:c>
      <x:c r="F186" s="28" t="str">
        <x:v>Лимон формирует профиль «цитрусовый, свежий, цветочный, древесный»; характерные маркеры: цитраль (гераниаль + нераль), лимонен, гамма-терпинен, бета-пинен.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Мята усиливает воспринимаемую прохладу и кислотную свежесть.</x:v>
      </x:c>
      <x:c r="G18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6" s="28" t="str">
        <x:v>Избыток кислоты делает вкус плоско-резким; белая часть кожуры даёт лишнюю горечь; цитрус легко подавляет деликатный аромат партнёра.</x:v>
      </x:c>
      <x:c r="I186" s="28" t="str">
        <x:v>лимонад, кордиал, салатная заправка или зелёный соус</x:v>
      </x:c>
      <x:c r="J186" s="28" t="str">
        <x:v>Высокая</x:v>
      </x:c>
      <x:c r="K186" s="28" t="str">
        <x:v>Таблица сочетания(1).pdf | Тезариус вкусов (Ники Сегнит)(1).pdf</x:v>
      </x:c>
      <x:c r="L186" s="28" t="str">
        <x:v>Таблица сочетания(1).pdf: 11, 13 | Тезариус вкусов (Ники Сегнит)(1).pdf: 806, 868</x:v>
      </x:c>
    </x:row>
    <x:row r="187" ht="62" customHeight="1">
      <x:c r="A187" s="28" t="str">
        <x:v>CIT-0449</x:v>
      </x:c>
      <x:c r="B187" s="28" t="str">
        <x:v>лимон</x:v>
      </x:c>
      <x:c r="C187" s="28" t="str">
        <x:v>нефильтрованная водка Belvedere</x:v>
      </x:c>
      <x:c r="D187" s="28" t="str">
        <x:v>Алкогольные напитки</x:v>
      </x:c>
      <x:c r="E187" s="28" t="str">
        <x:v>вкусовой баланс, тройничное восприятие, влияние матрицы/растворимости</x:v>
      </x:c>
      <x:c r="F187" s="28" t="str">
        <x:v>Лимон формирует профиль «цитрусовый, свежий, цветочный, древесный»; характерные маркеры: цитраль (гераниаль + нераль), лимонен, гамма-терпинен, бета-пинен. Нефильтрованная водка belvedere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G187"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187" s="28" t="str">
        <x:v>Избыток кислоты делает вкус плоско-резким; белая часть кожуры даёт лишнюю горечь.</x:v>
      </x:c>
      <x:c r="I187" s="28" t="str">
        <x:v>коктейль, спритц, настойка, ликёр или кордиал</x:v>
      </x:c>
      <x:c r="J187" s="28" t="str">
        <x:v>Средняя</x:v>
      </x:c>
      <x:c r="K187" s="28" t="str">
        <x:v>The Art &amp; Science of Foodpairing.pdf</x:v>
      </x:c>
      <x:c r="L187" s="28" t="str">
        <x:v>The Art &amp; Science of Foodpairing.pdf: 282</x:v>
      </x:c>
    </x:row>
    <x:row r="188" ht="62" customHeight="1">
      <x:c r="A188" s="28" t="str">
        <x:v>CIT-0452</x:v>
      </x:c>
      <x:c r="B188" s="28" t="str">
        <x:v>лимон</x:v>
      </x:c>
      <x:c r="C188" s="28" t="str">
        <x:v>папайя</x:v>
      </x:c>
      <x:c r="D188" s="28" t="str">
        <x:v>Тропические фрукты</x:v>
      </x:c>
      <x:c r="E188" s="28" t="str">
        <x:v>перекрытие ароматических семейств, вкусовой баланс</x:v>
      </x:c>
      <x:c r="F188" s="28" t="str">
        <x:v>Лимон формирует профиль «цитрусовый, свежий, цветочный, древесный»; характерные маркеры: цитраль (гераниаль + нераль), лимонен, гамма-терпинен, бета-пинен. Папайя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8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88" s="28" t="str">
        <x:v>Избыток кислоты делает вкус плоско-резким; белая часть кожуры даёт лишнюю горечь.</x:v>
      </x:c>
      <x:c r="I188" s="28" t="str">
        <x:v>смузи, кордиал, сорбет, чатни или коктейль</x:v>
      </x:c>
      <x:c r="J188" s="28" t="str">
        <x:v>Гипотеза / практическая</x:v>
      </x:c>
      <x:c r="K188" s="28" t="str">
        <x:v>Таблица сочетания(1).pdf</x:v>
      </x:c>
      <x:c r="L188" s="28" t="str">
        <x:v>Таблица сочетания(1).pdf: 15</x:v>
      </x:c>
    </x:row>
    <x:row r="189" ht="62" customHeight="1">
      <x:c r="A189" s="28" t="str">
        <x:v>CIT-0454</x:v>
      </x:c>
      <x:c r="B189" s="28" t="str">
        <x:v>лимон</x:v>
      </x:c>
      <x:c r="C189" s="28" t="str">
        <x:v>перец</x:v>
      </x:c>
      <x:c r="D189" s="28" t="str">
        <x:v>Пряности</x:v>
      </x:c>
      <x:c r="E189" s="28" t="str">
        <x:v>общие ароматические молекулы, перекрытие ароматических семейств, вкусовой баланс, тройничное восприятие</x:v>
      </x:c>
      <x:c r="F189" s="28" t="str">
        <x:v>Лимон формирует профиль «цитрусовый, свежий, цветочный, древесный»; характерные маркеры: цитраль (гераниаль + нераль), лимонен, гамма-терпинен, бета-пинен.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Перец добавляет сухую пряность и усиливает яркость цедры.</x:v>
      </x:c>
      <x:c r="G18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9" s="28" t="str">
        <x:v>Избыток кислоты делает вкус плоско-резким; белая часть кожуры даёт лишнюю горечь.</x:v>
      </x:c>
      <x:c r="I189" s="28" t="str">
        <x:v>сироп, кордиал, чатни, маринад или пряный десерт</x:v>
      </x:c>
      <x:c r="J189" s="28" t="str">
        <x:v>Средняя</x:v>
      </x:c>
      <x:c r="K189" s="28" t="str">
        <x:v>Таблица сочетания(1).pdf</x:v>
      </x:c>
      <x:c r="L189" s="28" t="str">
        <x:v>Таблица сочетания(1).pdf: 16</x:v>
      </x:c>
    </x:row>
    <x:row r="190" ht="62" customHeight="1">
      <x:c r="A190" s="28" t="str">
        <x:v>CIT-0460</x:v>
      </x:c>
      <x:c r="B190" s="28" t="str">
        <x:v>лимон</x:v>
      </x:c>
      <x:c r="C190" s="28" t="str">
        <x:v>розмарин</x:v>
      </x:c>
      <x:c r="D190" s="28" t="str">
        <x:v>Травы</x:v>
      </x:c>
      <x:c r="E190" s="28" t="str">
        <x:v>перекрытие ароматических семейств, вкусовой баланс, тройничное восприятие</x:v>
      </x:c>
      <x:c r="F190" s="28" t="str">
        <x:v>Лимон формирует профиль «цитрусовый, свежий, цветочный, древесный»; характерные маркеры: цитраль (гераниаль + нераль), лимонен, гамма-терпинен, бета-пинен.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9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0" s="28" t="str">
        <x:v>Избыток кислоты делает вкус плоско-резким; белая часть кожуры даёт лишнюю горечь; цитрус легко подавляет деликатный аромат партнёра.</x:v>
      </x:c>
      <x:c r="I190" s="28" t="str">
        <x:v>лимонад, кордиал, салатная заправка или зелёный соус</x:v>
      </x:c>
      <x:c r="J190" s="28" t="str">
        <x:v>Высокая</x:v>
      </x:c>
      <x:c r="K190" s="28" t="str">
        <x:v>Таблица сочетания(1).pdf | Тезариус вкусов (Ники Сегнит)(1).pdf</x:v>
      </x:c>
      <x:c r="L190" s="28" t="str">
        <x:v>Таблица сочетания(1).pdf: 11, 19 | Тезариус вкусов (Ники Сегнит)(1).pdf: 806, 837</x:v>
      </x:c>
    </x:row>
    <x:row r="191" ht="62" customHeight="1">
      <x:c r="A191" s="28" t="str">
        <x:v>CIT-0462</x:v>
      </x:c>
      <x:c r="B191" s="28" t="str">
        <x:v>лимон</x:v>
      </x:c>
      <x:c r="C191" s="28" t="str">
        <x:v>семена кориандра</x:v>
      </x:c>
      <x:c r="D191" s="28" t="str">
        <x:v>Травы/пряности</x:v>
      </x:c>
      <x:c r="E191" s="28" t="str">
        <x:v>перекрытие ароматических семейств, вкусовой баланс</x:v>
      </x:c>
      <x:c r="F191" s="28" t="str">
        <x:v>Лимон формирует профиль «цитрусовый, свежий, цветочный, древесный»; характерные маркеры: цитраль (гераниаль + нераль), лимонен, гамма-терпинен, бета-пинен. Семена кориандра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G19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1" s="28" t="str">
        <x:v>Избыток кислоты делает вкус плоско-резким; белая часть кожуры даёт лишнюю горечь; цитрус легко подавляет деликатный аромат партнёра.</x:v>
      </x:c>
      <x:c r="I191" s="28" t="str">
        <x:v>лимонад, кордиал, маринад или пряный соус</x:v>
      </x:c>
      <x:c r="J191" s="28" t="str">
        <x:v>Высокая</x:v>
      </x:c>
      <x:c r="K191" s="28" t="str">
        <x:v>Тезариус вкусов (Ники Сегнит)(1).pdf</x:v>
      </x:c>
      <x:c r="L191" s="28" t="str">
        <x:v>Тезариус вкусов (Ники Сегнит)(1).pdf: 807, 907</x:v>
      </x:c>
    </x:row>
    <x:row r="192" ht="62" customHeight="1">
      <x:c r="A192" s="28" t="str">
        <x:v>CIT-0464</x:v>
      </x:c>
      <x:c r="B192" s="28" t="str">
        <x:v>лимон</x:v>
      </x:c>
      <x:c r="C192" s="28" t="str">
        <x:v>смородина</x:v>
      </x:c>
      <x:c r="D192" s="28" t="str">
        <x:v>Ягоды/косточковые</x:v>
      </x:c>
      <x:c r="E192" s="28" t="str">
        <x:v>перекрытие ароматических семейств, вкусовой баланс</x:v>
      </x:c>
      <x:c r="F192" s="28" t="str">
        <x:v>Лимон формирует профиль «цитрусовый, свежий, цветочный, древесный»; характерные маркеры: цитраль (гераниаль + нераль), лимонен, гамма-терпинен, бета-пинен. Смородина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9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92" s="28" t="str">
        <x:v>Избыток кислоты делает вкус плоско-резким; белая часть кожуры даёт лишнюю горечь.</x:v>
      </x:c>
      <x:c r="I192" s="28" t="str">
        <x:v>джем, сорбет, коктейль или соус</x:v>
      </x:c>
      <x:c r="J192" s="28" t="str">
        <x:v>Гипотеза / практическая</x:v>
      </x:c>
      <x:c r="K192" s="28" t="str">
        <x:v>Таблица сочетания(1).pdf</x:v>
      </x:c>
      <x:c r="L192" s="28" t="str">
        <x:v>Таблица сочетания(1).pdf: 11</x:v>
      </x:c>
    </x:row>
    <x:row r="193" ht="62" customHeight="1">
      <x:c r="A193" s="28" t="str">
        <x:v>CIT-0465</x:v>
      </x:c>
      <x:c r="B193" s="28" t="str">
        <x:v>лимон</x:v>
      </x:c>
      <x:c r="C193" s="28" t="str">
        <x:v>сок лайма</x:v>
      </x:c>
      <x:c r="D193" s="28" t="str">
        <x:v>Цитрусовые</x:v>
      </x:c>
      <x:c r="E193" s="28" t="str">
        <x:v>общие ароматические молекулы, перекрытие ароматических семейств, вкусовой баланс, тройничное восприятие</x:v>
      </x:c>
      <x:c r="F193" s="28" t="str">
        <x:v>Лимон формирует профиль «цитрусовый, свежий, цветочный, древесный»; характерные маркеры: цитраль (гераниаль + нераль), лимонен, гамма-терпинен, бета-пинен. Сок лайма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Лаймовые цитрусы дают более зелёный и камфорный профиль, чем сладкий апельсин.</x:v>
      </x:c>
      <x:c r="G19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3" s="28" t="str">
        <x:v>Избыток кислоты делает вкус плоско-резким; белая часть кожуры даёт лишнюю горечь.</x:v>
      </x:c>
      <x:c r="I193" s="28" t="str">
        <x:v>цитрусовый кордиал, мармелад, сорбет, салат или купаж соков</x:v>
      </x:c>
      <x:c r="J193" s="28" t="str">
        <x:v>Средняя</x:v>
      </x:c>
      <x:c r="K193" s="28" t="str">
        <x:v>The Art &amp; Science of Foodpairing.pdf</x:v>
      </x:c>
      <x:c r="L193" s="28" t="str">
        <x:v>The Art &amp; Science of Foodpairing.pdf: 87</x:v>
      </x:c>
    </x:row>
    <x:row r="194" ht="62" customHeight="1">
      <x:c r="A194" s="28" t="str">
        <x:v>CIT-0467</x:v>
      </x:c>
      <x:c r="B194" s="28" t="str">
        <x:v>лимон</x:v>
      </x:c>
      <x:c r="C194" s="28" t="str">
        <x:v>сушёный орегано</x:v>
      </x:c>
      <x:c r="D194" s="28" t="str">
        <x:v>Травы</x:v>
      </x:c>
      <x:c r="E194" s="28" t="str">
        <x:v>перекрытие ароматических семейств, вкусовой баланс, тройничное восприятие</x:v>
      </x:c>
      <x:c r="F194" s="28" t="str">
        <x:v>Лимон формирует профиль «цитрусовый, свежий, цветочный, древесный»; характерные маркеры: цитраль (гераниаль + нераль), лимонен, гамма-терпинен, бета-пинен.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9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4" s="28" t="str">
        <x:v>Избыток кислоты делает вкус плоско-резким; белая часть кожуры даёт лишнюю горечь; цитрус легко подавляет деликатный аромат партнёра.</x:v>
      </x:c>
      <x:c r="I194" s="28" t="str">
        <x:v>лимонад, кордиал, салатная заправка или зелёный соус</x:v>
      </x:c>
      <x:c r="J194" s="28" t="str">
        <x:v>Средняя</x:v>
      </x:c>
      <x:c r="K194" s="28" t="str">
        <x:v>The Art &amp; Science of Foodpairing.pdf</x:v>
      </x:c>
      <x:c r="L194" s="28" t="str">
        <x:v>The Art &amp; Science of Foodpairing.pdf: 87</x:v>
      </x:c>
    </x:row>
    <x:row r="195" ht="62" customHeight="1">
      <x:c r="A195" s="28" t="str">
        <x:v>CIT-0469</x:v>
      </x:c>
      <x:c r="B195" s="28" t="str">
        <x:v>лимон</x:v>
      </x:c>
      <x:c r="C195" s="28" t="str">
        <x:v>тимьян</x:v>
      </x:c>
      <x:c r="D195" s="28" t="str">
        <x:v>Травы</x:v>
      </x:c>
      <x:c r="E195" s="28" t="str">
        <x:v>перекрытие ароматических семейств, вкусовой баланс, тройничное восприятие</x:v>
      </x:c>
      <x:c r="F195" s="28" t="str">
        <x:v>Лимон формирует профиль «цитрусовый, свежий, цветочный, древесный»; характерные маркеры: цитраль (гераниаль + нераль), лимонен, гамма-терпинен, бета-пинен.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9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5" s="28" t="str">
        <x:v>Избыток кислоты делает вкус плоско-резким; белая часть кожуры даёт лишнюю горечь; цитрус легко подавляет деликатный аромат партнёра.</x:v>
      </x:c>
      <x:c r="I195" s="28" t="str">
        <x:v>лимонад, кордиал, салатная заправка или зелёный соус</x:v>
      </x:c>
      <x:c r="J195" s="28" t="str">
        <x:v>Высокая</x:v>
      </x:c>
      <x:c r="K195" s="28" t="str">
        <x:v>Таблица сочетания(1).pdf | Тезариус вкусов (Ники Сегнит)(1).pdf</x:v>
      </x:c>
      <x:c r="L195" s="28" t="str">
        <x:v>Таблица сочетания(1).pdf: 11, 21 | Тезариус вкусов (Ники Сегнит)(1).pdf: 808, 858</x:v>
      </x:c>
    </x:row>
    <x:row r="196" ht="62" customHeight="1">
      <x:c r="A196" s="28" t="str">
        <x:v>CIT-0486</x:v>
      </x:c>
      <x:c r="B196" s="28" t="str">
        <x:v>лимон</x:v>
      </x:c>
      <x:c r="C196" s="28" t="str">
        <x:v>черника</x:v>
      </x:c>
      <x:c r="D196" s="28" t="str">
        <x:v>Ягоды/косточковые</x:v>
      </x:c>
      <x:c r="E196" s="28" t="str">
        <x:v>перекрытие ароматических семейств, вкусовой баланс</x:v>
      </x:c>
      <x:c r="F196" s="28" t="str">
        <x:v>Лимон формирует профиль «цитрусовый, свежий, цветочный, древесный»; характерные маркеры: цитраль (гераниаль + нераль), лимонен, гамма-терпинен, бета-пинен. Черника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9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96" s="28" t="str">
        <x:v>Избыток кислоты делает вкус плоско-резким; белая часть кожуры даёт лишнюю горечь.</x:v>
      </x:c>
      <x:c r="I196" s="28" t="str">
        <x:v>джем, сорбет, коктейль или соус</x:v>
      </x:c>
      <x:c r="J196" s="28" t="str">
        <x:v>Высокая</x:v>
      </x:c>
      <x:c r="K196" s="28" t="str">
        <x:v>Тезариус вкусов (Ники Сегнит)(1).pdf</x:v>
      </x:c>
      <x:c r="L196" s="28" t="str">
        <x:v>Тезариус вкусов (Ники Сегнит)(1).pdf: 810, 905</x:v>
      </x:c>
    </x:row>
    <x:row r="197" ht="62" customHeight="1">
      <x:c r="A197" s="28" t="str">
        <x:v>CIT-0488</x:v>
      </x:c>
      <x:c r="B197" s="28" t="str">
        <x:v>лимон</x:v>
      </x:c>
      <x:c r="C197" s="28" t="str">
        <x:v>чёрный перец</x:v>
      </x:c>
      <x:c r="D197" s="28" t="str">
        <x:v>Пряности</x:v>
      </x:c>
      <x:c r="E197" s="28" t="str">
        <x:v>общие ароматические молекулы, перекрытие ароматических семейств, вкусовой баланс, тройничное восприятие</x:v>
      </x:c>
      <x:c r="F197" s="28" t="str">
        <x:v>Лимон формирует профиль «цитрусовый, свежий, цветочный, древесный»; характерные маркеры: цитраль (гераниаль + нераль), лимонен, гамма-терпинен, бета-пинен.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Перец добавляет сухую пряность и усиливает яркость цедры.</x:v>
      </x:c>
      <x:c r="G19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7" s="28" t="str">
        <x:v>Избыток кислоты делает вкус плоско-резким; белая часть кожуры даёт лишнюю горечь.</x:v>
      </x:c>
      <x:c r="I197" s="28" t="str">
        <x:v>сироп, кордиал, чатни, маринад или пряный десерт</x:v>
      </x:c>
      <x:c r="J197" s="28" t="str">
        <x:v>Средняя</x:v>
      </x:c>
      <x:c r="K197" s="28" t="str">
        <x:v>Таблица сочетания(1).pdf</x:v>
      </x:c>
      <x:c r="L197" s="28" t="str">
        <x:v>Таблица сочетания(1).pdf: 11</x:v>
      </x:c>
    </x:row>
    <x:row r="198" ht="62" customHeight="1">
      <x:c r="A198" s="28" t="str">
        <x:v>CIT-0489</x:v>
      </x:c>
      <x:c r="B198" s="28" t="str">
        <x:v>лимон</x:v>
      </x:c>
      <x:c r="C198" s="28" t="str">
        <x:v>чили</x:v>
      </x:c>
      <x:c r="D198" s="28" t="str">
        <x:v>Пряности</x:v>
      </x:c>
      <x:c r="E198" s="28" t="str">
        <x:v>вкусовой баланс, тройничное восприятие</x:v>
      </x:c>
      <x:c r="F198" s="28" t="str">
        <x:v>Лимон формирует профиль «цитрусовый, свежий, цветочный, древесный»; характерные маркеры: цитраль (гераниаль + нераль), лимонен, гамма-терпинен, бета-пинен.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Фруктовые чили могут поддерживать цитрусовые эфиры, но острота требует баланса.</x:v>
      </x:c>
      <x:c r="G19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8"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98" s="28" t="str">
        <x:v>сироп, кордиал, чатни, маринад или пряный десерт</x:v>
      </x:c>
      <x:c r="J198" s="28" t="str">
        <x:v>Высокая</x:v>
      </x:c>
      <x:c r="K198" s="28" t="str">
        <x:v>Тезариус вкусов (Ники Сегнит)(1).pdf</x:v>
      </x:c>
      <x:c r="L198" s="28" t="str">
        <x:v>Тезариус вкусов (Ники Сегнит)(1).pdf: 556, 810</x:v>
      </x:c>
    </x:row>
    <x:row r="199" ht="62" customHeight="1">
      <x:c r="A199" s="28" t="str">
        <x:v>CIT-0490</x:v>
      </x:c>
      <x:c r="B199" s="28" t="str">
        <x:v>лимон</x:v>
      </x:c>
      <x:c r="C199" s="28" t="str">
        <x:v>шалфей</x:v>
      </x:c>
      <x:c r="D199" s="28" t="str">
        <x:v>Травы</x:v>
      </x:c>
      <x:c r="E199" s="28" t="str">
        <x:v>перекрытие ароматических семейств, вкусовой баланс, тройничное восприятие</x:v>
      </x:c>
      <x:c r="F199" s="28" t="str">
        <x:v>Лимон формирует профиль «цитрусовый, свежий, цветочный, древесный»; характерные маркеры: цитраль (гераниаль + нераль), лимонен, гамма-терпинен, бета-пинен. Шалфей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9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9" s="28" t="str">
        <x:v>Избыток кислоты делает вкус плоско-резким; белая часть кожуры даёт лишнюю горечь; цитрус легко подавляет деликатный аромат партнёра.</x:v>
      </x:c>
      <x:c r="I199" s="28" t="str">
        <x:v>лимонад, кордиал, салатная заправка или зелёный соус</x:v>
      </x:c>
      <x:c r="J199" s="28" t="str">
        <x:v>Гипотеза / практическая</x:v>
      </x:c>
      <x:c r="K199" s="28" t="str">
        <x:v>Таблица сочетания(1).pdf</x:v>
      </x:c>
      <x:c r="L199" s="28" t="str">
        <x:v>Таблица сочетания(1).pdf: 11, 20</x:v>
      </x:c>
    </x:row>
    <x:row r="200" ht="62" customHeight="1">
      <x:c r="A200" s="28" t="str">
        <x:v>CIT-0491</x:v>
      </x:c>
      <x:c r="B200" s="28" t="str">
        <x:v>лимон</x:v>
      </x:c>
      <x:c r="C200" s="28" t="str">
        <x:v>шафран</x:v>
      </x:c>
      <x:c r="D200" s="28" t="str">
        <x:v>Пряности</x:v>
      </x:c>
      <x:c r="E200" s="28" t="str">
        <x:v>перекрытие ароматических семейств, вкусовой баланс</x:v>
      </x:c>
      <x:c r="F200" s="28" t="str">
        <x:v>Лимон формирует профиль «цитрусовый, свежий, цветочный, древесный»; характерные маркеры: цитраль (гераниаль + нераль), лимонен, гамма-терпинен, бета-пинен. Шафран относится к группе «пряности» и даёт ноты «медовый, сенной, цветочный, кожистый».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Шафран даёт сухую цветочно-медовую глубину.</x:v>
      </x:c>
      <x:c r="G20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00" s="28" t="str">
        <x:v>Избыток кислоты делает вкус плоско-резким; белая часть кожуры даёт лишнюю горечь.</x:v>
      </x:c>
      <x:c r="I200" s="28" t="str">
        <x:v>сироп, кордиал, чатни, маринад или пряный десерт</x:v>
      </x:c>
      <x:c r="J200" s="28" t="str">
        <x:v>Высокая</x:v>
      </x:c>
      <x:c r="K200" s="28" t="str">
        <x:v>Тезариус вкусов (Ники Сегнит)(1).pdf</x:v>
      </x:c>
      <x:c r="L200" s="28" t="str">
        <x:v>Тезариус вкусов (Ники Сегнит)(1).pdf: 475, 810</x:v>
      </x:c>
    </x:row>
    <x:row r="201" ht="62" customHeight="1">
      <x:c r="A201" s="28" t="str">
        <x:v>CIT-0494</x:v>
      </x:c>
      <x:c r="B201" s="28" t="str">
        <x:v>лимон</x:v>
      </x:c>
      <x:c r="C201" s="28" t="str">
        <x:v>юдзу</x:v>
      </x:c>
      <x:c r="D201" s="28" t="str">
        <x:v>Цитрусовые</x:v>
      </x:c>
      <x:c r="E201" s="28" t="str">
        <x:v>общие ароматические молекулы, перекрытие ароматических семейств, вкусовой баланс, тройничное восприятие</x:v>
      </x:c>
      <x:c r="F201" s="28" t="str">
        <x:v>Лимон формирует профиль «цитрусовый, свежий, цветочный, древесный»; характерные маркеры: цитраль (гераниаль + нераль), лимонен, гамма-терпинен, бета-пинен. Юдзу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Лаймовые цитрусы дают более зелёный и камфорный профиль, чем сладкий апельсин.</x:v>
      </x:c>
      <x:c r="G20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1" s="28" t="str">
        <x:v>Избыток кислоты делает вкус плоско-резким; белая часть кожуры даёт лишнюю горечь.</x:v>
      </x:c>
      <x:c r="I201" s="28" t="str">
        <x:v>цитрусовый кордиал, мармелад, сорбет, салат или купаж соков</x:v>
      </x:c>
      <x:c r="J201" s="28" t="str">
        <x:v>Средняя</x:v>
      </x:c>
      <x:c r="K201" s="28" t="str">
        <x:v>Таблица сочетания(1).pdf</x:v>
      </x:c>
      <x:c r="L201" s="28" t="str">
        <x:v>Таблица сочетания(1).pdf: 22</x:v>
      </x:c>
    </x:row>
    <x:row r="202" ht="62" customHeight="1">
      <x:c r="A202" s="28" t="str">
        <x:v>CIT-0495</x:v>
      </x:c>
      <x:c r="B202" s="28" t="str">
        <x:v>лимон</x:v>
      </x:c>
      <x:c r="C202" s="28" t="str">
        <x:v>яблоко</x:v>
      </x:c>
      <x:c r="D202" s="28" t="str">
        <x:v>Фрукты</x:v>
      </x:c>
      <x:c r="E202" s="28" t="str">
        <x:v>перекрытие ароматических семейств, вкусовой баланс</x:v>
      </x:c>
      <x:c r="F202" s="28" t="str">
        <x:v>Лимон формирует профиль «цитрусовый, свежий, цветочный, древесный»; характерные маркеры: цитраль (гераниаль + нераль), лимонен, гамма-терпинен, бета-пинен.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Яблочные эфиры и зелёные альдегиды хорошо поддерживают свежий цитрус.</x:v>
      </x:c>
      <x:c r="G20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2" s="28" t="str">
        <x:v>Избыток кислоты делает вкус плоско-резким; белая часть кожуры даёт лишнюю горечь.</x:v>
      </x:c>
      <x:c r="I202" s="28" t="str">
        <x:v>лимонад, сорбет, компот, салат или фруктовый кордиал</x:v>
      </x:c>
      <x:c r="J202" s="28" t="str">
        <x:v>Гипотеза / практическая</x:v>
      </x:c>
      <x:c r="K202" s="28" t="str">
        <x:v>Таблица сочетания(1).pdf</x:v>
      </x:c>
      <x:c r="L202" s="28" t="str">
        <x:v>Таблица сочетания(1).pdf: 11</x:v>
      </x:c>
    </x:row>
    <x:row r="203" ht="62" customHeight="1">
      <x:c r="A203" s="28" t="str">
        <x:v>CIT-0496</x:v>
      </x:c>
      <x:c r="B203" s="28" t="str">
        <x:v>лимон</x:v>
      </x:c>
      <x:c r="C203" s="28" t="str">
        <x:v>ягоды</x:v>
      </x:c>
      <x:c r="D203" s="28" t="str">
        <x:v>Ягоды/косточковые</x:v>
      </x:c>
      <x:c r="E203" s="28" t="str">
        <x:v>перекрытие ароматических семейств, вкусовой баланс</x:v>
      </x:c>
      <x:c r="F203" s="28" t="str">
        <x:v>Лимон формирует профиль «цитрусовый, свежий, цветочный, древесный»; характерные маркеры: цитраль (гераниаль + нераль), лимонен, гамма-терпинен, бета-пинен.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20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3" s="28" t="str">
        <x:v>Избыток кислоты делает вкус плоско-резким; белая часть кожуры даёт лишнюю горечь.</x:v>
      </x:c>
      <x:c r="I203" s="28" t="str">
        <x:v>джем, сорбет, коктейль или соус</x:v>
      </x:c>
      <x:c r="J203" s="28" t="str">
        <x:v>Гипотеза / практическая</x:v>
      </x:c>
      <x:c r="K203" s="28" t="str">
        <x:v>Таблица сочетания(1).pdf</x:v>
      </x:c>
      <x:c r="L203" s="28" t="str">
        <x:v>Таблица сочетания(1).pdf: 11</x:v>
      </x:c>
    </x:row>
    <x:row r="204" ht="62" customHeight="1">
      <x:c r="A204" s="28" t="str">
        <x:v>CIT-0497</x:v>
      </x:c>
      <x:c r="B204" s="28" t="str">
        <x:v>лимон</x:v>
      </x:c>
      <x:c r="C204" s="28" t="str">
        <x:v>ягоды можжевельника</x:v>
      </x:c>
      <x:c r="D204" s="28" t="str">
        <x:v>Ягоды/косточковые</x:v>
      </x:c>
      <x:c r="E204" s="28" t="str">
        <x:v>перекрытие ароматических семейств, вкусовой баланс</x:v>
      </x:c>
      <x:c r="F204" s="28" t="str">
        <x:v>Лимон формирует профиль «цитрусовый, свежий, цветочный, древесный»; характерные маркеры: цитраль (гераниаль + нераль), лимонен, гамма-терпинен, бета-пинен. Ягоды можжевельника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20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4" s="28" t="str">
        <x:v>Избыток кислоты делает вкус плоско-резким; белая часть кожуры даёт лишнюю горечь.</x:v>
      </x:c>
      <x:c r="I204" s="28" t="str">
        <x:v>джем, сорбет, коктейль или соус</x:v>
      </x:c>
      <x:c r="J204" s="28" t="str">
        <x:v>Гипотеза / практическая</x:v>
      </x:c>
      <x:c r="K204" s="28" t="str">
        <x:v>Таблица сочетания(1).pdf</x:v>
      </x:c>
      <x:c r="L204" s="28" t="str">
        <x:v>Таблица сочетания(1).pdf: 10</x:v>
      </x:c>
    </x:row>
    <x:row r="205" ht="62" customHeight="1">
      <x:c r="A205" s="28" t="str">
        <x:v>CIT-0499</x:v>
      </x:c>
      <x:c r="B205" s="28" t="str">
        <x:v>лимонная вербена</x:v>
      </x:c>
      <x:c r="C205" s="28" t="str">
        <x:v>цедра танжерина</x:v>
      </x:c>
      <x:c r="D205" s="28" t="str">
        <x:v>Цитрусовые</x:v>
      </x:c>
      <x:c r="E205" s="28" t="str">
        <x:v>общие ароматические молекулы, перекрытие ароматических семейств, вкусовой баланс</x:v>
      </x:c>
      <x:c r="F205" s="28" t="str">
        <x:v>Лимонная вербена формирует профиль «цитрусовый, свежий, цветочный, древесный»; характерные маркеры: цитраль (гераниаль + нераль), лимонен, гамма-терпинен, бета-пинен. Цедра танжерина относится к группе «цитрусовые» и даёт ноты «цитрусовый, фруктовый, цветочный, пряный».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Мандариновая группа мягче по кислотности и выраженнее по сладко-цветочным нотам.</x:v>
      </x:c>
      <x:c r="G20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5" s="28" t="str">
        <x:v>Избыток кислоты делает вкус плоско-резким; белая часть кожуры даёт лишнюю горечь.</x:v>
      </x:c>
      <x:c r="I205" s="28" t="str">
        <x:v>цитрусовый кордиал, мармелад, сорбет, салат или купаж соков</x:v>
      </x:c>
      <x:c r="J205" s="28" t="str">
        <x:v>Средняя</x:v>
      </x:c>
      <x:c r="K205" s="28" t="str">
        <x:v>The Art &amp; Science of Foodpairing.pdf</x:v>
      </x:c>
      <x:c r="L205" s="28" t="str">
        <x:v>The Art &amp; Science of Foodpairing.pdf: 228</x:v>
      </x:c>
    </x:row>
    <x:row r="206" ht="62" customHeight="1">
      <x:c r="A206" s="28" t="str">
        <x:v>CIT-0500</x:v>
      </x:c>
      <x:c r="B206" s="28" t="str">
        <x:v>лимонная водка</x:v>
      </x:c>
      <x:c r="C206" s="28" t="str">
        <x:v>пальчиковый лайм</x:v>
      </x:c>
      <x:c r="D206" s="28" t="str">
        <x:v>Цитрусовые</x:v>
      </x:c>
      <x:c r="E206" s="28" t="str">
        <x:v>общие ароматические молекулы, перекрытие ароматических семейств, вкусовой баланс, тройничное восприятие</x:v>
      </x:c>
      <x:c r="F206" s="28" t="str">
        <x:v>Лимонная водка формирует профиль «цитрусовый, свежий, цветочный, древесный»; характерные маркеры: цитраль (гераниаль + нераль), лимонен, гамма-терпинен, бета-пинен. Пальчиковый лайм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Лаймовые цитрусы дают более зелёный и камфорный профиль, чем сладкий апельсин.</x:v>
      </x:c>
      <x:c r="G20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6" s="28" t="str">
        <x:v>Избыток кислоты делает вкус плоско-резким; белая часть кожуры даёт лишнюю горечь.</x:v>
      </x:c>
      <x:c r="I206" s="28" t="str">
        <x:v>цитрусовый кордиал, мармелад, сорбет, салат или купаж соков</x:v>
      </x:c>
      <x:c r="J206" s="28" t="str">
        <x:v>Средняя</x:v>
      </x:c>
      <x:c r="K206" s="28" t="str">
        <x:v>The Art &amp; Science of Foodpairing.pdf</x:v>
      </x:c>
      <x:c r="L206" s="28" t="str">
        <x:v>The Art &amp; Science of Foodpairing.pdf: 332</x:v>
      </x:c>
    </x:row>
    <x:row r="207" ht="62" customHeight="1">
      <x:c r="A207" s="28" t="str">
        <x:v>CIT-0501</x:v>
      </x:c>
      <x:c r="B207" s="28" t="str">
        <x:v>лимонная водка</x:v>
      </x:c>
      <x:c r="C207" s="28" t="str">
        <x:v>цукаты из апельсиновой кожуры</x:v>
      </x:c>
      <x:c r="D207" s="28" t="str">
        <x:v>Цитрусовые</x:v>
      </x:c>
      <x:c r="E207" s="28" t="str">
        <x:v>общие ароматические молекулы, перекрытие ароматических семейств, вкусовой баланс</x:v>
      </x:c>
      <x:c r="F207" s="28" t="str">
        <x:v>Лимонная водка формирует профиль «цитрусовый, свежий, цветочный, древесный»; характерные маркеры: цитраль (гераниаль + нераль), лимонен, гамма-терпинен, бета-пинен. Цукаты из апельсиновой кожуры относится к группе «цитрусовые» и даёт ноты «цитрусовый, сладко-фруктовый, цветочный, восковой».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Апельсиновый профиль строится на лимонене и альдегидах с восково-сладкой нотой.</x:v>
      </x:c>
      <x:c r="G20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7" s="28" t="str">
        <x:v>Избыток кислоты делает вкус плоско-резким; белая часть кожуры даёт лишнюю горечь.</x:v>
      </x:c>
      <x:c r="I207" s="28" t="str">
        <x:v>цитрусовый кордиал, мармелад, сорбет, салат или купаж соков</x:v>
      </x:c>
      <x:c r="J207" s="28" t="str">
        <x:v>Средняя</x:v>
      </x:c>
      <x:c r="K207" s="28" t="str">
        <x:v>The Art &amp; Science of Foodpairing.pdf</x:v>
      </x:c>
      <x:c r="L207" s="28" t="str">
        <x:v>The Art &amp; Science of Foodpairing.pdf: 267</x:v>
      </x:c>
    </x:row>
    <x:row r="208" ht="62" customHeight="1">
      <x:c r="A208" s="28" t="str">
        <x:v>CIT-0506</x:v>
      </x:c>
      <x:c r="B208" s="28" t="str">
        <x:v>лимонная цедра</x:v>
      </x:c>
      <x:c r="C208" s="28" t="str">
        <x:v>сушёный орегано</x:v>
      </x:c>
      <x:c r="D208" s="28" t="str">
        <x:v>Травы</x:v>
      </x:c>
      <x:c r="E208" s="28" t="str">
        <x:v>перекрытие ароматических семейств, вкусовой баланс, тройничное восприятие</x:v>
      </x:c>
      <x:c r="F208"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20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08" s="28" t="str">
        <x:v>Избыток кислоты делает вкус плоско-резким; белая часть кожуры даёт лишнюю горечь; цитрус легко подавляет деликатный аромат партнёра.</x:v>
      </x:c>
      <x:c r="I208" s="28" t="str">
        <x:v>лимонад, кордиал, салатная заправка или зелёный соус</x:v>
      </x:c>
      <x:c r="J208" s="28" t="str">
        <x:v>Средняя</x:v>
      </x:c>
      <x:c r="K208" s="28" t="str">
        <x:v>The Art &amp; Science of Foodpairing.pdf</x:v>
      </x:c>
      <x:c r="L208" s="28" t="str">
        <x:v>The Art &amp; Science of Foodpairing.pdf: 87</x:v>
      </x:c>
    </x:row>
    <x:row r="209" ht="62" customHeight="1">
      <x:c r="A209" s="28" t="str">
        <x:v>CIT-0508</x:v>
      </x:c>
      <x:c r="B209" s="28" t="str">
        <x:v>лимонный сок</x:v>
      </x:c>
      <x:c r="C209" s="28" t="str">
        <x:v>ананас</x:v>
      </x:c>
      <x:c r="D209" s="28" t="str">
        <x:v>Тропические фрукты</x:v>
      </x:c>
      <x:c r="E209" s="28" t="str">
        <x:v>перекрытие ароматических семейств, вкусовой баланс</x:v>
      </x:c>
      <x:c r="F209"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20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9" s="28" t="str">
        <x:v>Избыток кислоты делает вкус плоско-резким; белая часть кожуры даёт лишнюю горечь.</x:v>
      </x:c>
      <x:c r="I209" s="28" t="str">
        <x:v>смузи, кордиал, сорбет, чатни или коктейль</x:v>
      </x:c>
      <x:c r="J209" s="28" t="str">
        <x:v>Средняя</x:v>
      </x:c>
      <x:c r="K209" s="28" t="str">
        <x:v>The Art &amp; Science of Foodpairing.pdf</x:v>
      </x:c>
      <x:c r="L209" s="28" t="str">
        <x:v>The Art &amp; Science of Foodpairing.pdf: 370</x:v>
      </x:c>
    </x:row>
    <x:row r="210" ht="62" customHeight="1">
      <x:c r="A210" s="28" t="str">
        <x:v>CIT-0515</x:v>
      </x:c>
      <x:c r="B210" s="28" t="str">
        <x:v>лимонный сок</x:v>
      </x:c>
      <x:c r="C210" s="28" t="str">
        <x:v>тимьян</x:v>
      </x:c>
      <x:c r="D210" s="28" t="str">
        <x:v>Травы</x:v>
      </x:c>
      <x:c r="E210" s="28" t="str">
        <x:v>перекрытие ароматических семейств, вкусовой баланс, тройничное восприятие</x:v>
      </x:c>
      <x:c r="F210"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21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0" s="28" t="str">
        <x:v>Избыток кислоты делает вкус плоско-резким; белая часть кожуры даёт лишнюю горечь; цитрус легко подавляет деликатный аромат партнёра.</x:v>
      </x:c>
      <x:c r="I210" s="28" t="str">
        <x:v>лимонад, кордиал, салатная заправка или зелёный соус</x:v>
      </x:c>
      <x:c r="J210" s="28" t="str">
        <x:v>Средняя</x:v>
      </x:c>
      <x:c r="K210" s="28" t="str">
        <x:v>The Art &amp; Science of Foodpairing.pdf</x:v>
      </x:c>
      <x:c r="L210" s="28" t="str">
        <x:v>The Art &amp; Science of Foodpairing.pdf: 370</x:v>
      </x:c>
    </x:row>
    <x:row r="211" ht="62" customHeight="1">
      <x:c r="A211" s="28" t="str">
        <x:v>CIT-0518</x:v>
      </x:c>
      <x:c r="B211" s="28" t="str">
        <x:v>лимонный тарт</x:v>
      </x:c>
      <x:c r="C211" s="28" t="str">
        <x:v>бойзенова ягода</x:v>
      </x:c>
      <x:c r="D211" s="28" t="str">
        <x:v>Ягоды/косточковые</x:v>
      </x:c>
      <x:c r="E211" s="28" t="str">
        <x:v>перекрытие ароматических семейств, вкусовой баланс</x:v>
      </x:c>
      <x:c r="F211" s="28" t="str">
        <x:v>Лимонный тарт формирует профиль «цитрусовый, свежий, цветочный, древесный»; характерные маркеры: цитраль (гераниаль + нераль), лимонен, гамма-терпинен, бета-пинен. Бойзенова ягода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21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11" s="28" t="str">
        <x:v>Избыток кислоты делает вкус плоско-резким; белая часть кожуры даёт лишнюю горечь.</x:v>
      </x:c>
      <x:c r="I211" s="28" t="str">
        <x:v>джем, сорбет, коктейль или соус</x:v>
      </x:c>
      <x:c r="J211" s="28" t="str">
        <x:v>Средняя</x:v>
      </x:c>
      <x:c r="K211" s="28" t="str">
        <x:v>The Art &amp; Science of Foodpairing.pdf</x:v>
      </x:c>
      <x:c r="L211" s="28" t="str">
        <x:v>The Art &amp; Science of Foodpairing.pdf: 74</x:v>
      </x:c>
    </x:row>
    <x:row r="212" ht="62" customHeight="1">
      <x:c r="A212" s="28" t="str">
        <x:v>CIT-0521</x:v>
      </x:c>
      <x:c r="B212" s="28" t="str">
        <x:v>лимончелло</x:v>
      </x:c>
      <x:c r="C212" s="28" t="str">
        <x:v>бойзенова ягода</x:v>
      </x:c>
      <x:c r="D212" s="28" t="str">
        <x:v>Ягоды/косточковые</x:v>
      </x:c>
      <x:c r="E212" s="28" t="str">
        <x:v>перекрытие ароматических семейств, вкусовой баланс</x:v>
      </x:c>
      <x:c r="F212"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Бойзенова ягода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21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12" s="28" t="str">
        <x:v>Избыток кислоты делает вкус плоско-резким; белая часть кожуры даёт лишнюю горечь.</x:v>
      </x:c>
      <x:c r="I212" s="28" t="str">
        <x:v>джем, сорбет, коктейль или соус</x:v>
      </x:c>
      <x:c r="J212" s="28" t="str">
        <x:v>Средняя</x:v>
      </x:c>
      <x:c r="K212" s="28" t="str">
        <x:v>The Art &amp; Science of Foodpairing.pdf</x:v>
      </x:c>
      <x:c r="L212" s="28" t="str">
        <x:v>The Art &amp; Science of Foodpairing.pdf: 74</x:v>
      </x:c>
    </x:row>
    <x:row r="213" ht="62" customHeight="1">
      <x:c r="A213" s="28" t="str">
        <x:v>CIT-0522</x:v>
      </x:c>
      <x:c r="B213" s="28" t="str">
        <x:v>лимончелло</x:v>
      </x:c>
      <x:c r="C213" s="28" t="str">
        <x:v>вересковый мёд</x:v>
      </x:c>
      <x:c r="D213" s="28" t="str">
        <x:v>Подсластители</x:v>
      </x:c>
      <x:c r="E213" s="28" t="str">
        <x:v>перекрытие ароматических семейств, вкусовой баланс</x:v>
      </x:c>
      <x:c r="F213"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Вересковый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Сок определяется цитралем и кислотностью, цедра — лимоненом и терпенами. Сладость балансирует кислоту и горечь кожуры; цветочные компоненты могут поддерживать цитрус.</x:v>
      </x:c>
      <x:c r="G21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13" s="28" t="str">
        <x:v>Избыток кислоты делает вкус плоско-резким; белая часть кожуры даёт лишнюю горечь.</x:v>
      </x:c>
      <x:c r="I213" s="28" t="str">
        <x:v>сироп, мармелад, крем, глазурь или лимонад</x:v>
      </x:c>
      <x:c r="J213" s="28" t="str">
        <x:v>Средняя</x:v>
      </x:c>
      <x:c r="K213" s="28" t="str">
        <x:v>The Art &amp; Science of Foodpairing.pdf</x:v>
      </x:c>
      <x:c r="L213" s="28" t="str">
        <x:v>The Art &amp; Science of Foodpairing.pdf: 370</x:v>
      </x:c>
    </x:row>
    <x:row r="214" ht="62" customHeight="1">
      <x:c r="A214" s="28" t="str">
        <x:v>CIT-0542</x:v>
      </x:c>
      <x:c r="B214" s="28" t="str">
        <x:v>листья кафир-лайма</x:v>
      </x:c>
      <x:c r="C214" s="28" t="str">
        <x:v>гуава</x:v>
      </x:c>
      <x:c r="D214" s="28" t="str">
        <x:v>Тропические фрукты</x:v>
      </x:c>
      <x:c r="E214" s="28" t="str">
        <x:v>вкусовой баланс</x:v>
      </x:c>
      <x:c r="F214" s="28" t="str">
        <x:v>Листья кафир-лайма формирует профиль «цитрусовый, зелёный, травяной, камфорный»; характерные маркеры: лимонен, гамма-терпинен, цитраль, бета-пинен, линалол. Гуава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21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14" s="28" t="str">
        <x:v>Избыток кислоты делает вкус плоско-резким; белая часть кожуры даёт лишнюю горечь.</x:v>
      </x:c>
      <x:c r="I214" s="28" t="str">
        <x:v>смузи, кордиал, сорбет, чатни или коктейль</x:v>
      </x:c>
      <x:c r="J214" s="28" t="str">
        <x:v>Гипотеза / практическая</x:v>
      </x:c>
      <x:c r="K214" s="28" t="str">
        <x:v>Таблица сочетания(1).pdf</x:v>
      </x:c>
      <x:c r="L214" s="28" t="str">
        <x:v>Таблица сочетания(1).pdf: 9</x:v>
      </x:c>
    </x:row>
    <x:row r="215" ht="62" customHeight="1">
      <x:c r="A215" s="28" t="str">
        <x:v>CIT-0543</x:v>
      </x:c>
      <x:c r="B215" s="28" t="str">
        <x:v>листья кафир-лайма</x:v>
      </x:c>
      <x:c r="C215" s="28" t="str">
        <x:v>кокос</x:v>
      </x:c>
      <x:c r="D215" s="28" t="str">
        <x:v>Тропические плоды</x:v>
      </x:c>
      <x:c r="E215" s="28" t="str">
        <x:v>вкусовой баланс</x:v>
      </x:c>
      <x:c r="F215" s="28" t="str">
        <x:v>Листья кафир-лайма формирует профиль «цитрусовый, зелёный, травяной, камфорный»; характерные маркеры: лимонен, гамма-терпинен, цитраль, бета-пинен, линалол. Кокос относится к группе «тропические плоды» и даёт ноты «сливочный, кокосовый, восковой, ореховый».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Кокос округляет кислотность и продлевает цитрусовый аромат.</x:v>
      </x:c>
      <x:c r="G21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15" s="28" t="str">
        <x:v>Избыток кислоты делает вкус плоско-резким; белая часть кожуры даёт лишнюю горечь.</x:v>
      </x:c>
      <x:c r="I215" s="28" t="str">
        <x:v>коктейль, крем, сорбет или соус</x:v>
      </x:c>
      <x:c r="J215" s="28" t="str">
        <x:v>Гипотеза / практическая</x:v>
      </x:c>
      <x:c r="K215" s="28" t="str">
        <x:v>Таблица сочетания(1).pdf</x:v>
      </x:c>
      <x:c r="L215" s="28" t="str">
        <x:v>Таблица сочетания(1).pdf: 5</x:v>
      </x:c>
    </x:row>
    <x:row r="216" ht="62" customHeight="1">
      <x:c r="A216" s="28" t="str">
        <x:v>CIT-0549</x:v>
      </x:c>
      <x:c r="B216" s="28" t="str">
        <x:v>мандарин</x:v>
      </x:c>
      <x:c r="C216" s="28" t="str">
        <x:v>ваниль</x:v>
      </x:c>
      <x:c r="D216" s="28" t="str">
        <x:v>Пряности</x:v>
      </x:c>
      <x:c r="E216" s="28" t="str">
        <x:v>вкусовой баланс</x:v>
      </x:c>
      <x:c r="F216" s="28" t="str">
        <x:v>Мандарин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G21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6" s="28" t="str">
        <x:v>Избыток кислоты делает вкус плоско-резким; белая часть кожуры даёт лишнюю горечь.</x:v>
      </x:c>
      <x:c r="I216" s="28" t="str">
        <x:v>сироп, кордиал, чатни, маринад или пряный десерт</x:v>
      </x:c>
      <x:c r="J216" s="28" t="str">
        <x:v>Гипотеза / практическая</x:v>
      </x:c>
      <x:c r="K216" s="28" t="str">
        <x:v>Таблица сочетания(1).pdf</x:v>
      </x:c>
      <x:c r="L216" s="28" t="str">
        <x:v>Таблица сочетания(1).pdf: 12</x:v>
      </x:c>
    </x:row>
    <x:row r="217" ht="62" customHeight="1">
      <x:c r="A217" s="28" t="str">
        <x:v>CIT-0550</x:v>
      </x:c>
      <x:c r="B217" s="28" t="str">
        <x:v>мандарин</x:v>
      </x:c>
      <x:c r="C217" s="28" t="str">
        <x:v>вишня</x:v>
      </x:c>
      <x:c r="D217" s="28" t="str">
        <x:v>Ягоды/косточковые</x:v>
      </x:c>
      <x:c r="E217" s="28" t="str">
        <x:v>перекрытие ароматических семейств, вкусовой баланс</x:v>
      </x:c>
      <x:c r="F217" s="28" t="str">
        <x:v>Мандарин формирует профиль «цитрусовый, фруктовый, цветочный, пряный»; характерные маркеры: лимонен, гамма-терпинен, метил-N-метилантранилат, линалол.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21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17" s="28" t="str">
        <x:v>Избыток кислоты делает вкус плоско-резким; белая часть кожуры даёт лишнюю горечь.</x:v>
      </x:c>
      <x:c r="I217" s="28" t="str">
        <x:v>джем, сорбет, коктейль или соус</x:v>
      </x:c>
      <x:c r="J217" s="28" t="str">
        <x:v>Гипотеза / практическая</x:v>
      </x:c>
      <x:c r="K217" s="28" t="str">
        <x:v>Таблица сочетания(1).pdf</x:v>
      </x:c>
      <x:c r="L217" s="28" t="str">
        <x:v>Таблица сочетания(1).pdf: 12</x:v>
      </x:c>
    </x:row>
    <x:row r="218" ht="62" customHeight="1">
      <x:c r="A218" s="28" t="str">
        <x:v>CIT-0552</x:v>
      </x:c>
      <x:c r="B218" s="28" t="str">
        <x:v>мандарин</x:v>
      </x:c>
      <x:c r="C218" s="28" t="str">
        <x:v>джин де Маон</x:v>
      </x:c>
      <x:c r="D218" s="28" t="str">
        <x:v>Алкогольные напитки</x:v>
      </x:c>
      <x:c r="E218" s="28" t="str">
        <x:v>вкусовой баланс, тройничное восприятие, влияние матрицы/растворимости</x:v>
      </x:c>
      <x:c r="F218" s="28" t="str">
        <x:v>Мандарин формирует профиль «цитрусовый, фруктовый, цветочный, пряный»; характерные маркеры: лимонен, гамма-терпинен, метил-N-метилантранилат, линалол. Джин де маон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G218"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218" s="28" t="str">
        <x:v>Избыток кислоты делает вкус плоско-резким; белая часть кожуры даёт лишнюю горечь.</x:v>
      </x:c>
      <x:c r="I218" s="28" t="str">
        <x:v>коктейль, спритц, настойка, ликёр или кордиал</x:v>
      </x:c>
      <x:c r="J218" s="28" t="str">
        <x:v>Средняя</x:v>
      </x:c>
      <x:c r="K218" s="28" t="str">
        <x:v>The Art &amp; Science of Foodpairing.pdf</x:v>
      </x:c>
      <x:c r="L218" s="28" t="str">
        <x:v>The Art &amp; Science of Foodpairing.pdf: 215</x:v>
      </x:c>
    </x:row>
    <x:row r="219" ht="62" customHeight="1">
      <x:c r="A219" s="28" t="str">
        <x:v>CIT-0555</x:v>
      </x:c>
      <x:c r="B219" s="28" t="str">
        <x:v>мандарин</x:v>
      </x:c>
      <x:c r="C219" s="28" t="str">
        <x:v>имбирь</x:v>
      </x:c>
      <x:c r="D219" s="28" t="str">
        <x:v>Пряности</x:v>
      </x:c>
      <x:c r="E219" s="28" t="str">
        <x:v>перекрытие ароматических семейств, вкусовой баланс, тройничное восприятие</x:v>
      </x:c>
      <x:c r="F219" s="28" t="str">
        <x:v>Мандарин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21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9" s="28" t="str">
        <x:v>Избыток кислоты делает вкус плоско-резким; белая часть кожуры даёт лишнюю горечь.</x:v>
      </x:c>
      <x:c r="I219" s="28" t="str">
        <x:v>сироп, кордиал, чатни, маринад или пряный десерт</x:v>
      </x:c>
      <x:c r="J219" s="28" t="str">
        <x:v>Гипотеза / практическая</x:v>
      </x:c>
      <x:c r="K219" s="28" t="str">
        <x:v>Таблица сочетания(1).pdf</x:v>
      </x:c>
      <x:c r="L219" s="28" t="str">
        <x:v>Таблица сочетания(1).pdf: 12</x:v>
      </x:c>
    </x:row>
    <x:row r="220" ht="62" customHeight="1">
      <x:c r="A220" s="28" t="str">
        <x:v>CIT-0557</x:v>
      </x:c>
      <x:c r="B220" s="28" t="str">
        <x:v>мандарин</x:v>
      </x:c>
      <x:c r="C220" s="28" t="str">
        <x:v>карамель</x:v>
      </x:c>
      <x:c r="D220" s="28" t="str">
        <x:v>Подсластители</x:v>
      </x:c>
      <x:c r="E220" s="28" t="str">
        <x:v>перекрытие ароматических семейств, вкусовой баланс</x:v>
      </x:c>
      <x:c r="F220" s="28" t="str">
        <x:v>Мандарин формирует профиль «цитрусовый, фруктовый, цветочный, пряный»; характерные маркеры: лимонен, гамма-терпинен, метил-N-метилантранилат, линалол. Карамель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G22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20" s="28" t="str">
        <x:v>Избыток кислоты делает вкус плоско-резким; белая часть кожуры даёт лишнюю горечь.</x:v>
      </x:c>
      <x:c r="I220" s="28" t="str">
        <x:v>сироп, мармелад, крем, глазурь или лимонад</x:v>
      </x:c>
      <x:c r="J220" s="28" t="str">
        <x:v>Гипотеза / практическая</x:v>
      </x:c>
      <x:c r="K220" s="28" t="str">
        <x:v>Таблица сочетания(1).pdf</x:v>
      </x:c>
      <x:c r="L220" s="28" t="str">
        <x:v>Таблица сочетания(1).pdf: 3</x:v>
      </x:c>
    </x:row>
    <x:row r="221" ht="62" customHeight="1">
      <x:c r="A221" s="28" t="str">
        <x:v>CIT-0558</x:v>
      </x:c>
      <x:c r="B221" s="28" t="str">
        <x:v>мандарин</x:v>
      </x:c>
      <x:c r="C221" s="28" t="str">
        <x:v>кардамон</x:v>
      </x:c>
      <x:c r="D221" s="28" t="str">
        <x:v>Пряности</x:v>
      </x:c>
      <x:c r="E221" s="28" t="str">
        <x:v>общие ароматические молекулы, перекрытие ароматических семейств, вкусовой баланс, тройничное восприятие</x:v>
      </x:c>
      <x:c r="F221" s="28" t="str">
        <x:v>Мандарин формирует профиль «цитрусовый, фруктовый, цветочный, пряный»; характерные маркеры: лимонен, гамма-терпинен, метил-N-метилантранилат, линалол.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Кардамон часто служит мостом между цитрусом, цветами и древесными нотами.</x:v>
      </x:c>
      <x:c r="G22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21" s="28" t="str">
        <x:v>Избыток кислоты делает вкус плоско-резким; белая часть кожуры даёт лишнюю горечь.</x:v>
      </x:c>
      <x:c r="I221" s="28" t="str">
        <x:v>сироп, кордиал, чатни, маринад или пряный десерт</x:v>
      </x:c>
      <x:c r="J221" s="28" t="str">
        <x:v>Средняя</x:v>
      </x:c>
      <x:c r="K221" s="28" t="str">
        <x:v>Таблица сочетания(1).pdf</x:v>
      </x:c>
      <x:c r="L221" s="28" t="str">
        <x:v>Таблица сочетания(1).pdf: 12</x:v>
      </x:c>
    </x:row>
    <x:row r="222" ht="62" customHeight="1">
      <x:c r="A222" s="28" t="str">
        <x:v>CIT-0561</x:v>
      </x:c>
      <x:c r="B222" s="28" t="str">
        <x:v>мандарин</x:v>
      </x:c>
      <x:c r="C222" s="28" t="str">
        <x:v>корица</x:v>
      </x:c>
      <x:c r="D222" s="28" t="str">
        <x:v>Пряности</x:v>
      </x:c>
      <x:c r="E222" s="28" t="str">
        <x:v>вкусовой баланс, тройничное восприятие</x:v>
      </x:c>
      <x:c r="F222" s="28" t="str">
        <x:v>Мандарин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G22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22" s="28" t="str">
        <x:v>Избыток кислоты делает вкус плоско-резким; белая часть кожуры даёт лишнюю горечь.</x:v>
      </x:c>
      <x:c r="I222" s="28" t="str">
        <x:v>сироп, кордиал, чатни, маринад или пряный десерт</x:v>
      </x:c>
      <x:c r="J222" s="28" t="str">
        <x:v>Гипотеза / практическая</x:v>
      </x:c>
      <x:c r="K222" s="28" t="str">
        <x:v>Таблица сочетания(1).pdf</x:v>
      </x:c>
      <x:c r="L222" s="28" t="str">
        <x:v>Таблица сочетания(1).pdf: 12</x:v>
      </x:c>
    </x:row>
    <x:row r="223" ht="62" customHeight="1">
      <x:c r="A223" s="28" t="str">
        <x:v>CIT-0563</x:v>
      </x:c>
      <x:c r="B223" s="28" t="str">
        <x:v>мандарин</x:v>
      </x:c>
      <x:c r="C223" s="28" t="str">
        <x:v>лимонный тимьян</x:v>
      </x:c>
      <x:c r="D223" s="28" t="str">
        <x:v>Травы</x:v>
      </x:c>
      <x:c r="E223" s="28" t="str">
        <x:v>вкусовой баланс, тройничное восприятие</x:v>
      </x:c>
      <x:c r="F223" s="28" t="str">
        <x:v>Мандарин формирует профиль «цитрусовый, фруктовый, цветочный, пряный»; характерные маркеры: лимонен, гамма-терпинен, метил-N-метилантранилат, линалол.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22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23" s="28" t="str">
        <x:v>Избыток кислоты делает вкус плоско-резким; белая часть кожуры даёт лишнюю горечь; цитрус легко подавляет деликатный аромат партнёра.</x:v>
      </x:c>
      <x:c r="I223" s="28" t="str">
        <x:v>лимонад, кордиал, салатная заправка или зелёный соус</x:v>
      </x:c>
      <x:c r="J223" s="28" t="str">
        <x:v>Гипотеза / практическая</x:v>
      </x:c>
      <x:c r="K223" s="28" t="str">
        <x:v>Таблица сочетания(1).pdf</x:v>
      </x:c>
      <x:c r="L223" s="28" t="str">
        <x:v>Таблица сочетания(1).pdf: 13</x:v>
      </x:c>
    </x:row>
    <x:row r="224" ht="62" customHeight="1">
      <x:c r="A224" s="28" t="str">
        <x:v>CIT-0565</x:v>
      </x:c>
      <x:c r="B224" s="28" t="str">
        <x:v>мандарин</x:v>
      </x:c>
      <x:c r="C224" s="28" t="str">
        <x:v>манго</x:v>
      </x:c>
      <x:c r="D224" s="28" t="str">
        <x:v>Тропические фрукты</x:v>
      </x:c>
      <x:c r="E224" s="28" t="str">
        <x:v>перекрытие ароматических семейств, вкусовой баланс</x:v>
      </x:c>
      <x:c r="F224" s="28" t="str">
        <x:v>Мандарин формирует профиль «цитрусовый, фруктовый, цветочный, пряный»; характерные маркеры: лимонен, гамма-терпинен, метил-N-метилантранилат, линалол.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22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24" s="28" t="str">
        <x:v>Избыток кислоты делает вкус плоско-резким; белая часть кожуры даёт лишнюю горечь.</x:v>
      </x:c>
      <x:c r="I224" s="28" t="str">
        <x:v>смузи, кордиал, сорбет, чатни или коктейль</x:v>
      </x:c>
      <x:c r="J224" s="28" t="str">
        <x:v>Гипотеза / практическая</x:v>
      </x:c>
      <x:c r="K224" s="28" t="str">
        <x:v>Таблица сочетания(1).pdf</x:v>
      </x:c>
      <x:c r="L224" s="28" t="str">
        <x:v>Таблица сочетания(1).pdf: 13</x:v>
      </x:c>
    </x:row>
    <x:row r="225" ht="62" customHeight="1">
      <x:c r="A225" s="28" t="str">
        <x:v>CIT-0566</x:v>
      </x:c>
      <x:c r="B225" s="28" t="str">
        <x:v>мандарин</x:v>
      </x:c>
      <x:c r="C225" s="28" t="str">
        <x:v>мёд</x:v>
      </x:c>
      <x:c r="D225" s="28" t="str">
        <x:v>Подсластители</x:v>
      </x:c>
      <x:c r="E225" s="28" t="str">
        <x:v>перекрытие ароматических семейств, вкусовой баланс</x:v>
      </x:c>
      <x:c r="F225" s="28" t="str">
        <x:v>Мандарин формирует профиль «цитрусовый, фруктовый, цветочный, пряный»; характерные маркеры: лимонен, гамма-терпинен, метил-N-метилантранилат, линалол.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G22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25" s="28" t="str">
        <x:v>Избыток кислоты делает вкус плоско-резким; белая часть кожуры даёт лишнюю горечь.</x:v>
      </x:c>
      <x:c r="I225" s="28" t="str">
        <x:v>сироп, мармелад, крем, глазурь или лимонад</x:v>
      </x:c>
      <x:c r="J225" s="28" t="str">
        <x:v>Гипотеза / практическая</x:v>
      </x:c>
      <x:c r="K225" s="28" t="str">
        <x:v>Таблица сочетания(1).pdf</x:v>
      </x:c>
      <x:c r="L225" s="28" t="str">
        <x:v>Таблица сочетания(1).pdf: 12</x:v>
      </x:c>
    </x:row>
    <x:row r="226" ht="62" customHeight="1">
      <x:c r="A226" s="28" t="str">
        <x:v>CIT-0568</x:v>
      </x:c>
      <x:c r="B226" s="28" t="str">
        <x:v>мандарин</x:v>
      </x:c>
      <x:c r="C226" s="28" t="str">
        <x:v>мята</x:v>
      </x:c>
      <x:c r="D226" s="28" t="str">
        <x:v>Травы</x:v>
      </x:c>
      <x:c r="E226" s="28" t="str">
        <x:v>вкусовой баланс, тройничное восприятие</x:v>
      </x:c>
      <x:c r="F226" s="28" t="str">
        <x:v>Мандарин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G22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26" s="28" t="str">
        <x:v>Избыток кислоты делает вкус плоско-резким; белая часть кожуры даёт лишнюю горечь; цитрус легко подавляет деликатный аромат партнёра.</x:v>
      </x:c>
      <x:c r="I226" s="28" t="str">
        <x:v>лимонад, кордиал, салатная заправка или зелёный соус</x:v>
      </x:c>
      <x:c r="J226" s="28" t="str">
        <x:v>Гипотеза / практическая</x:v>
      </x:c>
      <x:c r="K226" s="28" t="str">
        <x:v>Таблица сочетания(1).pdf</x:v>
      </x:c>
      <x:c r="L226" s="28" t="str">
        <x:v>Таблица сочетания(1).pdf: 13</x:v>
      </x:c>
    </x:row>
    <x:row r="227" ht="62" customHeight="1">
      <x:c r="A227" s="28" t="str">
        <x:v>CIT-0570</x:v>
      </x:c>
      <x:c r="B227" s="28" t="str">
        <x:v>мандарин</x:v>
      </x:c>
      <x:c r="C227" s="28" t="str">
        <x:v>перец горошком</x:v>
      </x:c>
      <x:c r="D227" s="28" t="str">
        <x:v>Пряности</x:v>
      </x:c>
      <x:c r="E227" s="28" t="str">
        <x:v>общие ароматические молекулы, перекрытие ароматических семейств, вкусовой баланс, тройничное восприятие</x:v>
      </x:c>
      <x:c r="F227" s="28" t="str">
        <x:v>Мандарин формирует профиль «цитрусовый, фруктовый, цветочный, пряный»; характерные маркеры: лимонен, гамма-терпинен, метил-N-метилантранилат, линалол. Перец горошком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G22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27" s="28" t="str">
        <x:v>Избыток кислоты делает вкус плоско-резким; белая часть кожуры даёт лишнюю горечь.</x:v>
      </x:c>
      <x:c r="I227" s="28" t="str">
        <x:v>сироп, кордиал, чатни, маринад или пряный десерт</x:v>
      </x:c>
      <x:c r="J227" s="28" t="str">
        <x:v>Средняя</x:v>
      </x:c>
      <x:c r="K227" s="28" t="str">
        <x:v>The Art &amp; Science of Foodpairing.pdf</x:v>
      </x:c>
      <x:c r="L227" s="28" t="str">
        <x:v>The Art &amp; Science of Foodpairing.pdf: 273</x:v>
      </x:c>
    </x:row>
    <x:row r="228" ht="62" customHeight="1">
      <x:c r="A228" s="28" t="str">
        <x:v>CIT-0573</x:v>
      </x:c>
      <x:c r="B228" s="28" t="str">
        <x:v>мандарин</x:v>
      </x:c>
      <x:c r="C228" s="28" t="str">
        <x:v>розмарин</x:v>
      </x:c>
      <x:c r="D228" s="28" t="str">
        <x:v>Травы</x:v>
      </x:c>
      <x:c r="E228" s="28" t="str">
        <x:v>вкусовой баланс, тройничное восприятие</x:v>
      </x:c>
      <x:c r="F228" s="28" t="str">
        <x:v>Мандарин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22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28" s="28" t="str">
        <x:v>Избыток кислоты делает вкус плоско-резким; белая часть кожуры даёт лишнюю горечь; цитрус легко подавляет деликатный аромат партнёра.</x:v>
      </x:c>
      <x:c r="I228" s="28" t="str">
        <x:v>лимонад, кордиал, салатная заправка или зелёный соус</x:v>
      </x:c>
      <x:c r="J228" s="28" t="str">
        <x:v>Гипотеза / практическая</x:v>
      </x:c>
      <x:c r="K228" s="28" t="str">
        <x:v>Таблица сочетания(1).pdf</x:v>
      </x:c>
      <x:c r="L228" s="28" t="str">
        <x:v>Таблица сочетания(1).pdf: 13</x:v>
      </x:c>
    </x:row>
    <x:row r="229" ht="62" customHeight="1">
      <x:c r="A229" s="28" t="str">
        <x:v>CIT-0574</x:v>
      </x:c>
      <x:c r="B229" s="28" t="str">
        <x:v>мандарин</x:v>
      </x:c>
      <x:c r="C229" s="28" t="str">
        <x:v>ромашка</x:v>
      </x:c>
      <x:c r="D229" s="28" t="str">
        <x:v>Алкогольные напитки</x:v>
      </x:c>
      <x:c r="E229" s="28" t="str">
        <x:v>вкусовой баланс, тройничное восприятие, влияние матрицы/растворимости</x:v>
      </x:c>
      <x:c r="F229" s="28" t="str">
        <x:v>Мандарин формирует профиль «цитрусовый, фруктовый, цветочный, пряный»; характерные маркеры: лимонен, гамма-терпинен, метил-N-метилантранилат, линалол. Ромашка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G229"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229" s="28" t="str">
        <x:v>Избыток кислоты делает вкус плоско-резким; белая часть кожуры даёт лишнюю горечь.</x:v>
      </x:c>
      <x:c r="I229" s="28" t="str">
        <x:v>коктейль, спритц, настойка, ликёр или кордиал</x:v>
      </x:c>
      <x:c r="J229" s="28" t="str">
        <x:v>Гипотеза / практическая</x:v>
      </x:c>
      <x:c r="K229" s="28" t="str">
        <x:v>Таблица сочетания(1).pdf</x:v>
      </x:c>
      <x:c r="L229" s="28" t="str">
        <x:v>Таблица сочетания(1).pdf: 4</x:v>
      </x:c>
    </x:row>
    <x:row r="230" ht="62" customHeight="1">
      <x:c r="A230" s="28" t="str">
        <x:v>CIT-0577</x:v>
      </x:c>
      <x:c r="B230" s="28" t="str">
        <x:v>мандарин</x:v>
      </x:c>
      <x:c r="C230" s="28" t="str">
        <x:v>тимьян</x:v>
      </x:c>
      <x:c r="D230" s="28" t="str">
        <x:v>Травы</x:v>
      </x:c>
      <x:c r="E230" s="28" t="str">
        <x:v>вкусовой баланс, тройничное восприятие</x:v>
      </x:c>
      <x:c r="F230" s="28" t="str">
        <x:v>Мандарин формирует профиль «цитрусовый, фруктовый, цветочный, пряный»; характерные маркеры: лимонен, гамма-терпинен, метил-N-метилантранилат, линалол.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23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30" s="28" t="str">
        <x:v>Избыток кислоты делает вкус плоско-резким; белая часть кожуры даёт лишнюю горечь; цитрус легко подавляет деликатный аромат партнёра.</x:v>
      </x:c>
      <x:c r="I230" s="28" t="str">
        <x:v>лимонад, кордиал, салатная заправка или зелёный соус</x:v>
      </x:c>
      <x:c r="J230" s="28" t="str">
        <x:v>Гипотеза / практическая</x:v>
      </x:c>
      <x:c r="K230" s="28" t="str">
        <x:v>Таблица сочетания(1).pdf</x:v>
      </x:c>
      <x:c r="L230" s="28" t="str">
        <x:v>Таблица сочетания(1).pdf: 12</x:v>
      </x:c>
    </x:row>
    <x:row r="231" ht="62" customHeight="1">
      <x:c r="A231" s="28" t="str">
        <x:v>CIT-0581</x:v>
      </x:c>
      <x:c r="B231" s="28" t="str">
        <x:v>мандарин</x:v>
      </x:c>
      <x:c r="C231" s="28" t="str">
        <x:v>шалфей</x:v>
      </x:c>
      <x:c r="D231" s="28" t="str">
        <x:v>Травы</x:v>
      </x:c>
      <x:c r="E231" s="28" t="str">
        <x:v>вкусовой баланс, тройничное восприятие</x:v>
      </x:c>
      <x:c r="F231" s="28" t="str">
        <x:v>Мандарин формирует профиль «цитрусовый, фруктовый, цветочный, пряный»; характерные маркеры: лимонен, гамма-терпинен, метил-N-метилантранилат, линалол. Шалфей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23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31" s="28" t="str">
        <x:v>Избыток кислоты делает вкус плоско-резким; белая часть кожуры даёт лишнюю горечь; цитрус легко подавляет деликатный аромат партнёра.</x:v>
      </x:c>
      <x:c r="I231" s="28" t="str">
        <x:v>лимонад, кордиал, салатная заправка или зелёный соус</x:v>
      </x:c>
      <x:c r="J231" s="28" t="str">
        <x:v>Гипотеза / практическая</x:v>
      </x:c>
      <x:c r="K231" s="28" t="str">
        <x:v>Таблица сочетания(1).pdf</x:v>
      </x:c>
      <x:c r="L231" s="28" t="str">
        <x:v>Таблица сочетания(1).pdf: 13</x:v>
      </x:c>
    </x:row>
    <x:row r="232" ht="62" customHeight="1">
      <x:c r="A232" s="28" t="str">
        <x:v>CIT-0586</x:v>
      </x:c>
      <x:c r="B232" s="28" t="str">
        <x:v>пальчиковый лайм</x:v>
      </x:c>
      <x:c r="C232" s="28" t="str">
        <x:v>душистый перец</x:v>
      </x:c>
      <x:c r="D232" s="28" t="str">
        <x:v>Пряности</x:v>
      </x:c>
      <x:c r="E232" s="28" t="str">
        <x:v>общие ароматические молекулы, перекрытие ароматических семейств, вкусовой баланс, тройничное восприятие</x:v>
      </x:c>
      <x:c r="F232"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Душистый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Перец добавляет сухую пряность и усиливает яркость цедры.</x:v>
      </x:c>
      <x:c r="G23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32" s="28" t="str">
        <x:v>Избыток кислоты делает вкус плоско-резким; белая часть кожуры даёт лишнюю горечь.</x:v>
      </x:c>
      <x:c r="I232" s="28" t="str">
        <x:v>сироп, кордиал, чатни, маринад или пряный десерт</x:v>
      </x:c>
      <x:c r="J232" s="28" t="str">
        <x:v>Средняя</x:v>
      </x:c>
      <x:c r="K232" s="28" t="str">
        <x:v>The Art &amp; Science of Foodpairing.pdf</x:v>
      </x:c>
      <x:c r="L232" s="28" t="str">
        <x:v>The Art &amp; Science of Foodpairing.pdf: 332</x:v>
      </x:c>
    </x:row>
    <x:row r="233" ht="62" customHeight="1">
      <x:c r="A233" s="28" t="str">
        <x:v>CIT-0597</x:v>
      </x:c>
      <x:c r="B233" s="28" t="str">
        <x:v>помело</x:v>
      </x:c>
      <x:c r="C233" s="28" t="str">
        <x:v>груша</x:v>
      </x:c>
      <x:c r="D233" s="28" t="str">
        <x:v>Фрукты</x:v>
      </x:c>
      <x:c r="E233" s="28" t="str">
        <x:v>вкусовой баланс</x:v>
      </x:c>
      <x:c r="F233" s="28" t="str">
        <x:v>Помело формирует профиль «цитрусовый, горький, свежий, сернистый»; характерные маркеры: лимонен, нооткатон, грейпфрутовые тиолы, нарингин. Груша относится к группе «фрукты» и даёт ноты «фруктовый, цветочный, восковой».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Груша мягкая и сладкая, поэтому цитрус добавляет ей контур и свежесть.</x:v>
      </x:c>
      <x:c r="G23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3" s="28" t="str">
        <x:v>Избыток кислоты делает вкус плоско-резким; белая часть кожуры даёт лишнюю горечь.</x:v>
      </x:c>
      <x:c r="I233" s="28" t="str">
        <x:v>лимонад, сорбет, компот, салат или фруктовый кордиал</x:v>
      </x:c>
      <x:c r="J233" s="28" t="str">
        <x:v>Средняя</x:v>
      </x:c>
      <x:c r="K233" s="28" t="str">
        <x:v>The Art &amp; Science of Foodpairing.pdf</x:v>
      </x:c>
      <x:c r="L233" s="28" t="str">
        <x:v>The Art &amp; Science of Foodpairing.pdf: 350</x:v>
      </x:c>
    </x:row>
    <x:row r="234" ht="62" customHeight="1">
      <x:c r="A234" s="28" t="str">
        <x:v>CIT-0598</x:v>
      </x:c>
      <x:c r="B234" s="28" t="str">
        <x:v>помело</x:v>
      </x:c>
      <x:c r="C234" s="28" t="str">
        <x:v>груша Вильямс</x:v>
      </x:c>
      <x:c r="D234" s="28" t="str">
        <x:v>Фрукты</x:v>
      </x:c>
      <x:c r="E234" s="28" t="str">
        <x:v>вкусовой баланс</x:v>
      </x:c>
      <x:c r="F234" s="28" t="str">
        <x:v>Помело формирует профиль «цитрусовый, горький, свежий, сернистый»; характерные маркеры: лимонен, нооткатон, грейпфрутовые тиолы, нарингин. Груша вильямс относится к группе «фрукты» и даёт ноты «фруктовый, цветочный, восковой».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Груша мягкая и сладкая, поэтому цитрус добавляет ей контур и свежесть.</x:v>
      </x:c>
      <x:c r="G23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4" s="28" t="str">
        <x:v>Избыток кислоты делает вкус плоско-резким; белая часть кожуры даёт лишнюю горечь.</x:v>
      </x:c>
      <x:c r="I234" s="28" t="str">
        <x:v>лимонад, сорбет, компот, салат или фруктовый кордиал</x:v>
      </x:c>
      <x:c r="J234" s="28" t="str">
        <x:v>Средняя</x:v>
      </x:c>
      <x:c r="K234" s="28" t="str">
        <x:v>The Art &amp; Science of Foodpairing.pdf</x:v>
      </x:c>
      <x:c r="L234" s="28" t="str">
        <x:v>The Art &amp; Science of Foodpairing.pdf: 347</x:v>
      </x:c>
    </x:row>
    <x:row r="235" ht="62" customHeight="1">
      <x:c r="A235" s="28" t="str">
        <x:v>CIT-0599</x:v>
      </x:c>
      <x:c r="B235" s="28" t="str">
        <x:v>помело</x:v>
      </x:c>
      <x:c r="C235" s="28" t="str">
        <x:v>груша Вильямс (Бартлетт)</x:v>
      </x:c>
      <x:c r="D235" s="28" t="str">
        <x:v>Фрукты</x:v>
      </x:c>
      <x:c r="E235" s="28" t="str">
        <x:v>вкусовой баланс</x:v>
      </x:c>
      <x:c r="F235" s="28" t="str">
        <x:v>Помело формирует профиль «цитрусовый, горький, свежий, сернистый»; характерные маркеры: лимонен, нооткатон, грейпфрутовые тиолы, нарингин. Груша вильямс (бартлетт) относится к группе «фрукты» и даёт ноты «фруктовый, цветочный, восковой».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Груша мягкая и сладкая, поэтому цитрус добавляет ей контур и свежесть.</x:v>
      </x:c>
      <x:c r="G23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5" s="28" t="str">
        <x:v>Избыток кислоты делает вкус плоско-резким; белая часть кожуры даёт лишнюю горечь.</x:v>
      </x:c>
      <x:c r="I235" s="28" t="str">
        <x:v>лимонад, сорбет, компот, салат или фруктовый кордиал</x:v>
      </x:c>
      <x:c r="J235" s="28" t="str">
        <x:v>Средняя</x:v>
      </x:c>
      <x:c r="K235" s="28" t="str">
        <x:v>The Art &amp; Science of Foodpairing.pdf</x:v>
      </x:c>
      <x:c r="L235" s="28" t="str">
        <x:v>The Art &amp; Science of Foodpairing.pdf: 350</x:v>
      </x:c>
    </x:row>
    <x:row r="236" ht="62" customHeight="1">
      <x:c r="A236" s="28" t="str">
        <x:v>CIT-0604</x:v>
      </x:c>
      <x:c r="B236" s="28" t="str">
        <x:v>помело</x:v>
      </x:c>
      <x:c r="C236" s="28" t="str">
        <x:v>манго Кейтт</x:v>
      </x:c>
      <x:c r="D236" s="28" t="str">
        <x:v>Тропические фрукты</x:v>
      </x:c>
      <x:c r="E236" s="28" t="str">
        <x:v>вкусовой баланс</x:v>
      </x:c>
      <x:c r="F236" s="28" t="str">
        <x:v>Помело формирует профиль «цитрусовый, горький, свежий, сернистый»; характерные маркеры: лимонен, нооткатон, грейпфрутовые тиолы, нарингин. Манго кейтт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снижает ощущение приторности и усиливает летучие фруктовые эфиры.</x:v>
      </x:c>
      <x:c r="G23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6" s="28" t="str">
        <x:v>Избыток кислоты делает вкус плоско-резким; белая часть кожуры даёт лишнюю горечь.</x:v>
      </x:c>
      <x:c r="I236" s="28" t="str">
        <x:v>смузи, кордиал, сорбет, чатни или коктейль</x:v>
      </x:c>
      <x:c r="J236" s="28" t="str">
        <x:v>Средняя</x:v>
      </x:c>
      <x:c r="K236" s="28" t="str">
        <x:v>The Art &amp; Science of Foodpairing.pdf</x:v>
      </x:c>
      <x:c r="L236" s="28" t="str">
        <x:v>The Art &amp; Science of Foodpairing.pdf: 228</x:v>
      </x:c>
    </x:row>
    <x:row r="237" ht="62" customHeight="1">
      <x:c r="A237" s="28" t="str">
        <x:v>CIT-0613</x:v>
      </x:c>
      <x:c r="B237" s="28" t="str">
        <x:v>сок лайма</x:v>
      </x:c>
      <x:c r="C237" s="28" t="str">
        <x:v>базилик</x:v>
      </x:c>
      <x:c r="D237" s="28" t="str">
        <x:v>Травы</x:v>
      </x:c>
      <x:c r="E237" s="28" t="str">
        <x:v>общие ароматические молекулы, перекрытие ароматических семейств, вкусовой баланс</x:v>
      </x:c>
      <x:c r="F237" s="28" t="str">
        <x:v>Сок лайма формирует профиль «цитрусовый, зелёный, травяной, камфорный»; характерные маркеры: лимонен, гамма-терпинен, цитраль, бета-пинен,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зелёный.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Базилик и эстрагон могут связать цитрус с фруктами, томатом и сливочными матрицами.</x:v>
      </x:c>
      <x:c r="G23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37" s="28" t="str">
        <x:v>Избыток кислоты делает вкус плоско-резким; белая часть кожуры даёт лишнюю горечь; цитрус легко подавляет деликатный аромат партнёра.</x:v>
      </x:c>
      <x:c r="I237" s="28" t="str">
        <x:v>лимонад, кордиал, салатная заправка или зелёный соус</x:v>
      </x:c>
      <x:c r="J237" s="28" t="str">
        <x:v>Средняя</x:v>
      </x:c>
      <x:c r="K237" s="28" t="str">
        <x:v>The Art &amp; Science of Foodpairing.pdf</x:v>
      </x:c>
      <x:c r="L237" s="28" t="str">
        <x:v>The Art &amp; Science of Foodpairing.pdf: 87</x:v>
      </x:c>
    </x:row>
    <x:row r="238" ht="62" customHeight="1">
      <x:c r="A238" s="28" t="str">
        <x:v>CIT-0614</x:v>
      </x:c>
      <x:c r="B238" s="28" t="str">
        <x:v>сок лайма</x:v>
      </x:c>
      <x:c r="C238" s="28" t="str">
        <x:v>галангал</x:v>
      </x:c>
      <x:c r="D238" s="28" t="str">
        <x:v>Пряности</x:v>
      </x:c>
      <x:c r="E238" s="28" t="str">
        <x:v>общие ароматические молекулы, перекрытие ароматических семейств, вкусовой баланс, тройничное восприятие</x:v>
      </x:c>
      <x:c r="F238" s="28" t="str">
        <x:v>Сок лайма формирует профиль «цитрусовый, зелёный, травяной, камфорный»; характерные маркеры: лимонен, гамма-терпинен, цитраль, бета-пинен, линалол.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23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38" s="28" t="str">
        <x:v>Избыток кислоты делает вкус плоско-резким; белая часть кожуры даёт лишнюю горечь.</x:v>
      </x:c>
      <x:c r="I238" s="28" t="str">
        <x:v>сироп, кордиал, чатни, маринад или пряный десерт</x:v>
      </x:c>
      <x:c r="J238" s="28" t="str">
        <x:v>Средняя</x:v>
      </x:c>
      <x:c r="K238" s="28" t="str">
        <x:v>The Art &amp; Science of Foodpairing.pdf</x:v>
      </x:c>
      <x:c r="L238" s="28" t="str">
        <x:v>The Art &amp; Science of Foodpairing.pdf: 87</x:v>
      </x:c>
    </x:row>
    <x:row r="239" ht="62" customHeight="1">
      <x:c r="A239" s="28" t="str">
        <x:v>CIT-0615</x:v>
      </x:c>
      <x:c r="B239" s="28" t="str">
        <x:v>сок лайма</x:v>
      </x:c>
      <x:c r="C239" s="28" t="str">
        <x:v>дуриан Мон Тонг</x:v>
      </x:c>
      <x:c r="D239" s="28" t="str">
        <x:v>Тропические фрукты</x:v>
      </x:c>
      <x:c r="E239" s="28" t="str">
        <x:v>вкусовой баланс</x:v>
      </x:c>
      <x:c r="F239" s="28" t="str">
        <x:v>Сок лайма формирует профиль «цитрусовый, зелёный, травяной, камфорный»; характерные маркеры: лимонен, гамма-терпинен, цитраль, бета-пинен, линалол. Дуриан мон тонг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23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9" s="28" t="str">
        <x:v>Избыток кислоты делает вкус плоско-резким; белая часть кожуры даёт лишнюю горечь.</x:v>
      </x:c>
      <x:c r="I239" s="28" t="str">
        <x:v>смузи, кордиал, сорбет, чатни или коктейль</x:v>
      </x:c>
      <x:c r="J239" s="28" t="str">
        <x:v>Средняя</x:v>
      </x:c>
      <x:c r="K239" s="28" t="str">
        <x:v>The Art &amp; Science of Foodpairing.pdf</x:v>
      </x:c>
      <x:c r="L239" s="28" t="str">
        <x:v>The Art &amp; Science of Foodpairing.pdf: 87</x:v>
      </x:c>
    </x:row>
    <x:row r="240" ht="62" customHeight="1">
      <x:c r="A240" s="28" t="str">
        <x:v>CIT-0618</x:v>
      </x:c>
      <x:c r="B240" s="28" t="str">
        <x:v>сок лайма</x:v>
      </x:c>
      <x:c r="C240" s="28" t="str">
        <x:v>манго Альфонсо</x:v>
      </x:c>
      <x:c r="D240" s="28" t="str">
        <x:v>Тропические фрукты</x:v>
      </x:c>
      <x:c r="E240" s="28" t="str">
        <x:v>вкусовой баланс</x:v>
      </x:c>
      <x:c r="F240" s="28" t="str">
        <x:v>Сок лайма формирует профиль «цитрусовый, зелёный, травяной, камфорный»; характерные маркеры: лимонен, гамма-терпинен, цитраль, бета-пинен, линалол. Манго альфонсо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24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40" s="28" t="str">
        <x:v>Избыток кислоты делает вкус плоско-резким; белая часть кожуры даёт лишнюю горечь.</x:v>
      </x:c>
      <x:c r="I240" s="28" t="str">
        <x:v>смузи, кордиал, сорбет, чатни или коктейль</x:v>
      </x:c>
      <x:c r="J240" s="28" t="str">
        <x:v>Средняя</x:v>
      </x:c>
      <x:c r="K240" s="28" t="str">
        <x:v>The Art &amp; Science of Foodpairing.pdf</x:v>
      </x:c>
      <x:c r="L240" s="28" t="str">
        <x:v>The Art &amp; Science of Foodpairing.pdf: 87</x:v>
      </x:c>
    </x:row>
    <x:row r="241" ht="62" customHeight="1">
      <x:c r="A241" s="28" t="str">
        <x:v>CIT-0626</x:v>
      </x:c>
      <x:c r="B241" s="28" t="str">
        <x:v>танжерин</x:v>
      </x:c>
      <x:c r="C241" s="28" t="str">
        <x:v>гуава Кеттли</x:v>
      </x:c>
      <x:c r="D241" s="28" t="str">
        <x:v>Тропические фрукты</x:v>
      </x:c>
      <x:c r="E241" s="28" t="str">
        <x:v>перекрытие ароматических семейств, вкусовой баланс</x:v>
      </x:c>
      <x:c r="F241" s="28" t="str">
        <x:v>Танжерин формирует профиль «цитрусовый, фруктовый, цветочный, пряный»; характерные маркеры: лимонен, гамма-терпинен, метил-N-метилантранилат, линалол. Гуава кеттли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24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41" s="28" t="str">
        <x:v>Избыток кислоты делает вкус плоско-резким; белая часть кожуры даёт лишнюю горечь.</x:v>
      </x:c>
      <x:c r="I241" s="28" t="str">
        <x:v>смузи, кордиал, сорбет, чатни или коктейль</x:v>
      </x:c>
      <x:c r="J241" s="28" t="str">
        <x:v>Средняя</x:v>
      </x:c>
      <x:c r="K241" s="28" t="str">
        <x:v>The Art &amp; Science of Foodpairing.pdf</x:v>
      </x:c>
      <x:c r="L241" s="28" t="str">
        <x:v>The Art &amp; Science of Foodpairing.pdf: 215</x:v>
      </x:c>
    </x:row>
    <x:row r="242" ht="62" customHeight="1">
      <x:c r="A242" s="28" t="str">
        <x:v>CIT-0627</x:v>
      </x:c>
      <x:c r="B242" s="28" t="str">
        <x:v>танжерин</x:v>
      </x:c>
      <x:c r="C242" s="28" t="str">
        <x:v>дикая ромашка</x:v>
      </x:c>
      <x:c r="D242" s="28" t="str">
        <x:v>Алкогольные напитки</x:v>
      </x:c>
      <x:c r="E242" s="28" t="str">
        <x:v>вкусовой баланс, тройничное восприятие, влияние матрицы/растворимости</x:v>
      </x:c>
      <x:c r="F242" s="28" t="str">
        <x:v>Танжерин формирует профиль «цитрусовый, фруктовый, цветочный, пряный»; характерные маркеры: лимонен, гамма-терпинен, метил-N-метилантранилат, линалол. Дикая ромашка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G242"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242" s="28" t="str">
        <x:v>Избыток кислоты делает вкус плоско-резким; белая часть кожуры даёт лишнюю горечь.</x:v>
      </x:c>
      <x:c r="I242" s="28" t="str">
        <x:v>коктейль, спритц, настойка, ликёр или кордиал</x:v>
      </x:c>
      <x:c r="J242" s="28" t="str">
        <x:v>Средняя</x:v>
      </x:c>
      <x:c r="K242" s="28" t="str">
        <x:v>The Art &amp; Science of Foodpairing.pdf</x:v>
      </x:c>
      <x:c r="L242" s="28" t="str">
        <x:v>The Art &amp; Science of Foodpairing.pdf: 123</x:v>
      </x:c>
    </x:row>
    <x:row r="243" ht="62" customHeight="1">
      <x:c r="A243" s="28" t="str">
        <x:v>CIT-0629</x:v>
      </x:c>
      <x:c r="B243" s="28" t="str">
        <x:v>танжерин</x:v>
      </x:c>
      <x:c r="C243" s="28" t="str">
        <x:v>коньяк</x:v>
      </x:c>
      <x:c r="D243" s="28" t="str">
        <x:v>Алкогольные напитки</x:v>
      </x:c>
      <x:c r="E243" s="28" t="str">
        <x:v>вкусовой баланс, тройничное восприятие, влияние матрицы/растворимости</x:v>
      </x:c>
      <x:c r="F243" s="28" t="str">
        <x:v>Танжерин формирует профиль «цитрусовый, фруктовый, цветочный, пряный»; характерные маркеры: лимонен, гамма-терпинен, метил-N-метилантранилат, линалол. Коньяк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G243"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243" s="28" t="str">
        <x:v>Избыток кислоты делает вкус плоско-резким; белая часть кожуры даёт лишнюю горечь.</x:v>
      </x:c>
      <x:c r="I243" s="28" t="str">
        <x:v>коктейль, спритц, настойка, ликёр или кордиал</x:v>
      </x:c>
      <x:c r="J243" s="28" t="str">
        <x:v>Средняя</x:v>
      </x:c>
      <x:c r="K243" s="28" t="str">
        <x:v>The Art &amp; Science of Foodpairing.pdf</x:v>
      </x:c>
      <x:c r="L243" s="28" t="str">
        <x:v>The Art &amp; Science of Foodpairing.pdf: 123</x:v>
      </x:c>
    </x:row>
    <x:row r="244" ht="62" customHeight="1">
      <x:c r="A244" s="28" t="str">
        <x:v>CIT-0631</x:v>
      </x:c>
      <x:c r="B244" s="28" t="str">
        <x:v>танжерин</x:v>
      </x:c>
      <x:c r="C244" s="28" t="str">
        <x:v>лонган</x:v>
      </x:c>
      <x:c r="D244" s="28" t="str">
        <x:v>Тропические фрукты</x:v>
      </x:c>
      <x:c r="E244" s="28" t="str">
        <x:v>перекрытие ароматических семейств, вкусовой баланс</x:v>
      </x:c>
      <x:c r="F244" s="28" t="str">
        <x:v>Танжерин формирует профиль «цитрусовый, фруктовый, цветочный, пряный»; характерные маркеры: лимонен, гамма-терпинен, метил-N-метилантранилат, линалол. Лонган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24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44" s="28" t="str">
        <x:v>Избыток кислоты делает вкус плоско-резким; белая часть кожуры даёт лишнюю горечь.</x:v>
      </x:c>
      <x:c r="I244" s="28" t="str">
        <x:v>смузи, кордиал, сорбет, чатни или коктейль</x:v>
      </x:c>
      <x:c r="J244" s="28" t="str">
        <x:v>Средняя</x:v>
      </x:c>
      <x:c r="K244" s="28" t="str">
        <x:v>The Art &amp; Science of Foodpairing.pdf</x:v>
      </x:c>
      <x:c r="L244" s="28" t="str">
        <x:v>The Art &amp; Science of Foodpairing.pdf: 74</x:v>
      </x:c>
    </x:row>
    <x:row r="245" ht="62" customHeight="1">
      <x:c r="A245" s="28" t="str">
        <x:v>CIT-0633</x:v>
      </x:c>
      <x:c r="B245" s="28" t="str">
        <x:v>танжерин</x:v>
      </x:c>
      <x:c r="C245" s="28" t="str">
        <x:v>мадера Боал 10 лет</x:v>
      </x:c>
      <x:c r="D245" s="28" t="str">
        <x:v>Алкогольные напитки</x:v>
      </x:c>
      <x:c r="E245" s="28" t="str">
        <x:v>вкусовой баланс, тройничное восприятие, влияние матрицы/растворимости</x:v>
      </x:c>
      <x:c r="F245" s="28" t="str">
        <x:v>Танжерин формирует профиль «цитрусовый, фруктовый, цветочный, пряный»; характерные маркеры: лимонен, гамма-терпинен, метил-N-метилантранилат, линалол. Мадера боал 10 лет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G245"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245" s="28" t="str">
        <x:v>Избыток кислоты делает вкус плоско-резким; белая часть кожуры даёт лишнюю горечь.</x:v>
      </x:c>
      <x:c r="I245" s="28" t="str">
        <x:v>коктейль, спритц, настойка, ликёр или кордиал</x:v>
      </x:c>
      <x:c r="J245" s="28" t="str">
        <x:v>Средняя</x:v>
      </x:c>
      <x:c r="K245" s="28" t="str">
        <x:v>The Art &amp; Science of Foodpairing.pdf</x:v>
      </x:c>
      <x:c r="L245" s="28" t="str">
        <x:v>The Art &amp; Science of Foodpairing.pdf: 347</x:v>
      </x:c>
    </x:row>
    <x:row r="246" ht="62" customHeight="1">
      <x:c r="A246" s="28" t="str">
        <x:v>CIT-0637</x:v>
      </x:c>
      <x:c r="B246" s="28" t="str">
        <x:v>танжерин</x:v>
      </x:c>
      <x:c r="C246" s="28" t="str">
        <x:v>отварной чайот</x:v>
      </x:c>
      <x:c r="D246" s="28" t="str">
        <x:v>Чай и настои</x:v>
      </x:c>
      <x:c r="E246" s="28" t="str">
        <x:v>общие ароматические молекулы, перекрытие ароматических семейств, вкусовой баланс</x:v>
      </x:c>
      <x:c r="F246" s="28" t="str">
        <x:v>Танжерин формирует профиль «цитрусовый, фруктовый, цветочный, пряный»; характерные маркеры: лимонен, гамма-терпинен, метил-N-метилантранилат, линалол. Отварной чайот относится к группе «чай и настои» и даёт ноты «травяной, цветочный, танинный, иногда обжаренный». Наиболее правдоподобный молекулярный мост — линалол; дополнительно совпадают ароматические семейства: цветочный. Цитрус добавляет верхние ароматические ноты; сахар может смягчить совместную кислотность и танинную вяжущесть. Мандариновая группа мягче по кислотности и выраженнее по сладко-цветочным нотам. Цитрус связывается с цветочными терпенами чая и снижает ощущение вяжущей сухости при наличии сахара.</x:v>
      </x:c>
      <x:c r="G24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46" s="28" t="str">
        <x:v>Избыток кислоты делает вкус плоско-резким; белая часть кожуры даёт лишнюю горечь.</x:v>
      </x:c>
      <x:c r="I246" s="28" t="str">
        <x:v>чайный кордиал, холодный чай, пунш или безалкогольный напиток</x:v>
      </x:c>
      <x:c r="J246" s="28" t="str">
        <x:v>Средняя</x:v>
      </x:c>
      <x:c r="K246" s="28" t="str">
        <x:v>The Art &amp; Science of Foodpairing.pdf</x:v>
      </x:c>
      <x:c r="L246" s="28" t="str">
        <x:v>The Art &amp; Science of Foodpairing.pdf: 123</x:v>
      </x:c>
    </x:row>
    <x:row r="247" ht="62" customHeight="1">
      <x:c r="A247" s="28" t="str">
        <x:v>CIT-0642</x:v>
      </x:c>
      <x:c r="B247" s="28" t="str">
        <x:v>танжерин</x:v>
      </x:c>
      <x:c r="C247" s="28" t="str">
        <x:v>соус чили</x:v>
      </x:c>
      <x:c r="D247" s="28" t="str">
        <x:v>Пряности</x:v>
      </x:c>
      <x:c r="E247" s="28" t="str">
        <x:v>перекрытие ароматических семейств, вкусовой баланс, тройничное восприятие</x:v>
      </x:c>
      <x:c r="F247" s="28" t="str">
        <x:v>Танжерин формирует профиль «цитрусовый, фруктовый, цветочный, пряный»; характерные маркеры: лимонен, гамма-терпинен, метил-N-метилантранилат, линалол. Соус чили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пряный, фруктовый.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Фруктовые чили могут поддерживать цитрусовые эфиры, но острота требует баланса.</x:v>
      </x:c>
      <x:c r="G24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47"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247" s="28" t="str">
        <x:v>сироп, кордиал, чатни, маринад или пряный десерт</x:v>
      </x:c>
      <x:c r="J247" s="28" t="str">
        <x:v>Средняя</x:v>
      </x:c>
      <x:c r="K247" s="28" t="str">
        <x:v>The Art &amp; Science of Foodpairing.pdf</x:v>
      </x:c>
      <x:c r="L247" s="28" t="str">
        <x:v>The Art &amp; Science of Foodpairing.pdf: 123</x:v>
      </x:c>
    </x:row>
    <x:row r="248" ht="62" customHeight="1">
      <x:c r="A248" s="28" t="str">
        <x:v>CIT-0646</x:v>
      </x:c>
      <x:c r="B248" s="28" t="str">
        <x:v>танжерин (tangerine)</x:v>
      </x:c>
      <x:c r="C248" s="28" t="str">
        <x:v>базилик</x:v>
      </x:c>
      <x:c r="D248" s="28" t="str">
        <x:v>Травы</x:v>
      </x:c>
      <x:c r="E248" s="28" t="str">
        <x:v>общие ароматические молекулы, перекрытие ароматических семейств, вкусовой баланс</x:v>
      </x:c>
      <x:c r="F248"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пряный, цветочный.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Базилик и эстрагон могут связать цитрус с фруктами, томатом и сливочными матрицами.</x:v>
      </x:c>
      <x:c r="G24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48" s="28" t="str">
        <x:v>Избыток кислоты делает вкус плоско-резким; белая часть кожуры даёт лишнюю горечь; цитрус легко подавляет деликатный аромат партнёра.</x:v>
      </x:c>
      <x:c r="I248" s="28" t="str">
        <x:v>лимонад, кордиал, салатная заправка или зелёный соус</x:v>
      </x:c>
      <x:c r="J248" s="28" t="str">
        <x:v>Средняя</x:v>
      </x:c>
      <x:c r="K248" s="28" t="str">
        <x:v>Таблица сочетания(1).pdf</x:v>
      </x:c>
      <x:c r="L248" s="28" t="str">
        <x:v>Таблица сочетания(1).pdf: 21</x:v>
      </x:c>
    </x:row>
    <x:row r="249" ht="62" customHeight="1">
      <x:c r="A249" s="28" t="str">
        <x:v>CIT-0647</x:v>
      </x:c>
      <x:c r="B249" s="28" t="str">
        <x:v>танжерин (tangerine)</x:v>
      </x:c>
      <x:c r="C249" s="28" t="str">
        <x:v>ваниль</x:v>
      </x:c>
      <x:c r="D249" s="28" t="str">
        <x:v>Пряности</x:v>
      </x:c>
      <x:c r="E249" s="28" t="str">
        <x:v>вкусовой баланс</x:v>
      </x:c>
      <x:c r="F249"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G24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49" s="28" t="str">
        <x:v>Избыток кислоты делает вкус плоско-резким; белая часть кожуры даёт лишнюю горечь.</x:v>
      </x:c>
      <x:c r="I249" s="28" t="str">
        <x:v>сироп, кордиал, чатни, маринад или пряный десерт</x:v>
      </x:c>
      <x:c r="J249" s="28" t="str">
        <x:v>Гипотеза / практическая</x:v>
      </x:c>
      <x:c r="K249" s="28" t="str">
        <x:v>Таблица сочетания(1).pdf</x:v>
      </x:c>
      <x:c r="L249" s="28" t="str">
        <x:v>Таблица сочетания(1).pdf: 21</x:v>
      </x:c>
    </x:row>
    <x:row r="250" ht="62" customHeight="1">
      <x:c r="A250" s="28" t="str">
        <x:v>CIT-0648</x:v>
      </x:c>
      <x:c r="B250" s="28" t="str">
        <x:v>танжерин (tangerine)</x:v>
      </x:c>
      <x:c r="C250" s="28" t="str">
        <x:v>имбирь</x:v>
      </x:c>
      <x:c r="D250" s="28" t="str">
        <x:v>Пряности</x:v>
      </x:c>
      <x:c r="E250" s="28" t="str">
        <x:v>перекрытие ароматических семейств, вкусовой баланс, тройничное восприятие</x:v>
      </x:c>
      <x:c r="F250"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25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50" s="28" t="str">
        <x:v>Избыток кислоты делает вкус плоско-резким; белая часть кожуры даёт лишнюю горечь.</x:v>
      </x:c>
      <x:c r="I250" s="28" t="str">
        <x:v>сироп, кордиал, чатни, маринад или пряный десерт</x:v>
      </x:c>
      <x:c r="J250" s="28" t="str">
        <x:v>Гипотеза / практическая</x:v>
      </x:c>
      <x:c r="K250" s="28" t="str">
        <x:v>Таблица сочетания(1).pdf</x:v>
      </x:c>
      <x:c r="L250" s="28" t="str">
        <x:v>Таблица сочетания(1).pdf: 21</x:v>
      </x:c>
    </x:row>
    <x:row r="251" ht="62" customHeight="1">
      <x:c r="A251" s="28" t="str">
        <x:v>CIT-0650</x:v>
      </x:c>
      <x:c r="B251" s="28" t="str">
        <x:v>танжерин (tangerine)</x:v>
      </x:c>
      <x:c r="C251" s="28" t="str">
        <x:v>корица</x:v>
      </x:c>
      <x:c r="D251" s="28" t="str">
        <x:v>Пряности</x:v>
      </x:c>
      <x:c r="E251" s="28" t="str">
        <x:v>вкусовой баланс, тройничное восприятие</x:v>
      </x:c>
      <x:c r="F251"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G25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51" s="28" t="str">
        <x:v>Избыток кислоты делает вкус плоско-резким; белая часть кожуры даёт лишнюю горечь.</x:v>
      </x:c>
      <x:c r="I251" s="28" t="str">
        <x:v>сироп, кордиал, чатни, маринад или пряный десерт</x:v>
      </x:c>
      <x:c r="J251" s="28" t="str">
        <x:v>Гипотеза / практическая</x:v>
      </x:c>
      <x:c r="K251" s="28" t="str">
        <x:v>Таблица сочетания(1).pdf</x:v>
      </x:c>
      <x:c r="L251" s="28" t="str">
        <x:v>Таблица сочетания(1).pdf: 21</x:v>
      </x:c>
    </x:row>
    <x:row r="252" ht="62" customHeight="1">
      <x:c r="A252" s="28" t="str">
        <x:v>CIT-0651</x:v>
      </x:c>
      <x:c r="B252" s="28" t="str">
        <x:v>танжерин (tangerine)</x:v>
      </x:c>
      <x:c r="C252" s="28" t="str">
        <x:v>мёд</x:v>
      </x:c>
      <x:c r="D252" s="28" t="str">
        <x:v>Подсластители</x:v>
      </x:c>
      <x:c r="E252" s="28" t="str">
        <x:v>перекрытие ароматических семейств, вкусовой баланс</x:v>
      </x:c>
      <x:c r="F252"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G25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52" s="28" t="str">
        <x:v>Избыток кислоты делает вкус плоско-резким; белая часть кожуры даёт лишнюю горечь.</x:v>
      </x:c>
      <x:c r="I252" s="28" t="str">
        <x:v>сироп, мармелад, крем, глазурь или лимонад</x:v>
      </x:c>
      <x:c r="J252" s="28" t="str">
        <x:v>Гипотеза / практическая</x:v>
      </x:c>
      <x:c r="K252" s="28" t="str">
        <x:v>Таблица сочетания(1).pdf</x:v>
      </x:c>
      <x:c r="L252" s="28" t="str">
        <x:v>Таблица сочетания(1).pdf: 21</x:v>
      </x:c>
    </x:row>
    <x:row r="253" ht="62" customHeight="1">
      <x:c r="A253" s="28" t="str">
        <x:v>CIT-0652</x:v>
      </x:c>
      <x:c r="B253" s="28" t="str">
        <x:v>танжерин (tangerine)</x:v>
      </x:c>
      <x:c r="C253" s="28" t="str">
        <x:v>мята</x:v>
      </x:c>
      <x:c r="D253" s="28" t="str">
        <x:v>Травы</x:v>
      </x:c>
      <x:c r="E253" s="28" t="str">
        <x:v>вкусовой баланс, тройничное восприятие</x:v>
      </x:c>
      <x:c r="F253"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G25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53" s="28" t="str">
        <x:v>Избыток кислоты делает вкус плоско-резким; белая часть кожуры даёт лишнюю горечь; цитрус легко подавляет деликатный аромат партнёра.</x:v>
      </x:c>
      <x:c r="I253" s="28" t="str">
        <x:v>лимонад, кордиал, салатная заправка или зелёный соус</x:v>
      </x:c>
      <x:c r="J253" s="28" t="str">
        <x:v>Гипотеза / практическая</x:v>
      </x:c>
      <x:c r="K253" s="28" t="str">
        <x:v>Таблица сочетания(1).pdf</x:v>
      </x:c>
      <x:c r="L253" s="28" t="str">
        <x:v>Таблица сочетания(1).pdf: 21</x:v>
      </x:c>
    </x:row>
    <x:row r="254" ht="62" customHeight="1">
      <x:c r="A254" s="28" t="str">
        <x:v>CIT-0653</x:v>
      </x:c>
      <x:c r="B254" s="28" t="str">
        <x:v>танжерин (tangerine)</x:v>
      </x:c>
      <x:c r="C254" s="28" t="str">
        <x:v>цитрусовые</x:v>
      </x:c>
      <x:c r="D254" s="28" t="str">
        <x:v>Цитрусовые</x:v>
      </x:c>
      <x:c r="E254" s="28" t="str">
        <x:v>общие ароматические молекулы, перекрытие ароматических семейств, вкусовой баланс, тройничное восприятие</x:v>
      </x:c>
      <x:c r="F254"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Цитрусовые относится к группе «цитрусовые» и даёт ноты «цитрусовый, свежий, цветочный, древесный».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Сок определяется цитралем и кислотностью, цедра — лимоненом и терпенами.</x:v>
      </x:c>
      <x:c r="G25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54" s="28" t="str">
        <x:v>Избыток кислоты делает вкус плоско-резким; белая часть кожуры даёт лишнюю горечь.</x:v>
      </x:c>
      <x:c r="I254" s="28" t="str">
        <x:v>цитрусовый кордиал, мармелад, сорбет, салат или купаж соков</x:v>
      </x:c>
      <x:c r="J254" s="28" t="str">
        <x:v>Средняя</x:v>
      </x:c>
      <x:c r="K254" s="28" t="str">
        <x:v>Таблица сочетания(1).pdf</x:v>
      </x:c>
      <x:c r="L254" s="28" t="str">
        <x:v>Таблица сочетания(1).pdf: 21</x:v>
      </x:c>
    </x:row>
    <x:row r="255" ht="62" customHeight="1">
      <x:c r="A255" s="28" t="str">
        <x:v>CIT-0654</x:v>
      </x:c>
      <x:c r="B255" s="28" t="str">
        <x:v>танжерин (tangerine)</x:v>
      </x:c>
      <x:c r="C255" s="28" t="str">
        <x:v>яблоко</x:v>
      </x:c>
      <x:c r="D255" s="28" t="str">
        <x:v>Фрукты</x:v>
      </x:c>
      <x:c r="E255" s="28" t="str">
        <x:v>перекрытие ароматических семейств, вкусовой баланс</x:v>
      </x:c>
      <x:c r="F255"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Яблочные эфиры и зелёные альдегиды хорошо поддерживают свежий цитрус.</x:v>
      </x:c>
      <x:c r="G25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55" s="28" t="str">
        <x:v>Избыток кислоты делает вкус плоско-резким; белая часть кожуры даёт лишнюю горечь.</x:v>
      </x:c>
      <x:c r="I255" s="28" t="str">
        <x:v>лимонад, сорбет, компот, салат или фруктовый кордиал</x:v>
      </x:c>
      <x:c r="J255" s="28" t="str">
        <x:v>Гипотеза / практическая</x:v>
      </x:c>
      <x:c r="K255" s="28" t="str">
        <x:v>Таблица сочетания(1).pdf</x:v>
      </x:c>
      <x:c r="L255" s="28" t="str">
        <x:v>Таблица сочетания(1).pdf: 21</x:v>
      </x:c>
    </x:row>
    <x:row r="256" ht="62" customHeight="1">
      <x:c r="A256" s="28" t="str">
        <x:v>CIT-0656</x:v>
      </x:c>
      <x:c r="B256" s="28" t="str">
        <x:v>трипл-сек</x:v>
      </x:c>
      <x:c r="C256" s="28" t="str">
        <x:v>груша Вильямс</x:v>
      </x:c>
      <x:c r="D256" s="28" t="str">
        <x:v>Фрукты</x:v>
      </x:c>
      <x:c r="E256" s="28" t="str">
        <x:v>перекрытие ароматических семейств, вкусовой баланс</x:v>
      </x:c>
      <x:c r="F256" s="28" t="str">
        <x:v>Трипл-сек формирует профиль «цитрусовый, сладко-фруктовый, цветочный, восковой»; характерные маркеры: лимонен, линалол, деканаль, октаналь, мирцен. Груша вильямс относится к группе «фрукты» и даёт ноты «фруктовый, цветочный, восковой». Прямой общий ключевой одорант из доступных профилей не фиксируется, однако продукты пересекаются на уровне семейств: восковой,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Груша мягкая и сладкая, поэтому цитрус добавляет ей контур и свежесть.</x:v>
      </x:c>
      <x:c r="G25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56" s="28" t="str">
        <x:v>Избыток кислоты делает вкус плоско-резким; белая часть кожуры даёт лишнюю горечь.</x:v>
      </x:c>
      <x:c r="I256" s="28" t="str">
        <x:v>лимонад, сорбет, компот, салат или фруктовый кордиал</x:v>
      </x:c>
      <x:c r="J256" s="28" t="str">
        <x:v>Средняя</x:v>
      </x:c>
      <x:c r="K256" s="28" t="str">
        <x:v>The Art &amp; Science of Foodpairing.pdf</x:v>
      </x:c>
      <x:c r="L256" s="28" t="str">
        <x:v>The Art &amp; Science of Foodpairing.pdf: 347</x:v>
      </x:c>
    </x:row>
    <x:row r="257" ht="62" customHeight="1">
      <x:c r="A257" s="28" t="str">
        <x:v>CIT-0658</x:v>
      </x:c>
      <x:c r="B257" s="28" t="str">
        <x:v>цедра танжерина</x:v>
      </x:c>
      <x:c r="C257" s="28" t="str">
        <x:v>зерновая водка</x:v>
      </x:c>
      <x:c r="D257" s="28" t="str">
        <x:v>Алкогольные напитки</x:v>
      </x:c>
      <x:c r="E257" s="28" t="str">
        <x:v>вкусовой баланс, тройничное восприятие, влияние матрицы/растворимости</x:v>
      </x:c>
      <x:c r="F257"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Зерновая водка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Мандариновая группа мягче по кислотности и выраженнее по сладко-цветочным нотам. Спирт извлекает цедру и усиливает ретроназальный выход терпенов; сахар и разбавление меняют баланс.</x:v>
      </x:c>
      <x:c r="G257"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257" s="28" t="str">
        <x:v>Избыток кислоты делает вкус плоско-резким; белая часть кожуры даёт лишнюю горечь.</x:v>
      </x:c>
      <x:c r="I257" s="28" t="str">
        <x:v>коктейль, спритц, настойка, ликёр или кордиал</x:v>
      </x:c>
      <x:c r="J257" s="28" t="str">
        <x:v>Средняя</x:v>
      </x:c>
      <x:c r="K257" s="28" t="str">
        <x:v>The Art &amp; Science of Foodpairing.pdf</x:v>
      </x:c>
      <x:c r="L257" s="28" t="str">
        <x:v>The Art &amp; Science of Foodpairing.pdf: 228</x:v>
      </x:c>
    </x:row>
    <x:row r="258" ht="62" customHeight="1">
      <x:c r="A258" s="28" t="str">
        <x:v>CIT-0660</x:v>
      </x:c>
      <x:c r="B258" s="28" t="str">
        <x:v>цедра танжерина</x:v>
      </x:c>
      <x:c r="C258" s="28" t="str">
        <x:v>манго Кейтт</x:v>
      </x:c>
      <x:c r="D258" s="28" t="str">
        <x:v>Тропические фрукты</x:v>
      </x:c>
      <x:c r="E258" s="28" t="str">
        <x:v>перекрытие ароматических семейств, вкусовой баланс</x:v>
      </x:c>
      <x:c r="F258"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Манго кейтт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25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58" s="28" t="str">
        <x:v>Избыток кислоты делает вкус плоско-резким; белая часть кожуры даёт лишнюю горечь.</x:v>
      </x:c>
      <x:c r="I258" s="28" t="str">
        <x:v>смузи, кордиал, сорбет, чатни или коктейль</x:v>
      </x:c>
      <x:c r="J258" s="28" t="str">
        <x:v>Средняя</x:v>
      </x:c>
      <x:c r="K258" s="28" t="str">
        <x:v>The Art &amp; Science of Foodpairing.pdf</x:v>
      </x:c>
      <x:c r="L258" s="28" t="str">
        <x:v>The Art &amp; Science of Foodpairing.pdf: 228</x:v>
      </x:c>
    </x:row>
    <x:row r="259" ht="62" customHeight="1">
      <x:c r="A259" s="28" t="str">
        <x:v>CIT-0661</x:v>
      </x:c>
      <x:c r="B259" s="28" t="str">
        <x:v>цедра танжерина</x:v>
      </x:c>
      <x:c r="C259" s="28" t="str">
        <x:v>молотый чёрный перец</x:v>
      </x:c>
      <x:c r="D259" s="28" t="str">
        <x:v>Пряности</x:v>
      </x:c>
      <x:c r="E259" s="28" t="str">
        <x:v>общие ароматические молекулы, перекрытие ароматических семейств, вкусовой баланс, тройничное восприятие</x:v>
      </x:c>
      <x:c r="F259"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Молотый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G25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59" s="28" t="str">
        <x:v>Избыток кислоты делает вкус плоско-резким; белая часть кожуры даёт лишнюю горечь.</x:v>
      </x:c>
      <x:c r="I259" s="28" t="str">
        <x:v>сироп, кордиал, чатни, маринад или пряный десерт</x:v>
      </x:c>
      <x:c r="J259" s="28" t="str">
        <x:v>Средняя</x:v>
      </x:c>
      <x:c r="K259" s="28" t="str">
        <x:v>The Art &amp; Science of Foodpairing.pdf</x:v>
      </x:c>
      <x:c r="L259" s="28" t="str">
        <x:v>The Art &amp; Science of Foodpairing.pdf: 228</x:v>
      </x:c>
    </x:row>
    <x:row r="260" ht="62" customHeight="1">
      <x:c r="A260" s="28" t="str">
        <x:v>CIT-0665</x:v>
      </x:c>
      <x:c r="B260" s="28" t="str">
        <x:v>цедра танжерина</x:v>
      </x:c>
      <x:c r="C260" s="28" t="str">
        <x:v>сушёные ягоды можжевельника</x:v>
      </x:c>
      <x:c r="D260" s="28" t="str">
        <x:v>Ягоды/косточковые</x:v>
      </x:c>
      <x:c r="E260" s="28" t="str">
        <x:v>перекрытие ароматических семейств, вкусовой баланс</x:v>
      </x:c>
      <x:c r="F260"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Сушёные ягоды можжевельника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26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60" s="28" t="str">
        <x:v>Избыток кислоты делает вкус плоско-резким; белая часть кожуры даёт лишнюю горечь.</x:v>
      </x:c>
      <x:c r="I260" s="28" t="str">
        <x:v>джем, сорбет, коктейль или соус</x:v>
      </x:c>
      <x:c r="J260" s="28" t="str">
        <x:v>Средняя</x:v>
      </x:c>
      <x:c r="K260" s="28" t="str">
        <x:v>The Art &amp; Science of Foodpairing.pdf</x:v>
      </x:c>
      <x:c r="L260" s="28" t="str">
        <x:v>The Art &amp; Science of Foodpairing.pdf: 228</x:v>
      </x:c>
    </x:row>
    <x:row r="261" ht="62" customHeight="1">
      <x:c r="A261" s="28" t="str">
        <x:v>CIT-0669</x:v>
      </x:c>
      <x:c r="B261" s="28" t="str">
        <x:v>цитрусовые</x:v>
      </x:c>
      <x:c r="C261" s="28" t="str">
        <x:v>виноград</x:v>
      </x:c>
      <x:c r="D261" s="28" t="str">
        <x:v>Алкогольные напитки</x:v>
      </x:c>
      <x:c r="E261" s="28" t="str">
        <x:v>вкусовой баланс, тройничное восприятие, влияние матрицы/растворимости</x:v>
      </x:c>
      <x:c r="F261"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Виноград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G261"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261" s="28" t="str">
        <x:v>Избыток кислоты делает вкус плоско-резким; белая часть кожуры даёт лишнюю горечь.</x:v>
      </x:c>
      <x:c r="I261" s="28" t="str">
        <x:v>коктейль, спритц, настойка, ликёр или кордиал</x:v>
      </x:c>
      <x:c r="J261" s="28" t="str">
        <x:v>Гипотеза / практическая</x:v>
      </x:c>
      <x:c r="K261" s="28" t="str">
        <x:v>Таблица сочетания(1).pdf</x:v>
      </x:c>
      <x:c r="L261" s="28" t="str">
        <x:v>Таблица сочетания(1).pdf: 9</x:v>
      </x:c>
    </x:row>
    <x:row r="262" ht="62" customHeight="1">
      <x:c r="A262" s="28" t="str">
        <x:v>CIT-0670</x:v>
      </x:c>
      <x:c r="B262" s="28" t="str">
        <x:v>цитрусовые</x:v>
      </x:c>
      <x:c r="C262" s="28" t="str">
        <x:v>вишня</x:v>
      </x:c>
      <x:c r="D262" s="28" t="str">
        <x:v>Ягоды/косточковые</x:v>
      </x:c>
      <x:c r="E262" s="28" t="str">
        <x:v>перекрытие ароматических семейств, вкусовой баланс</x:v>
      </x:c>
      <x:c r="F262"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26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62" s="28" t="str">
        <x:v>Избыток кислоты делает вкус плоско-резким; белая часть кожуры даёт лишнюю горечь.</x:v>
      </x:c>
      <x:c r="I262" s="28" t="str">
        <x:v>джем, сорбет, коктейль или соус</x:v>
      </x:c>
      <x:c r="J262" s="28" t="str">
        <x:v>Гипотеза / практическая</x:v>
      </x:c>
      <x:c r="K262" s="28" t="str">
        <x:v>Таблица сочетания(1).pdf</x:v>
      </x:c>
      <x:c r="L262" s="28" t="str">
        <x:v>Таблица сочетания(1).pdf: 4</x:v>
      </x:c>
    </x:row>
    <x:row r="263" ht="62" customHeight="1">
      <x:c r="A263" s="28" t="str">
        <x:v>CIT-0672</x:v>
      </x:c>
      <x:c r="B263" s="28" t="str">
        <x:v>цитрусовые</x:v>
      </x:c>
      <x:c r="C263" s="28" t="str">
        <x:v>груша</x:v>
      </x:c>
      <x:c r="D263" s="28" t="str">
        <x:v>Фрукты</x:v>
      </x:c>
      <x:c r="E263" s="28" t="str">
        <x:v>перекрытие ароматических семейств, вкусовой баланс</x:v>
      </x:c>
      <x:c r="F263"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Груша относится к группе «фрукты» и даёт ноты «фруктовый, цветочный, восковой».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Груша мягкая и сладкая, поэтому цитрус добавляет ей контур и свежесть.</x:v>
      </x:c>
      <x:c r="G26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63" s="28" t="str">
        <x:v>Избыток кислоты делает вкус плоско-резким; белая часть кожуры даёт лишнюю горечь.</x:v>
      </x:c>
      <x:c r="I263" s="28" t="str">
        <x:v>лимонад, сорбет, компот, салат или фруктовый кордиал</x:v>
      </x:c>
      <x:c r="J263" s="28" t="str">
        <x:v>Гипотеза / практическая</x:v>
      </x:c>
      <x:c r="K263" s="28" t="str">
        <x:v>Таблица сочетания(1).pdf</x:v>
      </x:c>
      <x:c r="L263" s="28" t="str">
        <x:v>Таблица сочетания(1).pdf: 16</x:v>
      </x:c>
    </x:row>
    <x:row r="264" ht="62" customHeight="1">
      <x:c r="A264" s="28" t="str">
        <x:v>CIT-0673</x:v>
      </x:c>
      <x:c r="B264" s="28" t="str">
        <x:v>цитрусовые</x:v>
      </x:c>
      <x:c r="C264" s="28" t="str">
        <x:v>ежевика</x:v>
      </x:c>
      <x:c r="D264" s="28" t="str">
        <x:v>Ягоды/косточковые</x:v>
      </x:c>
      <x:c r="E264" s="28" t="str">
        <x:v>перекрытие ароматических семейств, вкусовой баланс</x:v>
      </x:c>
      <x:c r="F264"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Ежевика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26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64" s="28" t="str">
        <x:v>Избыток кислоты делает вкус плоско-резким; белая часть кожуры даёт лишнюю горечь.</x:v>
      </x:c>
      <x:c r="I264" s="28" t="str">
        <x:v>джем, сорбет, коктейль или соус</x:v>
      </x:c>
      <x:c r="J264" s="28" t="str">
        <x:v>Гипотеза / практическая</x:v>
      </x:c>
      <x:c r="K264" s="28" t="str">
        <x:v>Таблица сочетания(1).pdf</x:v>
      </x:c>
      <x:c r="L264" s="28" t="str">
        <x:v>Таблица сочетания(1).pdf: 2</x:v>
      </x:c>
    </x:row>
    <x:row r="265" ht="62" customHeight="1">
      <x:c r="A265" s="28" t="str">
        <x:v>CIT-0674</x:v>
      </x:c>
      <x:c r="B265" s="28" t="str">
        <x:v>цитрусовые</x:v>
      </x:c>
      <x:c r="C265" s="28" t="str">
        <x:v>клубника</x:v>
      </x:c>
      <x:c r="D265" s="28" t="str">
        <x:v>Ягоды</x:v>
      </x:c>
      <x:c r="E265" s="28" t="str">
        <x:v>перекрытие ароматических семейств, вкусовой баланс</x:v>
      </x:c>
      <x:c r="F265"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Клубника относится к группе «ягоды» и даёт ноты «фруктовый,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Фуранеол даёт карамельно-ананасовый оттенок, цитрус подчёркивает свежие эфиры.</x:v>
      </x:c>
      <x:c r="G26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65" s="28" t="str">
        <x:v>Избыток кислоты делает вкус плоско-резким; белая часть кожуры даёт лишнюю горечь.</x:v>
      </x:c>
      <x:c r="I265" s="28" t="str">
        <x:v>морс, кордиал, джем, сорбет или коктейль</x:v>
      </x:c>
      <x:c r="J265" s="28" t="str">
        <x:v>Гипотеза / практическая</x:v>
      </x:c>
      <x:c r="K265" s="28" t="str">
        <x:v>Таблица сочетания(1).pdf</x:v>
      </x:c>
      <x:c r="L265" s="28" t="str">
        <x:v>Таблица сочетания(1).pdf: 20</x:v>
      </x:c>
    </x:row>
    <x:row r="266" ht="62" customHeight="1">
      <x:c r="A266" s="28" t="str">
        <x:v>CIT-0675</x:v>
      </x:c>
      <x:c r="B266" s="28" t="str">
        <x:v>цитрусовые</x:v>
      </x:c>
      <x:c r="C266" s="28" t="str">
        <x:v>личи</x:v>
      </x:c>
      <x:c r="D266" s="28" t="str">
        <x:v>Тропические фрукты</x:v>
      </x:c>
      <x:c r="E266" s="28" t="str">
        <x:v>перекрытие ароматических семейств, вкусовой баланс</x:v>
      </x:c>
      <x:c r="F266"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Личи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26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66" s="28" t="str">
        <x:v>Избыток кислоты делает вкус плоско-резким; белая часть кожуры даёт лишнюю горечь.</x:v>
      </x:c>
      <x:c r="I266" s="28" t="str">
        <x:v>смузи, кордиал, сорбет, чатни или коктейль</x:v>
      </x:c>
      <x:c r="J266" s="28" t="str">
        <x:v>Гипотеза / практическая</x:v>
      </x:c>
      <x:c r="K266" s="28" t="str">
        <x:v>Таблица сочетания(1).pdf</x:v>
      </x:c>
      <x:c r="L266" s="28" t="str">
        <x:v>Таблица сочетания(1).pdf: 12</x:v>
      </x:c>
    </x:row>
    <x:row r="267" ht="62" customHeight="1">
      <x:c r="A267" s="28" t="str">
        <x:v>CIT-0676</x:v>
      </x:c>
      <x:c r="B267" s="28" t="str">
        <x:v>цитрусовые</x:v>
      </x:c>
      <x:c r="C267" s="28" t="str">
        <x:v>малина</x:v>
      </x:c>
      <x:c r="D267" s="28" t="str">
        <x:v>Ягоды/косточковые</x:v>
      </x:c>
      <x:c r="E267" s="28" t="str">
        <x:v>перекрытие ароматических семейств, вкусовой баланс</x:v>
      </x:c>
      <x:c r="F267"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Малина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26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67" s="28" t="str">
        <x:v>Избыток кислоты делает вкус плоско-резким; белая часть кожуры даёт лишнюю горечь.</x:v>
      </x:c>
      <x:c r="I267" s="28" t="str">
        <x:v>джем, сорбет, коктейль или соус</x:v>
      </x:c>
      <x:c r="J267" s="28" t="str">
        <x:v>Гипотеза / практическая</x:v>
      </x:c>
      <x:c r="K267" s="28" t="str">
        <x:v>Таблица сочетания(1).pdf</x:v>
      </x:c>
      <x:c r="L267" s="28" t="str">
        <x:v>Таблица сочетания(1).pdf: 19</x:v>
      </x:c>
    </x:row>
    <x:row r="268" ht="62" customHeight="1">
      <x:c r="A268" s="28" t="str">
        <x:v>CIT-0677</x:v>
      </x:c>
      <x:c r="B268" s="28" t="str">
        <x:v>цитрусовые</x:v>
      </x:c>
      <x:c r="C268" s="28" t="str">
        <x:v>маракуйя</x:v>
      </x:c>
      <x:c r="D268" s="28" t="str">
        <x:v>Тропические фрукты</x:v>
      </x:c>
      <x:c r="E268" s="28" t="str">
        <x:v>перекрытие ароматических семейств, вкусовой баланс</x:v>
      </x:c>
      <x:c r="F268"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Маракуйя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26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68" s="28" t="str">
        <x:v>Избыток кислоты делает вкус плоско-резким; белая часть кожуры даёт лишнюю горечь.</x:v>
      </x:c>
      <x:c r="I268" s="28" t="str">
        <x:v>смузи, кордиал, сорбет, чатни или коктейль</x:v>
      </x:c>
      <x:c r="J268" s="28" t="str">
        <x:v>Гипотеза / практическая</x:v>
      </x:c>
      <x:c r="K268" s="28" t="str">
        <x:v>Таблица сочетания(1).pdf</x:v>
      </x:c>
      <x:c r="L268" s="28" t="str">
        <x:v>Таблица сочетания(1).pdf: 15</x:v>
      </x:c>
    </x:row>
    <x:row r="269" ht="62" customHeight="1">
      <x:c r="A269" s="28" t="str">
        <x:v>CIT-0683</x:v>
      </x:c>
      <x:c r="B269" s="28" t="str">
        <x:v>цитрусовые</x:v>
      </x:c>
      <x:c r="C269" s="28" t="str">
        <x:v>ромашка</x:v>
      </x:c>
      <x:c r="D269" s="28" t="str">
        <x:v>Алкогольные напитки</x:v>
      </x:c>
      <x:c r="E269" s="28" t="str">
        <x:v>вкусовой баланс, тройничное восприятие, влияние матрицы/растворимости</x:v>
      </x:c>
      <x:c r="F269"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Ромашка относится к группе «алкогольные напитки» и даёт ноты «зависит от основы, эфирный, древесный/пряный».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Этанол усиливает летучесть терпенов и ощущение тепла; сахар и вода регулируют кислотность, горечь кожуры и спиртуозность. Сок определяется цитралем и кислотностью, цедра — лимоненом и терпенами. Спирт извлекает цедру и усиливает ретроназальный выход терпенов; сахар и разбавление меняют баланс.</x:v>
      </x:c>
      <x:c r="G269" s="28" t="str">
        <x:v>Для максимальной свежести сок лучше вводить ближе к концу, а цедру или эфирное масло — дозировать отдельно. Этанол эффективно извлекает лимонен и другие гидрофобные терпены; долгая мацерация белой части кожуры повышает горечь.</x:v>
      </x:c>
      <x:c r="H269" s="28" t="str">
        <x:v>Избыток кислоты делает вкус плоско-резким; белая часть кожуры даёт лишнюю горечь.</x:v>
      </x:c>
      <x:c r="I269" s="28" t="str">
        <x:v>коктейль, спритц, настойка, ликёр или кордиал</x:v>
      </x:c>
      <x:c r="J269" s="28" t="str">
        <x:v>Гипотеза / практическая</x:v>
      </x:c>
      <x:c r="K269" s="28" t="str">
        <x:v>Таблица сочетания(1).pdf</x:v>
      </x:c>
      <x:c r="L269" s="28" t="str">
        <x:v>Таблица сочетания(1).pdf: 4</x:v>
      </x:c>
    </x:row>
    <x:row r="270" ht="62" customHeight="1">
      <x:c r="A270" s="28" t="str">
        <x:v>CIT-0684</x:v>
      </x:c>
      <x:c r="B270" s="28" t="str">
        <x:v>цитрусовые</x:v>
      </x:c>
      <x:c r="C270" s="28" t="str">
        <x:v>яблоко</x:v>
      </x:c>
      <x:c r="D270" s="28" t="str">
        <x:v>Фрукты</x:v>
      </x:c>
      <x:c r="E270" s="28" t="str">
        <x:v>перекрытие ароматических семейств, вкусовой баланс</x:v>
      </x:c>
      <x:c r="F270"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Яблочные эфиры и зелёные альдегиды хорошо поддерживают свежий цитрус.</x:v>
      </x:c>
      <x:c r="G27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70" s="28" t="str">
        <x:v>Избыток кислоты делает вкус плоско-резким; белая часть кожуры даёт лишнюю горечь.</x:v>
      </x:c>
      <x:c r="I270" s="28" t="str">
        <x:v>лимонад, сорбет, компот, салат или фруктовый кордиал</x:v>
      </x:c>
      <x:c r="J270" s="28" t="str">
        <x:v>Гипотеза / практическая</x:v>
      </x:c>
      <x:c r="K270" s="28" t="str">
        <x:v>Таблица сочетания(1).pdf</x:v>
      </x:c>
      <x:c r="L270" s="28" t="str">
        <x:v>Таблица сочетания(1).pdf: 1</x:v>
      </x:c>
    </x:row>
    <x:row r="271" ht="62" customHeight="1">
      <x:c r="A271" s="28" t="str">
        <x:v>CIT-0685</x:v>
      </x:c>
      <x:c r="B271" s="28" t="str">
        <x:v>цукаты из апельсиновой кожуры</x:v>
      </x:c>
      <x:c r="C271" s="28" t="str">
        <x:v>вишня Морелло</x:v>
      </x:c>
      <x:c r="D271" s="28" t="str">
        <x:v>Ягоды/косточковые</x:v>
      </x:c>
      <x:c r="E271" s="28" t="str">
        <x:v>перекрытие ароматических семейств, вкусовой баланс</x:v>
      </x:c>
      <x:c r="F271"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Вишня морелло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27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71" s="28" t="str">
        <x:v>Избыток кислоты делает вкус плоско-резким; белая часть кожуры даёт лишнюю горечь.</x:v>
      </x:c>
      <x:c r="I271" s="28" t="str">
        <x:v>джем, сорбет, коктейль или соус</x:v>
      </x:c>
      <x:c r="J271" s="28" t="str">
        <x:v>Средняя</x:v>
      </x:c>
      <x:c r="K271" s="28" t="str">
        <x:v>The Art &amp; Science of Foodpairing.pdf</x:v>
      </x:c>
      <x:c r="L271" s="28" t="str">
        <x:v>The Art &amp; Science of Foodpairing.pdf: 267</x:v>
      </x:c>
    </x:row>
    <x:row r="272" ht="62" customHeight="1">
      <x:c r="A272" s="28" t="str">
        <x:v>CIT-0696</x:v>
      </x:c>
      <x:c r="B272" s="28" t="str">
        <x:v>цукаты из лимонной кожуры</x:v>
      </x:c>
      <x:c r="C272" s="28" t="str">
        <x:v>базилик</x:v>
      </x:c>
      <x:c r="D272" s="28" t="str">
        <x:v>Травы</x:v>
      </x:c>
      <x:c r="E272" s="28" t="str">
        <x:v>перекрытие ароматических семейств, вкусовой баланс</x:v>
      </x:c>
      <x:c r="F272"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Базилик относится к группе «травы» и даёт ноты «зелёный, анисовый, цветочный, пряный».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Базилик и эстрагон могут связать цитрус с фруктами, томатом и сливочными матрицами.</x:v>
      </x:c>
      <x:c r="G27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72" s="28" t="str">
        <x:v>Избыток кислоты делает вкус плоско-резким; белая часть кожуры даёт лишнюю горечь; цитрус легко подавляет деликатный аромат партнёра.</x:v>
      </x:c>
      <x:c r="I272" s="28" t="str">
        <x:v>лимонад, кордиал, салатная заправка или зелёный соус</x:v>
      </x:c>
      <x:c r="J272" s="28" t="str">
        <x:v>Средняя</x:v>
      </x:c>
      <x:c r="K272" s="28" t="str">
        <x:v>The Art &amp; Science of Foodpairing.pdf</x:v>
      </x:c>
      <x:c r="L272" s="28" t="str">
        <x:v>The Art &amp; Science of Foodpairing.pdf: 328</x:v>
      </x:c>
    </x:row>
    <x:row r="273" ht="62" customHeight="1">
      <x:c r="A273" s="28" t="str">
        <x:v>CIT-0709</x:v>
      </x:c>
      <x:c r="B273" s="28" t="str">
        <x:v>юдзу</x:v>
      </x:c>
      <x:c r="C273" s="28" t="str">
        <x:v>имбирь</x:v>
      </x:c>
      <x:c r="D273" s="28" t="str">
        <x:v>Пряности</x:v>
      </x:c>
      <x:c r="E273" s="28" t="str">
        <x:v>общие ароматические молекулы, перекрытие ароматических семейств, вкусовой баланс, тройничное восприятие</x:v>
      </x:c>
      <x:c r="F273" s="28" t="str">
        <x:v>Юдзу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27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73" s="28" t="str">
        <x:v>Избыток кислоты делает вкус плоско-резким; белая часть кожуры даёт лишнюю горечь.</x:v>
      </x:c>
      <x:c r="I273" s="28" t="str">
        <x:v>сироп, кордиал, чатни, маринад или пряный десерт</x:v>
      </x:c>
      <x:c r="J273" s="28" t="str">
        <x:v>Средняя</x:v>
      </x:c>
      <x:c r="K273" s="28" t="str">
        <x:v>Таблица сочетания(1).pdf</x:v>
      </x:c>
      <x:c r="L273" s="28" t="str">
        <x:v>Таблица сочетания(1).pdf: 22</x:v>
      </x:c>
    </x:row>
    <x:row r="274" ht="62" customHeight="1">
      <x:c r="A274" s="28" t="str">
        <x:v>CIT-0712</x:v>
      </x:c>
      <x:c r="B274" s="28" t="str">
        <x:v>юдзу</x:v>
      </x:c>
      <x:c r="C274" s="28" t="str">
        <x:v>мёд</x:v>
      </x:c>
      <x:c r="D274" s="28" t="str">
        <x:v>Подсластители</x:v>
      </x:c>
      <x:c r="E274" s="28" t="str">
        <x:v>вкусовой баланс</x:v>
      </x:c>
      <x:c r="F274" s="28" t="str">
        <x:v>Юдзу формирует профиль «цитрусовый, зелёный, травяной, камфорный»; характерные маркеры: лимонен, гамма-терпинен, цитраль, бета-пинен, линалол. Мёд относится к группе «подсластители» и даёт ноты «медовый,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Сладость подавляет воспринимаемую кислотность и горечь кожуры, а кислота не даёт сочетанию стать приторным. Лаймовые цитрусы дают более зелёный и камфорный профиль, чем сладкий апельсин. Сладость балансирует кислоту и горечь кожуры; цветочные компоненты могут поддерживать цитрус.</x:v>
      </x:c>
      <x:c r="G27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74" s="28" t="str">
        <x:v>Избыток кислоты делает вкус плоско-резким; белая часть кожуры даёт лишнюю горечь.</x:v>
      </x:c>
      <x:c r="I274" s="28" t="str">
        <x:v>сироп, мармелад, крем, глазурь или лимонад</x:v>
      </x:c>
      <x:c r="J274" s="28" t="str">
        <x:v>Гипотеза / практическая</x:v>
      </x:c>
      <x:c r="K274" s="28" t="str">
        <x:v>Таблица сочетания(1).pdf</x:v>
      </x:c>
      <x:c r="L274" s="28" t="str">
        <x:v>Таблица сочетания(1).pdf: 22</x:v>
      </x:c>
    </x:row>
    <x:row r="275" ht="62" customHeight="1">
      <x:c r="A275" s="28" t="str">
        <x:v>CIT-0715</x:v>
      </x:c>
      <x:c r="B275" s="28" t="str">
        <x:v>юдзу</x:v>
      </x:c>
      <x:c r="C275" s="28" t="str">
        <x:v>мята</x:v>
      </x:c>
      <x:c r="D275" s="28" t="str">
        <x:v>Травы</x:v>
      </x:c>
      <x:c r="E275" s="28" t="str">
        <x:v>перекрытие ароматических семейств, вкусовой баланс, тройничное восприятие</x:v>
      </x:c>
      <x:c r="F275" s="28" t="str">
        <x:v>Юдзу формирует профиль «цитрусовый, зелёный, травяной, камфорный»; характерные маркеры: лимонен, гамма-терпинен, цитраль, бета-пинен, линалол.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Мята усиливает воспринимаемую прохладу и кислотную свежесть.</x:v>
      </x:c>
      <x:c r="G27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75" s="28" t="str">
        <x:v>Избыток кислоты делает вкус плоско-резким; белая часть кожуры даёт лишнюю горечь; цитрус легко подавляет деликатный аромат партнёра.</x:v>
      </x:c>
      <x:c r="I275" s="28" t="str">
        <x:v>лимонад, кордиал, салатная заправка или зелёный соус</x:v>
      </x:c>
      <x:c r="J275" s="28" t="str">
        <x:v>Гипотеза / практическая</x:v>
      </x:c>
      <x:c r="K275" s="28" t="str">
        <x:v>Таблица сочетания(1).pdf</x:v>
      </x:c>
      <x:c r="L275" s="28" t="str">
        <x:v>Таблица сочетания(1).pdf: 22</x:v>
      </x:c>
    </x:row>
    <x:row r="276" ht="62" customHeight="1">
      <x:c r="A276" s="28" t="str">
        <x:v>CIT-0719</x:v>
      </x:c>
      <x:c r="B276" s="28" t="str">
        <x:v>юдзу</x:v>
      </x:c>
      <x:c r="C276" s="28" t="str">
        <x:v>яблоко</x:v>
      </x:c>
      <x:c r="D276" s="28" t="str">
        <x:v>Фрукты</x:v>
      </x:c>
      <x:c r="E276" s="28" t="str">
        <x:v>перекрытие ароматических семейств, вкусовой баланс</x:v>
      </x:c>
      <x:c r="F276" s="28" t="str">
        <x:v>Юдзу формирует профиль «цитрусовый, зелёный, травяной, камфорный»; характерные маркеры: лимонен, гамма-терпинен, цитраль, бета-пинен, линалол.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Яблочные эфиры и зелёные альдегиды хорошо поддерживают свежий цитрус.</x:v>
      </x:c>
      <x:c r="G27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76" s="28" t="str">
        <x:v>Избыток кислоты делает вкус плоско-резким; белая часть кожуры даёт лишнюю горечь.</x:v>
      </x:c>
      <x:c r="I276" s="28" t="str">
        <x:v>лимонад, сорбет, компот, салат или фруктовый кордиал</x:v>
      </x:c>
      <x:c r="J276" s="28" t="str">
        <x:v>Гипотеза / практическая</x:v>
      </x:c>
      <x:c r="K276" s="28" t="str">
        <x:v>Таблица сочетания(1).pdf</x:v>
      </x:c>
      <x:c r="L276" s="28" t="str">
        <x:v>Таблица сочетания(1).pdf: 22</x:v>
      </x:c>
    </x:row>
  </x:sheetData>
  <x:conditionalFormatting sqref="J2:J276">
    <x:cfRule type="expression" dxfId="3" priority="1">
      <x:formula>J2="Высокая"</x:formula>
    </x:cfRule>
    <x:cfRule type="expression" dxfId="4" priority="2">
      <x:formula>J2="Средняя"</x:formula>
    </x:cfRule>
    <x:cfRule type="expression" dxfId="5" priority="3">
      <x:formula>J2="Гипотеза / практическая"</x:formula>
    </x:cfRule>
  </x:conditionalFormatting>
  <x:pageMargins left="0.7" right="0.7" top="0.75" bottom="0.75" header="0.3" footer="0.3"/>
  <x:tableParts count="1">
    <x:tablePart xmlns:r="http://schemas.openxmlformats.org/officeDocument/2006/relationships" r:id="Rfb778f5dc61d4252"/>
  </x:tableParts>
</x:worksheet>
</file>

<file path=xl/worksheets/sheet4.xml><?xml version="1.0" encoding="utf-8"?>
<x:worksheet xmlns:x="http://schemas.openxmlformats.org/spreadsheetml/2006/main">
  <x:sheetFormatPr defaultRowHeight="15"/>
  <x:cols>
    <x:col min="1" max="1" width="13" hidden="0" customWidth="1"/>
    <x:col min="2" max="2" width="25" hidden="0" customWidth="1"/>
    <x:col min="3" max="3" width="29" hidden="0" customWidth="1"/>
    <x:col min="4" max="4" width="23" hidden="0" customWidth="1"/>
    <x:col min="5" max="5" width="34" hidden="0" customWidth="1"/>
    <x:col min="6" max="6" width="80" hidden="0" customWidth="1"/>
    <x:col min="7" max="7" width="55" hidden="0" customWidth="1"/>
    <x:col min="8" max="8" width="48" hidden="0" customWidth="1"/>
    <x:col min="9" max="9" width="45" hidden="0" customWidth="1"/>
    <x:col min="10" max="10" width="22" hidden="0" customWidth="1"/>
    <x:col min="11" max="11" width="36" hidden="0" customWidth="1"/>
    <x:col min="12" max="12" width="42" hidden="0" customWidth="1"/>
  </x:cols>
  <x:sheetData>
    <x:row r="1">
      <x:c r="A1" s="20" t="str">
        <x:v>ID</x:v>
      </x:c>
      <x:c r="B1" s="20" t="str">
        <x:v>Ингредиент 1</x:v>
      </x:c>
      <x:c r="C1" s="20" t="str">
        <x:v>Ингредиент 2</x:v>
      </x:c>
      <x:c r="D1" s="20" t="str">
        <x:v>Группа партнёра</x:v>
      </x:c>
      <x:c r="E1" s="20" t="str">
        <x:v>Тип механизма</x:v>
      </x:c>
      <x:c r="F1" s="20" t="str">
        <x:v>Подробное научное объяснение</x:v>
      </x:c>
      <x:c r="G1" s="20" t="str">
        <x:v>Обработка</x:v>
      </x:c>
      <x:c r="H1" s="20" t="str">
        <x:v>Критические точки</x:v>
      </x:c>
      <x:c r="I1" s="20" t="str">
        <x:v>Практическое применение</x:v>
      </x:c>
      <x:c r="J1" s="20" t="str">
        <x:v>Уверенность</x:v>
      </x:c>
      <x:c r="K1" s="20" t="str">
        <x:v>Источники</x:v>
      </x:c>
      <x:c r="L1" s="20" t="str">
        <x:v>Страницы</x:v>
      </x:c>
    </x:row>
    <x:row r="2" ht="62" customHeight="1">
      <x:c r="A2" s="28" t="str">
        <x:v>CIT-0007</x:v>
      </x:c>
      <x:c r="B2" s="28" t="str">
        <x:v>апельсин</x:v>
      </x:c>
      <x:c r="C2" s="28" t="str">
        <x:v>базилик</x:v>
      </x:c>
      <x:c r="D2" s="28" t="str">
        <x:v>Травы</x:v>
      </x:c>
      <x:c r="E2" s="28" t="str">
        <x:v>общие ароматические молекулы, перекрытие ароматических семейств, вкусовой баланс</x:v>
      </x:c>
      <x:c r="F2" s="28" t="str">
        <x:v>Апельсин формирует профиль «цитрусовый, сладко-фруктовый, цветочный, восковой»; характерные маркеры: лимонен, линалол, деканаль, октаналь, мирцен.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цветочный.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Базилик и эстрагон могут связать цитрус с фруктами, томатом и сливочными матрицами.</x:v>
      </x:c>
      <x:c r="G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 s="28" t="str">
        <x:v>Избыток кислоты делает вкус плоско-резким; белая часть кожуры даёт лишнюю горечь; цитрус легко подавляет деликатный аромат партнёра.</x:v>
      </x:c>
      <x:c r="I2" s="28" t="str">
        <x:v>лимонад, кордиал, салатная заправка или зелёный соус</x:v>
      </x:c>
      <x:c r="J2" s="28" t="str">
        <x:v>Средняя</x:v>
      </x:c>
      <x:c r="K2" s="28" t="str">
        <x:v>Таблица сочетания(1).pdf</x:v>
      </x:c>
      <x:c r="L2" s="28" t="str">
        <x:v>Таблица сочетания(1).pdf: 14</x:v>
      </x:c>
    </x:row>
    <x:row r="3" ht="62" customHeight="1">
      <x:c r="A3" s="28" t="str">
        <x:v>CIT-0008</x:v>
      </x:c>
      <x:c r="B3" s="28" t="str">
        <x:v>апельсин</x:v>
      </x:c>
      <x:c r="C3" s="28" t="str">
        <x:v>баклажан</x:v>
      </x:c>
      <x:c r="D3" s="28" t="str">
        <x:v>Овощи</x:v>
      </x:c>
      <x:c r="E3" s="28" t="str">
        <x:v>вкусовой баланс</x:v>
      </x:c>
      <x:c r="F3" s="28" t="str">
        <x:v>Апельсин формирует профиль «цитрусовый, сладко-фруктовый, цветочный, восковой»; характерные маркеры: лимонен, линалол, деканаль, октаналь, мирцен. Баклажан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3" s="28" t="str">
        <x:v>Избыток кислоты делает вкус плоско-резким; белая часть кожуры даёт лишнюю горечь.</x:v>
      </x:c>
      <x:c r="I3" s="28" t="str">
        <x:v>винегрет, салат, пюре, запечённое блюдо или овощной соус</x:v>
      </x:c>
      <x:c r="J3" s="28" t="str">
        <x:v>Средняя</x:v>
      </x:c>
      <x:c r="K3" s="28" t="str">
        <x:v>The Art &amp; Science of Foodpairing.pdf</x:v>
      </x:c>
      <x:c r="L3" s="28" t="str">
        <x:v>The Art &amp; Science of Foodpairing.pdf: 308</x:v>
      </x:c>
    </x:row>
    <x:row r="4" ht="62" customHeight="1">
      <x:c r="A4" s="28" t="str">
        <x:v>CIT-0010</x:v>
      </x:c>
      <x:c r="B4" s="28" t="str">
        <x:v>апельсин</x:v>
      </x:c>
      <x:c r="C4" s="28" t="str">
        <x:v>бекон</x:v>
      </x:c>
      <x:c r="D4" s="28" t="str">
        <x:v>Мясо и птица</x:v>
      </x:c>
      <x:c r="E4" s="28" t="str">
        <x:v>вкусовой баланс, влияние матрицы/растворимости</x:v>
      </x:c>
      <x:c r="F4" s="28" t="str">
        <x:v>Апельсин формирует профиль «цитрусовый, сладко-фруктовый, цветочный, восковой»; характерные маркеры: лимонен, линалол, деканаль, октаналь, мирцен. Бекон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G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4" s="28" t="str">
        <x:v>Избыток кислоты делает вкус плоско-резким; белая часть кожуры даёт лишнюю горечь; слишком долгая маринация ухудшает текстуру.</x:v>
      </x:c>
      <x:c r="I4" s="28" t="str">
        <x:v>маринад, глазурь, соус, жаркое или салат</x:v>
      </x:c>
      <x:c r="J4" s="28" t="str">
        <x:v>Высокая</x:v>
      </x:c>
      <x:c r="K4" s="28" t="str">
        <x:v>Тезариус вкусов (Ники Сегнит)(1).pdf</x:v>
      </x:c>
      <x:c r="L4" s="28" t="str">
        <x:v>Тезариус вкусов (Ники Сегнит)(1).pdf: 442, 773</x:v>
      </x:c>
    </x:row>
    <x:row r="5" ht="62" customHeight="1">
      <x:c r="A5" s="28" t="str">
        <x:v>CIT-0011</x:v>
      </x:c>
      <x:c r="B5" s="28" t="str">
        <x:v>апельсин</x:v>
      </x:c>
      <x:c r="C5" s="28" t="str">
        <x:v>белая рыба</x:v>
      </x:c>
      <x:c r="D5" s="28" t="str">
        <x:v>Рыба и морепродукты</x:v>
      </x:c>
      <x:c r="E5" s="28" t="str">
        <x:v>вкусовой баланс, влияние матрицы/растворимости</x:v>
      </x:c>
      <x:c r="F5" s="28" t="str">
        <x:v>Апельсин формирует профиль «цитрусовый, сладко-фруктовый, цветочный, восковой»; характерные маркеры: лимонен, линалол, деканаль, октаналь, мирцен. Белая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5" s="28" t="str">
        <x:v>Избыток кислоты делает вкус плоско-резким; белая часть кожуры даёт лишнюю горечь; слишком долгая маринация ухудшает текстуру.</x:v>
      </x:c>
      <x:c r="I5" s="28" t="str">
        <x:v>севиче, маринад, beurre blanc, тартар или салат</x:v>
      </x:c>
      <x:c r="J5" s="28" t="str">
        <x:v>Высокая</x:v>
      </x:c>
      <x:c r="K5" s="28" t="str">
        <x:v>Тезариус вкусов (Ники Сегнит)(1).pdf</x:v>
      </x:c>
      <x:c r="L5" s="28" t="str">
        <x:v>Тезариус вкусов (Ники Сегнит)(1).pdf: 383, 773</x:v>
      </x:c>
    </x:row>
    <x:row r="6" ht="62" customHeight="1">
      <x:c r="A6" s="28" t="str">
        <x:v>CIT-0014</x:v>
      </x:c>
      <x:c r="B6" s="28" t="str">
        <x:v>апельсин</x:v>
      </x:c>
      <x:c r="C6" s="28" t="str">
        <x:v>ваниль</x:v>
      </x:c>
      <x:c r="D6" s="28" t="str">
        <x:v>Пряности</x:v>
      </x:c>
      <x:c r="E6" s="28" t="str">
        <x:v>вкусовой баланс</x:v>
      </x:c>
      <x:c r="F6" s="28" t="str">
        <x:v>Апельсин формирует профиль «цитрусовый, сладко-фруктовый, цветочный, восковой»; характерные маркеры: лимонен, линалол, деканаль, октаналь, мирцен.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Ваниль округляет кислотность и связывает цитрус с десертными и молочными нотами.</x:v>
      </x:c>
      <x:c r="G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 s="28" t="str">
        <x:v>Избыток кислоты делает вкус плоско-резким; белая часть кожуры даёт лишнюю горечь.</x:v>
      </x:c>
      <x:c r="I6" s="28" t="str">
        <x:v>сироп, кордиал, чатни, маринад или пряный десерт</x:v>
      </x:c>
      <x:c r="J6" s="28" t="str">
        <x:v>Высокая</x:v>
      </x:c>
      <x:c r="K6" s="28" t="str">
        <x:v>Таблица сочетания(1).pdf | Тезариус вкусов (Ники Сегнит)(1).pdf</x:v>
      </x:c>
      <x:c r="L6" s="28" t="str">
        <x:v>Таблица сочетания(1).pdf: 14, 21 | Тезариус вкусов (Ники Сегнит)(1).pdf: 774, 914</x:v>
      </x:c>
    </x:row>
    <x:row r="7" ht="62" customHeight="1">
      <x:c r="A7" s="28" t="str">
        <x:v>CIT-0019</x:v>
      </x:c>
      <x:c r="B7" s="28" t="str">
        <x:v>апельсин</x:v>
      </x:c>
      <x:c r="C7" s="28" t="str">
        <x:v>гвоздика</x:v>
      </x:c>
      <x:c r="D7" s="28" t="str">
        <x:v>Пряности</x:v>
      </x:c>
      <x:c r="E7" s="28" t="str">
        <x:v>вкусовой баланс, тройничное восприятие</x:v>
      </x:c>
      <x:c r="F7" s="28" t="str">
        <x:v>Апельсин формирует профиль «цитрусовый, сладко-фруктовый, цветочный, восковой»; характерные маркеры: лимонен, линалол, деканаль, октаналь, мирцен.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Гвоздика очень интенсивна и легко доминирует.</x:v>
      </x:c>
      <x:c r="G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 s="28" t="str">
        <x:v>Избыток кислоты делает вкус плоско-резким; белая часть кожуры даёт лишнюю горечь.</x:v>
      </x:c>
      <x:c r="I7" s="28" t="str">
        <x:v>сироп, кордиал, чатни, маринад или пряный десерт</x:v>
      </x:c>
      <x:c r="J7" s="28" t="str">
        <x:v>Высокая</x:v>
      </x:c>
      <x:c r="K7" s="28" t="str">
        <x:v>Таблица сочетания(1).pdf | Тезариус вкусов (Ники Сегнит)(1).pdf</x:v>
      </x:c>
      <x:c r="L7" s="28" t="str">
        <x:v>Таблица сочетания(1).pdf: 5, 14 | Тезариус вкусов (Ники Сегнит)(1).pdf: 582, 774</x:v>
      </x:c>
    </x:row>
    <x:row r="8" ht="62" customHeight="1">
      <x:c r="A8" s="28" t="str">
        <x:v>CIT-0020</x:v>
      </x:c>
      <x:c r="B8" s="28" t="str">
        <x:v>апельсин</x:v>
      </x:c>
      <x:c r="C8" s="28" t="str">
        <x:v>говядина</x:v>
      </x:c>
      <x:c r="D8" s="28" t="str">
        <x:v>Мясо и птица</x:v>
      </x:c>
      <x:c r="E8" s="28" t="str">
        <x:v>вкусовой баланс, влияние матрицы/растворимости</x:v>
      </x:c>
      <x:c r="F8" s="28" t="str">
        <x:v>Апельсин формирует профиль «цитрусовый, сладко-фруктовый, цветочный, восковой»; характерные маркеры: лимонен, линалол, деканаль, октаналь, мирцен. Говядина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G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8" s="28" t="str">
        <x:v>Избыток кислоты делает вкус плоско-резким; белая часть кожуры даёт лишнюю горечь; слишком долгая маринация ухудшает текстуру.</x:v>
      </x:c>
      <x:c r="I8" s="28" t="str">
        <x:v>маринад, глазурь, соус, жаркое или салат</x:v>
      </x:c>
      <x:c r="J8" s="28" t="str">
        <x:v>Высокая</x:v>
      </x:c>
      <x:c r="K8" s="28" t="str">
        <x:v>Тезариус вкусов (Ники Сегнит)(1).pdf</x:v>
      </x:c>
      <x:c r="L8" s="28" t="str">
        <x:v>Тезариус вкусов (Ники Сегнит)(1).pdf: 105, 774</x:v>
      </x:c>
    </x:row>
    <x:row r="9" ht="62" customHeight="1">
      <x:c r="A9" s="28" t="str">
        <x:v>CIT-0027</x:v>
      </x:c>
      <x:c r="B9" s="28" t="str">
        <x:v>апельсин</x:v>
      </x:c>
      <x:c r="C9" s="28" t="str">
        <x:v>имбирь</x:v>
      </x:c>
      <x:c r="D9" s="28" t="str">
        <x:v>Пряности</x:v>
      </x:c>
      <x:c r="E9" s="28" t="str">
        <x:v>перекрытие ароматических семейств, вкусовой баланс, тройничное восприятие</x:v>
      </x:c>
      <x:c r="F9" s="28" t="str">
        <x:v>Апельсин формирует профиль «цитрусовый, сладко-фруктовый, цветочный, восковой»; характерные маркеры: лимонен, линалол, деканаль, октаналь, мирцен.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Свежий имбирь более цитрусовый, нагретый и сушёный — более тёплый и жгучий.</x:v>
      </x:c>
      <x:c r="G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 s="28" t="str">
        <x:v>Избыток кислоты делает вкус плоско-резким; белая часть кожуры даёт лишнюю горечь.</x:v>
      </x:c>
      <x:c r="I9" s="28" t="str">
        <x:v>сироп, кордиал, чатни, маринад или пряный десерт</x:v>
      </x:c>
      <x:c r="J9" s="28" t="str">
        <x:v>Высокая</x:v>
      </x:c>
      <x:c r="K9" s="28" t="str">
        <x:v>Таблица сочетания(1).pdf | Тезариус вкусов (Ники Сегнит)(1).pdf</x:v>
      </x:c>
      <x:c r="L9" s="28" t="str">
        <x:v>Таблица сочетания(1).pdf: 14 | Тезариус вкусов (Ники Сегнит)(1).pdf: 775, 812</x:v>
      </x:c>
    </x:row>
    <x:row r="10" ht="62" customHeight="1">
      <x:c r="A10" s="28" t="str">
        <x:v>CIT-0031</x:v>
      </x:c>
      <x:c r="B10" s="28" t="str">
        <x:v>апельсин</x:v>
      </x:c>
      <x:c r="C10" s="28" t="str">
        <x:v>кардамон</x:v>
      </x:c>
      <x:c r="D10" s="28" t="str">
        <x:v>Пряности</x:v>
      </x:c>
      <x:c r="E10" s="28" t="str">
        <x:v>общие ароматические молекулы, перекрытие ароматических семейств, вкусовой баланс, тройничное восприятие</x:v>
      </x:c>
      <x:c r="F10" s="28" t="str">
        <x:v>Апельсин формирует профиль «цитрусовый, сладко-фруктовый, цветочный, восковой»; характерные маркеры: лимонен, линалол, деканаль, октаналь, мирцен.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Кардамон часто служит мостом между цитрусом, цветами и древесными нотами.</x:v>
      </x:c>
      <x:c r="G1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 s="28" t="str">
        <x:v>Избыток кислоты делает вкус плоско-резким; белая часть кожуры даёт лишнюю горечь.</x:v>
      </x:c>
      <x:c r="I10" s="28" t="str">
        <x:v>сироп, кордиал, чатни, маринад или пряный десерт</x:v>
      </x:c>
      <x:c r="J10" s="28" t="str">
        <x:v>Средняя</x:v>
      </x:c>
      <x:c r="K10" s="28" t="str">
        <x:v>Таблица сочетания(1).pdf</x:v>
      </x:c>
      <x:c r="L10" s="28" t="str">
        <x:v>Таблица сочетания(1).pdf: 3, 14</x:v>
      </x:c>
    </x:row>
    <x:row r="11" ht="62" customHeight="1">
      <x:c r="A11" s="28" t="str">
        <x:v>CIT-0037</x:v>
      </x:c>
      <x:c r="B11" s="28" t="str">
        <x:v>апельсин</x:v>
      </x:c>
      <x:c r="C11" s="28" t="str">
        <x:v>корица</x:v>
      </x:c>
      <x:c r="D11" s="28" t="str">
        <x:v>Пряности</x:v>
      </x:c>
      <x:c r="E11" s="28" t="str">
        <x:v>вкусовой баланс, тройничное восприятие</x:v>
      </x:c>
      <x:c r="F11" s="28" t="str">
        <x:v>Апельсин формирует профиль «цитрусовый, сладко-фруктовый, цветочный, восковой»; характерные маркеры: лимонен, линалол, деканаль, октаналь, мирцен.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Корица добавляет тёплый низкий регистр и усиливает впечатление сладости.</x:v>
      </x:c>
      <x:c r="G1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 s="28" t="str">
        <x:v>Избыток кислоты делает вкус плоско-резким; белая часть кожуры даёт лишнюю горечь.</x:v>
      </x:c>
      <x:c r="I11" s="28" t="str">
        <x:v>сироп, кордиал, чатни, маринад или пряный десерт</x:v>
      </x:c>
      <x:c r="J11" s="28" t="str">
        <x:v>Высокая</x:v>
      </x:c>
      <x:c r="K11" s="28" t="str">
        <x:v>Таблица сочетания(1).pdf | Тезариус вкусов (Ники Сегнит)(1).pdf</x:v>
      </x:c>
      <x:c r="L11" s="28" t="str">
        <x:v>Таблица сочетания(1).pdf: 14 | Тезариус вкусов (Ники Сегнит)(1).pdf: 573, 776</x:v>
      </x:c>
    </x:row>
    <x:row r="12" ht="62" customHeight="1">
      <x:c r="A12" s="28" t="str">
        <x:v>CIT-0045</x:v>
      </x:c>
      <x:c r="B12" s="28" t="str">
        <x:v>апельсин</x:v>
      </x:c>
      <x:c r="C12" s="28" t="str">
        <x:v>лимонный тимьян</x:v>
      </x:c>
      <x:c r="D12" s="28" t="str">
        <x:v>Травы</x:v>
      </x:c>
      <x:c r="E12" s="28" t="str">
        <x:v>вкусовой баланс, тройничное восприятие</x:v>
      </x:c>
      <x:c r="F12" s="28" t="str">
        <x:v>Апельсин формирует профиль «цитрусовый, сладко-фруктовый, цветочный, восковой»; характерные маркеры: лимонен, линалол, деканаль, октаналь, мирцен.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1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 s="28" t="str">
        <x:v>Избыток кислоты делает вкус плоско-резким; белая часть кожуры даёт лишнюю горечь; цитрус легко подавляет деликатный аромат партнёра.</x:v>
      </x:c>
      <x:c r="I12" s="28" t="str">
        <x:v>лимонад, кордиал, салатная заправка или зелёный соус</x:v>
      </x:c>
      <x:c r="J12" s="28" t="str">
        <x:v>Гипотеза / практическая</x:v>
      </x:c>
      <x:c r="K12" s="28" t="str">
        <x:v>Таблица сочетания(1).pdf</x:v>
      </x:c>
      <x:c r="L12" s="28" t="str">
        <x:v>Таблица сочетания(1).pdf: 11</x:v>
      </x:c>
    </x:row>
    <x:row r="13" ht="62" customHeight="1">
      <x:c r="A13" s="28" t="str">
        <x:v>CIT-0046</x:v>
      </x:c>
      <x:c r="B13" s="28" t="str">
        <x:v>апельсин</x:v>
      </x:c>
      <x:c r="C13" s="28" t="str">
        <x:v>листья кориандра</x:v>
      </x:c>
      <x:c r="D13" s="28" t="str">
        <x:v>Травы/пряности</x:v>
      </x:c>
      <x:c r="E13" s="28" t="str">
        <x:v>общие ароматические молекулы, перекрытие ароматических семейств, вкусовой баланс</x:v>
      </x:c>
      <x:c r="F13" s="28" t="str">
        <x:v>Апельсин формирует профиль «цитрусовый, сладко-фруктовый, цветочный, восковой»; характерные маркеры: лимонен, линалол, деканаль, октаналь, мирцен. Листья кориандра относится к группе «травы/пряности» и даёт ноты «цитрусовый, зелёный, цветочный». Наиболее правдоподобный молекулярный мост — деканаль,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Линалоол создаёт прямой ароматический мост с цитрусами.</x:v>
      </x:c>
      <x:c r="G1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 s="28" t="str">
        <x:v>Избыток кислоты делает вкус плоско-резким; белая часть кожуры даёт лишнюю горечь; цитрус легко подавляет деликатный аромат партнёра.</x:v>
      </x:c>
      <x:c r="I13" s="28" t="str">
        <x:v>лимонад, кордиал, маринад или пряный соус</x:v>
      </x:c>
      <x:c r="J13" s="28" t="str">
        <x:v>Высокая</x:v>
      </x:c>
      <x:c r="K13" s="28" t="str">
        <x:v>Тезариус вкусов (Ники Сегнит)(1).pdf</x:v>
      </x:c>
      <x:c r="L13" s="28" t="str">
        <x:v>Тезариус вкусов (Ники Сегнит)(1).pdf: 515, 776</x:v>
      </x:c>
    </x:row>
    <x:row r="14" ht="62" customHeight="1">
      <x:c r="A14" s="28" t="str">
        <x:v>CIT-0051</x:v>
      </x:c>
      <x:c r="B14" s="28" t="str">
        <x:v>апельсин</x:v>
      </x:c>
      <x:c r="C14" s="28" t="str">
        <x:v>маринованный огурец</x:v>
      </x:c>
      <x:c r="D14" s="28" t="str">
        <x:v>Овощи</x:v>
      </x:c>
      <x:c r="E14" s="28" t="str">
        <x:v>вкусовой баланс</x:v>
      </x:c>
      <x:c r="F14" s="28" t="str">
        <x:v>Апельсин формирует профиль «цитрусовый, сладко-фруктовый, цветочный, восковой»; характерные маркеры: лимонен, линалол, деканаль, октаналь, мирцен. Маринованный огурец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1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4" s="28" t="str">
        <x:v>Избыток кислоты делает вкус плоско-резким; белая часть кожуры даёт лишнюю горечь.</x:v>
      </x:c>
      <x:c r="I14" s="28" t="str">
        <x:v>винегрет, салат, пюре, запечённое блюдо или овощной соус</x:v>
      </x:c>
      <x:c r="J14" s="28" t="str">
        <x:v>Средняя</x:v>
      </x:c>
      <x:c r="K14" s="28" t="str">
        <x:v>The Art &amp; Science of Foodpairing.pdf</x:v>
      </x:c>
      <x:c r="L14" s="28" t="str">
        <x:v>The Art &amp; Science of Foodpairing.pdf: 268</x:v>
      </x:c>
    </x:row>
    <x:row r="15" ht="62" customHeight="1">
      <x:c r="A15" s="28" t="str">
        <x:v>CIT-0055</x:v>
      </x:c>
      <x:c r="B15" s="28" t="str">
        <x:v>апельсин</x:v>
      </x:c>
      <x:c r="C15" s="28" t="str">
        <x:v>морковь</x:v>
      </x:c>
      <x:c r="D15" s="28" t="str">
        <x:v>Овощи</x:v>
      </x:c>
      <x:c r="E15" s="28" t="str">
        <x:v>вкусовой баланс</x:v>
      </x:c>
      <x:c r="F15" s="28" t="str">
        <x:v>Апельсин формирует профиль «цитрусовый, сладко-фруктовый, цветочный, восковой»; характерные маркеры: лимонен, линалол, деканаль, октаналь, мирцен. Морковь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1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5" s="28" t="str">
        <x:v>Избыток кислоты делает вкус плоско-резким; белая часть кожуры даёт лишнюю горечь.</x:v>
      </x:c>
      <x:c r="I15" s="28" t="str">
        <x:v>винегрет, салат, пюре, запечённое блюдо или овощной соус</x:v>
      </x:c>
      <x:c r="J15" s="28" t="str">
        <x:v>Высокая</x:v>
      </x:c>
      <x:c r="K15" s="28" t="str">
        <x:v>Таблица сочетания(1).pdf | Тезариус вкусов (Ники Сегнит)(1).pdf</x:v>
      </x:c>
      <x:c r="L15" s="28" t="str">
        <x:v>Таблица сочетания(1).pdf: 4 | Тезариус вкусов (Ники Сегнит)(1).pdf: 602, 778</x:v>
      </x:c>
    </x:row>
    <x:row r="16" ht="62" customHeight="1">
      <x:c r="A16" s="28" t="str">
        <x:v>CIT-0059</x:v>
      </x:c>
      <x:c r="B16" s="28" t="str">
        <x:v>апельсин</x:v>
      </x:c>
      <x:c r="C16" s="28" t="str">
        <x:v>мята</x:v>
      </x:c>
      <x:c r="D16" s="28" t="str">
        <x:v>Травы</x:v>
      </x:c>
      <x:c r="E16" s="28" t="str">
        <x:v>вкусовой баланс, тройничное восприятие</x:v>
      </x:c>
      <x:c r="F16" s="28" t="str">
        <x:v>Апельсин формирует профиль «цитрусовый, сладко-фруктовый, цветочный, восковой»; характерные маркеры: лимонен, линалол, деканаль, октаналь, мирцен.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Мята усиливает воспринимаемую прохладу и кислотную свежесть.</x:v>
      </x:c>
      <x:c r="G1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 s="28" t="str">
        <x:v>Избыток кислоты делает вкус плоско-резким; белая часть кожуры даёт лишнюю горечь; цитрус легко подавляет деликатный аромат партнёра.</x:v>
      </x:c>
      <x:c r="I16" s="28" t="str">
        <x:v>лимонад, кордиал, салатная заправка или зелёный соус</x:v>
      </x:c>
      <x:c r="J16" s="28" t="str">
        <x:v>Высокая</x:v>
      </x:c>
      <x:c r="K16" s="28" t="str">
        <x:v>Таблица сочетания(1).pdf | Тезариус вкусов (Ники Сегнит)(1).pdf</x:v>
      </x:c>
      <x:c r="L16" s="28" t="str">
        <x:v>Таблица сочетания(1).pdf: 14 | Тезариус вкусов (Ники Сегнит)(1).pdf: 778, 864</x:v>
      </x:c>
    </x:row>
    <x:row r="17" ht="62" customHeight="1">
      <x:c r="A17" s="28" t="str">
        <x:v>CIT-0062</x:v>
      </x:c>
      <x:c r="B17" s="28" t="str">
        <x:v>апельсин</x:v>
      </x:c>
      <x:c r="C17" s="28" t="str">
        <x:v>огурец</x:v>
      </x:c>
      <x:c r="D17" s="28" t="str">
        <x:v>Овощи</x:v>
      </x:c>
      <x:c r="E17" s="28" t="str">
        <x:v>вкусовой баланс</x:v>
      </x:c>
      <x:c r="F17" s="28" t="str">
        <x:v>Апельсин формирует профиль «цитрусовый, сладко-фруктовый, цветочный, восковой»; характерные маркеры: лимонен, линалол, деканаль, октаналь, мирцен. Огурец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1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 s="28" t="str">
        <x:v>Избыток кислоты делает вкус плоско-резким; белая часть кожуры даёт лишнюю горечь.</x:v>
      </x:c>
      <x:c r="I17" s="28" t="str">
        <x:v>винегрет, салат, пюре, запечённое блюдо или овощной соус</x:v>
      </x:c>
      <x:c r="J17" s="28" t="str">
        <x:v>Гипотеза / практическая</x:v>
      </x:c>
      <x:c r="K17" s="28" t="str">
        <x:v>Таблица сочетания(1).pdf</x:v>
      </x:c>
      <x:c r="L17" s="28" t="str">
        <x:v>Таблица сочетания(1).pdf: 6</x:v>
      </x:c>
    </x:row>
    <x:row r="18" ht="62" customHeight="1">
      <x:c r="A18" s="28" t="str">
        <x:v>CIT-0066</x:v>
      </x:c>
      <x:c r="B18" s="28" t="str">
        <x:v>апельсин</x:v>
      </x:c>
      <x:c r="C18" s="28" t="str">
        <x:v>отварной кабачок</x:v>
      </x:c>
      <x:c r="D18" s="28" t="str">
        <x:v>Овощи</x:v>
      </x:c>
      <x:c r="E18" s="28" t="str">
        <x:v>вкусовой баланс</x:v>
      </x:c>
      <x:c r="F18" s="28" t="str">
        <x:v>Апельсин формирует профиль «цитрусовый, сладко-фруктовый, цветочный, восковой»; характерные маркеры: лимонен, линалол, деканаль, октаналь, мирцен. Отварной кабачок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 s="28" t="str">
        <x:v>Избыток кислоты делает вкус плоско-резким; белая часть кожуры даёт лишнюю горечь.</x:v>
      </x:c>
      <x:c r="I18" s="28" t="str">
        <x:v>винегрет, салат, пюре, запечённое блюдо или овощной соус</x:v>
      </x:c>
      <x:c r="J18" s="28" t="str">
        <x:v>Средняя</x:v>
      </x:c>
      <x:c r="K18" s="28" t="str">
        <x:v>The Art &amp; Science of Foodpairing.pdf</x:v>
      </x:c>
      <x:c r="L18" s="28" t="str">
        <x:v>The Art &amp; Science of Foodpairing.pdf: 332</x:v>
      </x:c>
    </x:row>
    <x:row r="19" ht="62" customHeight="1">
      <x:c r="A19" s="28" t="str">
        <x:v>CIT-0069</x:v>
      </x:c>
      <x:c r="B19" s="28" t="str">
        <x:v>апельсин</x:v>
      </x:c>
      <x:c r="C19" s="28" t="str">
        <x:v>польский голубой сыр</x:v>
      </x:c>
      <x:c r="D19" s="28" t="str">
        <x:v>Молочные продукты</x:v>
      </x:c>
      <x:c r="E19" s="28" t="str">
        <x:v>вкусовой баланс, влияние матрицы/растворимости</x:v>
      </x:c>
      <x:c r="F19" s="28" t="str">
        <x:v>Апельсин формирует профиль «цитрусовый, сладко-фруктовый, цветочный, восковой»; характерные маркеры: лимонен, линалол, деканаль, октаналь, мирцен. Польский голубой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G19"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9" s="28" t="str">
        <x:v>Избыток кислоты делает вкус плоско-резким; белая часть кожуры даёт лишнюю горечь; возможна коагуляция белка.</x:v>
      </x:c>
      <x:c r="I19" s="28" t="str">
        <x:v>чизкейк, крем, мороженое, соус или салат</x:v>
      </x:c>
      <x:c r="J19" s="28" t="str">
        <x:v>Средняя</x:v>
      </x:c>
      <x:c r="K19" s="28" t="str">
        <x:v>The Art &amp; Science of Foodpairing.pdf</x:v>
      </x:c>
      <x:c r="L19" s="28" t="str">
        <x:v>The Art &amp; Science of Foodpairing.pdf: 236</x:v>
      </x:c>
    </x:row>
    <x:row r="20" ht="62" customHeight="1">
      <x:c r="A20" s="28" t="str">
        <x:v>CIT-0072</x:v>
      </x:c>
      <x:c r="B20" s="28" t="str">
        <x:v>апельсин</x:v>
      </x:c>
      <x:c r="C20" s="28" t="str">
        <x:v>розмарин</x:v>
      </x:c>
      <x:c r="D20" s="28" t="str">
        <x:v>Травы</x:v>
      </x:c>
      <x:c r="E20" s="28" t="str">
        <x:v>вкусовой баланс, тройничное восприятие</x:v>
      </x:c>
      <x:c r="F20" s="28" t="str">
        <x:v>Апельсин формирует профиль «цитрусовый, сладко-фруктовый, цветочный, восковой»; характерные маркеры: лимонен, линалол, деканаль, октаналь, мирцен.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2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0" s="28" t="str">
        <x:v>Избыток кислоты делает вкус плоско-резким; белая часть кожуры даёт лишнюю горечь; цитрус легко подавляет деликатный аромат партнёра.</x:v>
      </x:c>
      <x:c r="I20" s="28" t="str">
        <x:v>лимонад, кордиал, салатная заправка или зелёный соус</x:v>
      </x:c>
      <x:c r="J20" s="28" t="str">
        <x:v>Высокая</x:v>
      </x:c>
      <x:c r="K20" s="28" t="str">
        <x:v>Таблица сочетания(1).pdf | Тезариус вкусов (Ники Сегнит)(1).pdf</x:v>
      </x:c>
      <x:c r="L20" s="28" t="str">
        <x:v>Таблица сочетания(1).pdf: 14, 19 | Тезариус вкусов (Ники Сегнит)(1).pdf: 780, 834</x:v>
      </x:c>
    </x:row>
    <x:row r="21" ht="62" customHeight="1">
      <x:c r="A21" s="28" t="str">
        <x:v>CIT-0075</x:v>
      </x:c>
      <x:c r="B21" s="28" t="str">
        <x:v>апельсин</x:v>
      </x:c>
      <x:c r="C21" s="28" t="str">
        <x:v>свекла</x:v>
      </x:c>
      <x:c r="D21" s="28" t="str">
        <x:v>Овощи</x:v>
      </x:c>
      <x:c r="E21" s="28" t="str">
        <x:v>вкусовой баланс</x:v>
      </x:c>
      <x:c r="F21" s="28" t="str">
        <x:v>Апельсин формирует профиль «цитрусовый, сладко-фруктовый, цветочный, восковой»; характерные маркеры: лимонен, линалол, деканаль, октаналь, мирцен. Свекла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2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1" s="28" t="str">
        <x:v>Избыток кислоты делает вкус плоско-резким; белая часть кожуры даёт лишнюю горечь.</x:v>
      </x:c>
      <x:c r="I21" s="28" t="str">
        <x:v>винегрет, салат, пюре, запечённое блюдо или овощной соус</x:v>
      </x:c>
      <x:c r="J21" s="28" t="str">
        <x:v>Высокая</x:v>
      </x:c>
      <x:c r="K21" s="28" t="str">
        <x:v>Тезариус вкусов (Ники Сегнит)(1).pdf</x:v>
      </x:c>
      <x:c r="L21" s="28" t="str">
        <x:v>Тезариус вкусов (Ники Сегнит)(1).pdf: 223, 780</x:v>
      </x:c>
    </x:row>
    <x:row r="22" ht="62" customHeight="1">
      <x:c r="A22" s="28" t="str">
        <x:v>CIT-0076</x:v>
      </x:c>
      <x:c r="B22" s="28" t="str">
        <x:v>апельсин</x:v>
      </x:c>
      <x:c r="C22" s="28" t="str">
        <x:v>семена кориандра</x:v>
      </x:c>
      <x:c r="D22" s="28" t="str">
        <x:v>Травы/пряности</x:v>
      </x:c>
      <x:c r="E22" s="28" t="str">
        <x:v>общие ароматические молекулы, перекрытие ароматических семейств, вкусовой баланс</x:v>
      </x:c>
      <x:c r="F22" s="28" t="str">
        <x:v>Апельсин формирует профиль «цитрусовый, сладко-фруктовый, цветочный, восковой»; характерные маркеры: лимонен, линалол, деканаль, октаналь, мирцен. Семена кориандра относится к группе «травы/пряности» и даёт ноты «цитрусовый, зелёный, цветочный». Наиболее правдоподобный молекулярный мост — деканаль,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Линалоол создаёт прямой ароматический мост с цитрусами.</x:v>
      </x:c>
      <x:c r="G2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2" s="28" t="str">
        <x:v>Избыток кислоты делает вкус плоско-резким; белая часть кожуры даёт лишнюю горечь; цитрус легко подавляет деликатный аромат партнёра.</x:v>
      </x:c>
      <x:c r="I22" s="28" t="str">
        <x:v>лимонад, кордиал, маринад или пряный соус</x:v>
      </x:c>
      <x:c r="J22" s="28" t="str">
        <x:v>Высокая</x:v>
      </x:c>
      <x:c r="K22" s="28" t="str">
        <x:v>Тезариус вкусов (Ники Сегнит)(1).pdf</x:v>
      </x:c>
      <x:c r="L22" s="28" t="str">
        <x:v>Тезариус вкусов (Ники Сегнит)(1).pdf: 780, 906</x:v>
      </x:c>
    </x:row>
    <x:row r="23" ht="62" customHeight="1">
      <x:c r="A23" s="28" t="str">
        <x:v>CIT-0078</x:v>
      </x:c>
      <x:c r="B23" s="28" t="str">
        <x:v>апельсин</x:v>
      </x:c>
      <x:c r="C23" s="28" t="str">
        <x:v>спаржа</x:v>
      </x:c>
      <x:c r="D23" s="28" t="str">
        <x:v>Овощи</x:v>
      </x:c>
      <x:c r="E23" s="28" t="str">
        <x:v>вкусовой баланс</x:v>
      </x:c>
      <x:c r="F23" s="28" t="str">
        <x:v>Апельсин формирует профиль «цитрусовый, сладко-фруктовый, цветочный, восковой»; характерные маркеры: лимонен, линалол, деканаль, октаналь, мирцен. Спаржа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2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3" s="28" t="str">
        <x:v>Избыток кислоты делает вкус плоско-резким; белая часть кожуры даёт лишнюю горечь.</x:v>
      </x:c>
      <x:c r="I23" s="28" t="str">
        <x:v>винегрет, салат, пюре, запечённое блюдо или овощной соус</x:v>
      </x:c>
      <x:c r="J23" s="28" t="str">
        <x:v>Высокая</x:v>
      </x:c>
      <x:c r="K23" s="28" t="str">
        <x:v>Тезариус вкусов (Ники Сегнит)(1).pdf</x:v>
      </x:c>
      <x:c r="L23" s="28" t="str">
        <x:v>Тезариус вкусов (Ники Сегнит)(1).pdf: 345, 781</x:v>
      </x:c>
    </x:row>
    <x:row r="24" ht="62" customHeight="1">
      <x:c r="A24" s="28" t="str">
        <x:v>CIT-0081</x:v>
      </x:c>
      <x:c r="B24" s="28" t="str">
        <x:v>апельсин</x:v>
      </x:c>
      <x:c r="C24" s="28" t="str">
        <x:v>твердый сыр</x:v>
      </x:c>
      <x:c r="D24" s="28" t="str">
        <x:v>Молочные продукты</x:v>
      </x:c>
      <x:c r="E24" s="28" t="str">
        <x:v>вкусовой баланс, влияние матрицы/растворимости</x:v>
      </x:c>
      <x:c r="F24" s="28" t="str">
        <x:v>Апельсин формирует профиль «цитрусовый, сладко-фруктовый, цветочный, восковой»; характерные маркеры: лимонен, линалол, деканаль, октаналь, мирцен. Твердый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G24"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24" s="28" t="str">
        <x:v>Избыток кислоты делает вкус плоско-резким; белая часть кожуры даёт лишнюю горечь; возможна коагуляция белка.</x:v>
      </x:c>
      <x:c r="I24" s="28" t="str">
        <x:v>чизкейк, крем, мороженое, соус или салат</x:v>
      </x:c>
      <x:c r="J24" s="28" t="str">
        <x:v>Высокая</x:v>
      </x:c>
      <x:c r="K24" s="28" t="str">
        <x:v>Тезариус вкусов (Ники Сегнит)(1).pdf</x:v>
      </x:c>
      <x:c r="L24" s="28" t="str">
        <x:v>Тезариус вкусов (Ники Сегнит)(1).pdf: 165, 781</x:v>
      </x:c>
    </x:row>
    <x:row r="25" ht="62" customHeight="1">
      <x:c r="A25" s="28" t="str">
        <x:v>CIT-0082</x:v>
      </x:c>
      <x:c r="B25" s="28" t="str">
        <x:v>апельсин</x:v>
      </x:c>
      <x:c r="C25" s="28" t="str">
        <x:v>тимьян</x:v>
      </x:c>
      <x:c r="D25" s="28" t="str">
        <x:v>Травы</x:v>
      </x:c>
      <x:c r="E25" s="28" t="str">
        <x:v>вкусовой баланс, тройничное восприятие</x:v>
      </x:c>
      <x:c r="F25" s="28" t="str">
        <x:v>Апельсин формирует профиль «цитрусовый, сладко-фруктовый, цветочный, восковой»; характерные маркеры: лимонен, линалол, деканаль, октаналь, мирцен.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2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5" s="28" t="str">
        <x:v>Избыток кислоты делает вкус плоско-резким; белая часть кожуры даёт лишнюю горечь; цитрус легко подавляет деликатный аромат партнёра.</x:v>
      </x:c>
      <x:c r="I25" s="28" t="str">
        <x:v>лимонад, кордиал, салатная заправка или зелёный соус</x:v>
      </x:c>
      <x:c r="J25" s="28" t="str">
        <x:v>Высокая</x:v>
      </x:c>
      <x:c r="K25" s="28" t="str">
        <x:v>Таблица сочетания(1).pdf | Тезариус вкусов (Ники Сегнит)(1).pdf</x:v>
      </x:c>
      <x:c r="L25" s="28" t="str">
        <x:v>Таблица сочетания(1).pdf: 14, 21 | Тезариус вкусов (Ники Сегнит)(1).pdf: 782, 855</x:v>
      </x:c>
    </x:row>
    <x:row r="26" ht="62" customHeight="1">
      <x:c r="A26" s="28" t="str">
        <x:v>CIT-0090</x:v>
      </x:c>
      <x:c r="B26" s="28" t="str">
        <x:v>апельсин</x:v>
      </x:c>
      <x:c r="C26" s="28" t="str">
        <x:v>чили</x:v>
      </x:c>
      <x:c r="D26" s="28" t="str">
        <x:v>Пряности</x:v>
      </x:c>
      <x:c r="E26" s="28" t="str">
        <x:v>вкусовой баланс, тройничное восприятие</x:v>
      </x:c>
      <x:c r="F26" s="28" t="str">
        <x:v>Апельсин формирует профиль «цитрусовый, сладко-фруктовый, цветочный, восковой»; характерные маркеры: лимонен, линалол, деканаль, октаналь, мирцен.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Фруктовые чили могут поддерживать цитрусовые эфиры, но острота требует баланса.</x:v>
      </x:c>
      <x:c r="G2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6"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26" s="28" t="str">
        <x:v>сироп, кордиал, чатни, маринад или пряный десерт</x:v>
      </x:c>
      <x:c r="J26" s="28" t="str">
        <x:v>Высокая</x:v>
      </x:c>
      <x:c r="K26" s="28" t="str">
        <x:v>Тезариус вкусов (Ники Сегнит)(1).pdf</x:v>
      </x:c>
      <x:c r="L26" s="28" t="str">
        <x:v>Тезариус вкусов (Ники Сегнит)(1).pdf: 551, 782</x:v>
      </x:c>
    </x:row>
    <x:row r="27" ht="62" customHeight="1">
      <x:c r="A27" s="28" t="str">
        <x:v>CIT-0091</x:v>
      </x:c>
      <x:c r="B27" s="28" t="str">
        <x:v>апельсин</x:v>
      </x:c>
      <x:c r="C27" s="28" t="str">
        <x:v>чили (перцы)</x:v>
      </x:c>
      <x:c r="D27" s="28" t="str">
        <x:v>Пряности</x:v>
      </x:c>
      <x:c r="E27" s="28" t="str">
        <x:v>вкусовой баланс, тройничное восприятие</x:v>
      </x:c>
      <x:c r="F27" s="28" t="str">
        <x:v>Апельсин формирует профиль «цитрусовый, сладко-фруктовый, цветочный, восковой»; характерные маркеры: лимонен, линалол, деканаль, октаналь, мирцен. Чили (перцы)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Фруктовые чили могут поддерживать цитрусовые эфиры, но острота требует баланса.</x:v>
      </x:c>
      <x:c r="G2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7"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27" s="28" t="str">
        <x:v>сироп, кордиал, чатни, маринад или пряный десерт</x:v>
      </x:c>
      <x:c r="J27" s="28" t="str">
        <x:v>Гипотеза / практическая</x:v>
      </x:c>
      <x:c r="K27" s="28" t="str">
        <x:v>Таблица сочетания(1).pdf</x:v>
      </x:c>
      <x:c r="L27" s="28" t="str">
        <x:v>Таблица сочетания(1).pdf: 5</x:v>
      </x:c>
    </x:row>
    <x:row r="28" ht="62" customHeight="1">
      <x:c r="A28" s="28" t="str">
        <x:v>CIT-0092</x:v>
      </x:c>
      <x:c r="B28" s="28" t="str">
        <x:v>апельсин</x:v>
      </x:c>
      <x:c r="C28" s="28" t="str">
        <x:v>шафран</x:v>
      </x:c>
      <x:c r="D28" s="28" t="str">
        <x:v>Пряности</x:v>
      </x:c>
      <x:c r="E28" s="28" t="str">
        <x:v>перекрытие ароматических семейств, вкусовой баланс</x:v>
      </x:c>
      <x:c r="F28" s="28" t="str">
        <x:v>Апельсин формирует профиль «цитрусовый, сладко-фруктовый, цветочный, восковой»; характерные маркеры: лимонен, линалол, деканаль, октаналь, мирцен. Шафран относится к группе «пряности» и даёт ноты «медовый, сенной, цветочный, кожистый».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Шафран даёт сухую цветочно-медовую глубину.</x:v>
      </x:c>
      <x:c r="G2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8" s="28" t="str">
        <x:v>Избыток кислоты делает вкус плоско-резким; белая часть кожуры даёт лишнюю горечь.</x:v>
      </x:c>
      <x:c r="I28" s="28" t="str">
        <x:v>сироп, кордиал, чатни, маринад или пряный десерт</x:v>
      </x:c>
      <x:c r="J28" s="28" t="str">
        <x:v>Высокая</x:v>
      </x:c>
      <x:c r="K28" s="28" t="str">
        <x:v>Тезариус вкусов (Ники Сегнит)(1).pdf</x:v>
      </x:c>
      <x:c r="L28" s="28" t="str">
        <x:v>Тезариус вкусов (Ники Сегнит)(1).pdf: 474, 783</x:v>
      </x:c>
    </x:row>
    <x:row r="29" ht="62" customHeight="1">
      <x:c r="A29" s="28" t="str">
        <x:v>CIT-0100</x:v>
      </x:c>
      <x:c r="B29" s="28" t="str">
        <x:v>апельсиновая кожура</x:v>
      </x:c>
      <x:c r="C29" s="28" t="str">
        <x:v>жареный кабан</x:v>
      </x:c>
      <x:c r="D29" s="28" t="str">
        <x:v>Мясо и птица</x:v>
      </x:c>
      <x:c r="E29" s="28" t="str">
        <x:v>вкусовой баланс, влияние матрицы/растворимости</x:v>
      </x:c>
      <x:c r="F29" s="28" t="str">
        <x:v>Апельсиновая кожура формирует профиль «цитрусовый, сладко-фруктовый, цветочный, восковой»; характерные маркеры: лимонен, линалол, деканаль, октаналь, мирцен. Жареный кабан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G2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9" s="28" t="str">
        <x:v>Избыток кислоты делает вкус плоско-резким; белая часть кожуры даёт лишнюю горечь; слишком долгая маринация ухудшает текстуру.</x:v>
      </x:c>
      <x:c r="I29" s="28" t="str">
        <x:v>маринад, глазурь, соус, жаркое или салат</x:v>
      </x:c>
      <x:c r="J29" s="28" t="str">
        <x:v>Средняя</x:v>
      </x:c>
      <x:c r="K29" s="28" t="str">
        <x:v>The Art &amp; Science of Foodpairing.pdf</x:v>
      </x:c>
      <x:c r="L29" s="28" t="str">
        <x:v>The Art &amp; Science of Foodpairing.pdf: 242</x:v>
      </x:c>
    </x:row>
    <x:row r="30" ht="62" customHeight="1">
      <x:c r="A30" s="28" t="str">
        <x:v>CIT-0105</x:v>
      </x:c>
      <x:c r="B30" s="28" t="str">
        <x:v>апельсиновый сок</x:v>
      </x:c>
      <x:c r="C30" s="28" t="str">
        <x:v>варёная ветчина</x:v>
      </x:c>
      <x:c r="D30" s="28" t="str">
        <x:v>Мясо и птица</x:v>
      </x:c>
      <x:c r="E30" s="28" t="str">
        <x:v>вкусовой баланс, влияние матрицы/растворимости</x:v>
      </x:c>
      <x:c r="F30"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Варёная ветчина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G3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30" s="28" t="str">
        <x:v>Избыток кислоты делает вкус плоско-резким; белая часть кожуры даёт лишнюю горечь; слишком долгая маринация ухудшает текстуру.</x:v>
      </x:c>
      <x:c r="I30" s="28" t="str">
        <x:v>маринад, глазурь, соус, жаркое или салат</x:v>
      </x:c>
      <x:c r="J30" s="28" t="str">
        <x:v>Средняя</x:v>
      </x:c>
      <x:c r="K30" s="28" t="str">
        <x:v>The Art &amp; Science of Foodpairing.pdf</x:v>
      </x:c>
      <x:c r="L30" s="28" t="str">
        <x:v>The Art &amp; Science of Foodpairing.pdf: 232</x:v>
      </x:c>
    </x:row>
    <x:row r="31" ht="62" customHeight="1">
      <x:c r="A31" s="28" t="str">
        <x:v>CIT-0106</x:v>
      </x:c>
      <x:c r="B31" s="28" t="str">
        <x:v>апельсиновый сок</x:v>
      </x:c>
      <x:c r="C31" s="28" t="str">
        <x:v>попкорн</x:v>
      </x:c>
      <x:c r="D31" s="28" t="str">
        <x:v>Злаки и хлеб</x:v>
      </x:c>
      <x:c r="E31" s="28" t="str">
        <x:v>вкусовой баланс</x:v>
      </x:c>
      <x:c r="F31"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Попкорн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освежает зерновой профиль и создаёт контраст с обжаренными нотами.</x:v>
      </x:c>
      <x:c r="G3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31" s="28" t="str">
        <x:v>Избыток кислоты делает вкус плоско-резким; белая часть кожуры даёт лишнюю горечь.</x:v>
      </x:c>
      <x:c r="I31" s="28" t="str">
        <x:v>кекс, каша, хлеб, крамбл или салат</x:v>
      </x:c>
      <x:c r="J31" s="28" t="str">
        <x:v>Средняя</x:v>
      </x:c>
      <x:c r="K31" s="28" t="str">
        <x:v>The Art &amp; Science of Foodpairing.pdf</x:v>
      </x:c>
      <x:c r="L31" s="28" t="str">
        <x:v>The Art &amp; Science of Foodpairing.pdf: 232</x:v>
      </x:c>
    </x:row>
    <x:row r="32" ht="62" customHeight="1">
      <x:c r="A32" s="28" t="str">
        <x:v>CIT-0107</x:v>
      </x:c>
      <x:c r="B32" s="28" t="str">
        <x:v>апельсиновый сок</x:v>
      </x:c>
      <x:c r="C32" s="28" t="str">
        <x:v>припущенное филе атлантического лосося</x:v>
      </x:c>
      <x:c r="D32" s="28" t="str">
        <x:v>Рыба и морепродукты</x:v>
      </x:c>
      <x:c r="E32" s="28" t="str">
        <x:v>вкусовой баланс, влияние матрицы/растворимости</x:v>
      </x:c>
      <x:c r="F32"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Припущенное филе атлантического лосося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3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32" s="28" t="str">
        <x:v>Избыток кислоты делает вкус плоско-резким; белая часть кожуры даёт лишнюю горечь; слишком долгая маринация ухудшает текстуру.</x:v>
      </x:c>
      <x:c r="I32" s="28" t="str">
        <x:v>севиче, маринад, beurre blanc, тартар или салат</x:v>
      </x:c>
      <x:c r="J32" s="28" t="str">
        <x:v>Средняя</x:v>
      </x:c>
      <x:c r="K32" s="28" t="str">
        <x:v>The Art &amp; Science of Foodpairing.pdf</x:v>
      </x:c>
      <x:c r="L32" s="28" t="str">
        <x:v>The Art &amp; Science of Foodpairing.pdf: 142</x:v>
      </x:c>
    </x:row>
    <x:row r="33" ht="62" customHeight="1">
      <x:c r="A33" s="28" t="str">
        <x:v>CIT-0108</x:v>
      </x:c>
      <x:c r="B33" s="28" t="str">
        <x:v>бергамот</x:v>
      </x:c>
      <x:c r="C33" s="28" t="str">
        <x:v>багет</x:v>
      </x:c>
      <x:c r="D33" s="28" t="str">
        <x:v>Злаки и хлеб</x:v>
      </x:c>
      <x:c r="E33" s="28" t="str">
        <x:v>вкусовой баланс</x:v>
      </x:c>
      <x:c r="F33" s="28" t="str">
        <x:v>Бергамот формирует профиль «цитрусовый, цветочный, травяной, хвойный»; характерные маркеры: лимонен, линалол, линалил ацетат, гамма-терпинен. Багет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Бергамот отличается высоким вкладом линалоола и линалилацетата. Цитрус освежает зерновой профиль и создаёт контраст с обжаренными нотами.</x:v>
      </x:c>
      <x:c r="G3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33" s="28" t="str">
        <x:v>Избыток кислоты делает вкус плоско-резким; белая часть кожуры даёт лишнюю горечь.</x:v>
      </x:c>
      <x:c r="I33" s="28" t="str">
        <x:v>кекс, каша, хлеб, крамбл или салат</x:v>
      </x:c>
      <x:c r="J33" s="28" t="str">
        <x:v>Средняя</x:v>
      </x:c>
      <x:c r="K33" s="28" t="str">
        <x:v>The Art &amp; Science of Foodpairing.pdf</x:v>
      </x:c>
      <x:c r="L33" s="28" t="str">
        <x:v>The Art &amp; Science of Foodpairing.pdf: 332</x:v>
      </x:c>
    </x:row>
    <x:row r="34" ht="62" customHeight="1">
      <x:c r="A34" s="28" t="str">
        <x:v>CIT-0115</x:v>
      </x:c>
      <x:c r="B34" s="28" t="str">
        <x:v>бергамот</x:v>
      </x:c>
      <x:c r="C34" s="28" t="str">
        <x:v>коричневый телячий бульон</x:v>
      </x:c>
      <x:c r="D34" s="28" t="str">
        <x:v>Мясо и птица</x:v>
      </x:c>
      <x:c r="E34" s="28" t="str">
        <x:v>вкусовой баланс, влияние матрицы/растворимости</x:v>
      </x:c>
      <x:c r="F34" s="28" t="str">
        <x:v>Бергамот формирует профиль «цитрусовый, цветочный, травяной, хвойный»; характерные маркеры: лимонен, линалол, линалил ацетат, гамма-терпинен. Коричневый телячий бульон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Цитрус создаёт контраст с реакциями Майяра и освежает мясную матрицу.</x:v>
      </x:c>
      <x:c r="G3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34" s="28" t="str">
        <x:v>Избыток кислоты делает вкус плоско-резким; белая часть кожуры даёт лишнюю горечь; слишком долгая маринация ухудшает текстуру.</x:v>
      </x:c>
      <x:c r="I34" s="28" t="str">
        <x:v>маринад, глазурь, соус, жаркое или салат</x:v>
      </x:c>
      <x:c r="J34" s="28" t="str">
        <x:v>Средняя</x:v>
      </x:c>
      <x:c r="K34" s="28" t="str">
        <x:v>The Art &amp; Science of Foodpairing.pdf</x:v>
      </x:c>
      <x:c r="L34" s="28" t="str">
        <x:v>The Art &amp; Science of Foodpairing.pdf: 364</x:v>
      </x:c>
    </x:row>
    <x:row r="35" ht="62" customHeight="1">
      <x:c r="A35" s="28" t="str">
        <x:v>CIT-0116</x:v>
      </x:c>
      <x:c r="B35" s="28" t="str">
        <x:v>бергамот</x:v>
      </x:c>
      <x:c r="C35" s="28" t="str">
        <x:v>королевская креветка</x:v>
      </x:c>
      <x:c r="D35" s="28" t="str">
        <x:v>Рыба и морепродукты</x:v>
      </x:c>
      <x:c r="E35" s="28" t="str">
        <x:v>вкусовой баланс, влияние матрицы/растворимости</x:v>
      </x:c>
      <x:c r="F35" s="28" t="str">
        <x:v>Бергамот формирует профиль «цитрусовый, цветочный, травяной, хвойный»; характерные маркеры: лимонен, линалол, линалил ацетат, гамма-терпинен. Королевская креветка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Цитрус уменьшает восприятие жирности и рыбных нот, усиливая свежесть и слюноотделение.</x:v>
      </x:c>
      <x:c r="G3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35" s="28" t="str">
        <x:v>Избыток кислоты делает вкус плоско-резким; белая часть кожуры даёт лишнюю горечь; слишком долгая маринация ухудшает текстуру.</x:v>
      </x:c>
      <x:c r="I35" s="28" t="str">
        <x:v>севиче, маринад, beurre blanc, тартар или салат</x:v>
      </x:c>
      <x:c r="J35" s="28" t="str">
        <x:v>Средняя</x:v>
      </x:c>
      <x:c r="K35" s="28" t="str">
        <x:v>The Art &amp; Science of Foodpairing.pdf</x:v>
      </x:c>
      <x:c r="L35" s="28" t="str">
        <x:v>The Art &amp; Science of Foodpairing.pdf: 267</x:v>
      </x:c>
    </x:row>
    <x:row r="36" ht="62" customHeight="1">
      <x:c r="A36" s="28" t="str">
        <x:v>CIT-0121</x:v>
      </x:c>
      <x:c r="B36" s="28" t="str">
        <x:v>бергамот</x:v>
      </x:c>
      <x:c r="C36" s="28" t="str">
        <x:v>припущенное филе атлантического лосося</x:v>
      </x:c>
      <x:c r="D36" s="28" t="str">
        <x:v>Рыба и морепродукты</x:v>
      </x:c>
      <x:c r="E36" s="28" t="str">
        <x:v>вкусовой баланс, влияние матрицы/растворимости</x:v>
      </x:c>
      <x:c r="F36" s="28" t="str">
        <x:v>Бергамот формирует профиль «цитрусовый, цветочный, травяной, хвойный»; характерные маркеры: лимонен, линалол, линалил ацетат, гамма-терпинен. Припущенное филе атлантического лосося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Цитрус уменьшает восприятие жирности и рыбных нот, усиливая свежесть и слюноотделение.</x:v>
      </x:c>
      <x:c r="G3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36" s="28" t="str">
        <x:v>Избыток кислоты делает вкус плоско-резким; белая часть кожуры даёт лишнюю горечь; слишком долгая маринация ухудшает текстуру.</x:v>
      </x:c>
      <x:c r="I36" s="28" t="str">
        <x:v>севиче, маринад, beurre blanc, тартар или салат</x:v>
      </x:c>
      <x:c r="J36" s="28" t="str">
        <x:v>Средняя</x:v>
      </x:c>
      <x:c r="K36" s="28" t="str">
        <x:v>The Art &amp; Science of Foodpairing.pdf</x:v>
      </x:c>
      <x:c r="L36" s="28" t="str">
        <x:v>The Art &amp; Science of Foodpairing.pdf: 142</x:v>
      </x:c>
    </x:row>
    <x:row r="37" ht="62" customHeight="1">
      <x:c r="A37" s="28" t="str">
        <x:v>CIT-0123</x:v>
      </x:c>
      <x:c r="B37" s="28" t="str">
        <x:v>бергамот</x:v>
      </x:c>
      <x:c r="C37" s="28" t="str">
        <x:v>соус чили</x:v>
      </x:c>
      <x:c r="D37" s="28" t="str">
        <x:v>Пряности</x:v>
      </x:c>
      <x:c r="E37" s="28" t="str">
        <x:v>вкусовой баланс, тройничное восприятие</x:v>
      </x:c>
      <x:c r="F37" s="28" t="str">
        <x:v>Бергамот формирует профиль «цитрусовый, цветочный, травяной, хвойный»; характерные маркеры: лимонен, линалол, линалил ацетат, гамма-терпинен. Соус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Бергамот отличается высоким вкладом линалоола и линалилацетата. Фруктовые чили могут поддерживать цитрусовые эфиры, но острота требует баланса.</x:v>
      </x:c>
      <x:c r="G3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7"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37" s="28" t="str">
        <x:v>сироп, кордиал, чатни, маринад или пряный десерт</x:v>
      </x:c>
      <x:c r="J37" s="28" t="str">
        <x:v>Средняя</x:v>
      </x:c>
      <x:c r="K37" s="28" t="str">
        <x:v>The Art &amp; Science of Foodpairing.pdf</x:v>
      </x:c>
      <x:c r="L37" s="28" t="str">
        <x:v>The Art &amp; Science of Foodpairing.pdf: 161</x:v>
      </x:c>
    </x:row>
    <x:row r="38" ht="62" customHeight="1">
      <x:c r="A38" s="28" t="str">
        <x:v>CIT-0131</x:v>
      </x:c>
      <x:c r="B38" s="28" t="str">
        <x:v>грейпфрут</x:v>
      </x:c>
      <x:c r="C38" s="28" t="str">
        <x:v>базилик</x:v>
      </x:c>
      <x:c r="D38" s="28" t="str">
        <x:v>Травы</x:v>
      </x:c>
      <x:c r="E38" s="28" t="str">
        <x:v>вкусовой баланс</x:v>
      </x:c>
      <x:c r="F38" s="28" t="str">
        <x:v>Грейпфрут формирует профиль «цитрусовый, горький, свежий, сернистый»; характерные маркеры: лимонен, нооткатон, грейпфрутовые тиолы, нарингин. Базилик относится к группе «травы» и даёт ноты «зелёный, анисовый, цветочный,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Базилик и эстрагон могут связать цитрус с фруктами, томатом и сливочными матрицами.</x:v>
      </x:c>
      <x:c r="G3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8"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38" s="28" t="str">
        <x:v>лимонад, кордиал, салатная заправка или зелёный соус</x:v>
      </x:c>
      <x:c r="J38" s="28" t="str">
        <x:v>Гипотеза / практическая</x:v>
      </x:c>
      <x:c r="K38" s="28" t="str">
        <x:v>Таблица сочетания(1).pdf</x:v>
      </x:c>
      <x:c r="L38" s="28" t="str">
        <x:v>Таблица сочетания(1).pdf: 9</x:v>
      </x:c>
    </x:row>
    <x:row r="39" ht="62" customHeight="1">
      <x:c r="A39" s="28" t="str">
        <x:v>CIT-0134</x:v>
      </x:c>
      <x:c r="B39" s="28" t="str">
        <x:v>грейпфрут</x:v>
      </x:c>
      <x:c r="C39" s="28" t="str">
        <x:v>ваниль</x:v>
      </x:c>
      <x:c r="D39" s="28" t="str">
        <x:v>Пряности</x:v>
      </x:c>
      <x:c r="E39" s="28" t="str">
        <x:v>вкусовой баланс</x:v>
      </x:c>
      <x:c r="F39" s="28" t="str">
        <x:v>Грейпфрут формирует профиль «цитрусовый, горький, свежий, сернистый»; характерные маркеры: лимонен, нооткатон, грейпфрутовые тиолы, нарингин.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Ваниль округляет кислотность и связывает цитрус с десертными и молочными нотами.</x:v>
      </x:c>
      <x:c r="G3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9"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39" s="28" t="str">
        <x:v>сироп, кордиал, чатни, маринад или пряный десерт</x:v>
      </x:c>
      <x:c r="J39" s="28" t="str">
        <x:v>Гипотеза / практическая</x:v>
      </x:c>
      <x:c r="K39" s="28" t="str">
        <x:v>Таблица сочетания(1).pdf</x:v>
      </x:c>
      <x:c r="L39" s="28" t="str">
        <x:v>Таблица сочетания(1).pdf: 9</x:v>
      </x:c>
    </x:row>
    <x:row r="40" ht="62" customHeight="1">
      <x:c r="A40" s="28" t="str">
        <x:v>CIT-0136</x:v>
      </x:c>
      <x:c r="B40" s="28" t="str">
        <x:v>грейпфрут</x:v>
      </x:c>
      <x:c r="C40" s="28" t="str">
        <x:v>голубой сыр</x:v>
      </x:c>
      <x:c r="D40" s="28" t="str">
        <x:v>Молочные продукты</x:v>
      </x:c>
      <x:c r="E40" s="28" t="str">
        <x:v>вкусовой баланс, влияние матрицы/растворимости</x:v>
      </x:c>
      <x:c r="F40" s="28" t="str">
        <x:v>Грейпфрут формирует профиль «цитрусовый, горький, свежий, сернистый»; характерные маркеры: лимонен, нооткатон, грейпфрутовые тиолы, нарингин. Голубой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режет жирность и освежает, а молочная матрица смягчает кислотность.</x:v>
      </x:c>
      <x:c r="G40"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40" s="28" t="str">
        <x:v>Избыток кислоты делает вкус плоско-резким; белая часть кожуры даёт лишнюю горечь; возможна коагуляция белка; горечь нооткатона и нарингина требует контроля сахара и соли.</x:v>
      </x:c>
      <x:c r="I40" s="28" t="str">
        <x:v>чизкейк, крем, мороженое, соус или салат</x:v>
      </x:c>
      <x:c r="J40" s="28" t="str">
        <x:v>Высокая</x:v>
      </x:c>
      <x:c r="K40" s="28" t="str">
        <x:v>Тезариус вкусов (Ники Сегнит)(1).pdf</x:v>
      </x:c>
      <x:c r="L40" s="28" t="str">
        <x:v>Тезариус вкусов (Ники Сегнит)(1).pdf: 156, 787</x:v>
      </x:c>
    </x:row>
    <x:row r="41" ht="62" customHeight="1">
      <x:c r="A41" s="28" t="str">
        <x:v>CIT-0139</x:v>
      </x:c>
      <x:c r="B41" s="28" t="str">
        <x:v>грейпфрут</x:v>
      </x:c>
      <x:c r="C41" s="28" t="str">
        <x:v>имбирь</x:v>
      </x:c>
      <x:c r="D41" s="28" t="str">
        <x:v>Пряности</x:v>
      </x:c>
      <x:c r="E41" s="28" t="str">
        <x:v>перекрытие ароматических семейств, вкусовой баланс, тройничное восприятие</x:v>
      </x:c>
      <x:c r="F41" s="28" t="str">
        <x:v>Грейпфрут формирует профиль «цитрусовый, горький, свежий, сернистый»; характерные маркеры: лимонен, нооткатон, грейпфрутовые тиолы, нарингин.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Свежий имбирь более цитрусовый, нагретый и сушёный — более тёплый и жгучий.</x:v>
      </x:c>
      <x:c r="G4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1"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41" s="28" t="str">
        <x:v>сироп, кордиал, чатни, маринад или пряный десерт</x:v>
      </x:c>
      <x:c r="J41" s="28" t="str">
        <x:v>Гипотеза / практическая</x:v>
      </x:c>
      <x:c r="K41" s="28" t="str">
        <x:v>Таблица сочетания(1).pdf</x:v>
      </x:c>
      <x:c r="L41" s="28" t="str">
        <x:v>Таблица сочетания(1).pdf: 8, 9</x:v>
      </x:c>
    </x:row>
    <x:row r="42" ht="62" customHeight="1">
      <x:c r="A42" s="28" t="str">
        <x:v>CIT-0140</x:v>
      </x:c>
      <x:c r="B42" s="28" t="str">
        <x:v>грейпфрут</x:v>
      </x:c>
      <x:c r="C42" s="28" t="str">
        <x:v>кардамон</x:v>
      </x:c>
      <x:c r="D42" s="28" t="str">
        <x:v>Пряности</x:v>
      </x:c>
      <x:c r="E42" s="28" t="str">
        <x:v>общие ароматические молекулы, перекрытие ароматических семейств, вкусовой баланс, тройничное восприятие</x:v>
      </x:c>
      <x:c r="F42" s="28" t="str">
        <x:v>Грейпфрут формирует профиль «цитрусовый, горький, свежий, сернистый»; характерные маркеры: лимонен, нооткатон, грейпфрутовые тиолы, нарингин. Кардамон относится к группе «пряности» и даёт ноты «цитрусовый, камфорный, цветочный, эвкалиптовый».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Кардамон часто служит мостом между цитрусом, цветами и древесными нотами.</x:v>
      </x:c>
      <x:c r="G4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2"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42" s="28" t="str">
        <x:v>сироп, кордиал, чатни, маринад или пряный десерт</x:v>
      </x:c>
      <x:c r="J42" s="28" t="str">
        <x:v>Средняя</x:v>
      </x:c>
      <x:c r="K42" s="28" t="str">
        <x:v>Таблица сочетания(1).pdf</x:v>
      </x:c>
      <x:c r="L42" s="28" t="str">
        <x:v>Таблица сочетания(1).pdf: 4, 9</x:v>
      </x:c>
    </x:row>
    <x:row r="43" ht="62" customHeight="1">
      <x:c r="A43" s="28" t="str">
        <x:v>CIT-0142</x:v>
      </x:c>
      <x:c r="B43" s="28" t="str">
        <x:v>грейпфрут</x:v>
      </x:c>
      <x:c r="C43" s="28" t="str">
        <x:v>корица</x:v>
      </x:c>
      <x:c r="D43" s="28" t="str">
        <x:v>Пряности</x:v>
      </x:c>
      <x:c r="E43" s="28" t="str">
        <x:v>вкусовой баланс, тройничное восприятие</x:v>
      </x:c>
      <x:c r="F43" s="28" t="str">
        <x:v>Грейпфрут формирует профиль «цитрусовый, горький, свежий, сернистый»; характерные маркеры: лимонен, нооткатон, грейпфрутовые тиолы, нарингин.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Корица добавляет тёплый низкий регистр и усиливает впечатление сладости.</x:v>
      </x:c>
      <x:c r="G4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3"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43" s="28" t="str">
        <x:v>сироп, кордиал, чатни, маринад или пряный десерт</x:v>
      </x:c>
      <x:c r="J43" s="28" t="str">
        <x:v>Высокая</x:v>
      </x:c>
      <x:c r="K43" s="28" t="str">
        <x:v>Таблица сочетания(1).pdf | Тезариус вкусов (Ники Сегнит)(1).pdf</x:v>
      </x:c>
      <x:c r="L43" s="28" t="str">
        <x:v>Таблица сочетания(1).pdf: 5 | Тезариус вкусов (Ники Сегнит)(1).pdf: 576, 787</x:v>
      </x:c>
    </x:row>
    <x:row r="44" ht="62" customHeight="1">
      <x:c r="A44" s="28" t="str">
        <x:v>CIT-0147</x:v>
      </x:c>
      <x:c r="B44" s="28" t="str">
        <x:v>грейпфрут</x:v>
      </x:c>
      <x:c r="C44" s="28" t="str">
        <x:v>лимонный тимьян</x:v>
      </x:c>
      <x:c r="D44" s="28" t="str">
        <x:v>Травы</x:v>
      </x:c>
      <x:c r="E44" s="28" t="str">
        <x:v>вкусовой баланс, тройничное восприятие</x:v>
      </x:c>
      <x:c r="F44" s="28" t="str">
        <x:v>Грейпфрут формирует профиль «цитрусовый, горький, свежий, сернистый»; характерные маркеры: лимонен, нооткатон, грейпфрутовые тиолы, нарингин.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4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4"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44" s="28" t="str">
        <x:v>лимонад, кордиал, салатная заправка или зелёный соус</x:v>
      </x:c>
      <x:c r="J44" s="28" t="str">
        <x:v>Гипотеза / практическая</x:v>
      </x:c>
      <x:c r="K44" s="28" t="str">
        <x:v>Таблица сочетания(1).pdf</x:v>
      </x:c>
      <x:c r="L44" s="28" t="str">
        <x:v>Таблица сочетания(1).pdf: 9</x:v>
      </x:c>
    </x:row>
    <x:row r="45" ht="62" customHeight="1">
      <x:c r="A45" s="28" t="str">
        <x:v>CIT-0152</x:v>
      </x:c>
      <x:c r="B45" s="28" t="str">
        <x:v>грейпфрут</x:v>
      </x:c>
      <x:c r="C45" s="28" t="str">
        <x:v>моцарелла из буйволиного молока</x:v>
      </x:c>
      <x:c r="D45" s="28" t="str">
        <x:v>Молочные продукты</x:v>
      </x:c>
      <x:c r="E45" s="28" t="str">
        <x:v>вкусовой баланс, влияние матрицы/растворимости</x:v>
      </x:c>
      <x:c r="F45" s="28" t="str">
        <x:v>Грейпфрут формирует профиль «цитрусовый, горький, свежий, сернистый»; характерные маркеры: лимонен, нооткатон, грейпфрутовые тиолы, нарингин. Моцарелла из буйволиного молока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режет жирность и освежает, а молочная матрица смягчает кислотность.</x:v>
      </x:c>
      <x:c r="G45"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45" s="28" t="str">
        <x:v>Избыток кислоты делает вкус плоско-резким; белая часть кожуры даёт лишнюю горечь; возможна коагуляция белка; горечь нооткатона и нарингина требует контроля сахара и соли.</x:v>
      </x:c>
      <x:c r="I45" s="28" t="str">
        <x:v>чизкейк, крем, мороженое, соус или салат</x:v>
      </x:c>
      <x:c r="J45" s="28" t="str">
        <x:v>Средняя</x:v>
      </x:c>
      <x:c r="K45" s="28" t="str">
        <x:v>The Art &amp; Science of Foodpairing.pdf</x:v>
      </x:c>
      <x:c r="L45" s="28" t="str">
        <x:v>The Art &amp; Science of Foodpairing.pdf: 161</x:v>
      </x:c>
    </x:row>
    <x:row r="46" ht="62" customHeight="1">
      <x:c r="A46" s="28" t="str">
        <x:v>CIT-0153</x:v>
      </x:c>
      <x:c r="B46" s="28" t="str">
        <x:v>грейпфрут</x:v>
      </x:c>
      <x:c r="C46" s="28" t="str">
        <x:v>мята</x:v>
      </x:c>
      <x:c r="D46" s="28" t="str">
        <x:v>Травы</x:v>
      </x:c>
      <x:c r="E46" s="28" t="str">
        <x:v>перекрытие ароматических семейств, вкусовой баланс, тройничное восприятие</x:v>
      </x:c>
      <x:c r="F46" s="28" t="str">
        <x:v>Грейпфрут формирует профиль «цитрусовый, горький, свежий, сернистый»; характерные маркеры: лимонен, нооткатон, грейпфрутовые тиолы, нарингин.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Мята усиливает воспринимаемую прохладу и кислотную свежесть.</x:v>
      </x:c>
      <x:c r="G4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6"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46" s="28" t="str">
        <x:v>лимонад, кордиал, салатная заправка или зелёный соус</x:v>
      </x:c>
      <x:c r="J46" s="28" t="str">
        <x:v>Гипотеза / практическая</x:v>
      </x:c>
      <x:c r="K46" s="28" t="str">
        <x:v>Таблица сочетания(1).pdf</x:v>
      </x:c>
      <x:c r="L46" s="28" t="str">
        <x:v>Таблица сочетания(1).pdf: 9</x:v>
      </x:c>
    </x:row>
    <x:row r="47" ht="62" customHeight="1">
      <x:c r="A47" s="28" t="str">
        <x:v>CIT-0161</x:v>
      </x:c>
      <x:c r="B47" s="28" t="str">
        <x:v>грейпфрут</x:v>
      </x:c>
      <x:c r="C47" s="28" t="str">
        <x:v>розмарин</x:v>
      </x:c>
      <x:c r="D47" s="28" t="str">
        <x:v>Травы</x:v>
      </x:c>
      <x:c r="E47" s="28" t="str">
        <x:v>вкусовой баланс, тройничное восприятие</x:v>
      </x:c>
      <x:c r="F47" s="28" t="str">
        <x:v>Грейпфрут формирует профиль «цитрусовый, горький, свежий, сернистый»; характерные маркеры: лимонен, нооткатон, грейпфрутовые тиолы, нарингин.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4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7"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47" s="28" t="str">
        <x:v>лимонад, кордиал, салатная заправка или зелёный соус</x:v>
      </x:c>
      <x:c r="J47" s="28" t="str">
        <x:v>Гипотеза / практическая</x:v>
      </x:c>
      <x:c r="K47" s="28" t="str">
        <x:v>Таблица сочетания(1).pdf</x:v>
      </x:c>
      <x:c r="L47" s="28" t="str">
        <x:v>Таблица сочетания(1).pdf: 9</x:v>
      </x:c>
    </x:row>
    <x:row r="48" ht="62" customHeight="1">
      <x:c r="A48" s="28" t="str">
        <x:v>CIT-0164</x:v>
      </x:c>
      <x:c r="B48" s="28" t="str">
        <x:v>грейпфрут</x:v>
      </x:c>
      <x:c r="C48" s="28" t="str">
        <x:v>свинина</x:v>
      </x:c>
      <x:c r="D48" s="28" t="str">
        <x:v>Мясо и птица</x:v>
      </x:c>
      <x:c r="E48" s="28" t="str">
        <x:v>перекрытие ароматических семейств, вкусовой баланс, влияние матрицы/растворимости</x:v>
      </x:c>
      <x:c r="F48" s="28" t="str">
        <x:v>Грейпфрут формирует профиль «цитрусовый, горький, свежий, сернистый»; характерные маркеры: лимонен, нооткатон, грейпфрутовые тиолы, нарингин. Свинина относится к группе «мясо и птица» и даёт ноты «жареный, мясной, сернистый, жирный». Прямой общий ключевой одорант из доступных профилей не фиксируется, однако продукты пересекаются на уровне семейств: сернистый.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создаёт контраст с реакциями Майяра и освежает мясную матрицу.</x:v>
      </x:c>
      <x:c r="G4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48" s="28" t="str">
        <x:v>Избыток кислоты делает вкус плоско-резким; белая часть кожуры даёт лишнюю горечь; слишком долгая маринация ухудшает текстуру; горечь нооткатона и нарингина требует контроля сахара и соли.</x:v>
      </x:c>
      <x:c r="I48" s="28" t="str">
        <x:v>маринад, глазурь, соус, жаркое или салат</x:v>
      </x:c>
      <x:c r="J48" s="28" t="str">
        <x:v>Высокая</x:v>
      </x:c>
      <x:c r="K48" s="28" t="str">
        <x:v>Тезариус вкусов (Ники Сегнит)(1).pdf</x:v>
      </x:c>
      <x:c r="L48" s="28" t="str">
        <x:v>Тезариус вкусов (Ники Сегнит)(1).pdf: 82, 789</x:v>
      </x:c>
    </x:row>
    <x:row r="49" ht="62" customHeight="1">
      <x:c r="A49" s="28" t="str">
        <x:v>CIT-0166</x:v>
      </x:c>
      <x:c r="B49" s="28" t="str">
        <x:v>грейпфрут</x:v>
      </x:c>
      <x:c r="C49" s="28" t="str">
        <x:v>сыр Bouton de Culotte</x:v>
      </x:c>
      <x:c r="D49" s="28" t="str">
        <x:v>Молочные продукты</x:v>
      </x:c>
      <x:c r="E49" s="28" t="str">
        <x:v>вкусовой баланс, влияние матрицы/растворимости</x:v>
      </x:c>
      <x:c r="F49" s="28" t="str">
        <x:v>Грейпфрут формирует профиль «цитрусовый, горький, свежий, сернистый»; характерные маркеры: лимонен, нооткатон, грейпфрутовые тиолы, нарингин. Сыр bouton de culotte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режет жирность и освежает, а молочная матрица смягчает кислотность.</x:v>
      </x:c>
      <x:c r="G49"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49" s="28" t="str">
        <x:v>Избыток кислоты делает вкус плоско-резким; белая часть кожуры даёт лишнюю горечь; возможна коагуляция белка; горечь нооткатона и нарингина требует контроля сахара и соли.</x:v>
      </x:c>
      <x:c r="I49" s="28" t="str">
        <x:v>чизкейк, крем, мороженое, соус или салат</x:v>
      </x:c>
      <x:c r="J49" s="28" t="str">
        <x:v>Средняя</x:v>
      </x:c>
      <x:c r="K49" s="28" t="str">
        <x:v>The Art &amp; Science of Foodpairing.pdf</x:v>
      </x:c>
      <x:c r="L49" s="28" t="str">
        <x:v>The Art &amp; Science of Foodpairing.pdf: 358</x:v>
      </x:c>
    </x:row>
    <x:row r="50" ht="62" customHeight="1">
      <x:c r="A50" s="28" t="str">
        <x:v>CIT-0169</x:v>
      </x:c>
      <x:c r="B50" s="28" t="str">
        <x:v>грейпфрут</x:v>
      </x:c>
      <x:c r="C50" s="28" t="str">
        <x:v>тимьян</x:v>
      </x:c>
      <x:c r="D50" s="28" t="str">
        <x:v>Травы</x:v>
      </x:c>
      <x:c r="E50" s="28" t="str">
        <x:v>вкусовой баланс, тройничное восприятие</x:v>
      </x:c>
      <x:c r="F50" s="28" t="str">
        <x:v>Грейпфрут формирует профиль «цитрусовый, горький, свежий, сернистый»; характерные маркеры: лимонен, нооткатон, грейпфрутовые тиолы, нарингин.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5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0"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50" s="28" t="str">
        <x:v>лимонад, кордиал, салатная заправка или зелёный соус</x:v>
      </x:c>
      <x:c r="J50" s="28" t="str">
        <x:v>Гипотеза / практическая</x:v>
      </x:c>
      <x:c r="K50" s="28" t="str">
        <x:v>Таблица сочетания(1).pdf</x:v>
      </x:c>
      <x:c r="L50" s="28" t="str">
        <x:v>Таблица сочетания(1).pdf: 21</x:v>
      </x:c>
    </x:row>
    <x:row r="51" ht="62" customHeight="1">
      <x:c r="A51" s="28" t="str">
        <x:v>CIT-0175</x:v>
      </x:c>
      <x:c r="B51" s="28" t="str">
        <x:v>грейпфрут</x:v>
      </x:c>
      <x:c r="C51" s="28" t="str">
        <x:v>чили (перцы)</x:v>
      </x:c>
      <x:c r="D51" s="28" t="str">
        <x:v>Пряности</x:v>
      </x:c>
      <x:c r="E51" s="28" t="str">
        <x:v>вкусовой баланс, тройничное восприятие</x:v>
      </x:c>
      <x:c r="F51" s="28" t="str">
        <x:v>Грейпфрут формирует профиль «цитрусовый, горький, свежий, сернистый»; характерные маркеры: лимонен, нооткатон, грейпфрутовые тиолы, нарингин. Чили (перцы)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Фруктовые чили могут поддерживать цитрусовые эфиры, но острота требует баланса.</x:v>
      </x:c>
      <x:c r="G5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1"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 горечь нооткатона и нарингина требует контроля сахара и соли.</x:v>
      </x:c>
      <x:c r="I51" s="28" t="str">
        <x:v>сироп, кордиал, чатни, маринад или пряный десерт</x:v>
      </x:c>
      <x:c r="J51" s="28" t="str">
        <x:v>Гипотеза / практическая</x:v>
      </x:c>
      <x:c r="K51" s="28" t="str">
        <x:v>Таблица сочетания(1).pdf</x:v>
      </x:c>
      <x:c r="L51" s="28" t="str">
        <x:v>Таблица сочетания(1).pdf: 5</x:v>
      </x:c>
    </x:row>
    <x:row r="52" ht="62" customHeight="1">
      <x:c r="A52" s="28" t="str">
        <x:v>CIT-0176</x:v>
      </x:c>
      <x:c r="B52" s="28" t="str">
        <x:v>грейпфрут</x:v>
      </x:c>
      <x:c r="C52" s="28" t="str">
        <x:v>чили ахи мирасоль</x:v>
      </x:c>
      <x:c r="D52" s="28" t="str">
        <x:v>Пряности</x:v>
      </x:c>
      <x:c r="E52" s="28" t="str">
        <x:v>вкусовой баланс, тройничное восприятие</x:v>
      </x:c>
      <x:c r="F52" s="28" t="str">
        <x:v>Грейпфрут формирует профиль «цитрусовый, горький, свежий, сернистый»; характерные маркеры: лимонен, нооткатон, грейпфрутовые тиолы, нарингин. Чили ахи мирасоль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Фруктовые чили могут поддерживать цитрусовые эфиры, но острота требует баланса.</x:v>
      </x:c>
      <x:c r="G5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2"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 горечь нооткатона и нарингина требует контроля сахара и соли.</x:v>
      </x:c>
      <x:c r="I52" s="28" t="str">
        <x:v>сироп, кордиал, чатни, маринад или пряный десерт</x:v>
      </x:c>
      <x:c r="J52" s="28" t="str">
        <x:v>Средняя</x:v>
      </x:c>
      <x:c r="K52" s="28" t="str">
        <x:v>The Art &amp; Science of Foodpairing.pdf</x:v>
      </x:c>
      <x:c r="L52" s="28" t="str">
        <x:v>The Art &amp; Science of Foodpairing.pdf: 358</x:v>
      </x:c>
    </x:row>
    <x:row r="53" ht="62" customHeight="1">
      <x:c r="A53" s="28" t="str">
        <x:v>CIT-0177</x:v>
      </x:c>
      <x:c r="B53" s="28" t="str">
        <x:v>грейпфрут</x:v>
      </x:c>
      <x:c r="C53" s="28" t="str">
        <x:v>шалфей</x:v>
      </x:c>
      <x:c r="D53" s="28" t="str">
        <x:v>Травы</x:v>
      </x:c>
      <x:c r="E53" s="28" t="str">
        <x:v>вкусовой баланс, тройничное восприятие</x:v>
      </x:c>
      <x:c r="F53" s="28" t="str">
        <x:v>Грейпфрут формирует профиль «цитрусовый, горький, свежий, сернистый»; характерные маркеры: лимонен, нооткатон, грейпфрутовые тиолы, нарингин. Шалфей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5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3"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53" s="28" t="str">
        <x:v>лимонад, кордиал, салатная заправка или зелёный соус</x:v>
      </x:c>
      <x:c r="J53" s="28" t="str">
        <x:v>Средняя</x:v>
      </x:c>
      <x:c r="K53" s="28" t="str">
        <x:v>The Art &amp; Science of Foodpairing.pdf</x:v>
      </x:c>
      <x:c r="L53" s="28" t="str">
        <x:v>The Art &amp; Science of Foodpairing.pdf: 278</x:v>
      </x:c>
    </x:row>
    <x:row r="54" ht="62" customHeight="1">
      <x:c r="A54" s="28" t="str">
        <x:v>CIT-0182</x:v>
      </x:c>
      <x:c r="B54" s="28" t="str">
        <x:v>грейпфрутовый сок</x:v>
      </x:c>
      <x:c r="C54" s="28" t="str">
        <x:v>красный щавель</x:v>
      </x:c>
      <x:c r="D54" s="28" t="str">
        <x:v>Овощи</x:v>
      </x:c>
      <x:c r="E54" s="28" t="str">
        <x:v>вкусовой баланс</x:v>
      </x:c>
      <x:c r="F54" s="28" t="str">
        <x:v>Грейпфрутовый сок формирует профиль «цитрусовый, горький, свежий, сернистый»; характерные маркеры: лимонен, нооткатон, грейпфрутовые тиолы, нарингин. Красный щавель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Горечь задают флавоноиды, аромат кожуры — терпены и следовые тиолы. Кислота подчёркивает сладость овощей и сокращает землистое или сернистое послевкусие.</x:v>
      </x:c>
      <x:c r="G5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4" s="28" t="str">
        <x:v>винегрет, салат, пюре, запечённое блюдо или овощной соус</x:v>
      </x:c>
      <x:c r="J54" s="28" t="str">
        <x:v>Средняя</x:v>
      </x:c>
      <x:c r="K54" s="28" t="str">
        <x:v>The Art &amp; Science of Foodpairing.pdf</x:v>
      </x:c>
      <x:c r="L54" s="28" t="str">
        <x:v>The Art &amp; Science of Foodpairing.pdf: 305</x:v>
      </x:c>
    </x:row>
    <x:row r="55" ht="62" customHeight="1">
      <x:c r="A55" s="28" t="str">
        <x:v>CIT-0184</x:v>
      </x:c>
      <x:c r="B55" s="28" t="str">
        <x:v>кабосу</x:v>
      </x:c>
      <x:c r="C55" s="28" t="str">
        <x:v>базилик</x:v>
      </x:c>
      <x:c r="D55" s="28" t="str">
        <x:v>Травы</x:v>
      </x:c>
      <x:c r="E55" s="28" t="str">
        <x:v>вкусовой баланс</x:v>
      </x:c>
      <x:c r="F55" s="28" t="str">
        <x:v>Кабосу формирует профиль «нейтральный/специфический»; характерные маркеры: . Базилик относится к группе «травы» и даёт ноты «зелёный, анисовый, цветочный,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Для точного молекулярного вывода нужен профиль конкретного ингредиента и способа обработки. Базилик и эстрагон могут связать цитрус с фруктами, томатом и сливочными матрицами.</x:v>
      </x:c>
      <x:c r="G5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5" s="28" t="str">
        <x:v>Избыток кислоты делает вкус плоско-резким; белая часть кожуры даёт лишнюю горечь; цитрус легко подавляет деликатный аромат партнёра.</x:v>
      </x:c>
      <x:c r="I55" s="28" t="str">
        <x:v>лимонад, кордиал, салатная заправка или зелёный соус</x:v>
      </x:c>
      <x:c r="J55" s="28" t="str">
        <x:v>Средняя</x:v>
      </x:c>
      <x:c r="K55" s="28" t="str">
        <x:v>The Art &amp; Science of Foodpairing.pdf</x:v>
      </x:c>
      <x:c r="L55" s="28" t="str">
        <x:v>The Art &amp; Science of Foodpairing.pdf: 177</x:v>
      </x:c>
    </x:row>
    <x:row r="56" ht="62" customHeight="1">
      <x:c r="A56" s="28" t="str">
        <x:v>CIT-0188</x:v>
      </x:c>
      <x:c r="B56" s="28" t="str">
        <x:v>кабосу</x:v>
      </x:c>
      <x:c r="C56" s="28" t="str">
        <x:v>марокканское оливковое масло</x:v>
      </x:c>
      <x:c r="D56" s="28" t="str">
        <x:v>Молочные продукты</x:v>
      </x:c>
      <x:c r="E56" s="28" t="str">
        <x:v>вкусовой баланс, влияние матрицы/растворимости</x:v>
      </x:c>
      <x:c r="F56" s="28" t="str">
        <x:v>Кабосу формирует профиль «нейтральный/специфический»; характерные маркеры: . Марокканское оливковое масло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Для точного молекулярного вывода нужен профиль конкретного ингредиента и способа обработки. Цитрус режет жирность и освежает, а молочная матрица смягчает кислотность.</x:v>
      </x:c>
      <x:c r="G56"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56" s="28" t="str">
        <x:v>Избыток кислоты делает вкус плоско-резким; белая часть кожуры даёт лишнюю горечь; возможна коагуляция белка.</x:v>
      </x:c>
      <x:c r="I56" s="28" t="str">
        <x:v>чизкейк, крем, мороженое, соус или салат</x:v>
      </x:c>
      <x:c r="J56" s="28" t="str">
        <x:v>Средняя</x:v>
      </x:c>
      <x:c r="K56" s="28" t="str">
        <x:v>The Art &amp; Science of Foodpairing.pdf</x:v>
      </x:c>
      <x:c r="L56" s="28" t="str">
        <x:v>The Art &amp; Science of Foodpairing.pdf: 177</x:v>
      </x:c>
    </x:row>
    <x:row r="57" ht="62" customHeight="1">
      <x:c r="A57" s="28" t="str">
        <x:v>CIT-0189</x:v>
      </x:c>
      <x:c r="B57" s="28" t="str">
        <x:v>кабосу</x:v>
      </x:c>
      <x:c r="C57" s="28" t="str">
        <x:v>ржаной хлеб на закваске</x:v>
      </x:c>
      <x:c r="D57" s="28" t="str">
        <x:v>Злаки и хлеб</x:v>
      </x:c>
      <x:c r="E57" s="28" t="str">
        <x:v>вкусовой баланс</x:v>
      </x:c>
      <x:c r="F57" s="28" t="str">
        <x:v>Кабосу формирует профиль «нейтральный/специфический»; характерные маркеры: . Ржаной хлеб на закваске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освежает зерновой профиль и создаёт контраст с обжаренными нотами.</x:v>
      </x:c>
      <x:c r="G5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7" s="28" t="str">
        <x:v>Избыток кислоты делает вкус плоско-резким; белая часть кожуры даёт лишнюю горечь.</x:v>
      </x:c>
      <x:c r="I57" s="28" t="str">
        <x:v>кекс, каша, хлеб, крамбл или салат</x:v>
      </x:c>
      <x:c r="J57" s="28" t="str">
        <x:v>Средняя</x:v>
      </x:c>
      <x:c r="K57" s="28" t="str">
        <x:v>The Art &amp; Science of Foodpairing.pdf</x:v>
      </x:c>
      <x:c r="L57" s="28" t="str">
        <x:v>The Art &amp; Science of Foodpairing.pdf: 177</x:v>
      </x:c>
    </x:row>
    <x:row r="58" ht="62" customHeight="1">
      <x:c r="A58" s="28" t="str">
        <x:v>CIT-0190</x:v>
      </x:c>
      <x:c r="B58" s="28" t="str">
        <x:v>кабосу</x:v>
      </x:c>
      <x:c r="C58" s="28" t="str">
        <x:v>соевый йогурт</x:v>
      </x:c>
      <x:c r="D58" s="28" t="str">
        <x:v>Молочные продукты</x:v>
      </x:c>
      <x:c r="E58" s="28" t="str">
        <x:v>вкусовой баланс, влияние матрицы/растворимости</x:v>
      </x:c>
      <x:c r="F58" s="28" t="str">
        <x:v>Кабосу формирует профиль «нейтральный/специфический»; характерные маркеры: . Соевый йогурт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Для точного молекулярного вывода нужен профиль конкретного ингредиента и способа обработки. Цитрус режет жирность и освежает, а молочная матрица смягчает кислотность.</x:v>
      </x:c>
      <x:c r="G58"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58" s="28" t="str">
        <x:v>Избыток кислоты делает вкус плоско-резким; белая часть кожуры даёт лишнюю горечь; возможна коагуляция белка.</x:v>
      </x:c>
      <x:c r="I58" s="28" t="str">
        <x:v>чизкейк, крем, мороженое, соус или салат</x:v>
      </x:c>
      <x:c r="J58" s="28" t="str">
        <x:v>Средняя</x:v>
      </x:c>
      <x:c r="K58" s="28" t="str">
        <x:v>The Art &amp; Science of Foodpairing.pdf</x:v>
      </x:c>
      <x:c r="L58" s="28" t="str">
        <x:v>The Art &amp; Science of Foodpairing.pdf: 177</x:v>
      </x:c>
    </x:row>
    <x:row r="59" ht="62" customHeight="1">
      <x:c r="A59" s="28" t="str">
        <x:v>CIT-0191</x:v>
      </x:c>
      <x:c r="B59" s="28" t="str">
        <x:v>кабосу</x:v>
      </x:c>
      <x:c r="C59" s="28" t="str">
        <x:v>тыква</x:v>
      </x:c>
      <x:c r="D59" s="28" t="str">
        <x:v>Овощи</x:v>
      </x:c>
      <x:c r="E59" s="28" t="str">
        <x:v>вкусовой баланс</x:v>
      </x:c>
      <x:c r="F59" s="28" t="str">
        <x:v>Кабосу формирует профиль «нейтральный/специфический»; характерные маркеры: .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Для точного молекулярного вывода нужен профиль конкретного ингредиента и способа обработки. Кислота подчёркивает сладость овощей и сокращает землистое или сернистое послевкусие.</x:v>
      </x:c>
      <x:c r="G5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9" s="28" t="str">
        <x:v>Избыток кислоты делает вкус плоско-резким; белая часть кожуры даёт лишнюю горечь.</x:v>
      </x:c>
      <x:c r="I59" s="28" t="str">
        <x:v>винегрет, салат, пюре, запечённое блюдо или овощной соус</x:v>
      </x:c>
      <x:c r="J59" s="28" t="str">
        <x:v>Средняя</x:v>
      </x:c>
      <x:c r="K59" s="28" t="str">
        <x:v>The Art &amp; Science of Foodpairing.pdf</x:v>
      </x:c>
      <x:c r="L59" s="28" t="str">
        <x:v>The Art &amp; Science of Foodpairing.pdf: 177</x:v>
      </x:c>
    </x:row>
    <x:row r="60" ht="62" customHeight="1">
      <x:c r="A60" s="28" t="str">
        <x:v>CIT-0193</x:v>
      </x:c>
      <x:c r="B60" s="28" t="str">
        <x:v>кабосу</x:v>
      </x:c>
      <x:c r="C60" s="28" t="str">
        <x:v>хлеб на закваске</x:v>
      </x:c>
      <x:c r="D60" s="28" t="str">
        <x:v>Злаки и хлеб</x:v>
      </x:c>
      <x:c r="E60" s="28" t="str">
        <x:v>вкусовой баланс</x:v>
      </x:c>
      <x:c r="F60" s="28" t="str">
        <x:v>Кабосу формирует профиль «нейтральный/специфический»; характерные маркеры: . Хлеб на закваске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освежает зерновой профиль и создаёт контраст с обжаренными нотами.</x:v>
      </x:c>
      <x:c r="G6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0" s="28" t="str">
        <x:v>Избыток кислоты делает вкус плоско-резким; белая часть кожуры даёт лишнюю горечь.</x:v>
      </x:c>
      <x:c r="I60" s="28" t="str">
        <x:v>кекс, каша, хлеб, крамбл или салат</x:v>
      </x:c>
      <x:c r="J60" s="28" t="str">
        <x:v>Средняя</x:v>
      </x:c>
      <x:c r="K60" s="28" t="str">
        <x:v>The Art &amp; Science of Foodpairing.pdf</x:v>
      </x:c>
      <x:c r="L60" s="28" t="str">
        <x:v>The Art &amp; Science of Foodpairing.pdf: 177</x:v>
      </x:c>
    </x:row>
    <x:row r="61" ht="62" customHeight="1">
      <x:c r="A61" s="28" t="str">
        <x:v>CIT-0197</x:v>
      </x:c>
      <x:c r="B61" s="28" t="str">
        <x:v>каламонси</x:v>
      </x:c>
      <x:c r="C61" s="28" t="str">
        <x:v>запечённый морской гребешок</x:v>
      </x:c>
      <x:c r="D61" s="28" t="str">
        <x:v>Рыба и морепродукты</x:v>
      </x:c>
      <x:c r="E61" s="28" t="str">
        <x:v>перекрытие ароматических семейств, вкусовой баланс, влияние матрицы/растворимости</x:v>
      </x:c>
      <x:c r="F61" s="28" t="str">
        <x:v>Каламонси формирует профиль «цитрусовый, зелёный, травяной, камфорный»; характерные маркеры: лимонен, гамма-терпинен, цитраль, бета-пинен, линалол. Запечённый морской гребешок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G6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61" s="28" t="str">
        <x:v>Избыток кислоты делает вкус плоско-резким; белая часть кожуры даёт лишнюю горечь; слишком долгая маринация ухудшает текстуру.</x:v>
      </x:c>
      <x:c r="I61" s="28" t="str">
        <x:v>севиче, маринад, beurre blanc, тартар или салат</x:v>
      </x:c>
      <x:c r="J61" s="28" t="str">
        <x:v>Средняя</x:v>
      </x:c>
      <x:c r="K61" s="28" t="str">
        <x:v>The Art &amp; Science of Foodpairing.pdf</x:v>
      </x:c>
      <x:c r="L61" s="28" t="str">
        <x:v>The Art &amp; Science of Foodpairing.pdf: 142</x:v>
      </x:c>
    </x:row>
    <x:row r="62" ht="62" customHeight="1">
      <x:c r="A62" s="28" t="str">
        <x:v>CIT-0198</x:v>
      </x:c>
      <x:c r="B62" s="28" t="str">
        <x:v>каламонси</x:v>
      </x:c>
      <x:c r="C62" s="28" t="str">
        <x:v>имбирь</x:v>
      </x:c>
      <x:c r="D62" s="28" t="str">
        <x:v>Пряности</x:v>
      </x:c>
      <x:c r="E62" s="28" t="str">
        <x:v>общие ароматические молекулы, перекрытие ароматических семейств, вкусовой баланс, тройничное восприятие</x:v>
      </x:c>
      <x:c r="F62" s="28" t="str">
        <x:v>Каламонси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6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2" s="28" t="str">
        <x:v>Избыток кислоты делает вкус плоско-резким; белая часть кожуры даёт лишнюю горечь.</x:v>
      </x:c>
      <x:c r="I62" s="28" t="str">
        <x:v>сироп, кордиал, чатни, маринад или пряный десерт</x:v>
      </x:c>
      <x:c r="J62" s="28" t="str">
        <x:v>Средняя</x:v>
      </x:c>
      <x:c r="K62" s="28" t="str">
        <x:v>The Art &amp; Science of Foodpairing.pdf</x:v>
      </x:c>
      <x:c r="L62" s="28" t="str">
        <x:v>The Art &amp; Science of Foodpairing.pdf: 142</x:v>
      </x:c>
    </x:row>
    <x:row r="63" ht="62" customHeight="1">
      <x:c r="A63" s="28" t="str">
        <x:v>CIT-0200</x:v>
      </x:c>
      <x:c r="B63" s="28" t="str">
        <x:v>каламонси</x:v>
      </x:c>
      <x:c r="C63" s="28" t="str">
        <x:v>колбаса</x:v>
      </x:c>
      <x:c r="D63" s="28" t="str">
        <x:v>Мясо и птица</x:v>
      </x:c>
      <x:c r="E63" s="28" t="str">
        <x:v>вкусовой баланс, влияние матрицы/растворимости</x:v>
      </x:c>
      <x:c r="F63" s="28" t="str">
        <x:v>Каламонси формирует профиль «цитрусовый, зелёный, травяной, камфорный»; характерные маркеры: лимонен, гамма-терпинен, цитраль, бета-пинен, линалол. Колбаса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G63"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63" s="28" t="str">
        <x:v>Избыток кислоты делает вкус плоско-резким; белая часть кожуры даёт лишнюю горечь; слишком долгая маринация ухудшает текстуру.</x:v>
      </x:c>
      <x:c r="I63" s="28" t="str">
        <x:v>маринад, глазурь, соус, жаркое или салат</x:v>
      </x:c>
      <x:c r="J63" s="28" t="str">
        <x:v>Средняя</x:v>
      </x:c>
      <x:c r="K63" s="28" t="str">
        <x:v>The Art &amp; Science of Foodpairing.pdf</x:v>
      </x:c>
      <x:c r="L63" s="28" t="str">
        <x:v>The Art &amp; Science of Foodpairing.pdf: 108</x:v>
      </x:c>
    </x:row>
    <x:row r="64" ht="62" customHeight="1">
      <x:c r="A64" s="28" t="str">
        <x:v>CIT-0202</x:v>
      </x:c>
      <x:c r="B64" s="28" t="str">
        <x:v>каламонси</x:v>
      </x:c>
      <x:c r="C64" s="28" t="str">
        <x:v>листья кинзы</x:v>
      </x:c>
      <x:c r="D64" s="28" t="str">
        <x:v>Травы/пряности</x:v>
      </x:c>
      <x:c r="E64" s="28" t="str">
        <x:v>общие ароматические молекулы, перекрытие ароматических семейств, вкусовой баланс</x:v>
      </x:c>
      <x:c r="F64" s="28" t="str">
        <x:v>Каламонси формирует профиль «цитрусовый, зелёный, травяной, камфорный»; характерные маркеры: лимонен, гамма-терпинен, цитраль, бета-пинен, линалол. Листья кинзы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G6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4" s="28" t="str">
        <x:v>Избыток кислоты делает вкус плоско-резким; белая часть кожуры даёт лишнюю горечь; цитрус легко подавляет деликатный аромат партнёра.</x:v>
      </x:c>
      <x:c r="I64" s="28" t="str">
        <x:v>лимонад, кордиал, маринад или пряный соус</x:v>
      </x:c>
      <x:c r="J64" s="28" t="str">
        <x:v>Средняя</x:v>
      </x:c>
      <x:c r="K64" s="28" t="str">
        <x:v>The Art &amp; Science of Foodpairing.pdf</x:v>
      </x:c>
      <x:c r="L64" s="28" t="str">
        <x:v>The Art &amp; Science of Foodpairing.pdf: 142</x:v>
      </x:c>
    </x:row>
    <x:row r="65" ht="62" customHeight="1">
      <x:c r="A65" s="28" t="str">
        <x:v>CIT-0203</x:v>
      </x:c>
      <x:c r="B65" s="28" t="str">
        <x:v>каламонси</x:v>
      </x:c>
      <x:c r="C65" s="28" t="str">
        <x:v>обжаренные телячьи железы</x:v>
      </x:c>
      <x:c r="D65" s="28" t="str">
        <x:v>Мясо и птица</x:v>
      </x:c>
      <x:c r="E65" s="28" t="str">
        <x:v>вкусовой баланс, влияние матрицы/растворимости</x:v>
      </x:c>
      <x:c r="F65" s="28" t="str">
        <x:v>Каламонси формирует профиль «цитрусовый, зелёный, травяной, камфорный»; характерные маркеры: лимонен, гамма-терпинен, цитраль, бета-пинен, линалол. Обжаренные телячьи железы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G6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65" s="28" t="str">
        <x:v>Избыток кислоты делает вкус плоско-резким; белая часть кожуры даёт лишнюю горечь; слишком долгая маринация ухудшает текстуру.</x:v>
      </x:c>
      <x:c r="I65" s="28" t="str">
        <x:v>маринад, глазурь, соус, жаркое или салат</x:v>
      </x:c>
      <x:c r="J65" s="28" t="str">
        <x:v>Средняя</x:v>
      </x:c>
      <x:c r="K65" s="28" t="str">
        <x:v>The Art &amp; Science of Foodpairing.pdf</x:v>
      </x:c>
      <x:c r="L65" s="28" t="str">
        <x:v>The Art &amp; Science of Foodpairing.pdf: 142</x:v>
      </x:c>
    </x:row>
    <x:row r="66" ht="62" customHeight="1">
      <x:c r="A66" s="28" t="str">
        <x:v>CIT-0204</x:v>
      </x:c>
      <x:c r="B66" s="28" t="str">
        <x:v>каламонси</x:v>
      </x:c>
      <x:c r="C66" s="28" t="str">
        <x:v>обжаренный страус</x:v>
      </x:c>
      <x:c r="D66" s="28" t="str">
        <x:v>Мясо и птица</x:v>
      </x:c>
      <x:c r="E66" s="28" t="str">
        <x:v>вкусовой баланс, влияние матрицы/растворимости</x:v>
      </x:c>
      <x:c r="F66" s="28" t="str">
        <x:v>Каламонси формирует профиль «цитрусовый, зелёный, травяной, камфорный»; характерные маркеры: лимонен, гамма-терпинен, цитраль, бета-пинен, линалол. Обжаренный страус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G6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66" s="28" t="str">
        <x:v>Избыток кислоты делает вкус плоско-резким; белая часть кожуры даёт лишнюю горечь; слишком долгая маринация ухудшает текстуру.</x:v>
      </x:c>
      <x:c r="I66" s="28" t="str">
        <x:v>маринад, глазурь, соус, жаркое или салат</x:v>
      </x:c>
      <x:c r="J66" s="28" t="str">
        <x:v>Средняя</x:v>
      </x:c>
      <x:c r="K66" s="28" t="str">
        <x:v>The Art &amp; Science of Foodpairing.pdf</x:v>
      </x:c>
      <x:c r="L66" s="28" t="str">
        <x:v>The Art &amp; Science of Foodpairing.pdf: 142</x:v>
      </x:c>
    </x:row>
    <x:row r="67" ht="62" customHeight="1">
      <x:c r="A67" s="28" t="str">
        <x:v>CIT-0206</x:v>
      </x:c>
      <x:c r="B67" s="28" t="str">
        <x:v>каламонси</x:v>
      </x:c>
      <x:c r="C67" s="28" t="str">
        <x:v>попкорн</x:v>
      </x:c>
      <x:c r="D67" s="28" t="str">
        <x:v>Злаки и хлеб</x:v>
      </x:c>
      <x:c r="E67" s="28" t="str">
        <x:v>вкусовой баланс</x:v>
      </x:c>
      <x:c r="F67" s="28" t="str">
        <x:v>Каламонси формирует профиль «цитрусовый, зелёный, травяной, камфорный»; характерные маркеры: лимонен, гамма-терпинен, цитраль, бета-пинен, линалол. Попкорн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освежает зерновой профиль и создаёт контраст с обжаренными нотами.</x:v>
      </x:c>
      <x:c r="G6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7" s="28" t="str">
        <x:v>Избыток кислоты делает вкус плоско-резким; белая часть кожуры даёт лишнюю горечь.</x:v>
      </x:c>
      <x:c r="I67" s="28" t="str">
        <x:v>кекс, каша, хлеб, крамбл или салат</x:v>
      </x:c>
      <x:c r="J67" s="28" t="str">
        <x:v>Средняя</x:v>
      </x:c>
      <x:c r="K67" s="28" t="str">
        <x:v>The Art &amp; Science of Foodpairing.pdf</x:v>
      </x:c>
      <x:c r="L67" s="28" t="str">
        <x:v>The Art &amp; Science of Foodpairing.pdf: 232</x:v>
      </x:c>
    </x:row>
    <x:row r="68" ht="62" customHeight="1">
      <x:c r="A68" s="28" t="str">
        <x:v>CIT-0207</x:v>
      </x:c>
      <x:c r="B68" s="28" t="str">
        <x:v>каламонси</x:v>
      </x:c>
      <x:c r="C68" s="28" t="str">
        <x:v>розмарин</x:v>
      </x:c>
      <x:c r="D68" s="28" t="str">
        <x:v>Травы</x:v>
      </x:c>
      <x:c r="E68" s="28" t="str">
        <x:v>перекрытие ароматических семейств, вкусовой баланс, тройничное восприятие</x:v>
      </x:c>
      <x:c r="F68" s="28" t="str">
        <x:v>Каламонси формирует профиль «цитрусовый, зелёный, травяной, камфорный»; характерные маркеры: лимонен, гамма-терпинен, цитраль, бета-пинен, линалол.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6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8" s="28" t="str">
        <x:v>Избыток кислоты делает вкус плоско-резким; белая часть кожуры даёт лишнюю горечь; цитрус легко подавляет деликатный аромат партнёра.</x:v>
      </x:c>
      <x:c r="I68" s="28" t="str">
        <x:v>лимонад, кордиал, салатная заправка или зелёный соус</x:v>
      </x:c>
      <x:c r="J68" s="28" t="str">
        <x:v>Средняя</x:v>
      </x:c>
      <x:c r="K68" s="28" t="str">
        <x:v>The Art &amp; Science of Foodpairing.pdf</x:v>
      </x:c>
      <x:c r="L68" s="28" t="str">
        <x:v>The Art &amp; Science of Foodpairing.pdf: 142</x:v>
      </x:c>
    </x:row>
    <x:row r="69" ht="62" customHeight="1">
      <x:c r="A69" s="28" t="str">
        <x:v>CIT-0208</x:v>
      </x:c>
      <x:c r="B69" s="28" t="str">
        <x:v>каламонси</x:v>
      </x:c>
      <x:c r="C69" s="28" t="str">
        <x:v>свежий корень имбиря</x:v>
      </x:c>
      <x:c r="D69" s="28" t="str">
        <x:v>Пряности</x:v>
      </x:c>
      <x:c r="E69" s="28" t="str">
        <x:v>общие ароматические молекулы, перекрытие ароматических семейств, вкусовой баланс, тройничное восприятие</x:v>
      </x:c>
      <x:c r="F69" s="28" t="str">
        <x:v>Каламонси формирует профиль «цитрусовый, зелёный, травяной, камфорный»; характерные маркеры: лимонен, гамма-терпинен, цитраль, бета-пинен, линалол. Свежий корень имбиря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6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9" s="28" t="str">
        <x:v>Избыток кислоты делает вкус плоско-резким; белая часть кожуры даёт лишнюю горечь.</x:v>
      </x:c>
      <x:c r="I69" s="28" t="str">
        <x:v>сироп, кордиал, чатни, маринад или пряный десерт</x:v>
      </x:c>
      <x:c r="J69" s="28" t="str">
        <x:v>Средняя</x:v>
      </x:c>
      <x:c r="K69" s="28" t="str">
        <x:v>The Art &amp; Science of Foodpairing.pdf</x:v>
      </x:c>
      <x:c r="L69" s="28" t="str">
        <x:v>The Art &amp; Science of Foodpairing.pdf: 142</x:v>
      </x:c>
    </x:row>
    <x:row r="70" ht="62" customHeight="1">
      <x:c r="A70" s="28" t="str">
        <x:v>CIT-0209</x:v>
      </x:c>
      <x:c r="B70" s="28" t="str">
        <x:v>каламонси</x:v>
      </x:c>
      <x:c r="C70" s="28" t="str">
        <x:v>тайская красная паста карри</x:v>
      </x:c>
      <x:c r="D70" s="28" t="str">
        <x:v>Соусы и ферментированные продукты</x:v>
      </x:c>
      <x:c r="E70" s="28" t="str">
        <x:v>вкусовой баланс, тройничное восприятие</x:v>
      </x:c>
      <x:c r="F70" s="28" t="str">
        <x:v>Каламонси формирует профиль «цитрусовый, зелёный, травяной, камфорный»; характерные маркеры: лимонен, гамма-терпинен, цитраль, бета-пинен, линалол. Тайская красная паста карри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Лаймовые цитрусы дают более зелёный и камфорный профиль, чем сладкий апельсин. Цитрус добавляет верхние ноты и может заменить часть уксуса, но избыток кислоты нарушит баланс.</x:v>
      </x:c>
      <x:c r="G7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0" s="28" t="str">
        <x:v>Избыток кислоты делает вкус плоско-резким; белая часть кожуры даёт лишнюю горечь.</x:v>
      </x:c>
      <x:c r="I70" s="28" t="str">
        <x:v>дрессинг, глазурь, чатни, маринад или ферментированный соус</x:v>
      </x:c>
      <x:c r="J70" s="28" t="str">
        <x:v>Средняя</x:v>
      </x:c>
      <x:c r="K70" s="28" t="str">
        <x:v>The Art &amp; Science of Foodpairing.pdf</x:v>
      </x:c>
      <x:c r="L70" s="28" t="str">
        <x:v>The Art &amp; Science of Foodpairing.pdf: 142</x:v>
      </x:c>
    </x:row>
    <x:row r="71" ht="62" customHeight="1">
      <x:c r="A71" s="28" t="str">
        <x:v>CIT-0210</x:v>
      </x:c>
      <x:c r="B71" s="28" t="str">
        <x:v>кожура горького апельсина</x:v>
      </x:c>
      <x:c r="C71" s="28" t="str">
        <x:v>сыр романо</x:v>
      </x:c>
      <x:c r="D71" s="28" t="str">
        <x:v>Молочные продукты</x:v>
      </x:c>
      <x:c r="E71" s="28" t="str">
        <x:v>вкусовой баланс, влияние матрицы/растворимости</x:v>
      </x:c>
      <x:c r="F71" s="28" t="str">
        <x:v>Кожура горького апельсина формирует профиль «цитрусовый, сладко-фруктовый, цветочный, восковой»; характерные маркеры: лимонен, линалол, деканаль, октаналь, мирцен. Сыр романо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G71"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71" s="28" t="str">
        <x:v>Избыток кислоты делает вкус плоско-резким; белая часть кожуры даёт лишнюю горечь; возможна коагуляция белка.</x:v>
      </x:c>
      <x:c r="I71" s="28" t="str">
        <x:v>чизкейк, крем, мороженое, соус или салат</x:v>
      </x:c>
      <x:c r="J71" s="28" t="str">
        <x:v>Средняя</x:v>
      </x:c>
      <x:c r="K71" s="28" t="str">
        <x:v>The Art &amp; Science of Foodpairing.pdf</x:v>
      </x:c>
      <x:c r="L71" s="28" t="str">
        <x:v>The Art &amp; Science of Foodpairing.pdf: 312</x:v>
      </x:c>
    </x:row>
    <x:row r="72" ht="62" customHeight="1">
      <x:c r="A72" s="28" t="str">
        <x:v>CIT-0211</x:v>
      </x:c>
      <x:c r="B72" s="28" t="str">
        <x:v>кожура горького апельсина</x:v>
      </x:c>
      <x:c r="C72" s="28" t="str">
        <x:v>томат</x:v>
      </x:c>
      <x:c r="D72" s="28" t="str">
        <x:v>Овощи</x:v>
      </x:c>
      <x:c r="E72" s="28" t="str">
        <x:v>вкусовой баланс</x:v>
      </x:c>
      <x:c r="F72" s="28" t="str">
        <x:v>Кожура горького апельсина формирует профиль «цитрусовый, сладко-фруктовый, цветочный, восковой»; характерные маркеры: лимонен, линалол, деканаль, октаналь, мирцен. Томат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7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2" s="28" t="str">
        <x:v>Избыток кислоты делает вкус плоско-резким; белая часть кожуры даёт лишнюю горечь.</x:v>
      </x:c>
      <x:c r="I72" s="28" t="str">
        <x:v>винегрет, салат, пюре, запечённое блюдо или овощной соус</x:v>
      </x:c>
      <x:c r="J72" s="28" t="str">
        <x:v>Средняя</x:v>
      </x:c>
      <x:c r="K72" s="28" t="str">
        <x:v>The Art &amp; Science of Foodpairing.pdf</x:v>
      </x:c>
      <x:c r="L72" s="28" t="str">
        <x:v>The Art &amp; Science of Foodpairing.pdf: 70</x:v>
      </x:c>
    </x:row>
    <x:row r="73" ht="62" customHeight="1">
      <x:c r="A73" s="28" t="str">
        <x:v>CIT-0217</x:v>
      </x:c>
      <x:c r="B73" s="28" t="str">
        <x:v>кожура мандарина</x:v>
      </x:c>
      <x:c r="C73" s="28" t="str">
        <x:v>доджанг</x:v>
      </x:c>
      <x:c r="D73" s="28" t="str">
        <x:v>Соусы и ферментированные продукты</x:v>
      </x:c>
      <x:c r="E73" s="28" t="str">
        <x:v>перекрытие ароматических семейств, вкусовой баланс, тройничное восприятие</x:v>
      </x:c>
      <x:c r="F73"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Доджанг относится к группе «соусы и ферментированные продукты» и даёт ноты «кислый, умами, ферментированный, пряный». Прямой общий ключевой одорант из доступных профилей не фиксируется, однако продукты пересекаются на уровне семейств: пряный. Поэтому связь лучше описывать как сочетание близких ароматических направлений, а не как действие единственной доказанной молекулы. Цитрусовая кислота и аромат усиливают солёность и умами, но общий уровень кислоты необходимо контролировать. Мандариновая группа мягче по кислотности и выраженнее по сладко-цветочным нотам. Цитрус добавляет верхние ноты и может заменить часть уксуса, но избыток кислоты нарушит баланс.</x:v>
      </x:c>
      <x:c r="G7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3" s="28" t="str">
        <x:v>Избыток кислоты делает вкус плоско-резким; белая часть кожуры даёт лишнюю горечь.</x:v>
      </x:c>
      <x:c r="I73" s="28" t="str">
        <x:v>дрессинг, глазурь, чатни, маринад или ферментированный соус</x:v>
      </x:c>
      <x:c r="J73" s="28" t="str">
        <x:v>Средняя</x:v>
      </x:c>
      <x:c r="K73" s="28" t="str">
        <x:v>The Art &amp; Science of Foodpairing.pdf</x:v>
      </x:c>
      <x:c r="L73" s="28" t="str">
        <x:v>The Art &amp; Science of Foodpairing.pdf: 366</x:v>
      </x:c>
    </x:row>
    <x:row r="74" ht="62" customHeight="1">
      <x:c r="A74" s="28" t="str">
        <x:v>CIT-0218</x:v>
      </x:c>
      <x:c r="B74" s="28" t="str">
        <x:v>кожура мандарина</x:v>
      </x:c>
      <x:c r="C74" s="28" t="str">
        <x:v>дорадо</x:v>
      </x:c>
      <x:c r="D74" s="28" t="str">
        <x:v>Рыба и морепродукты</x:v>
      </x:c>
      <x:c r="E74" s="28" t="str">
        <x:v>вкусовой баланс, влияние матрицы/растворимости</x:v>
      </x:c>
      <x:c r="F74"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Дорадо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уменьшает восприятие жирности и рыбных нот, усиливая свежесть и слюноотделение.</x:v>
      </x:c>
      <x:c r="G7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74" s="28" t="str">
        <x:v>Избыток кислоты делает вкус плоско-резким; белая часть кожуры даёт лишнюю горечь; слишком долгая маринация ухудшает текстуру.</x:v>
      </x:c>
      <x:c r="I74" s="28" t="str">
        <x:v>севиче, маринад, beurre blanc, тартар или салат</x:v>
      </x:c>
      <x:c r="J74" s="28" t="str">
        <x:v>Средняя</x:v>
      </x:c>
      <x:c r="K74" s="28" t="str">
        <x:v>The Art &amp; Science of Foodpairing.pdf</x:v>
      </x:c>
      <x:c r="L74" s="28" t="str">
        <x:v>The Art &amp; Science of Foodpairing.pdf: 366</x:v>
      </x:c>
    </x:row>
    <x:row r="75" ht="62" customHeight="1">
      <x:c r="A75" s="28" t="str">
        <x:v>CIT-0220</x:v>
      </x:c>
      <x:c r="B75" s="28" t="str">
        <x:v>кожура мандарина</x:v>
      </x:c>
      <x:c r="C75" s="28" t="str">
        <x:v>квашеная капуста</x:v>
      </x:c>
      <x:c r="D75" s="28" t="str">
        <x:v>Овощи</x:v>
      </x:c>
      <x:c r="E75" s="28" t="str">
        <x:v>вкусовой баланс</x:v>
      </x:c>
      <x:c r="F75"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Квашеная капуста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7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5" s="28" t="str">
        <x:v>Избыток кислоты делает вкус плоско-резким; белая часть кожуры даёт лишнюю горечь.</x:v>
      </x:c>
      <x:c r="I75" s="28" t="str">
        <x:v>винегрет, салат, пюре, запечённое блюдо или овощной соус</x:v>
      </x:c>
      <x:c r="J75" s="28" t="str">
        <x:v>Средняя</x:v>
      </x:c>
      <x:c r="K75" s="28" t="str">
        <x:v>The Art &amp; Science of Foodpairing.pdf</x:v>
      </x:c>
      <x:c r="L75" s="28" t="str">
        <x:v>The Art &amp; Science of Foodpairing.pdf: 186</x:v>
      </x:c>
    </x:row>
    <x:row r="76" ht="62" customHeight="1">
      <x:c r="A76" s="28" t="str">
        <x:v>CIT-0222</x:v>
      </x:c>
      <x:c r="B76" s="28" t="str">
        <x:v>кожура мандарина</x:v>
      </x:c>
      <x:c r="C76" s="28" t="str">
        <x:v>отварной пастернак</x:v>
      </x:c>
      <x:c r="D76" s="28" t="str">
        <x:v>Овощи</x:v>
      </x:c>
      <x:c r="E76" s="28" t="str">
        <x:v>вкусовой баланс</x:v>
      </x:c>
      <x:c r="F76"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Отварной пастернак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7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6" s="28" t="str">
        <x:v>Избыток кислоты делает вкус плоско-резким; белая часть кожуры даёт лишнюю горечь.</x:v>
      </x:c>
      <x:c r="I76" s="28" t="str">
        <x:v>винегрет, салат, пюре, запечённое блюдо или овощной соус</x:v>
      </x:c>
      <x:c r="J76" s="28" t="str">
        <x:v>Средняя</x:v>
      </x:c>
      <x:c r="K76" s="28" t="str">
        <x:v>The Art &amp; Science of Foodpairing.pdf</x:v>
      </x:c>
      <x:c r="L76" s="28" t="str">
        <x:v>The Art &amp; Science of Foodpairing.pdf: 366</x:v>
      </x:c>
    </x:row>
    <x:row r="77" ht="62" customHeight="1">
      <x:c r="A77" s="28" t="str">
        <x:v>CIT-0224</x:v>
      </x:c>
      <x:c r="B77" s="28" t="str">
        <x:v>кожура мандарина</x:v>
      </x:c>
      <x:c r="C77" s="28" t="str">
        <x:v>приготовленный длиннозёрный рис</x:v>
      </x:c>
      <x:c r="D77" s="28" t="str">
        <x:v>Злаки и хлеб</x:v>
      </x:c>
      <x:c r="E77" s="28" t="str">
        <x:v>вкусовой баланс</x:v>
      </x:c>
      <x:c r="F77"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Приготовленный длиннозёрный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G7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7" s="28" t="str">
        <x:v>Избыток кислоты делает вкус плоско-резким; белая часть кожуры даёт лишнюю горечь.</x:v>
      </x:c>
      <x:c r="I77" s="28" t="str">
        <x:v>кекс, каша, хлеб, крамбл или салат</x:v>
      </x:c>
      <x:c r="J77" s="28" t="str">
        <x:v>Средняя</x:v>
      </x:c>
      <x:c r="K77" s="28" t="str">
        <x:v>The Art &amp; Science of Foodpairing.pdf</x:v>
      </x:c>
      <x:c r="L77" s="28" t="str">
        <x:v>The Art &amp; Science of Foodpairing.pdf: 366</x:v>
      </x:c>
    </x:row>
    <x:row r="78" ht="62" customHeight="1">
      <x:c r="A78" s="28" t="str">
        <x:v>CIT-0225</x:v>
      </x:c>
      <x:c r="B78" s="28" t="str">
        <x:v>кожура мандарина</x:v>
      </x:c>
      <x:c r="C78" s="28" t="str">
        <x:v>припущенное филе трески</x:v>
      </x:c>
      <x:c r="D78" s="28" t="str">
        <x:v>Рыба и морепродукты</x:v>
      </x:c>
      <x:c r="E78" s="28" t="str">
        <x:v>вкусовой баланс, влияние матрицы/растворимости</x:v>
      </x:c>
      <x:c r="F78"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Припущенное филе трески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уменьшает восприятие жирности и рыбных нот, усиливая свежесть и слюноотделение.</x:v>
      </x:c>
      <x:c r="G7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78" s="28" t="str">
        <x:v>Избыток кислоты делает вкус плоско-резким; белая часть кожуры даёт лишнюю горечь; слишком долгая маринация ухудшает текстуру.</x:v>
      </x:c>
      <x:c r="I78" s="28" t="str">
        <x:v>севиче, маринад, beurre blanc, тартар или салат</x:v>
      </x:c>
      <x:c r="J78" s="28" t="str">
        <x:v>Средняя</x:v>
      </x:c>
      <x:c r="K78" s="28" t="str">
        <x:v>The Art &amp; Science of Foodpairing.pdf</x:v>
      </x:c>
      <x:c r="L78" s="28" t="str">
        <x:v>The Art &amp; Science of Foodpairing.pdf: 366</x:v>
      </x:c>
    </x:row>
    <x:row r="79" ht="62" customHeight="1">
      <x:c r="A79" s="28" t="str">
        <x:v>CIT-0226</x:v>
      </x:c>
      <x:c r="B79" s="28" t="str">
        <x:v>кожура мандарина</x:v>
      </x:c>
      <x:c r="C79" s="28" t="str">
        <x:v>розмарин</x:v>
      </x:c>
      <x:c r="D79" s="28" t="str">
        <x:v>Травы</x:v>
      </x:c>
      <x:c r="E79" s="28" t="str">
        <x:v>вкусовой баланс, тройничное восприятие</x:v>
      </x:c>
      <x:c r="F79"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7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9" s="28" t="str">
        <x:v>Избыток кислоты делает вкус плоско-резким; белая часть кожуры даёт лишнюю горечь; цитрус легко подавляет деликатный аромат партнёра.</x:v>
      </x:c>
      <x:c r="I79" s="28" t="str">
        <x:v>лимонад, кордиал, салатная заправка или зелёный соус</x:v>
      </x:c>
      <x:c r="J79" s="28" t="str">
        <x:v>Средняя</x:v>
      </x:c>
      <x:c r="K79" s="28" t="str">
        <x:v>The Art &amp; Science of Foodpairing.pdf</x:v>
      </x:c>
      <x:c r="L79" s="28" t="str">
        <x:v>The Art &amp; Science of Foodpairing.pdf: 113</x:v>
      </x:c>
    </x:row>
    <x:row r="80" ht="62" customHeight="1">
      <x:c r="A80" s="28" t="str">
        <x:v>CIT-0229</x:v>
      </x:c>
      <x:c r="B80" s="28" t="str">
        <x:v>кожура мандарина</x:v>
      </x:c>
      <x:c r="C80" s="28" t="str">
        <x:v>томатильо</x:v>
      </x:c>
      <x:c r="D80" s="28" t="str">
        <x:v>Овощи</x:v>
      </x:c>
      <x:c r="E80" s="28" t="str">
        <x:v>вкусовой баланс</x:v>
      </x:c>
      <x:c r="F80"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Томатильо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8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80" s="28" t="str">
        <x:v>Избыток кислоты делает вкус плоско-резким; белая часть кожуры даёт лишнюю горечь.</x:v>
      </x:c>
      <x:c r="I80" s="28" t="str">
        <x:v>винегрет, салат, пюре, запечённое блюдо или овощной соус</x:v>
      </x:c>
      <x:c r="J80" s="28" t="str">
        <x:v>Средняя</x:v>
      </x:c>
      <x:c r="K80" s="28" t="str">
        <x:v>The Art &amp; Science of Foodpairing.pdf</x:v>
      </x:c>
      <x:c r="L80" s="28" t="str">
        <x:v>The Art &amp; Science of Foodpairing.pdf: 366</x:v>
      </x:c>
    </x:row>
    <x:row r="81" ht="62" customHeight="1">
      <x:c r="A81" s="28" t="str">
        <x:v>CIT-0231</x:v>
      </x:c>
      <x:c r="B81" s="28" t="str">
        <x:v>кожура мандарина</x:v>
      </x:c>
      <x:c r="C81" s="28" t="str">
        <x:v>чили ахи мирасоль</x:v>
      </x:c>
      <x:c r="D81" s="28" t="str">
        <x:v>Пряности</x:v>
      </x:c>
      <x:c r="E81" s="28" t="str">
        <x:v>перекрытие ароматических семейств, вкусовой баланс, тройничное восприятие</x:v>
      </x:c>
      <x:c r="F81"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Чили ахи мирасоль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пряный, фруктовый.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Фруктовые чили могут поддерживать цитрусовые эфиры, но острота требует баланса.</x:v>
      </x:c>
      <x:c r="G8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1"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81" s="28" t="str">
        <x:v>сироп, кордиал, чатни, маринад или пряный десерт</x:v>
      </x:c>
      <x:c r="J81" s="28" t="str">
        <x:v>Средняя</x:v>
      </x:c>
      <x:c r="K81" s="28" t="str">
        <x:v>The Art &amp; Science of Foodpairing.pdf</x:v>
      </x:c>
      <x:c r="L81" s="28" t="str">
        <x:v>The Art &amp; Science of Foodpairing.pdf: 358</x:v>
      </x:c>
    </x:row>
    <x:row r="82" ht="62" customHeight="1">
      <x:c r="A82" s="28" t="str">
        <x:v>CIT-0232</x:v>
      </x:c>
      <x:c r="B82" s="28" t="str">
        <x:v>кожура мандарина</x:v>
      </x:c>
      <x:c r="C82" s="28" t="str">
        <x:v>чипсы из свёклы</x:v>
      </x:c>
      <x:c r="D82" s="28" t="str">
        <x:v>Овощи</x:v>
      </x:c>
      <x:c r="E82" s="28" t="str">
        <x:v>вкусовой баланс</x:v>
      </x:c>
      <x:c r="F82"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Чипсы из свёклы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8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82" s="28" t="str">
        <x:v>Избыток кислоты делает вкус плоско-резким; белая часть кожуры даёт лишнюю горечь.</x:v>
      </x:c>
      <x:c r="I82" s="28" t="str">
        <x:v>винегрет, салат, пюре, запечённое блюдо или овощной соус</x:v>
      </x:c>
      <x:c r="J82" s="28" t="str">
        <x:v>Средняя</x:v>
      </x:c>
      <x:c r="K82" s="28" t="str">
        <x:v>The Art &amp; Science of Foodpairing.pdf</x:v>
      </x:c>
      <x:c r="L82" s="28" t="str">
        <x:v>The Art &amp; Science of Foodpairing.pdf: 366</x:v>
      </x:c>
    </x:row>
    <x:row r="83" ht="62" customHeight="1">
      <x:c r="A83" s="28" t="str">
        <x:v>CIT-0235</x:v>
      </x:c>
      <x:c r="B83" s="28" t="str">
        <x:v>красный апельсин</x:v>
      </x:c>
      <x:c r="C83" s="28" t="str">
        <x:v>гвоздика</x:v>
      </x:c>
      <x:c r="D83" s="28" t="str">
        <x:v>Пряности</x:v>
      </x:c>
      <x:c r="E83" s="28" t="str">
        <x:v>вкусовой баланс, тройничное восприятие</x:v>
      </x:c>
      <x:c r="F83"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Гвоздика очень интенсивна и легко доминирует.</x:v>
      </x:c>
      <x:c r="G8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3" s="28" t="str">
        <x:v>Избыток кислоты делает вкус плоско-резким; белая часть кожуры даёт лишнюю горечь.</x:v>
      </x:c>
      <x:c r="I83" s="28" t="str">
        <x:v>сироп, кордиал, чатни, маринад или пряный десерт</x:v>
      </x:c>
      <x:c r="J83" s="28" t="str">
        <x:v>Гипотеза / практическая</x:v>
      </x:c>
      <x:c r="K83" s="28" t="str">
        <x:v>Таблица сочетания(1).pdf</x:v>
      </x:c>
      <x:c r="L83" s="28" t="str">
        <x:v>Таблица сочетания(1).pdf: 3</x:v>
      </x:c>
    </x:row>
    <x:row r="84" ht="62" customHeight="1">
      <x:c r="A84" s="28" t="str">
        <x:v>CIT-0236</x:v>
      </x:c>
      <x:c r="B84" s="28" t="str">
        <x:v>красный апельсин</x:v>
      </x:c>
      <x:c r="C84" s="28" t="str">
        <x:v>имбирь</x:v>
      </x:c>
      <x:c r="D84" s="28" t="str">
        <x:v>Пряности</x:v>
      </x:c>
      <x:c r="E84" s="28" t="str">
        <x:v>перекрытие ароматических семейств, вкусовой баланс, тройничное восприятие</x:v>
      </x:c>
      <x:c r="F84"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Свежий имбирь более цитрусовый, нагретый и сушёный — более тёплый и жгучий.</x:v>
      </x:c>
      <x:c r="G8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4" s="28" t="str">
        <x:v>Избыток кислоты делает вкус плоско-резким; белая часть кожуры даёт лишнюю горечь.</x:v>
      </x:c>
      <x:c r="I84" s="28" t="str">
        <x:v>сироп, кордиал, чатни, маринад или пряный десерт</x:v>
      </x:c>
      <x:c r="J84" s="28" t="str">
        <x:v>Гипотеза / практическая</x:v>
      </x:c>
      <x:c r="K84" s="28" t="str">
        <x:v>Таблица сочетания(1).pdf</x:v>
      </x:c>
      <x:c r="L84" s="28" t="str">
        <x:v>Таблица сочетания(1).pdf: 3</x:v>
      </x:c>
    </x:row>
    <x:row r="85" ht="62" customHeight="1">
      <x:c r="A85" s="28" t="str">
        <x:v>CIT-0238</x:v>
      </x:c>
      <x:c r="B85" s="28" t="str">
        <x:v>красный апельсин</x:v>
      </x:c>
      <x:c r="C85" s="28" t="str">
        <x:v>кардамон</x:v>
      </x:c>
      <x:c r="D85" s="28" t="str">
        <x:v>Пряности</x:v>
      </x:c>
      <x:c r="E85" s="28" t="str">
        <x:v>общие ароматические молекулы, перекрытие ароматических семейств, вкусовой баланс, тройничное восприятие</x:v>
      </x:c>
      <x:c r="F85"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Кардамон часто служит мостом между цитрусом, цветами и древесными нотами.</x:v>
      </x:c>
      <x:c r="G8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5" s="28" t="str">
        <x:v>Избыток кислоты делает вкус плоско-резким; белая часть кожуры даёт лишнюю горечь.</x:v>
      </x:c>
      <x:c r="I85" s="28" t="str">
        <x:v>сироп, кордиал, чатни, маринад или пряный десерт</x:v>
      </x:c>
      <x:c r="J85" s="28" t="str">
        <x:v>Средняя</x:v>
      </x:c>
      <x:c r="K85" s="28" t="str">
        <x:v>Таблица сочетания(1).pdf</x:v>
      </x:c>
      <x:c r="L85" s="28" t="str">
        <x:v>Таблица сочетания(1).pdf: 3</x:v>
      </x:c>
    </x:row>
    <x:row r="86" ht="62" customHeight="1">
      <x:c r="A86" s="28" t="str">
        <x:v>CIT-0239</x:v>
      </x:c>
      <x:c r="B86" s="28" t="str">
        <x:v>красный апельсин</x:v>
      </x:c>
      <x:c r="C86" s="28" t="str">
        <x:v>корица</x:v>
      </x:c>
      <x:c r="D86" s="28" t="str">
        <x:v>Пряности</x:v>
      </x:c>
      <x:c r="E86" s="28" t="str">
        <x:v>вкусовой баланс, тройничное восприятие</x:v>
      </x:c>
      <x:c r="F86"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Корица добавляет тёплый низкий регистр и усиливает впечатление сладости.</x:v>
      </x:c>
      <x:c r="G8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6" s="28" t="str">
        <x:v>Избыток кислоты делает вкус плоско-резким; белая часть кожуры даёт лишнюю горечь.</x:v>
      </x:c>
      <x:c r="I86" s="28" t="str">
        <x:v>сироп, кордиал, чатни, маринад или пряный десерт</x:v>
      </x:c>
      <x:c r="J86" s="28" t="str">
        <x:v>Гипотеза / практическая</x:v>
      </x:c>
      <x:c r="K86" s="28" t="str">
        <x:v>Таблица сочетания(1).pdf</x:v>
      </x:c>
      <x:c r="L86" s="28" t="str">
        <x:v>Таблица сочетания(1).pdf: 3</x:v>
      </x:c>
    </x:row>
    <x:row r="87" ht="62" customHeight="1">
      <x:c r="A87" s="28" t="str">
        <x:v>CIT-0243</x:v>
      </x:c>
      <x:c r="B87" s="28" t="str">
        <x:v>красный апельсин</x:v>
      </x:c>
      <x:c r="C87" s="28" t="str">
        <x:v>мята</x:v>
      </x:c>
      <x:c r="D87" s="28" t="str">
        <x:v>Травы</x:v>
      </x:c>
      <x:c r="E87" s="28" t="str">
        <x:v>вкусовой баланс, тройничное восприятие</x:v>
      </x:c>
      <x:c r="F87"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Мята усиливает воспринимаемую прохладу и кислотную свежесть.</x:v>
      </x:c>
      <x:c r="G8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7" s="28" t="str">
        <x:v>Избыток кислоты делает вкус плоско-резким; белая часть кожуры даёт лишнюю горечь; цитрус легко подавляет деликатный аромат партнёра.</x:v>
      </x:c>
      <x:c r="I87" s="28" t="str">
        <x:v>лимонад, кордиал, салатная заправка или зелёный соус</x:v>
      </x:c>
      <x:c r="J87" s="28" t="str">
        <x:v>Гипотеза / практическая</x:v>
      </x:c>
      <x:c r="K87" s="28" t="str">
        <x:v>Таблица сочетания(1).pdf</x:v>
      </x:c>
      <x:c r="L87" s="28" t="str">
        <x:v>Таблица сочетания(1).pdf: 3</x:v>
      </x:c>
    </x:row>
    <x:row r="88" ht="62" customHeight="1">
      <x:c r="A88" s="28" t="str">
        <x:v>CIT-0244</x:v>
      </x:c>
      <x:c r="B88" s="28" t="str">
        <x:v>красный апельсин</x:v>
      </x:c>
      <x:c r="C88" s="28" t="str">
        <x:v>розмарин</x:v>
      </x:c>
      <x:c r="D88" s="28" t="str">
        <x:v>Травы</x:v>
      </x:c>
      <x:c r="E88" s="28" t="str">
        <x:v>вкусовой баланс, тройничное восприятие</x:v>
      </x:c>
      <x:c r="F88"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8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8" s="28" t="str">
        <x:v>Избыток кислоты делает вкус плоско-резким; белая часть кожуры даёт лишнюю горечь; цитрус легко подавляет деликатный аромат партнёра.</x:v>
      </x:c>
      <x:c r="I88" s="28" t="str">
        <x:v>лимонад, кордиал, салатная заправка или зелёный соус</x:v>
      </x:c>
      <x:c r="J88" s="28" t="str">
        <x:v>Гипотеза / практическая</x:v>
      </x:c>
      <x:c r="K88" s="28" t="str">
        <x:v>Таблица сочетания(1).pdf</x:v>
      </x:c>
      <x:c r="L88" s="28" t="str">
        <x:v>Таблица сочетания(1).pdf: 3</x:v>
      </x:c>
    </x:row>
    <x:row r="89" ht="62" customHeight="1">
      <x:c r="A89" s="28" t="str">
        <x:v>CIT-0247</x:v>
      </x:c>
      <x:c r="B89" s="28" t="str">
        <x:v>красный апельсин Моро</x:v>
      </x:c>
      <x:c r="C89" s="28" t="str">
        <x:v>гречка</x:v>
      </x:c>
      <x:c r="D89" s="28" t="str">
        <x:v>Злаки и хлеб</x:v>
      </x:c>
      <x:c r="E89" s="28" t="str">
        <x:v>вкусовой баланс</x:v>
      </x:c>
      <x:c r="F89"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Гречка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освежает зерновой профиль и создаёт контраст с обжаренными нотами.</x:v>
      </x:c>
      <x:c r="G8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89" s="28" t="str">
        <x:v>Избыток кислоты делает вкус плоско-резким; белая часть кожуры даёт лишнюю горечь.</x:v>
      </x:c>
      <x:c r="I89" s="28" t="str">
        <x:v>кекс, каша, хлеб, крамбл или салат</x:v>
      </x:c>
      <x:c r="J89" s="28" t="str">
        <x:v>Средняя</x:v>
      </x:c>
      <x:c r="K89" s="28" t="str">
        <x:v>The Art &amp; Science of Foodpairing.pdf</x:v>
      </x:c>
      <x:c r="L89" s="28" t="str">
        <x:v>The Art &amp; Science of Foodpairing.pdf: 67</x:v>
      </x:c>
    </x:row>
    <x:row r="90" ht="62" customHeight="1">
      <x:c r="A90" s="28" t="str">
        <x:v>CIT-0248</x:v>
      </x:c>
      <x:c r="B90" s="28" t="str">
        <x:v>красный апельсин Моро</x:v>
      </x:c>
      <x:c r="C90" s="28" t="str">
        <x:v>жареная индейка</x:v>
      </x:c>
      <x:c r="D90" s="28" t="str">
        <x:v>Мясо и птица</x:v>
      </x:c>
      <x:c r="E90" s="28" t="str">
        <x:v>вкусовой баланс, влияние матрицы/растворимости</x:v>
      </x:c>
      <x:c r="F90"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Жареная индейка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G9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90" s="28" t="str">
        <x:v>Избыток кислоты делает вкус плоско-резким; белая часть кожуры даёт лишнюю горечь; слишком долгая маринация ухудшает текстуру.</x:v>
      </x:c>
      <x:c r="I90" s="28" t="str">
        <x:v>маринад, глазурь, соус, жаркое или салат</x:v>
      </x:c>
      <x:c r="J90" s="28" t="str">
        <x:v>Средняя</x:v>
      </x:c>
      <x:c r="K90" s="28" t="str">
        <x:v>The Art &amp; Science of Foodpairing.pdf</x:v>
      </x:c>
      <x:c r="L90" s="28" t="str">
        <x:v>The Art &amp; Science of Foodpairing.pdf: 67</x:v>
      </x:c>
    </x:row>
    <x:row r="91" ht="62" customHeight="1">
      <x:c r="A91" s="28" t="str">
        <x:v>CIT-0249</x:v>
      </x:c>
      <x:c r="B91" s="28" t="str">
        <x:v>красный апельсин Моро</x:v>
      </x:c>
      <x:c r="C91" s="28" t="str">
        <x:v>запечённая барабулька</x:v>
      </x:c>
      <x:c r="D91" s="28" t="str">
        <x:v>Рыба и морепродукты</x:v>
      </x:c>
      <x:c r="E91" s="28" t="str">
        <x:v>вкусовой баланс, влияние матрицы/растворимости</x:v>
      </x:c>
      <x:c r="F91"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Запечённая барабулька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9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91" s="28" t="str">
        <x:v>Избыток кислоты делает вкус плоско-резким; белая часть кожуры даёт лишнюю горечь; слишком долгая маринация ухудшает текстуру.</x:v>
      </x:c>
      <x:c r="I91" s="28" t="str">
        <x:v>севиче, маринад, beurre blanc, тартар или салат</x:v>
      </x:c>
      <x:c r="J91" s="28" t="str">
        <x:v>Средняя</x:v>
      </x:c>
      <x:c r="K91" s="28" t="str">
        <x:v>The Art &amp; Science of Foodpairing.pdf</x:v>
      </x:c>
      <x:c r="L91" s="28" t="str">
        <x:v>The Art &amp; Science of Foodpairing.pdf: 242</x:v>
      </x:c>
    </x:row>
    <x:row r="92" ht="62" customHeight="1">
      <x:c r="A92" s="28" t="str">
        <x:v>CIT-0251</x:v>
      </x:c>
      <x:c r="B92" s="28" t="str">
        <x:v>красный апельсин Моро</x:v>
      </x:c>
      <x:c r="C92" s="28" t="str">
        <x:v>приготовленный чёрный рис</x:v>
      </x:c>
      <x:c r="D92" s="28" t="str">
        <x:v>Злаки и хлеб</x:v>
      </x:c>
      <x:c r="E92" s="28" t="str">
        <x:v>вкусовой баланс</x:v>
      </x:c>
      <x:c r="F92"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Приготовленный чёрный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освежает зерновой профиль и создаёт контраст с обжаренными нотами.</x:v>
      </x:c>
      <x:c r="G9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92" s="28" t="str">
        <x:v>Избыток кислоты делает вкус плоско-резким; белая часть кожуры даёт лишнюю горечь.</x:v>
      </x:c>
      <x:c r="I92" s="28" t="str">
        <x:v>кекс, каша, хлеб, крамбл или салат</x:v>
      </x:c>
      <x:c r="J92" s="28" t="str">
        <x:v>Средняя</x:v>
      </x:c>
      <x:c r="K92" s="28" t="str">
        <x:v>The Art &amp; Science of Foodpairing.pdf</x:v>
      </x:c>
      <x:c r="L92" s="28" t="str">
        <x:v>The Art &amp; Science of Foodpairing.pdf: 67</x:v>
      </x:c>
    </x:row>
    <x:row r="93" ht="62" customHeight="1">
      <x:c r="A93" s="28" t="str">
        <x:v>CIT-0252</x:v>
      </x:c>
      <x:c r="B93" s="28" t="str">
        <x:v>красный апельсин Моро</x:v>
      </x:c>
      <x:c r="C93" s="28" t="str">
        <x:v>рапсовое масло</x:v>
      </x:c>
      <x:c r="D93" s="28" t="str">
        <x:v>Молочные продукты</x:v>
      </x:c>
      <x:c r="E93" s="28" t="str">
        <x:v>вкусовой баланс, влияние матрицы/растворимости</x:v>
      </x:c>
      <x:c r="F93"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Рапсовое масло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G93"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93" s="28" t="str">
        <x:v>Избыток кислоты делает вкус плоско-резким; белая часть кожуры даёт лишнюю горечь; возможна коагуляция белка.</x:v>
      </x:c>
      <x:c r="I93" s="28" t="str">
        <x:v>чизкейк, крем, мороженое, соус или салат</x:v>
      </x:c>
      <x:c r="J93" s="28" t="str">
        <x:v>Средняя</x:v>
      </x:c>
      <x:c r="K93" s="28" t="str">
        <x:v>The Art &amp; Science of Foodpairing.pdf</x:v>
      </x:c>
      <x:c r="L93" s="28" t="str">
        <x:v>The Art &amp; Science of Foodpairing.pdf: 67</x:v>
      </x:c>
    </x:row>
    <x:row r="94" ht="62" customHeight="1">
      <x:c r="A94" s="28" t="str">
        <x:v>CIT-0257</x:v>
      </x:c>
      <x:c r="B94" s="28" t="str">
        <x:v>красный апельсин Моро</x:v>
      </x:c>
      <x:c r="C94" s="28" t="str">
        <x:v>филе скумбрии</x:v>
      </x:c>
      <x:c r="D94" s="28" t="str">
        <x:v>Рыба и морепродукты</x:v>
      </x:c>
      <x:c r="E94" s="28" t="str">
        <x:v>вкусовой баланс, влияние матрицы/растворимости</x:v>
      </x:c>
      <x:c r="F94"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Филе скумбрии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9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94" s="28" t="str">
        <x:v>Избыток кислоты делает вкус плоско-резким; белая часть кожуры даёт лишнюю горечь; слишком долгая маринация ухудшает текстуру.</x:v>
      </x:c>
      <x:c r="I94" s="28" t="str">
        <x:v>севиче, маринад, beurre blanc, тартар или салат</x:v>
      </x:c>
      <x:c r="J94" s="28" t="str">
        <x:v>Средняя</x:v>
      </x:c>
      <x:c r="K94" s="28" t="str">
        <x:v>The Art &amp; Science of Foodpairing.pdf</x:v>
      </x:c>
      <x:c r="L94" s="28" t="str">
        <x:v>The Art &amp; Science of Foodpairing.pdf: 67</x:v>
      </x:c>
    </x:row>
    <x:row r="95" ht="62" customHeight="1">
      <x:c r="A95" s="28" t="str">
        <x:v>CIT-0258</x:v>
      </x:c>
      <x:c r="B95" s="28" t="str">
        <x:v>красный апельсин Моро</x:v>
      </x:c>
      <x:c r="C95" s="28" t="str">
        <x:v>цветная капуста</x:v>
      </x:c>
      <x:c r="D95" s="28" t="str">
        <x:v>Овощи</x:v>
      </x:c>
      <x:c r="E95" s="28" t="str">
        <x:v>вкусовой баланс</x:v>
      </x:c>
      <x:c r="F95"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Цветная капуста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9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95" s="28" t="str">
        <x:v>Избыток кислоты делает вкус плоско-резким; белая часть кожуры даёт лишнюю горечь.</x:v>
      </x:c>
      <x:c r="I95" s="28" t="str">
        <x:v>винегрет, салат, пюре, запечённое блюдо или овощной соус</x:v>
      </x:c>
      <x:c r="J95" s="28" t="str">
        <x:v>Средняя</x:v>
      </x:c>
      <x:c r="K95" s="28" t="str">
        <x:v>The Art &amp; Science of Foodpairing.pdf</x:v>
      </x:c>
      <x:c r="L95" s="28" t="str">
        <x:v>The Art &amp; Science of Foodpairing.pdf: 67</x:v>
      </x:c>
    </x:row>
    <x:row r="96" ht="62" customHeight="1">
      <x:c r="A96" s="28" t="str">
        <x:v>CIT-0265</x:v>
      </x:c>
      <x:c r="B96" s="28" t="str">
        <x:v>красный апельсин Тарокко</x:v>
      </x:c>
      <x:c r="C96" s="28" t="str">
        <x:v>зелёная спаржа</x:v>
      </x:c>
      <x:c r="D96" s="28" t="str">
        <x:v>Овощи</x:v>
      </x:c>
      <x:c r="E96" s="28" t="str">
        <x:v>вкусовой баланс</x:v>
      </x:c>
      <x:c r="F96"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Зелёная спаржа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9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96" s="28" t="str">
        <x:v>Избыток кислоты делает вкус плоско-резким; белая часть кожуры даёт лишнюю горечь.</x:v>
      </x:c>
      <x:c r="I96" s="28" t="str">
        <x:v>винегрет, салат, пюре, запечённое блюдо или овощной соус</x:v>
      </x:c>
      <x:c r="J96" s="28" t="str">
        <x:v>Средняя</x:v>
      </x:c>
      <x:c r="K96" s="28" t="str">
        <x:v>The Art &amp; Science of Foodpairing.pdf</x:v>
      </x:c>
      <x:c r="L96" s="28" t="str">
        <x:v>The Art &amp; Science of Foodpairing.pdf: 292</x:v>
      </x:c>
    </x:row>
    <x:row r="97" ht="62" customHeight="1">
      <x:c r="A97" s="28" t="str">
        <x:v>CIT-0276</x:v>
      </x:c>
      <x:c r="B97" s="28" t="str">
        <x:v>красный апельсин Тарокко</x:v>
      </x:c>
      <x:c r="C97" s="28" t="str">
        <x:v>томатный кетчуп</x:v>
      </x:c>
      <x:c r="D97" s="28" t="str">
        <x:v>Овощи</x:v>
      </x:c>
      <x:c r="E97" s="28" t="str">
        <x:v>вкусовой баланс</x:v>
      </x:c>
      <x:c r="F97"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Томатный кетчуп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9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97" s="28" t="str">
        <x:v>Избыток кислоты делает вкус плоско-резким; белая часть кожуры даёт лишнюю горечь.</x:v>
      </x:c>
      <x:c r="I97" s="28" t="str">
        <x:v>винегрет, салат, пюре, запечённое блюдо или овощной соус</x:v>
      </x:c>
      <x:c r="J97" s="28" t="str">
        <x:v>Средняя</x:v>
      </x:c>
      <x:c r="K97" s="28" t="str">
        <x:v>The Art &amp; Science of Foodpairing.pdf</x:v>
      </x:c>
      <x:c r="L97" s="28" t="str">
        <x:v>The Art &amp; Science of Foodpairing.pdf: 292</x:v>
      </x:c>
    </x:row>
    <x:row r="98" ht="62" customHeight="1">
      <x:c r="A98" s="28" t="str">
        <x:v>CIT-0281</x:v>
      </x:c>
      <x:c r="B98" s="28" t="str">
        <x:v>кумкват</x:v>
      </x:c>
      <x:c r="C98" s="28" t="str">
        <x:v>базилик</x:v>
      </x:c>
      <x:c r="D98" s="28" t="str">
        <x:v>Травы</x:v>
      </x:c>
      <x:c r="E98" s="28" t="str">
        <x:v>общие ароматические молекулы, перекрытие ароматических семейств, вкусовой баланс</x:v>
      </x:c>
      <x:c r="F98" s="28" t="str">
        <x:v>Кумкват формирует профиль «цитрусовый, фруктовый, цветочный, пряный»; характерные маркеры: лимонен, гамма-терпинен, метил-N-метилантранилат,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пряный, цветочный.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Базилик и эстрагон могут связать цитрус с фруктами, томатом и сливочными матрицами.</x:v>
      </x:c>
      <x:c r="G9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8" s="28" t="str">
        <x:v>Избыток кислоты делает вкус плоско-резким; белая часть кожуры даёт лишнюю горечь; цитрус легко подавляет деликатный аромат партнёра.</x:v>
      </x:c>
      <x:c r="I98" s="28" t="str">
        <x:v>лимонад, кордиал, салатная заправка или зелёный соус</x:v>
      </x:c>
      <x:c r="J98" s="28" t="str">
        <x:v>Средняя</x:v>
      </x:c>
      <x:c r="K98" s="28" t="str">
        <x:v>Таблица сочетания(1).pdf</x:v>
      </x:c>
      <x:c r="L98" s="28" t="str">
        <x:v>Таблица сочетания(1).pdf: 10</x:v>
      </x:c>
    </x:row>
    <x:row r="99" ht="62" customHeight="1">
      <x:c r="A99" s="28" t="str">
        <x:v>CIT-0283</x:v>
      </x:c>
      <x:c r="B99" s="28" t="str">
        <x:v>кумкват</x:v>
      </x:c>
      <x:c r="C99" s="28" t="str">
        <x:v>ваниль</x:v>
      </x:c>
      <x:c r="D99" s="28" t="str">
        <x:v>Пряности</x:v>
      </x:c>
      <x:c r="E99" s="28" t="str">
        <x:v>вкусовой баланс</x:v>
      </x:c>
      <x:c r="F99" s="28" t="str">
        <x:v>Кумкват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G9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9" s="28" t="str">
        <x:v>Избыток кислоты делает вкус плоско-резким; белая часть кожуры даёт лишнюю горечь.</x:v>
      </x:c>
      <x:c r="I99" s="28" t="str">
        <x:v>сироп, кордиал, чатни, маринад или пряный десерт</x:v>
      </x:c>
      <x:c r="J99" s="28" t="str">
        <x:v>Гипотеза / практическая</x:v>
      </x:c>
      <x:c r="K99" s="28" t="str">
        <x:v>Таблица сочетания(1).pdf</x:v>
      </x:c>
      <x:c r="L99" s="28" t="str">
        <x:v>Таблица сочетания(1).pdf: 10</x:v>
      </x:c>
    </x:row>
    <x:row r="100" ht="62" customHeight="1">
      <x:c r="A100" s="28" t="str">
        <x:v>CIT-0288</x:v>
      </x:c>
      <x:c r="B100" s="28" t="str">
        <x:v>кумкват</x:v>
      </x:c>
      <x:c r="C100" s="28" t="str">
        <x:v>зелёная чечевица</x:v>
      </x:c>
      <x:c r="D100" s="28" t="str">
        <x:v>Овощи</x:v>
      </x:c>
      <x:c r="E100" s="28" t="str">
        <x:v>вкусовой баланс</x:v>
      </x:c>
      <x:c r="F100" s="28" t="str">
        <x:v>Кумкват формирует профиль «цитрусовый, фруктовый, цветочный, пряный»; характерные маркеры: лимонен, гамма-терпинен, метил-N-метилантранилат, линалол. Зелёная чечевица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10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00" s="28" t="str">
        <x:v>Избыток кислоты делает вкус плоско-резким; белая часть кожуры даёт лишнюю горечь.</x:v>
      </x:c>
      <x:c r="I100" s="28" t="str">
        <x:v>винегрет, салат, пюре, запечённое блюдо или овощной соус</x:v>
      </x:c>
      <x:c r="J100" s="28" t="str">
        <x:v>Средняя</x:v>
      </x:c>
      <x:c r="K100" s="28" t="str">
        <x:v>The Art &amp; Science of Foodpairing.pdf</x:v>
      </x:c>
      <x:c r="L100" s="28" t="str">
        <x:v>The Art &amp; Science of Foodpairing.pdf: 215</x:v>
      </x:c>
    </x:row>
    <x:row r="101" ht="62" customHeight="1">
      <x:c r="A101" s="28" t="str">
        <x:v>CIT-0289</x:v>
      </x:c>
      <x:c r="B101" s="28" t="str">
        <x:v>кумкват</x:v>
      </x:c>
      <x:c r="C101" s="28" t="str">
        <x:v>имбирь</x:v>
      </x:c>
      <x:c r="D101" s="28" t="str">
        <x:v>Пряности</x:v>
      </x:c>
      <x:c r="E101" s="28" t="str">
        <x:v>перекрытие ароматических семейств, вкусовой баланс, тройничное восприятие</x:v>
      </x:c>
      <x:c r="F101" s="28" t="str">
        <x:v>Кумкват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10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1" s="28" t="str">
        <x:v>Избыток кислоты делает вкус плоско-резким; белая часть кожуры даёт лишнюю горечь.</x:v>
      </x:c>
      <x:c r="I101" s="28" t="str">
        <x:v>сироп, кордиал, чатни, маринад или пряный десерт</x:v>
      </x:c>
      <x:c r="J101" s="28" t="str">
        <x:v>Гипотеза / практическая</x:v>
      </x:c>
      <x:c r="K101" s="28" t="str">
        <x:v>Таблица сочетания(1).pdf</x:v>
      </x:c>
      <x:c r="L101" s="28" t="str">
        <x:v>Таблица сочетания(1).pdf: 10</x:v>
      </x:c>
    </x:row>
    <x:row r="102" ht="62" customHeight="1">
      <x:c r="A102" s="28" t="str">
        <x:v>CIT-0291</x:v>
      </x:c>
      <x:c r="B102" s="28" t="str">
        <x:v>кумкват</x:v>
      </x:c>
      <x:c r="C102" s="28" t="str">
        <x:v>корица</x:v>
      </x:c>
      <x:c r="D102" s="28" t="str">
        <x:v>Пряности</x:v>
      </x:c>
      <x:c r="E102" s="28" t="str">
        <x:v>вкусовой баланс, тройничное восприятие</x:v>
      </x:c>
      <x:c r="F102" s="28" t="str">
        <x:v>Кумкват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G10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2" s="28" t="str">
        <x:v>Избыток кислоты делает вкус плоско-резким; белая часть кожуры даёт лишнюю горечь.</x:v>
      </x:c>
      <x:c r="I102" s="28" t="str">
        <x:v>сироп, кордиал, чатни, маринад или пряный десерт</x:v>
      </x:c>
      <x:c r="J102" s="28" t="str">
        <x:v>Гипотеза / практическая</x:v>
      </x:c>
      <x:c r="K102" s="28" t="str">
        <x:v>Таблица сочетания(1).pdf</x:v>
      </x:c>
      <x:c r="L102" s="28" t="str">
        <x:v>Таблица сочетания(1).pdf: 10</x:v>
      </x:c>
    </x:row>
    <x:row r="103" ht="62" customHeight="1">
      <x:c r="A103" s="28" t="str">
        <x:v>CIT-0298</x:v>
      </x:c>
      <x:c r="B103" s="28" t="str">
        <x:v>кумкват</x:v>
      </x:c>
      <x:c r="C103" s="28" t="str">
        <x:v>мята</x:v>
      </x:c>
      <x:c r="D103" s="28" t="str">
        <x:v>Травы</x:v>
      </x:c>
      <x:c r="E103" s="28" t="str">
        <x:v>вкусовой баланс, тройничное восприятие</x:v>
      </x:c>
      <x:c r="F103" s="28" t="str">
        <x:v>Кумкват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G10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3" s="28" t="str">
        <x:v>Избыток кислоты делает вкус плоско-резким; белая часть кожуры даёт лишнюю горечь; цитрус легко подавляет деликатный аромат партнёра.</x:v>
      </x:c>
      <x:c r="I103" s="28" t="str">
        <x:v>лимонад, кордиал, салатная заправка или зелёный соус</x:v>
      </x:c>
      <x:c r="J103" s="28" t="str">
        <x:v>Гипотеза / практическая</x:v>
      </x:c>
      <x:c r="K103" s="28" t="str">
        <x:v>Таблица сочетания(1).pdf</x:v>
      </x:c>
      <x:c r="L103" s="28" t="str">
        <x:v>Таблица сочетания(1).pdf: 10</x:v>
      </x:c>
    </x:row>
    <x:row r="104" ht="62" customHeight="1">
      <x:c r="A104" s="28" t="str">
        <x:v>CIT-0301</x:v>
      </x:c>
      <x:c r="B104" s="28" t="str">
        <x:v>кумкват</x:v>
      </x:c>
      <x:c r="C104" s="28" t="str">
        <x:v>розмарин</x:v>
      </x:c>
      <x:c r="D104" s="28" t="str">
        <x:v>Травы</x:v>
      </x:c>
      <x:c r="E104" s="28" t="str">
        <x:v>вкусовой баланс, тройничное восприятие</x:v>
      </x:c>
      <x:c r="F104" s="28" t="str">
        <x:v>Кумкват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10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4" s="28" t="str">
        <x:v>Избыток кислоты делает вкус плоско-резким; белая часть кожуры даёт лишнюю горечь; цитрус легко подавляет деликатный аромат партнёра.</x:v>
      </x:c>
      <x:c r="I104" s="28" t="str">
        <x:v>лимонад, кордиал, салатная заправка или зелёный соус</x:v>
      </x:c>
      <x:c r="J104" s="28" t="str">
        <x:v>Средняя</x:v>
      </x:c>
      <x:c r="K104" s="28" t="str">
        <x:v>The Art &amp; Science of Foodpairing.pdf</x:v>
      </x:c>
      <x:c r="L104" s="28" t="str">
        <x:v>The Art &amp; Science of Foodpairing.pdf: 113</x:v>
      </x:c>
    </x:row>
    <x:row r="105" ht="62" customHeight="1">
      <x:c r="A105" s="28" t="str">
        <x:v>CIT-0302</x:v>
      </x:c>
      <x:c r="B105" s="28" t="str">
        <x:v>кумкват</x:v>
      </x:c>
      <x:c r="C105" s="28" t="str">
        <x:v>свежий корень имбиря</x:v>
      </x:c>
      <x:c r="D105" s="28" t="str">
        <x:v>Пряности</x:v>
      </x:c>
      <x:c r="E105" s="28" t="str">
        <x:v>перекрытие ароматических семейств, вкусовой баланс, тройничное восприятие</x:v>
      </x:c>
      <x:c r="F105" s="28" t="str">
        <x:v>Кумкват формирует профиль «цитрусовый, фруктовый, цветочный, пряный»; характерные маркеры: лимонен, гамма-терпинен, метил-N-метилантранилат, линалол. Свежий корень имбиря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10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5" s="28" t="str">
        <x:v>Избыток кислоты делает вкус плоско-резким; белая часть кожуры даёт лишнюю горечь.</x:v>
      </x:c>
      <x:c r="I105" s="28" t="str">
        <x:v>сироп, кордиал, чатни, маринад или пряный десерт</x:v>
      </x:c>
      <x:c r="J105" s="28" t="str">
        <x:v>Средняя</x:v>
      </x:c>
      <x:c r="K105" s="28" t="str">
        <x:v>The Art &amp; Science of Foodpairing.pdf</x:v>
      </x:c>
      <x:c r="L105" s="28" t="str">
        <x:v>The Art &amp; Science of Foodpairing.pdf: 215</x:v>
      </x:c>
    </x:row>
    <x:row r="106" ht="62" customHeight="1">
      <x:c r="A106" s="28" t="str">
        <x:v>CIT-0303</x:v>
      </x:c>
      <x:c r="B106" s="28" t="str">
        <x:v>кумкват</x:v>
      </x:c>
      <x:c r="C106" s="28" t="str">
        <x:v>семена кардамона</x:v>
      </x:c>
      <x:c r="D106" s="28" t="str">
        <x:v>Пряности</x:v>
      </x:c>
      <x:c r="E106" s="28" t="str">
        <x:v>общие ароматические молекулы, перекрытие ароматических семейств, вкусовой баланс, тройничное восприятие</x:v>
      </x:c>
      <x:c r="F106" s="28" t="str">
        <x:v>Кумкват формирует профиль «цитрусовый, фруктовый, цветочный, пряный»; характерные маркеры: лимонен, гамма-терпинен, метил-N-метилантранилат, линалол. Семена кардамона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Кардамон часто служит мостом между цитрусом, цветами и древесными нотами.</x:v>
      </x:c>
      <x:c r="G10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6" s="28" t="str">
        <x:v>Избыток кислоты делает вкус плоско-резким; белая часть кожуры даёт лишнюю горечь.</x:v>
      </x:c>
      <x:c r="I106" s="28" t="str">
        <x:v>сироп, кордиал, чатни, маринад или пряный десерт</x:v>
      </x:c>
      <x:c r="J106" s="28" t="str">
        <x:v>Средняя</x:v>
      </x:c>
      <x:c r="K106" s="28" t="str">
        <x:v>The Art &amp; Science of Foodpairing.pdf</x:v>
      </x:c>
      <x:c r="L106" s="28" t="str">
        <x:v>The Art &amp; Science of Foodpairing.pdf: 215</x:v>
      </x:c>
    </x:row>
    <x:row r="107" ht="62" customHeight="1">
      <x:c r="A107" s="28" t="str">
        <x:v>CIT-0307</x:v>
      </x:c>
      <x:c r="B107" s="28" t="str">
        <x:v>кумкват</x:v>
      </x:c>
      <x:c r="C107" s="28" t="str">
        <x:v>тыква</x:v>
      </x:c>
      <x:c r="D107" s="28" t="str">
        <x:v>Овощи</x:v>
      </x:c>
      <x:c r="E107" s="28" t="str">
        <x:v>вкусовой баланс</x:v>
      </x:c>
      <x:c r="F107" s="28" t="str">
        <x:v>Кумкват формирует профиль «цитрусовый, фруктовый, цветочный, пряный»; характерные маркеры: лимонен, гамма-терпинен, метил-N-метилантранилат, линалол.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10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07" s="28" t="str">
        <x:v>Избыток кислоты делает вкус плоско-резким; белая часть кожуры даёт лишнюю горечь.</x:v>
      </x:c>
      <x:c r="I107" s="28" t="str">
        <x:v>винегрет, салат, пюре, запечённое блюдо или овощной соус</x:v>
      </x:c>
      <x:c r="J107" s="28" t="str">
        <x:v>Гипотеза / практическая</x:v>
      </x:c>
      <x:c r="K107" s="28" t="str">
        <x:v>Таблица сочетания(1).pdf</x:v>
      </x:c>
      <x:c r="L107" s="28" t="str">
        <x:v>Таблица сочетания(1).pdf: 11</x:v>
      </x:c>
    </x:row>
    <x:row r="108" ht="62" customHeight="1">
      <x:c r="A108" s="28" t="str">
        <x:v>CIT-0310</x:v>
      </x:c>
      <x:c r="B108" s="28" t="str">
        <x:v>кумкват</x:v>
      </x:c>
      <x:c r="C108" s="28" t="str">
        <x:v>чёрный перец</x:v>
      </x:c>
      <x:c r="D108" s="28" t="str">
        <x:v>Пряности</x:v>
      </x:c>
      <x:c r="E108" s="28" t="str">
        <x:v>общие ароматические молекулы, перекрытие ароматических семейств, вкусовой баланс, тройничное восприятие</x:v>
      </x:c>
      <x:c r="F108" s="28" t="str">
        <x:v>Кумкват формирует профиль «цитрусовый, фруктовый, цветочный, пряный»; характерные маркеры: лимонен, гамма-терпинен, метил-N-метилантранилат, линалол.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G10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8" s="28" t="str">
        <x:v>Избыток кислоты делает вкус плоско-резким; белая часть кожуры даёт лишнюю горечь.</x:v>
      </x:c>
      <x:c r="I108" s="28" t="str">
        <x:v>сироп, кордиал, чатни, маринад или пряный десерт</x:v>
      </x:c>
      <x:c r="J108" s="28" t="str">
        <x:v>Средняя</x:v>
      </x:c>
      <x:c r="K108" s="28" t="str">
        <x:v>The Art &amp; Science of Foodpairing.pdf</x:v>
      </x:c>
      <x:c r="L108" s="28" t="str">
        <x:v>The Art &amp; Science of Foodpairing.pdf: 215</x:v>
      </x:c>
    </x:row>
    <x:row r="109" ht="62" customHeight="1">
      <x:c r="A109" s="28" t="str">
        <x:v>CIT-0324</x:v>
      </x:c>
      <x:c r="B109" s="28" t="str">
        <x:v>лайм</x:v>
      </x:c>
      <x:c r="C109" s="28" t="str">
        <x:v>базилик</x:v>
      </x:c>
      <x:c r="D109" s="28" t="str">
        <x:v>Травы</x:v>
      </x:c>
      <x:c r="E109" s="28" t="str">
        <x:v>общие ароматические молекулы, перекрытие ароматических семейств, вкусовой баланс</x:v>
      </x:c>
      <x:c r="F109" s="28" t="str">
        <x:v>Лайм формирует профиль «цитрусовый, зелёный, травяной, камфорный»; характерные маркеры: лимонен, гамма-терпинен, цитраль, бета-пинен,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зелёный.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Базилик и эстрагон могут связать цитрус с фруктами, томатом и сливочными матрицами.</x:v>
      </x:c>
      <x:c r="G10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9" s="28" t="str">
        <x:v>Избыток кислоты делает вкус плоско-резким; белая часть кожуры даёт лишнюю горечь; цитрус легко подавляет деликатный аромат партнёра.</x:v>
      </x:c>
      <x:c r="I109" s="28" t="str">
        <x:v>лимонад, кордиал, салатная заправка или зелёный соус</x:v>
      </x:c>
      <x:c r="J109" s="28" t="str">
        <x:v>Высокая</x:v>
      </x:c>
      <x:c r="K109" s="28" t="str">
        <x:v>Тезариус вкусов (Ники Сегнит)(1).pdf</x:v>
      </x:c>
      <x:c r="L109" s="28" t="str">
        <x:v>Тезариус вкусов (Ники Сегнит)(1).pdf: 567, 792</x:v>
      </x:c>
    </x:row>
    <x:row r="110" ht="62" customHeight="1">
      <x:c r="A110" s="28" t="str">
        <x:v>CIT-0327</x:v>
      </x:c>
      <x:c r="B110" s="28" t="str">
        <x:v>лайм</x:v>
      </x:c>
      <x:c r="C110" s="28" t="str">
        <x:v>белая рыба</x:v>
      </x:c>
      <x:c r="D110" s="28" t="str">
        <x:v>Рыба и морепродукты</x:v>
      </x:c>
      <x:c r="E110" s="28" t="str">
        <x:v>перекрытие ароматических семейств, вкусовой баланс, влияние матрицы/растворимости</x:v>
      </x:c>
      <x:c r="F110" s="28" t="str">
        <x:v>Лайм формирует профиль «цитрусовый, зелёный, травяной, камфорный»; характерные маркеры: лимонен, гамма-терпинен, цитраль, бета-пинен, линалол. Белая рыба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G11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10" s="28" t="str">
        <x:v>Избыток кислоты делает вкус плоско-резким; белая часть кожуры даёт лишнюю горечь; слишком долгая маринация ухудшает текстуру.</x:v>
      </x:c>
      <x:c r="I110" s="28" t="str">
        <x:v>севиче, маринад, beurre blanc, тартар или салат</x:v>
      </x:c>
      <x:c r="J110" s="28" t="str">
        <x:v>Высокая</x:v>
      </x:c>
      <x:c r="K110" s="28" t="str">
        <x:v>Тезариус вкусов (Ники Сегнит)(1).pdf</x:v>
      </x:c>
      <x:c r="L110" s="28" t="str">
        <x:v>Тезариус вкусов (Ники Сегнит)(1).pdf: 386, 792</x:v>
      </x:c>
    </x:row>
    <x:row r="111" ht="62" customHeight="1">
      <x:c r="A111" s="28" t="str">
        <x:v>CIT-0328</x:v>
      </x:c>
      <x:c r="B111" s="28" t="str">
        <x:v>лайм</x:v>
      </x:c>
      <x:c r="C111" s="28" t="str">
        <x:v>галангал</x:v>
      </x:c>
      <x:c r="D111" s="28" t="str">
        <x:v>Пряности</x:v>
      </x:c>
      <x:c r="E111" s="28" t="str">
        <x:v>общие ароматические молекулы, перекрытие ароматических семейств, вкусовой баланс, тройничное восприятие</x:v>
      </x:c>
      <x:c r="F111" s="28" t="str">
        <x:v>Лайм формирует профиль «цитрусовый, зелёный, травяной, камфорный»; характерные маркеры: лимонен, гамма-терпинен, цитраль, бета-пинен, линалол.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11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1" s="28" t="str">
        <x:v>Избыток кислоты делает вкус плоско-резким; белая часть кожуры даёт лишнюю горечь.</x:v>
      </x:c>
      <x:c r="I111" s="28" t="str">
        <x:v>сироп, кордиал, чатни, маринад или пряный десерт</x:v>
      </x:c>
      <x:c r="J111" s="28" t="str">
        <x:v>Средняя</x:v>
      </x:c>
      <x:c r="K111" s="28" t="str">
        <x:v>The Art &amp; Science of Foodpairing.pdf</x:v>
      </x:c>
      <x:c r="L111" s="28" t="str">
        <x:v>The Art &amp; Science of Foodpairing.pdf: 87</x:v>
      </x:c>
    </x:row>
    <x:row r="112" ht="62" customHeight="1">
      <x:c r="A112" s="28" t="str">
        <x:v>CIT-0329</x:v>
      </x:c>
      <x:c r="B112" s="28" t="str">
        <x:v>лайм</x:v>
      </x:c>
      <x:c r="C112" s="28" t="str">
        <x:v>гвоздика</x:v>
      </x:c>
      <x:c r="D112" s="28" t="str">
        <x:v>Пряности</x:v>
      </x:c>
      <x:c r="E112" s="28" t="str">
        <x:v>вкусовой баланс, тройничное восприятие</x:v>
      </x:c>
      <x:c r="F112" s="28" t="str">
        <x:v>Лайм формирует профиль «цитрусовый, зелёный, травяной, камфорный»; характерные маркеры: лимонен, гамма-терпинен, цитраль, бета-пинен, линалол.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Гвоздика очень интенсивна и легко доминирует.</x:v>
      </x:c>
      <x:c r="G11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2" s="28" t="str">
        <x:v>Избыток кислоты делает вкус плоско-резким; белая часть кожуры даёт лишнюю горечь.</x:v>
      </x:c>
      <x:c r="I112" s="28" t="str">
        <x:v>сироп, кордиал, чатни, маринад или пряный десерт</x:v>
      </x:c>
      <x:c r="J112" s="28" t="str">
        <x:v>Гипотеза / практическая</x:v>
      </x:c>
      <x:c r="K112" s="28" t="str">
        <x:v>Таблица сочетания(1).pdf</x:v>
      </x:c>
      <x:c r="L112" s="28" t="str">
        <x:v>Таблица сочетания(1).pdf: 5</x:v>
      </x:c>
    </x:row>
    <x:row r="113" ht="62" customHeight="1">
      <x:c r="A113" s="28" t="str">
        <x:v>CIT-0330</x:v>
      </x:c>
      <x:c r="B113" s="28" t="str">
        <x:v>лайм</x:v>
      </x:c>
      <x:c r="C113" s="28" t="str">
        <x:v>говядина</x:v>
      </x:c>
      <x:c r="D113" s="28" t="str">
        <x:v>Мясо и птица</x:v>
      </x:c>
      <x:c r="E113" s="28" t="str">
        <x:v>вкусовой баланс, влияние матрицы/растворимости</x:v>
      </x:c>
      <x:c r="F113" s="28" t="str">
        <x:v>Лайм формирует профиль «цитрусовый, зелёный, травяной, камфорный»; характерные маркеры: лимонен, гамма-терпинен, цитраль, бета-пинен, линалол. Говядина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G113"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13" s="28" t="str">
        <x:v>Избыток кислоты делает вкус плоско-резким; белая часть кожуры даёт лишнюю горечь; слишком долгая маринация ухудшает текстуру.</x:v>
      </x:c>
      <x:c r="I113" s="28" t="str">
        <x:v>маринад, глазурь, соус, жаркое или салат</x:v>
      </x:c>
      <x:c r="J113" s="28" t="str">
        <x:v>Высокая</x:v>
      </x:c>
      <x:c r="K113" s="28" t="str">
        <x:v>Тезариус вкусов (Ники Сегнит)(1).pdf</x:v>
      </x:c>
      <x:c r="L113" s="28" t="str">
        <x:v>Тезариус вкусов (Ники Сегнит)(1).pdf: 113, 793</x:v>
      </x:c>
    </x:row>
    <x:row r="114" ht="62" customHeight="1">
      <x:c r="A114" s="28" t="str">
        <x:v>CIT-0334</x:v>
      </x:c>
      <x:c r="B114" s="28" t="str">
        <x:v>лайм</x:v>
      </x:c>
      <x:c r="C114" s="28" t="str">
        <x:v>жирная рыба</x:v>
      </x:c>
      <x:c r="D114" s="28" t="str">
        <x:v>Рыба и морепродукты</x:v>
      </x:c>
      <x:c r="E114" s="28" t="str">
        <x:v>перекрытие ароматических семейств, вкусовой баланс, влияние матрицы/растворимости</x:v>
      </x:c>
      <x:c r="F114" s="28" t="str">
        <x:v>Лайм формирует профиль «цитрусовый, зелёный, травяной, камфорный»; характерные маркеры: лимонен, гамма-терпинен, цитраль, бета-пинен, линалол. Жирная рыба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G11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14" s="28" t="str">
        <x:v>Избыток кислоты делает вкус плоско-резким; белая часть кожуры даёт лишнюю горечь; слишком долгая маринация ухудшает текстуру.</x:v>
      </x:c>
      <x:c r="I114" s="28" t="str">
        <x:v>севиче, маринад, beurre blanc, тартар или салат</x:v>
      </x:c>
      <x:c r="J114" s="28" t="str">
        <x:v>Высокая</x:v>
      </x:c>
      <x:c r="K114" s="28" t="str">
        <x:v>Тезариус вкусов (Ники Сегнит)(1).pdf</x:v>
      </x:c>
      <x:c r="L114" s="28" t="str">
        <x:v>Тезариус вкусов (Ники Сегнит)(1).pdf: 413, 794</x:v>
      </x:c>
    </x:row>
    <x:row r="115" ht="62" customHeight="1">
      <x:c r="A115" s="28" t="str">
        <x:v>CIT-0336</x:v>
      </x:c>
      <x:c r="B115" s="28" t="str">
        <x:v>лайм</x:v>
      </x:c>
      <x:c r="C115" s="28" t="str">
        <x:v>имбирь</x:v>
      </x:c>
      <x:c r="D115" s="28" t="str">
        <x:v>Пряности</x:v>
      </x:c>
      <x:c r="E115" s="28" t="str">
        <x:v>общие ароматические молекулы, перекрытие ароматических семейств, вкусовой баланс, тройничное восприятие</x:v>
      </x:c>
      <x:c r="F115" s="28" t="str">
        <x:v>Лайм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11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5" s="28" t="str">
        <x:v>Избыток кислоты делает вкус плоско-резким; белая часть кожуры даёт лишнюю горечь.</x:v>
      </x:c>
      <x:c r="I115" s="28" t="str">
        <x:v>сироп, кордиал, чатни, маринад или пряный десерт</x:v>
      </x:c>
      <x:c r="J115" s="28" t="str">
        <x:v>Высокая</x:v>
      </x:c>
      <x:c r="K115" s="28" t="str">
        <x:v>Таблица сочетания(1).pdf | Тезариус вкусов (Ники Сегнит)(1).pdf</x:v>
      </x:c>
      <x:c r="L115" s="28" t="str">
        <x:v>Таблица сочетания(1).pdf: 8, 11 | Тезариус вкусов (Ники Сегнит)(1).pdf: 794, 817</x:v>
      </x:c>
    </x:row>
    <x:row r="116" ht="62" customHeight="1">
      <x:c r="A116" s="28" t="str">
        <x:v>CIT-0340</x:v>
      </x:c>
      <x:c r="B116" s="28" t="str">
        <x:v>лайм</x:v>
      </x:c>
      <x:c r="C116" s="28" t="str">
        <x:v>кардамон</x:v>
      </x:c>
      <x:c r="D116" s="28" t="str">
        <x:v>Пряности</x:v>
      </x:c>
      <x:c r="E116" s="28" t="str">
        <x:v>общие ароматические молекулы, перекрытие ароматических семейств, вкусовой баланс, тройничное восприятие</x:v>
      </x:c>
      <x:c r="F116" s="28" t="str">
        <x:v>Лайм формирует профиль «цитрусовый, зелёный, травяной, камфорный»; характерные маркеры: лимонен, гамма-терпинен, цитраль, бета-пинен, линалол.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камфорный,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Кардамон часто служит мостом между цитрусом, цветами и древесными нотами.</x:v>
      </x:c>
      <x:c r="G11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6" s="28" t="str">
        <x:v>Избыток кислоты делает вкус плоско-резким; белая часть кожуры даёт лишнюю горечь.</x:v>
      </x:c>
      <x:c r="I116" s="28" t="str">
        <x:v>сироп, кордиал, чатни, маринад или пряный десерт</x:v>
      </x:c>
      <x:c r="J116" s="28" t="str">
        <x:v>Средняя</x:v>
      </x:c>
      <x:c r="K116" s="28" t="str">
        <x:v>Таблица сочетания(1).pdf</x:v>
      </x:c>
      <x:c r="L116" s="28" t="str">
        <x:v>Таблица сочетания(1).pdf: 3, 11</x:v>
      </x:c>
    </x:row>
    <x:row r="117" ht="62" customHeight="1">
      <x:c r="A117" s="28" t="str">
        <x:v>CIT-0344</x:v>
      </x:c>
      <x:c r="B117" s="28" t="str">
        <x:v>лайм</x:v>
      </x:c>
      <x:c r="C117" s="28" t="str">
        <x:v>кориандр</x:v>
      </x:c>
      <x:c r="D117" s="28" t="str">
        <x:v>Травы/пряности</x:v>
      </x:c>
      <x:c r="E117" s="28" t="str">
        <x:v>общие ароматические молекулы, перекрытие ароматических семейств, вкусовой баланс</x:v>
      </x:c>
      <x:c r="F117" s="28" t="str">
        <x:v>Лайм формирует профиль «цитрусовый, зелёный, травяной, камфорный»; характерные маркеры: лимонен, гамма-терпинен, цитраль, бета-пинен, линалол. Кориандр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G11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7" s="28" t="str">
        <x:v>Избыток кислоты делает вкус плоско-резким; белая часть кожуры даёт лишнюю горечь; цитрус легко подавляет деликатный аромат партнёра.</x:v>
      </x:c>
      <x:c r="I117" s="28" t="str">
        <x:v>лимонад, кордиал, маринад или пряный соус</x:v>
      </x:c>
      <x:c r="J117" s="28" t="str">
        <x:v>Средняя</x:v>
      </x:c>
      <x:c r="K117" s="28" t="str">
        <x:v>Таблица сочетания(1).pdf</x:v>
      </x:c>
      <x:c r="L117" s="28" t="str">
        <x:v>Таблица сочетания(1).pdf: 6</x:v>
      </x:c>
    </x:row>
    <x:row r="118" ht="62" customHeight="1">
      <x:c r="A118" s="28" t="str">
        <x:v>CIT-0345</x:v>
      </x:c>
      <x:c r="B118" s="28" t="str">
        <x:v>лайм</x:v>
      </x:c>
      <x:c r="C118" s="28" t="str">
        <x:v>корица</x:v>
      </x:c>
      <x:c r="D118" s="28" t="str">
        <x:v>Пряности</x:v>
      </x:c>
      <x:c r="E118" s="28" t="str">
        <x:v>вкусовой баланс, тройничное восприятие</x:v>
      </x:c>
      <x:c r="F118" s="28" t="str">
        <x:v>Лайм формирует профиль «цитрусовый, зелёный, травяной, камфорный»; характерные маркеры: лимонен, гамма-терпинен, цитраль, бета-пинен,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Корица добавляет тёплый низкий регистр и усиливает впечатление сладости.</x:v>
      </x:c>
      <x:c r="G11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8" s="28" t="str">
        <x:v>Избыток кислоты делает вкус плоско-резким; белая часть кожуры даёт лишнюю горечь.</x:v>
      </x:c>
      <x:c r="I118" s="28" t="str">
        <x:v>сироп, кордиал, чатни, маринад или пряный десерт</x:v>
      </x:c>
      <x:c r="J118" s="28" t="str">
        <x:v>Высокая</x:v>
      </x:c>
      <x:c r="K118" s="28" t="str">
        <x:v>Таблица сочетания(1).pdf | Тезариус вкусов (Ники Сегнит)(1).pdf</x:v>
      </x:c>
      <x:c r="L118" s="28" t="str">
        <x:v>Таблица сочетания(1).pdf: 5, 11 | Тезариус вкусов (Ники Сегнит)(1).pdf: 577, 795</x:v>
      </x:c>
    </x:row>
    <x:row r="119" ht="62" customHeight="1">
      <x:c r="A119" s="28" t="str">
        <x:v>CIT-0350</x:v>
      </x:c>
      <x:c r="B119" s="28" t="str">
        <x:v>лайм</x:v>
      </x:c>
      <x:c r="C119" s="28" t="str">
        <x:v>листья кориандра</x:v>
      </x:c>
      <x:c r="D119" s="28" t="str">
        <x:v>Травы/пряности</x:v>
      </x:c>
      <x:c r="E119" s="28" t="str">
        <x:v>общие ароматические молекулы, перекрытие ароматических семейств, вкусовой баланс</x:v>
      </x:c>
      <x:c r="F119" s="28" t="str">
        <x:v>Лайм формирует профиль «цитрусовый, зелёный, травяной, камфорный»; характерные маркеры: лимонен, гамма-терпинен, цитраль, бета-пинен, линалол. Листья кориандра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G11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9" s="28" t="str">
        <x:v>Избыток кислоты делает вкус плоско-резким; белая часть кожуры даёт лишнюю горечь; цитрус легко подавляет деликатный аромат партнёра.</x:v>
      </x:c>
      <x:c r="I119" s="28" t="str">
        <x:v>лимонад, кордиал, маринад или пряный соус</x:v>
      </x:c>
      <x:c r="J119" s="28" t="str">
        <x:v>Высокая</x:v>
      </x:c>
      <x:c r="K119" s="28" t="str">
        <x:v>Тезариус вкусов (Ники Сегнит)(1).pdf</x:v>
      </x:c>
      <x:c r="L119" s="28" t="str">
        <x:v>Тезариус вкусов (Ники Сегнит)(1).pdf: 521, 795</x:v>
      </x:c>
    </x:row>
    <x:row r="120" ht="62" customHeight="1">
      <x:c r="A120" s="28" t="str">
        <x:v>CIT-0356</x:v>
      </x:c>
      <x:c r="B120" s="28" t="str">
        <x:v>лайм</x:v>
      </x:c>
      <x:c r="C120" s="28" t="str">
        <x:v>морковь</x:v>
      </x:c>
      <x:c r="D120" s="28" t="str">
        <x:v>Овощи</x:v>
      </x:c>
      <x:c r="E120" s="28" t="str">
        <x:v>перекрытие ароматических семейств, вкусовой баланс</x:v>
      </x:c>
      <x:c r="F120" s="28" t="str">
        <x:v>Лайм формирует профиль «цитрусовый, зелёный, травяной, камфорный»; характерные маркеры: лимонен, гамма-терпинен, цитраль, бета-пинен, линалол. Морковь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2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20" s="28" t="str">
        <x:v>Избыток кислоты делает вкус плоско-резким; белая часть кожуры даёт лишнюю горечь.</x:v>
      </x:c>
      <x:c r="I120" s="28" t="str">
        <x:v>винегрет, салат, пюре, запечённое блюдо или овощной соус</x:v>
      </x:c>
      <x:c r="J120" s="28" t="str">
        <x:v>Гипотеза / практическая</x:v>
      </x:c>
      <x:c r="K120" s="28" t="str">
        <x:v>Таблица сочетания(1).pdf</x:v>
      </x:c>
      <x:c r="L120" s="28" t="str">
        <x:v>Таблица сочетания(1).pdf: 4</x:v>
      </x:c>
    </x:row>
    <x:row r="121" ht="62" customHeight="1">
      <x:c r="A121" s="28" t="str">
        <x:v>CIT-0358</x:v>
      </x:c>
      <x:c r="B121" s="28" t="str">
        <x:v>лайм</x:v>
      </x:c>
      <x:c r="C121" s="28" t="str">
        <x:v>мята</x:v>
      </x:c>
      <x:c r="D121" s="28" t="str">
        <x:v>Травы</x:v>
      </x:c>
      <x:c r="E121" s="28" t="str">
        <x:v>перекрытие ароматических семейств, вкусовой баланс, тройничное восприятие</x:v>
      </x:c>
      <x:c r="F121" s="28" t="str">
        <x:v>Лайм формирует профиль «цитрусовый, зелёный, травяной, камфорный»; характерные маркеры: лимонен, гамма-терпинен, цитраль, бета-пинен, линалол.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Мята усиливает воспринимаемую прохладу и кислотную свежесть.</x:v>
      </x:c>
      <x:c r="G12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1" s="28" t="str">
        <x:v>Избыток кислоты делает вкус плоско-резким; белая часть кожуры даёт лишнюю горечь; цитрус легко подавляет деликатный аромат партнёра.</x:v>
      </x:c>
      <x:c r="I121" s="28" t="str">
        <x:v>лимонад, кордиал, салатная заправка или зелёный соус</x:v>
      </x:c>
      <x:c r="J121" s="28" t="str">
        <x:v>Высокая</x:v>
      </x:c>
      <x:c r="K121" s="28" t="str">
        <x:v>Таблица сочетания(1).pdf | Тезариус вкусов (Ники Сегнит)(1).pdf</x:v>
      </x:c>
      <x:c r="L121" s="28" t="str">
        <x:v>Таблица сочетания(1).pdf: 12, 13 | Тезариус вкусов (Ники Сегнит)(1).pdf: 795, 868</x:v>
      </x:c>
    </x:row>
    <x:row r="122" ht="62" customHeight="1">
      <x:c r="A122" s="28" t="str">
        <x:v>CIT-0359</x:v>
      </x:c>
      <x:c r="B122" s="28" t="str">
        <x:v>лайм</x:v>
      </x:c>
      <x:c r="C122" s="28" t="str">
        <x:v>огурец</x:v>
      </x:c>
      <x:c r="D122" s="28" t="str">
        <x:v>Овощи</x:v>
      </x:c>
      <x:c r="E122" s="28" t="str">
        <x:v>перекрытие ароматических семейств, вкусовой баланс</x:v>
      </x:c>
      <x:c r="F122" s="28" t="str">
        <x:v>Лайм формирует профиль «цитрусовый, зелёный, травяной, камфорный»; характерные маркеры: лимонен, гамма-терпинен, цитраль, бета-пинен, линалол. Огурец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2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22" s="28" t="str">
        <x:v>Избыток кислоты делает вкус плоско-резким; белая часть кожуры даёт лишнюю горечь.</x:v>
      </x:c>
      <x:c r="I122" s="28" t="str">
        <x:v>винегрет, салат, пюре, запечённое блюдо или овощной соус</x:v>
      </x:c>
      <x:c r="J122" s="28" t="str">
        <x:v>Гипотеза / практическая</x:v>
      </x:c>
      <x:c r="K122" s="28" t="str">
        <x:v>Таблица сочетания(1).pdf</x:v>
      </x:c>
      <x:c r="L122" s="28" t="str">
        <x:v>Таблица сочетания(1).pdf: 11</x:v>
      </x:c>
    </x:row>
    <x:row r="123" ht="62" customHeight="1">
      <x:c r="A123" s="28" t="str">
        <x:v>CIT-0361</x:v>
      </x:c>
      <x:c r="B123" s="28" t="str">
        <x:v>лайм</x:v>
      </x:c>
      <x:c r="C123" s="28" t="str">
        <x:v>перец</x:v>
      </x:c>
      <x:c r="D123" s="28" t="str">
        <x:v>Пряности</x:v>
      </x:c>
      <x:c r="E123" s="28" t="str">
        <x:v>общие ароматические молекулы, перекрытие ароматических семейств, вкусовой баланс, тройничное восприятие</x:v>
      </x:c>
      <x:c r="F123" s="28" t="str">
        <x:v>Лайм формирует профиль «цитрусовый, зелёный, травяной, камфорный»; характерные маркеры: лимонен, гамма-терпинен, цитраль, бета-пинен, линалол.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Перец добавляет сухую пряность и усиливает яркость цедры.</x:v>
      </x:c>
      <x:c r="G12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3" s="28" t="str">
        <x:v>Избыток кислоты делает вкус плоско-резким; белая часть кожуры даёт лишнюю горечь.</x:v>
      </x:c>
      <x:c r="I123" s="28" t="str">
        <x:v>сироп, кордиал, чатни, маринад или пряный десерт</x:v>
      </x:c>
      <x:c r="J123" s="28" t="str">
        <x:v>Средняя</x:v>
      </x:c>
      <x:c r="K123" s="28" t="str">
        <x:v>Таблица сочетания(1).pdf</x:v>
      </x:c>
      <x:c r="L123" s="28" t="str">
        <x:v>Таблица сочетания(1).pdf: 16</x:v>
      </x:c>
    </x:row>
    <x:row r="124" ht="62" customHeight="1">
      <x:c r="A124" s="28" t="str">
        <x:v>CIT-0366</x:v>
      </x:c>
      <x:c r="B124" s="28" t="str">
        <x:v>лайм</x:v>
      </x:c>
      <x:c r="C124" s="28" t="str">
        <x:v>розмарин</x:v>
      </x:c>
      <x:c r="D124" s="28" t="str">
        <x:v>Травы</x:v>
      </x:c>
      <x:c r="E124" s="28" t="str">
        <x:v>перекрытие ароматических семейств, вкусовой баланс, тройничное восприятие</x:v>
      </x:c>
      <x:c r="F124" s="28" t="str">
        <x:v>Лайм формирует профиль «цитрусовый, зелёный, травяной, камфорный»; характерные маркеры: лимонен, гамма-терпинен, цитраль, бета-пинен, линалол.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2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4" s="28" t="str">
        <x:v>Избыток кислоты делает вкус плоско-резким; белая часть кожуры даёт лишнюю горечь; цитрус легко подавляет деликатный аромат партнёра.</x:v>
      </x:c>
      <x:c r="I124" s="28" t="str">
        <x:v>лимонад, кордиал, салатная заправка или зелёный соус</x:v>
      </x:c>
      <x:c r="J124" s="28" t="str">
        <x:v>Гипотеза / практическая</x:v>
      </x:c>
      <x:c r="K124" s="28" t="str">
        <x:v>Таблица сочетания(1).pdf</x:v>
      </x:c>
      <x:c r="L124" s="28" t="str">
        <x:v>Таблица сочетания(1).pdf: 12, 19</x:v>
      </x:c>
    </x:row>
    <x:row r="125" ht="62" customHeight="1">
      <x:c r="A125" s="28" t="str">
        <x:v>CIT-0369</x:v>
      </x:c>
      <x:c r="B125" s="28" t="str">
        <x:v>лайм</x:v>
      </x:c>
      <x:c r="C125" s="28" t="str">
        <x:v>сушёный орегано</x:v>
      </x:c>
      <x:c r="D125" s="28" t="str">
        <x:v>Травы</x:v>
      </x:c>
      <x:c r="E125" s="28" t="str">
        <x:v>перекрытие ароматических семейств, вкусовой баланс, тройничное восприятие</x:v>
      </x:c>
      <x:c r="F125" s="28" t="str">
        <x:v>Лайм формирует профиль «цитрусовый, зелёный, травяной, камфорный»; характерные маркеры: лимонен, гамма-терпинен, цитраль, бета-пинен, линалол.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2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5" s="28" t="str">
        <x:v>Избыток кислоты делает вкус плоско-резким; белая часть кожуры даёт лишнюю горечь; цитрус легко подавляет деликатный аромат партнёра.</x:v>
      </x:c>
      <x:c r="I125" s="28" t="str">
        <x:v>лимонад, кордиал, салатная заправка или зелёный соус</x:v>
      </x:c>
      <x:c r="J125" s="28" t="str">
        <x:v>Средняя</x:v>
      </x:c>
      <x:c r="K125" s="28" t="str">
        <x:v>The Art &amp; Science of Foodpairing.pdf</x:v>
      </x:c>
      <x:c r="L125" s="28" t="str">
        <x:v>The Art &amp; Science of Foodpairing.pdf: 87</x:v>
      </x:c>
    </x:row>
    <x:row r="126" ht="62" customHeight="1">
      <x:c r="A126" s="28" t="str">
        <x:v>CIT-0371</x:v>
      </x:c>
      <x:c r="B126" s="28" t="str">
        <x:v>лайм</x:v>
      </x:c>
      <x:c r="C126" s="28" t="str">
        <x:v>тимьян</x:v>
      </x:c>
      <x:c r="D126" s="28" t="str">
        <x:v>Травы</x:v>
      </x:c>
      <x:c r="E126" s="28" t="str">
        <x:v>перекрытие ароматических семейств, вкусовой баланс, тройничное восприятие</x:v>
      </x:c>
      <x:c r="F126" s="28" t="str">
        <x:v>Лайм формирует профиль «цитрусовый, зелёный, травяной, камфорный»; характерные маркеры: лимонен, гамма-терпинен, цитраль, бета-пинен, линалол.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2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6" s="28" t="str">
        <x:v>Избыток кислоты делает вкус плоско-резким; белая часть кожуры даёт лишнюю горечь; цитрус легко подавляет деликатный аромат партнёра.</x:v>
      </x:c>
      <x:c r="I126" s="28" t="str">
        <x:v>лимонад, кордиал, салатная заправка или зелёный соус</x:v>
      </x:c>
      <x:c r="J126" s="28" t="str">
        <x:v>Гипотеза / практическая</x:v>
      </x:c>
      <x:c r="K126" s="28" t="str">
        <x:v>Таблица сочетания(1).pdf</x:v>
      </x:c>
      <x:c r="L126" s="28" t="str">
        <x:v>Таблица сочетания(1).pdf: 12</x:v>
      </x:c>
    </x:row>
    <x:row r="127" ht="62" customHeight="1">
      <x:c r="A127" s="28" t="str">
        <x:v>CIT-0372</x:v>
      </x:c>
      <x:c r="B127" s="28" t="str">
        <x:v>лайм</x:v>
      </x:c>
      <x:c r="C127" s="28" t="str">
        <x:v>томатильо</x:v>
      </x:c>
      <x:c r="D127" s="28" t="str">
        <x:v>Овощи</x:v>
      </x:c>
      <x:c r="E127" s="28" t="str">
        <x:v>перекрытие ароматических семейств, вкусовой баланс</x:v>
      </x:c>
      <x:c r="F127" s="28" t="str">
        <x:v>Лайм формирует профиль «цитрусовый, зелёный, травяной, камфорный»; характерные маркеры: лимонен, гамма-терпинен, цитраль, бета-пинен, линалол. Томатильо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2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27" s="28" t="str">
        <x:v>Избыток кислоты делает вкус плоско-резким; белая часть кожуры даёт лишнюю горечь.</x:v>
      </x:c>
      <x:c r="I127" s="28" t="str">
        <x:v>винегрет, салат, пюре, запечённое блюдо или овощной соус</x:v>
      </x:c>
      <x:c r="J127" s="28" t="str">
        <x:v>Средняя</x:v>
      </x:c>
      <x:c r="K127" s="28" t="str">
        <x:v>The Art &amp; Science of Foodpairing.pdf</x:v>
      </x:c>
      <x:c r="L127" s="28" t="str">
        <x:v>The Art &amp; Science of Foodpairing.pdf: 135</x:v>
      </x:c>
    </x:row>
    <x:row r="128" ht="62" customHeight="1">
      <x:c r="A128" s="28" t="str">
        <x:v>CIT-0373</x:v>
      </x:c>
      <x:c r="B128" s="28" t="str">
        <x:v>лайм</x:v>
      </x:c>
      <x:c r="C128" s="28" t="str">
        <x:v>томаты</x:v>
      </x:c>
      <x:c r="D128" s="28" t="str">
        <x:v>Овощи</x:v>
      </x:c>
      <x:c r="E128" s="28" t="str">
        <x:v>перекрытие ароматических семейств, вкусовой баланс</x:v>
      </x:c>
      <x:c r="F128" s="28" t="str">
        <x:v>Лайм формирует профиль «цитрусовый, зелёный, травяной, камфорный»; характерные маркеры: лимонен, гамма-терпинен, цитраль, бета-пинен, линалол. Томаты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2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28" s="28" t="str">
        <x:v>Избыток кислоты делает вкус плоско-резким; белая часть кожуры даёт лишнюю горечь.</x:v>
      </x:c>
      <x:c r="I128" s="28" t="str">
        <x:v>винегрет, салат, пюре, запечённое блюдо или овощной соус</x:v>
      </x:c>
      <x:c r="J128" s="28" t="str">
        <x:v>Высокая</x:v>
      </x:c>
      <x:c r="K128" s="28" t="str">
        <x:v>Тезариус вкусов (Ники Сегнит)(1).pdf</x:v>
      </x:c>
      <x:c r="L128" s="28" t="str">
        <x:v>Тезариус вкусов (Ники Сегнит)(1).pdf: 686, 796</x:v>
      </x:c>
    </x:row>
    <x:row r="129" ht="62" customHeight="1">
      <x:c r="A129" s="28" t="str">
        <x:v>CIT-0374</x:v>
      </x:c>
      <x:c r="B129" s="28" t="str">
        <x:v>лайм</x:v>
      </x:c>
      <x:c r="C129" s="28" t="str">
        <x:v>тыква баттернат</x:v>
      </x:c>
      <x:c r="D129" s="28" t="str">
        <x:v>Овощи</x:v>
      </x:c>
      <x:c r="E129" s="28" t="str">
        <x:v>перекрытие ароматических семейств, вкусовой баланс</x:v>
      </x:c>
      <x:c r="F129" s="28" t="str">
        <x:v>Лайм формирует профиль «цитрусовый, зелёный, травяной, камфорный»; характерные маркеры: лимонен, гамма-терпинен, цитраль, бета-пинен, линалол. Тыква баттернат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2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29" s="28" t="str">
        <x:v>Избыток кислоты делает вкус плоско-резким; белая часть кожуры даёт лишнюю горечь.</x:v>
      </x:c>
      <x:c r="I129" s="28" t="str">
        <x:v>винегрет, салат, пюре, запечённое блюдо или овощной соус</x:v>
      </x:c>
      <x:c r="J129" s="28" t="str">
        <x:v>Высокая</x:v>
      </x:c>
      <x:c r="K129" s="28" t="str">
        <x:v>Тезариус вкусов (Ники Сегнит)(1).pdf</x:v>
      </x:c>
      <x:c r="L129" s="28" t="str">
        <x:v>Тезариус вкусов (Ники Сегнит)(1).pdf: 611, 797</x:v>
      </x:c>
    </x:row>
    <x:row r="130" ht="62" customHeight="1">
      <x:c r="A130" s="28" t="str">
        <x:v>CIT-0380</x:v>
      </x:c>
      <x:c r="B130" s="28" t="str">
        <x:v>лайм</x:v>
      </x:c>
      <x:c r="C130" s="28" t="str">
        <x:v>чили</x:v>
      </x:c>
      <x:c r="D130" s="28" t="str">
        <x:v>Пряности</x:v>
      </x:c>
      <x:c r="E130" s="28" t="str">
        <x:v>перекрытие ароматических семейств, вкусовой баланс, тройничное восприятие</x:v>
      </x:c>
      <x:c r="F130" s="28" t="str">
        <x:v>Лайм формирует профиль «цитрусовый, зелёный, травяной, камфорный»; характерные маркеры: лимонен, гамма-терпинен, цитраль, бета-пинен, линалол. Чили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G13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0"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30" s="28" t="str">
        <x:v>сироп, кордиал, чатни, маринад или пряный десерт</x:v>
      </x:c>
      <x:c r="J130" s="28" t="str">
        <x:v>Высокая</x:v>
      </x:c>
      <x:c r="K130" s="28" t="str">
        <x:v>Таблица сочетания(1).pdf | Тезариус вкусов (Ники Сегнит)(1).pdf</x:v>
      </x:c>
      <x:c r="L130" s="28" t="str">
        <x:v>Таблица сочетания(1).pdf: 11 | Тезариус вкусов (Ники Сегнит)(1).pdf: 556</x:v>
      </x:c>
    </x:row>
    <x:row r="131" ht="62" customHeight="1">
      <x:c r="A131" s="28" t="str">
        <x:v>CIT-0381</x:v>
      </x:c>
      <x:c r="B131" s="28" t="str">
        <x:v>лайм</x:v>
      </x:c>
      <x:c r="C131" s="28" t="str">
        <x:v>чили (перцы)</x:v>
      </x:c>
      <x:c r="D131" s="28" t="str">
        <x:v>Пряности</x:v>
      </x:c>
      <x:c r="E131" s="28" t="str">
        <x:v>перекрытие ароматических семейств, вкусовой баланс, тройничное восприятие</x:v>
      </x:c>
      <x:c r="F131" s="28" t="str">
        <x:v>Лайм формирует профиль «цитрусовый, зелёный, травяной, камфорный»; характерные маркеры: лимонен, гамма-терпинен, цитраль, бета-пинен, линалол. Чили (перцы)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G13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1"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31" s="28" t="str">
        <x:v>сироп, кордиал, чатни, маринад или пряный десерт</x:v>
      </x:c>
      <x:c r="J131" s="28" t="str">
        <x:v>Гипотеза / практическая</x:v>
      </x:c>
      <x:c r="K131" s="28" t="str">
        <x:v>Таблица сочетания(1).pdf</x:v>
      </x:c>
      <x:c r="L131" s="28" t="str">
        <x:v>Таблица сочетания(1).pdf: 5</x:v>
      </x:c>
    </x:row>
    <x:row r="132" ht="62" customHeight="1">
      <x:c r="A132" s="28" t="str">
        <x:v>CIT-0382</x:v>
      </x:c>
      <x:c r="B132" s="28" t="str">
        <x:v>лайм</x:v>
      </x:c>
      <x:c r="C132" s="28" t="str">
        <x:v>чили – это Диего Ривера и Фрида Кало</x:v>
      </x:c>
      <x:c r="D132" s="28" t="str">
        <x:v>Пряности</x:v>
      </x:c>
      <x:c r="E132" s="28" t="str">
        <x:v>перекрытие ароматических семейств, вкусовой баланс, тройничное восприятие</x:v>
      </x:c>
      <x:c r="F132" s="28" t="str">
        <x:v>Лайм формирует профиль «цитрусовый, зелёный, травяной, камфорный»; характерные маркеры: лимонен, гамма-терпинен, цитраль, бета-пинен, линалол. Чили – это диего ривера и фрида кало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G13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2"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32" s="28" t="str">
        <x:v>сироп, кордиал, чатни, маринад или пряный десерт</x:v>
      </x:c>
      <x:c r="J132" s="28" t="str">
        <x:v>Высокая</x:v>
      </x:c>
      <x:c r="K132" s="28" t="str">
        <x:v>Тезариус вкусов (Ники Сегнит)(1).pdf</x:v>
      </x:c>
      <x:c r="L132" s="28" t="str">
        <x:v>Тезариус вкусов (Ники Сегнит)(1).pdf: 797</x:v>
      </x:c>
    </x:row>
    <x:row r="133" ht="62" customHeight="1">
      <x:c r="A133" s="28" t="str">
        <x:v>CIT-0383</x:v>
      </x:c>
      <x:c r="B133" s="28" t="str">
        <x:v>лайм</x:v>
      </x:c>
      <x:c r="C133" s="28" t="str">
        <x:v>шалфей</x:v>
      </x:c>
      <x:c r="D133" s="28" t="str">
        <x:v>Травы</x:v>
      </x:c>
      <x:c r="E133" s="28" t="str">
        <x:v>перекрытие ароматических семейств, вкусовой баланс, тройничное восприятие</x:v>
      </x:c>
      <x:c r="F133" s="28" t="str">
        <x:v>Лайм формирует профиль «цитрусовый, зелёный, травяной, камфорный»; характерные маркеры: лимонен, гамма-терпинен, цитраль, бета-пинен, линалол. Шалфей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3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3" s="28" t="str">
        <x:v>Избыток кислоты делает вкус плоско-резким; белая часть кожуры даёт лишнюю горечь; цитрус легко подавляет деликатный аромат партнёра.</x:v>
      </x:c>
      <x:c r="I133" s="28" t="str">
        <x:v>лимонад, кордиал, салатная заправка или зелёный соус</x:v>
      </x:c>
      <x:c r="J133" s="28" t="str">
        <x:v>Гипотеза / практическая</x:v>
      </x:c>
      <x:c r="K133" s="28" t="str">
        <x:v>Таблица сочетания(1).pdf</x:v>
      </x:c>
      <x:c r="L133" s="28" t="str">
        <x:v>Таблица сочетания(1).pdf: 12, 20</x:v>
      </x:c>
    </x:row>
    <x:row r="134" ht="62" customHeight="1">
      <x:c r="A134" s="28" t="str">
        <x:v>CIT-0395</x:v>
      </x:c>
      <x:c r="B134" s="28" t="str">
        <x:v>лимон</x:v>
      </x:c>
      <x:c r="C134" s="28" t="str">
        <x:v>артишок</x:v>
      </x:c>
      <x:c r="D134" s="28" t="str">
        <x:v>Овощи</x:v>
      </x:c>
      <x:c r="E134" s="28" t="str">
        <x:v>вкусовой баланс</x:v>
      </x:c>
      <x:c r="F134" s="28" t="str">
        <x:v>Лимон формирует профиль «цитрусовый, свежий, цветочный, древесный»; характерные маркеры: цитраль (гераниаль + нераль), лимонен, гамма-терпинен, бета-пинен. Артишок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3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34" s="28" t="str">
        <x:v>Избыток кислоты делает вкус плоско-резким; белая часть кожуры даёт лишнюю горечь.</x:v>
      </x:c>
      <x:c r="I134" s="28" t="str">
        <x:v>винегрет, салат, пюре, запечённое блюдо или овощной соус</x:v>
      </x:c>
      <x:c r="J134" s="28" t="str">
        <x:v>Высокая</x:v>
      </x:c>
      <x:c r="K134" s="28" t="str">
        <x:v>Тезариус вкусов (Ники Сегнит)(1).pdf</x:v>
      </x:c>
      <x:c r="L134" s="28" t="str">
        <x:v>Тезариус вкусов (Ники Сегнит)(1).pdf: 339, 800</x:v>
      </x:c>
    </x:row>
    <x:row r="135" ht="62" customHeight="1">
      <x:c r="A135" s="28" t="str">
        <x:v>CIT-0396</x:v>
      </x:c>
      <x:c r="B135" s="28" t="str">
        <x:v>лимон</x:v>
      </x:c>
      <x:c r="C135" s="28" t="str">
        <x:v>базилик</x:v>
      </x:c>
      <x:c r="D135" s="28" t="str">
        <x:v>Травы</x:v>
      </x:c>
      <x:c r="E135" s="28" t="str">
        <x:v>перекрытие ароматических семейств, вкусовой баланс</x:v>
      </x:c>
      <x:c r="F135"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Базилик относится к группе «травы» и даёт ноты «зелёный, анисовый, цветочный, пряный».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Базилик и эстрагон могут связать цитрус с фруктами, томатом и сливочными матрицами.</x:v>
      </x:c>
      <x:c r="G13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5" s="28" t="str">
        <x:v>Избыток кислоты делает вкус плоско-резким; белая часть кожуры даёт лишнюю горечь; цитрус легко подавляет деликатный аромат партнёра.</x:v>
      </x:c>
      <x:c r="I135" s="28" t="str">
        <x:v>лимонад, кордиал, салатная заправка или зелёный соус</x:v>
      </x:c>
      <x:c r="J135" s="28" t="str">
        <x:v>Высокая</x:v>
      </x:c>
      <x:c r="K135" s="28" t="str">
        <x:v>Таблица сочетания(1).pdf | Тезариус вкусов (Ники Сегнит)(1).pdf</x:v>
      </x:c>
      <x:c r="L135" s="28" t="str">
        <x:v>Таблица сочетания(1).pdf: 11 | Тезариус вкусов (Ники Сегнит)(1).pdf: 567, 800</x:v>
      </x:c>
    </x:row>
    <x:row r="136" ht="62" customHeight="1">
      <x:c r="A136" s="28" t="str">
        <x:v>CIT-0399</x:v>
      </x:c>
      <x:c r="B136" s="28" t="str">
        <x:v>лимон</x:v>
      </x:c>
      <x:c r="C136" s="28" t="str">
        <x:v>баранина</x:v>
      </x:c>
      <x:c r="D136" s="28" t="str">
        <x:v>Мясо и птица</x:v>
      </x:c>
      <x:c r="E136" s="28" t="str">
        <x:v>вкусовой баланс, влияние матрицы/растворимости</x:v>
      </x:c>
      <x:c r="F136"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Баранина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G13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36" s="28" t="str">
        <x:v>Избыток кислоты делает вкус плоско-резким; белая часть кожуры даёт лишнюю горечь; слишком долгая маринация ухудшает текстуру.</x:v>
      </x:c>
      <x:c r="I136" s="28" t="str">
        <x:v>маринад, глазурь, соус, жаркое или салат</x:v>
      </x:c>
      <x:c r="J136" s="28" t="str">
        <x:v>Высокая</x:v>
      </x:c>
      <x:c r="K136" s="28" t="str">
        <x:v>Тезариус вкусов (Ники Сегнит)(1).pdf</x:v>
      </x:c>
      <x:c r="L136" s="28" t="str">
        <x:v>Тезариус вкусов (Ники Сегнит)(1).pdf: 130, 800</x:v>
      </x:c>
    </x:row>
    <x:row r="137" ht="62" customHeight="1">
      <x:c r="A137" s="28" t="str">
        <x:v>CIT-0400</x:v>
      </x:c>
      <x:c r="B137" s="28" t="str">
        <x:v>лимон</x:v>
      </x:c>
      <x:c r="C137" s="28" t="str">
        <x:v>белая рыба</x:v>
      </x:c>
      <x:c r="D137" s="28" t="str">
        <x:v>Рыба и морепродукты</x:v>
      </x:c>
      <x:c r="E137" s="28" t="str">
        <x:v>вкусовой баланс, влияние матрицы/растворимости</x:v>
      </x:c>
      <x:c r="F137" s="28" t="str">
        <x:v>Лимон формирует профиль «цитрусовый, свежий, цветочный, древесный»; характерные маркеры: цитраль (гераниаль + нераль), лимонен, гамма-терпинен, бета-пинен. Белая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3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37" s="28" t="str">
        <x:v>Избыток кислоты делает вкус плоско-резким; белая часть кожуры даёт лишнюю горечь; слишком долгая маринация ухудшает текстуру.</x:v>
      </x:c>
      <x:c r="I137" s="28" t="str">
        <x:v>севиче, маринад, beurre blanc, тартар или салат</x:v>
      </x:c>
      <x:c r="J137" s="28" t="str">
        <x:v>Высокая</x:v>
      </x:c>
      <x:c r="K137" s="28" t="str">
        <x:v>Тезариус вкусов (Ники Сегнит)(1).pdf</x:v>
      </x:c>
      <x:c r="L137" s="28" t="str">
        <x:v>Тезариус вкусов (Ники Сегнит)(1).pdf: 386, 801</x:v>
      </x:c>
    </x:row>
    <x:row r="138" ht="62" customHeight="1">
      <x:c r="A138" s="28" t="str">
        <x:v>CIT-0406</x:v>
      </x:c>
      <x:c r="B138" s="28" t="str">
        <x:v>лимон</x:v>
      </x:c>
      <x:c r="C138" s="28" t="str">
        <x:v>галангал</x:v>
      </x:c>
      <x:c r="D138" s="28" t="str">
        <x:v>Пряности</x:v>
      </x:c>
      <x:c r="E138" s="28" t="str">
        <x:v>общие ароматические молекулы, перекрытие ароматических семейств, вкусовой баланс, тройничное восприятие</x:v>
      </x:c>
      <x:c r="F138" s="28" t="str">
        <x:v>Лимон формирует профиль «цитрусовый, свежий, цветочный, древесный»; характерные маркеры: цитраль (гераниаль + нераль), лимонен, гамма-терпинен, бета-пинен.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Свежий имбирь более цитрусовый, нагретый и сушёный — более тёплый и жгучий.</x:v>
      </x:c>
      <x:c r="G13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8" s="28" t="str">
        <x:v>Избыток кислоты делает вкус плоско-резким; белая часть кожуры даёт лишнюю горечь.</x:v>
      </x:c>
      <x:c r="I138" s="28" t="str">
        <x:v>сироп, кордиал, чатни, маринад или пряный десерт</x:v>
      </x:c>
      <x:c r="J138" s="28" t="str">
        <x:v>Средняя</x:v>
      </x:c>
      <x:c r="K138" s="28" t="str">
        <x:v>The Art &amp; Science of Foodpairing.pdf</x:v>
      </x:c>
      <x:c r="L138" s="28" t="str">
        <x:v>The Art &amp; Science of Foodpairing.pdf: 87</x:v>
      </x:c>
    </x:row>
    <x:row r="139" ht="62" customHeight="1">
      <x:c r="A139" s="28" t="str">
        <x:v>CIT-0407</x:v>
      </x:c>
      <x:c r="B139" s="28" t="str">
        <x:v>лимон</x:v>
      </x:c>
      <x:c r="C139" s="28" t="str">
        <x:v>говядина</x:v>
      </x:c>
      <x:c r="D139" s="28" t="str">
        <x:v>Мясо и птица</x:v>
      </x:c>
      <x:c r="E139" s="28" t="str">
        <x:v>вкусовой баланс, влияние матрицы/растворимости</x:v>
      </x:c>
      <x:c r="F139" s="28" t="str">
        <x:v>Лимон формирует профиль «цитрусовый, свежий, цветочный, древесный»; характерные маркеры: цитраль (гераниаль + нераль), лимонен, гамма-терпинен, бета-пинен. Говядина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G13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39" s="28" t="str">
        <x:v>Избыток кислоты делает вкус плоско-резким; белая часть кожуры даёт лишнюю горечь; слишком долгая маринация ухудшает текстуру.</x:v>
      </x:c>
      <x:c r="I139" s="28" t="str">
        <x:v>маринад, глазурь, соус, жаркое или салат</x:v>
      </x:c>
      <x:c r="J139" s="28" t="str">
        <x:v>Высокая</x:v>
      </x:c>
      <x:c r="K139" s="28" t="str">
        <x:v>Тезариус вкусов (Ники Сегнит)(1).pdf</x:v>
      </x:c>
      <x:c r="L139" s="28" t="str">
        <x:v>Тезариус вкусов (Ники Сегнит)(1).pdf: 113, 801</x:v>
      </x:c>
    </x:row>
    <x:row r="140" ht="62" customHeight="1">
      <x:c r="A140" s="28" t="str">
        <x:v>CIT-0413</x:v>
      </x:c>
      <x:c r="B140" s="28" t="str">
        <x:v>лимон</x:v>
      </x:c>
      <x:c r="C140" s="28" t="str">
        <x:v>жирная рыба</x:v>
      </x:c>
      <x:c r="D140" s="28" t="str">
        <x:v>Рыба и морепродукты</x:v>
      </x:c>
      <x:c r="E140" s="28" t="str">
        <x:v>вкусовой баланс, влияние матрицы/растворимости</x:v>
      </x:c>
      <x:c r="F140" s="28" t="str">
        <x:v>Лимон формирует профиль «цитрусовый, свежий, цветочный, древесный»; характерные маркеры: цитраль (гераниаль + нераль), лимонен, гамма-терпинен, бета-пинен. Жирная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4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40" s="28" t="str">
        <x:v>Избыток кислоты делает вкус плоско-резким; белая часть кожуры даёт лишнюю горечь; слишком долгая маринация ухудшает текстуру.</x:v>
      </x:c>
      <x:c r="I140" s="28" t="str">
        <x:v>севиче, маринад, beurre blanc, тартар или салат</x:v>
      </x:c>
      <x:c r="J140" s="28" t="str">
        <x:v>Гипотеза / практическая</x:v>
      </x:c>
      <x:c r="K140" s="28" t="str">
        <x:v>Тезариус вкусов (Ники Сегнит)(1).pdf</x:v>
      </x:c>
      <x:c r="L140" s="28" t="str">
        <x:v>Тезариус вкусов (Ники Сегнит)(1).pdf: 802</x:v>
      </x:c>
    </x:row>
    <x:row r="141" ht="62" customHeight="1">
      <x:c r="A141" s="28" t="str">
        <x:v>CIT-0416</x:v>
      </x:c>
      <x:c r="B141" s="28" t="str">
        <x:v>лимон</x:v>
      </x:c>
      <x:c r="C141" s="28" t="str">
        <x:v>имбирь</x:v>
      </x:c>
      <x:c r="D141" s="28" t="str">
        <x:v>Пряности</x:v>
      </x:c>
      <x:c r="E141" s="28" t="str">
        <x:v>общие ароматические молекулы, перекрытие ароматических семейств, вкусовой баланс, тройничное восприятие</x:v>
      </x:c>
      <x:c r="F141" s="28" t="str">
        <x:v>Лимон формирует профиль «цитрусовый, свежий, цветочный, древесный»; характерные маркеры: цитраль (гераниаль + нераль), лимонен, гамма-терпинен, бета-пинен.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Свежий имбирь более цитрусовый, нагретый и сушёный — более тёплый и жгучий.</x:v>
      </x:c>
      <x:c r="G14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1" s="28" t="str">
        <x:v>Избыток кислоты делает вкус плоско-резким; белая часть кожуры даёт лишнюю горечь.</x:v>
      </x:c>
      <x:c r="I141" s="28" t="str">
        <x:v>сироп, кордиал, чатни, маринад или пряный десерт</x:v>
      </x:c>
      <x:c r="J141" s="28" t="str">
        <x:v>Высокая</x:v>
      </x:c>
      <x:c r="K141" s="28" t="str">
        <x:v>Таблица сочетания(1).pdf | Тезариус вкусов (Ники Сегнит)(1).pdf</x:v>
      </x:c>
      <x:c r="L141" s="28" t="str">
        <x:v>Таблица сочетания(1).pdf: 8 | Тезариус вкусов (Ники Сегнит)(1).pdf: 802, 818</x:v>
      </x:c>
    </x:row>
    <x:row r="142" ht="62" customHeight="1">
      <x:c r="A142" s="28" t="str">
        <x:v>CIT-0420</x:v>
      </x:c>
      <x:c r="B142" s="28" t="str">
        <x:v>лимон</x:v>
      </x:c>
      <x:c r="C142" s="28" t="str">
        <x:v>кардамон</x:v>
      </x:c>
      <x:c r="D142" s="28" t="str">
        <x:v>Пряности</x:v>
      </x:c>
      <x:c r="E142" s="28" t="str">
        <x:v>общие ароматические молекулы, перекрытие ароматических семейств, вкусовой баланс, тройничное восприятие</x:v>
      </x:c>
      <x:c r="F142"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Кардамон относится к группе «пряности» и даёт ноты «цитрусовый, камфорный, цветочный, эвкалиптовый». Наиболее правдоподобный молекулярный мост — лимонен;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Кардамон часто служит мостом между цитрусом, цветами и древесными нотами.</x:v>
      </x:c>
      <x:c r="G14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2" s="28" t="str">
        <x:v>Избыток кислоты делает вкус плоско-резким; белая часть кожуры даёт лишнюю горечь.</x:v>
      </x:c>
      <x:c r="I142" s="28" t="str">
        <x:v>сироп, кордиал, чатни, маринад или пряный десерт</x:v>
      </x:c>
      <x:c r="J142" s="28" t="str">
        <x:v>Средняя</x:v>
      </x:c>
      <x:c r="K142" s="28" t="str">
        <x:v>Таблица сочетания(1).pdf</x:v>
      </x:c>
      <x:c r="L142" s="28" t="str">
        <x:v>Таблица сочетания(1).pdf: 11</x:v>
      </x:c>
    </x:row>
    <x:row r="143" ht="62" customHeight="1">
      <x:c r="A143" s="28" t="str">
        <x:v>CIT-0427</x:v>
      </x:c>
      <x:c r="B143" s="28" t="str">
        <x:v>лимон</x:v>
      </x:c>
      <x:c r="C143" s="28" t="str">
        <x:v>козий сыр</x:v>
      </x:c>
      <x:c r="D143" s="28" t="str">
        <x:v>Молочные продукты</x:v>
      </x:c>
      <x:c r="E143" s="28" t="str">
        <x:v>вкусовой баланс, влияние матрицы/растворимости</x:v>
      </x:c>
      <x:c r="F143"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Козий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G143"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43" s="28" t="str">
        <x:v>Избыток кислоты делает вкус плоско-резким; белая часть кожуры даёт лишнюю горечь; возможна коагуляция белка.</x:v>
      </x:c>
      <x:c r="I143" s="28" t="str">
        <x:v>чизкейк, крем, мороженое, соус или салат</x:v>
      </x:c>
      <x:c r="J143" s="28" t="str">
        <x:v>Высокая</x:v>
      </x:c>
      <x:c r="K143" s="28" t="str">
        <x:v>Тезариус вкусов (Ники Сегнит)(1).pdf</x:v>
      </x:c>
      <x:c r="L143" s="28" t="str">
        <x:v>Тезариус вкусов (Ники Сегнит)(1).pdf: 140, 804</x:v>
      </x:c>
    </x:row>
    <x:row r="144" ht="62" customHeight="1">
      <x:c r="A144" s="28" t="str">
        <x:v>CIT-0429</x:v>
      </x:c>
      <x:c r="B144" s="28" t="str">
        <x:v>лимон</x:v>
      </x:c>
      <x:c r="C144" s="28" t="str">
        <x:v>копченая рыба</x:v>
      </x:c>
      <x:c r="D144" s="28" t="str">
        <x:v>Рыба и морепродукты</x:v>
      </x:c>
      <x:c r="E144" s="28" t="str">
        <x:v>вкусовой баланс, влияние матрицы/растворимости</x:v>
      </x:c>
      <x:c r="F144"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Копченая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4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44" s="28" t="str">
        <x:v>Избыток кислоты делает вкус плоско-резким; белая часть кожуры даёт лишнюю горечь; слишком долгая маринация ухудшает текстуру.</x:v>
      </x:c>
      <x:c r="I144" s="28" t="str">
        <x:v>севиче, маринад, beurre blanc, тартар или салат</x:v>
      </x:c>
      <x:c r="J144" s="28" t="str">
        <x:v>Высокая</x:v>
      </x:c>
      <x:c r="K144" s="28" t="str">
        <x:v>Тезариус вкусов (Ники Сегнит)(1).pdf</x:v>
      </x:c>
      <x:c r="L144" s="28" t="str">
        <x:v>Тезариус вкусов (Ники Сегнит)(1).pdf: 436, 804</x:v>
      </x:c>
    </x:row>
    <x:row r="145" ht="62" customHeight="1">
      <x:c r="A145" s="28" t="str">
        <x:v>CIT-0430</x:v>
      </x:c>
      <x:c r="B145" s="28" t="str">
        <x:v>лимон</x:v>
      </x:c>
      <x:c r="C145" s="28" t="str">
        <x:v>кориандр</x:v>
      </x:c>
      <x:c r="D145" s="28" t="str">
        <x:v>Травы/пряности</x:v>
      </x:c>
      <x:c r="E145" s="28" t="str">
        <x:v>перекрытие ароматических семейств, вкусовой баланс</x:v>
      </x:c>
      <x:c r="F145"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Кориандр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G14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5" s="28" t="str">
        <x:v>Избыток кислоты делает вкус плоско-резким; белая часть кожуры даёт лишнюю горечь; цитрус легко подавляет деликатный аромат партнёра.</x:v>
      </x:c>
      <x:c r="I145" s="28" t="str">
        <x:v>лимонад, кордиал, маринад или пряный соус</x:v>
      </x:c>
      <x:c r="J145" s="28" t="str">
        <x:v>Гипотеза / практическая</x:v>
      </x:c>
      <x:c r="K145" s="28" t="str">
        <x:v>Таблица сочетания(1).pdf</x:v>
      </x:c>
      <x:c r="L145" s="28" t="str">
        <x:v>Таблица сочетания(1).pdf: 6</x:v>
      </x:c>
    </x:row>
    <x:row r="146" ht="62" customHeight="1">
      <x:c r="A146" s="28" t="str">
        <x:v>CIT-0436</x:v>
      </x:c>
      <x:c r="B146" s="28" t="str">
        <x:v>лимон</x:v>
      </x:c>
      <x:c r="C146" s="28" t="str">
        <x:v>лимонный тимьян</x:v>
      </x:c>
      <x:c r="D146" s="28" t="str">
        <x:v>Травы</x:v>
      </x:c>
      <x:c r="E146" s="28" t="str">
        <x:v>перекрытие ароматических семейств, вкусовой баланс, тройничное восприятие</x:v>
      </x:c>
      <x:c r="F146" s="28" t="str">
        <x:v>Лимон формирует профиль «цитрусовый, свежий, цветочный, древесный»; характерные маркеры: цитраль (гераниаль + нераль), лимонен, гамма-терпинен, бета-пинен. Лимонный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4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6" s="28" t="str">
        <x:v>Избыток кислоты делает вкус плоско-резким; белая часть кожуры даёт лишнюю горечь; цитрус легко подавляет деликатный аромат партнёра.</x:v>
      </x:c>
      <x:c r="I146" s="28" t="str">
        <x:v>лимонад, кордиал, салатная заправка или зелёный соус</x:v>
      </x:c>
      <x:c r="J146" s="28" t="str">
        <x:v>Гипотеза / практическая</x:v>
      </x:c>
      <x:c r="K146" s="28" t="str">
        <x:v>Таблица сочетания(1).pdf</x:v>
      </x:c>
      <x:c r="L146" s="28" t="str">
        <x:v>Таблица сочетания(1).pdf: 11</x:v>
      </x:c>
    </x:row>
    <x:row r="147" ht="62" customHeight="1">
      <x:c r="A147" s="28" t="str">
        <x:v>CIT-0437</x:v>
      </x:c>
      <x:c r="B147" s="28" t="str">
        <x:v>лимон</x:v>
      </x:c>
      <x:c r="C147" s="28" t="str">
        <x:v>листья кориандра</x:v>
      </x:c>
      <x:c r="D147" s="28" t="str">
        <x:v>Травы/пряности</x:v>
      </x:c>
      <x:c r="E147" s="28" t="str">
        <x:v>перекрытие ароматических семейств, вкусовой баланс</x:v>
      </x:c>
      <x:c r="F147" s="28" t="str">
        <x:v>Лимон формирует профиль «цитрусовый, свежий, цветочный, древесный»; характерные маркеры: цитраль (гераниаль + нераль), лимонен, гамма-терпинен, бета-пинен. Листья кориандра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G14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7" s="28" t="str">
        <x:v>Избыток кислоты делает вкус плоско-резким; белая часть кожуры даёт лишнюю горечь; цитрус легко подавляет деликатный аромат партнёра.</x:v>
      </x:c>
      <x:c r="I147" s="28" t="str">
        <x:v>лимонад, кордиал, маринад или пряный соус</x:v>
      </x:c>
      <x:c r="J147" s="28" t="str">
        <x:v>Высокая</x:v>
      </x:c>
      <x:c r="K147" s="28" t="str">
        <x:v>Тезариус вкусов (Ники Сегнит)(1).pdf</x:v>
      </x:c>
      <x:c r="L147" s="28" t="str">
        <x:v>Тезариус вкусов (Ники Сегнит)(1).pdf: 521, 805</x:v>
      </x:c>
    </x:row>
    <x:row r="148" ht="62" customHeight="1">
      <x:c r="A148" s="28" t="str">
        <x:v>CIT-0447</x:v>
      </x:c>
      <x:c r="B148" s="28" t="str">
        <x:v>лимон</x:v>
      </x:c>
      <x:c r="C148" s="28" t="str">
        <x:v>мята</x:v>
      </x:c>
      <x:c r="D148" s="28" t="str">
        <x:v>Травы</x:v>
      </x:c>
      <x:c r="E148" s="28" t="str">
        <x:v>перекрытие ароматических семейств, вкусовой баланс, тройничное восприятие</x:v>
      </x:c>
      <x:c r="F148" s="28" t="str">
        <x:v>Лимон формирует профиль «цитрусовый, свежий, цветочный, древесный»; характерные маркеры: цитраль (гераниаль + нераль), лимонен, гамма-терпинен, бета-пинен.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Мята усиливает воспринимаемую прохладу и кислотную свежесть.</x:v>
      </x:c>
      <x:c r="G14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8" s="28" t="str">
        <x:v>Избыток кислоты делает вкус плоско-резким; белая часть кожуры даёт лишнюю горечь; цитрус легко подавляет деликатный аромат партнёра.</x:v>
      </x:c>
      <x:c r="I148" s="28" t="str">
        <x:v>лимонад, кордиал, салатная заправка или зелёный соус</x:v>
      </x:c>
      <x:c r="J148" s="28" t="str">
        <x:v>Высокая</x:v>
      </x:c>
      <x:c r="K148" s="28" t="str">
        <x:v>Таблица сочетания(1).pdf | Тезариус вкусов (Ники Сегнит)(1).pdf</x:v>
      </x:c>
      <x:c r="L148" s="28" t="str">
        <x:v>Таблица сочетания(1).pdf: 11, 13 | Тезариус вкусов (Ники Сегнит)(1).pdf: 806, 868</x:v>
      </x:c>
    </x:row>
    <x:row r="149" ht="62" customHeight="1">
      <x:c r="A149" s="28" t="str">
        <x:v>CIT-0454</x:v>
      </x:c>
      <x:c r="B149" s="28" t="str">
        <x:v>лимон</x:v>
      </x:c>
      <x:c r="C149" s="28" t="str">
        <x:v>перец</x:v>
      </x:c>
      <x:c r="D149" s="28" t="str">
        <x:v>Пряности</x:v>
      </x:c>
      <x:c r="E149" s="28" t="str">
        <x:v>общие ароматические молекулы, перекрытие ароматических семейств, вкусовой баланс, тройничное восприятие</x:v>
      </x:c>
      <x:c r="F149" s="28" t="str">
        <x:v>Лимон формирует профиль «цитрусовый, свежий, цветочный, древесный»; характерные маркеры: цитраль (гераниаль + нераль), лимонен, гамма-терпинен, бета-пинен.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Перец добавляет сухую пряность и усиливает яркость цедры.</x:v>
      </x:c>
      <x:c r="G14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9" s="28" t="str">
        <x:v>Избыток кислоты делает вкус плоско-резким; белая часть кожуры даёт лишнюю горечь.</x:v>
      </x:c>
      <x:c r="I149" s="28" t="str">
        <x:v>сироп, кордиал, чатни, маринад или пряный десерт</x:v>
      </x:c>
      <x:c r="J149" s="28" t="str">
        <x:v>Средняя</x:v>
      </x:c>
      <x:c r="K149" s="28" t="str">
        <x:v>Таблица сочетания(1).pdf</x:v>
      </x:c>
      <x:c r="L149" s="28" t="str">
        <x:v>Таблица сочетания(1).pdf: 16</x:v>
      </x:c>
    </x:row>
    <x:row r="150" ht="62" customHeight="1">
      <x:c r="A150" s="28" t="str">
        <x:v>CIT-0460</x:v>
      </x:c>
      <x:c r="B150" s="28" t="str">
        <x:v>лимон</x:v>
      </x:c>
      <x:c r="C150" s="28" t="str">
        <x:v>розмарин</x:v>
      </x:c>
      <x:c r="D150" s="28" t="str">
        <x:v>Травы</x:v>
      </x:c>
      <x:c r="E150" s="28" t="str">
        <x:v>перекрытие ароматических семейств, вкусовой баланс, тройничное восприятие</x:v>
      </x:c>
      <x:c r="F150" s="28" t="str">
        <x:v>Лимон формирует профиль «цитрусовый, свежий, цветочный, древесный»; характерные маркеры: цитраль (гераниаль + нераль), лимонен, гамма-терпинен, бета-пинен.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5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0" s="28" t="str">
        <x:v>Избыток кислоты делает вкус плоско-резким; белая часть кожуры даёт лишнюю горечь; цитрус легко подавляет деликатный аромат партнёра.</x:v>
      </x:c>
      <x:c r="I150" s="28" t="str">
        <x:v>лимонад, кордиал, салатная заправка или зелёный соус</x:v>
      </x:c>
      <x:c r="J150" s="28" t="str">
        <x:v>Высокая</x:v>
      </x:c>
      <x:c r="K150" s="28" t="str">
        <x:v>Таблица сочетания(1).pdf | Тезариус вкусов (Ники Сегнит)(1).pdf</x:v>
      </x:c>
      <x:c r="L150" s="28" t="str">
        <x:v>Таблица сочетания(1).pdf: 11, 19 | Тезариус вкусов (Ники Сегнит)(1).pdf: 806, 837</x:v>
      </x:c>
    </x:row>
    <x:row r="151" ht="62" customHeight="1">
      <x:c r="A151" s="28" t="str">
        <x:v>CIT-0462</x:v>
      </x:c>
      <x:c r="B151" s="28" t="str">
        <x:v>лимон</x:v>
      </x:c>
      <x:c r="C151" s="28" t="str">
        <x:v>семена кориандра</x:v>
      </x:c>
      <x:c r="D151" s="28" t="str">
        <x:v>Травы/пряности</x:v>
      </x:c>
      <x:c r="E151" s="28" t="str">
        <x:v>перекрытие ароматических семейств, вкусовой баланс</x:v>
      </x:c>
      <x:c r="F151" s="28" t="str">
        <x:v>Лимон формирует профиль «цитрусовый, свежий, цветочный, древесный»; характерные маркеры: цитраль (гераниаль + нераль), лимонен, гамма-терпинен, бета-пинен. Семена кориандра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G15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1" s="28" t="str">
        <x:v>Избыток кислоты делает вкус плоско-резким; белая часть кожуры даёт лишнюю горечь; цитрус легко подавляет деликатный аромат партнёра.</x:v>
      </x:c>
      <x:c r="I151" s="28" t="str">
        <x:v>лимонад, кордиал, маринад или пряный соус</x:v>
      </x:c>
      <x:c r="J151" s="28" t="str">
        <x:v>Высокая</x:v>
      </x:c>
      <x:c r="K151" s="28" t="str">
        <x:v>Тезариус вкусов (Ники Сегнит)(1).pdf</x:v>
      </x:c>
      <x:c r="L151" s="28" t="str">
        <x:v>Тезариус вкусов (Ники Сегнит)(1).pdf: 807, 907</x:v>
      </x:c>
    </x:row>
    <x:row r="152" ht="62" customHeight="1">
      <x:c r="A152" s="28" t="str">
        <x:v>CIT-0466</x:v>
      </x:c>
      <x:c r="B152" s="28" t="str">
        <x:v>лимон</x:v>
      </x:c>
      <x:c r="C152" s="28" t="str">
        <x:v>спаржа</x:v>
      </x:c>
      <x:c r="D152" s="28" t="str">
        <x:v>Овощи</x:v>
      </x:c>
      <x:c r="E152" s="28" t="str">
        <x:v>вкусовой баланс</x:v>
      </x:c>
      <x:c r="F152" s="28" t="str">
        <x:v>Лимон формирует профиль «цитрусовый, свежий, цветочный, древесный»; характерные маркеры: цитраль (гераниаль + нераль), лимонен, гамма-терпинен, бета-пинен. Спаржа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5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52" s="28" t="str">
        <x:v>Избыток кислоты делает вкус плоско-резким; белая часть кожуры даёт лишнюю горечь.</x:v>
      </x:c>
      <x:c r="I152" s="28" t="str">
        <x:v>винегрет, салат, пюре, запечённое блюдо или овощной соус</x:v>
      </x:c>
      <x:c r="J152" s="28" t="str">
        <x:v>Высокая</x:v>
      </x:c>
      <x:c r="K152" s="28" t="str">
        <x:v>Тезариус вкусов (Ники Сегнит)(1).pdf</x:v>
      </x:c>
      <x:c r="L152" s="28" t="str">
        <x:v>Тезариус вкусов (Ники Сегнит)(1).pdf: 346, 807</x:v>
      </x:c>
    </x:row>
    <x:row r="153" ht="62" customHeight="1">
      <x:c r="A153" s="28" t="str">
        <x:v>CIT-0467</x:v>
      </x:c>
      <x:c r="B153" s="28" t="str">
        <x:v>лимон</x:v>
      </x:c>
      <x:c r="C153" s="28" t="str">
        <x:v>сушёный орегано</x:v>
      </x:c>
      <x:c r="D153" s="28" t="str">
        <x:v>Травы</x:v>
      </x:c>
      <x:c r="E153" s="28" t="str">
        <x:v>перекрытие ароматических семейств, вкусовой баланс, тройничное восприятие</x:v>
      </x:c>
      <x:c r="F153" s="28" t="str">
        <x:v>Лимон формирует профиль «цитрусовый, свежий, цветочный, древесный»; характерные маркеры: цитраль (гераниаль + нераль), лимонен, гамма-терпинен, бета-пинен.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5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3" s="28" t="str">
        <x:v>Избыток кислоты делает вкус плоско-резким; белая часть кожуры даёт лишнюю горечь; цитрус легко подавляет деликатный аромат партнёра.</x:v>
      </x:c>
      <x:c r="I153" s="28" t="str">
        <x:v>лимонад, кордиал, салатная заправка или зелёный соус</x:v>
      </x:c>
      <x:c r="J153" s="28" t="str">
        <x:v>Средняя</x:v>
      </x:c>
      <x:c r="K153" s="28" t="str">
        <x:v>The Art &amp; Science of Foodpairing.pdf</x:v>
      </x:c>
      <x:c r="L153" s="28" t="str">
        <x:v>The Art &amp; Science of Foodpairing.pdf: 87</x:v>
      </x:c>
    </x:row>
    <x:row r="154" ht="62" customHeight="1">
      <x:c r="A154" s="28" t="str">
        <x:v>CIT-0469</x:v>
      </x:c>
      <x:c r="B154" s="28" t="str">
        <x:v>лимон</x:v>
      </x:c>
      <x:c r="C154" s="28" t="str">
        <x:v>тимьян</x:v>
      </x:c>
      <x:c r="D154" s="28" t="str">
        <x:v>Травы</x:v>
      </x:c>
      <x:c r="E154" s="28" t="str">
        <x:v>перекрытие ароматических семейств, вкусовой баланс, тройничное восприятие</x:v>
      </x:c>
      <x:c r="F154" s="28" t="str">
        <x:v>Лимон формирует профиль «цитрусовый, свежий, цветочный, древесный»; характерные маркеры: цитраль (гераниаль + нераль), лимонен, гамма-терпинен, бета-пинен.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5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4" s="28" t="str">
        <x:v>Избыток кислоты делает вкус плоско-резким; белая часть кожуры даёт лишнюю горечь; цитрус легко подавляет деликатный аромат партнёра.</x:v>
      </x:c>
      <x:c r="I154" s="28" t="str">
        <x:v>лимонад, кордиал, салатная заправка или зелёный соус</x:v>
      </x:c>
      <x:c r="J154" s="28" t="str">
        <x:v>Высокая</x:v>
      </x:c>
      <x:c r="K154" s="28" t="str">
        <x:v>Таблица сочетания(1).pdf | Тезариус вкусов (Ники Сегнит)(1).pdf</x:v>
      </x:c>
      <x:c r="L154" s="28" t="str">
        <x:v>Таблица сочетания(1).pdf: 11, 21 | Тезариус вкусов (Ники Сегнит)(1).pdf: 808, 858</x:v>
      </x:c>
    </x:row>
    <x:row r="155" ht="62" customHeight="1">
      <x:c r="A155" s="28" t="str">
        <x:v>CIT-0470</x:v>
      </x:c>
      <x:c r="B155" s="28" t="str">
        <x:v>лимон</x:v>
      </x:c>
      <x:c r="C155" s="28" t="str">
        <x:v>томат</x:v>
      </x:c>
      <x:c r="D155" s="28" t="str">
        <x:v>Овощи</x:v>
      </x:c>
      <x:c r="E155" s="28" t="str">
        <x:v>вкусовой баланс</x:v>
      </x:c>
      <x:c r="F155" s="28" t="str">
        <x:v>Лимон формирует профиль «цитрусовый, свежий, цветочный, древесный»; характерные маркеры: цитраль (гераниаль + нераль), лимонен, гамма-терпинен, бета-пинен. Томат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5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55" s="28" t="str">
        <x:v>Избыток кислоты делает вкус плоско-резким; белая часть кожуры даёт лишнюю горечь.</x:v>
      </x:c>
      <x:c r="I155" s="28" t="str">
        <x:v>винегрет, салат, пюре, запечённое блюдо или овощной соус</x:v>
      </x:c>
      <x:c r="J155" s="28" t="str">
        <x:v>Гипотеза / практическая</x:v>
      </x:c>
      <x:c r="K155" s="28" t="str">
        <x:v>Таблица сочетания(1).pdf</x:v>
      </x:c>
      <x:c r="L155" s="28" t="str">
        <x:v>Таблица сочетания(1).pdf: 21</x:v>
      </x:c>
    </x:row>
    <x:row r="156" ht="62" customHeight="1">
      <x:c r="A156" s="28" t="str">
        <x:v>CIT-0471</x:v>
      </x:c>
      <x:c r="B156" s="28" t="str">
        <x:v>лимон</x:v>
      </x:c>
      <x:c r="C156" s="28" t="str">
        <x:v>томаты</x:v>
      </x:c>
      <x:c r="D156" s="28" t="str">
        <x:v>Овощи</x:v>
      </x:c>
      <x:c r="E156" s="28" t="str">
        <x:v>вкусовой баланс</x:v>
      </x:c>
      <x:c r="F156" s="28" t="str">
        <x:v>Лимон формирует профиль «цитрусовый, свежий, цветочный, древесный»; характерные маркеры: цитраль (гераниаль + нераль), лимонен, гамма-терпинен, бета-пинен. Томаты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5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56" s="28" t="str">
        <x:v>Избыток кислоты делает вкус плоско-резким; белая часть кожуры даёт лишнюю горечь.</x:v>
      </x:c>
      <x:c r="I156" s="28" t="str">
        <x:v>винегрет, салат, пюре, запечённое блюдо или овощной соус</x:v>
      </x:c>
      <x:c r="J156" s="28" t="str">
        <x:v>Высокая</x:v>
      </x:c>
      <x:c r="K156" s="28" t="str">
        <x:v>Тезариус вкусов (Ники Сегнит)(1).pdf</x:v>
      </x:c>
      <x:c r="L156" s="28" t="str">
        <x:v>Тезариус вкусов (Ники Сегнит)(1).pdf: 686</x:v>
      </x:c>
    </x:row>
    <x:row r="157" ht="62" customHeight="1">
      <x:c r="A157" s="28" t="str">
        <x:v>CIT-0473</x:v>
      </x:c>
      <x:c r="B157" s="28" t="str">
        <x:v>лимон</x:v>
      </x:c>
      <x:c r="C157" s="28" t="str">
        <x:v>устрицы</x:v>
      </x:c>
      <x:c r="D157" s="28" t="str">
        <x:v>Рыба и морепродукты</x:v>
      </x:c>
      <x:c r="E157" s="28" t="str">
        <x:v>вкусовой баланс, влияние матрицы/растворимости</x:v>
      </x:c>
      <x:c r="F157" s="28" t="str">
        <x:v>Лимон формирует профиль «цитрусовый, свежий, цветочный, древесный»; характерные маркеры: цитраль (гераниаль + нераль), лимонен, гамма-терпинен, бета-пинен. Устрицы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5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57" s="28" t="str">
        <x:v>Избыток кислоты делает вкус плоско-резким; белая часть кожуры даёт лишнюю горечь; слишком долгая маринация ухудшает текстуру.</x:v>
      </x:c>
      <x:c r="I157" s="28" t="str">
        <x:v>севиче, маринад, beurre blanc, тартар или салат</x:v>
      </x:c>
      <x:c r="J157" s="28" t="str">
        <x:v>Высокая</x:v>
      </x:c>
      <x:c r="K157" s="28" t="str">
        <x:v>Тезариус вкусов (Ники Сегнит)(1).pdf</x:v>
      </x:c>
      <x:c r="L157" s="28" t="str">
        <x:v>Тезариус вкусов (Ники Сегнит)(1).pdf: 398, 809</x:v>
      </x:c>
    </x:row>
    <x:row r="158" ht="62" customHeight="1">
      <x:c r="A158" s="28" t="str">
        <x:v>CIT-0485</x:v>
      </x:c>
      <x:c r="B158" s="28" t="str">
        <x:v>лимон</x:v>
      </x:c>
      <x:c r="C158" s="28" t="str">
        <x:v>черная икра</x:v>
      </x:c>
      <x:c r="D158" s="28" t="str">
        <x:v>Рыба и морепродукты</x:v>
      </x:c>
      <x:c r="E158" s="28" t="str">
        <x:v>вкусовой баланс, влияние матрицы/растворимости</x:v>
      </x:c>
      <x:c r="F158" s="28" t="str">
        <x:v>Лимон формирует профиль «цитрусовый, свежий, цветочный, древесный»; характерные маркеры: цитраль (гераниаль + нераль), лимонен, гамма-терпинен, бета-пинен. Черная икра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5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58" s="28" t="str">
        <x:v>Избыток кислоты делает вкус плоско-резким; белая часть кожуры даёт лишнюю горечь; слишком долгая маринация ухудшает текстуру.</x:v>
      </x:c>
      <x:c r="I158" s="28" t="str">
        <x:v>севиче, маринад, beurre blanc, тартар или салат</x:v>
      </x:c>
      <x:c r="J158" s="28" t="str">
        <x:v>Высокая</x:v>
      </x:c>
      <x:c r="K158" s="28" t="str">
        <x:v>Тезариус вкусов (Ники Сегнит)(1).pdf</x:v>
      </x:c>
      <x:c r="L158" s="28" t="str">
        <x:v>Тезариус вкусов (Ники Сегнит)(1).pdf: 406, 810</x:v>
      </x:c>
    </x:row>
    <x:row r="159" ht="62" customHeight="1">
      <x:c r="A159" s="28" t="str">
        <x:v>CIT-0488</x:v>
      </x:c>
      <x:c r="B159" s="28" t="str">
        <x:v>лимон</x:v>
      </x:c>
      <x:c r="C159" s="28" t="str">
        <x:v>чёрный перец</x:v>
      </x:c>
      <x:c r="D159" s="28" t="str">
        <x:v>Пряности</x:v>
      </x:c>
      <x:c r="E159" s="28" t="str">
        <x:v>общие ароматические молекулы, перекрытие ароматических семейств, вкусовой баланс, тройничное восприятие</x:v>
      </x:c>
      <x:c r="F159" s="28" t="str">
        <x:v>Лимон формирует профиль «цитрусовый, свежий, цветочный, древесный»; характерные маркеры: цитраль (гераниаль + нераль), лимонен, гамма-терпинен, бета-пинен.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Перец добавляет сухую пряность и усиливает яркость цедры.</x:v>
      </x:c>
      <x:c r="G15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9" s="28" t="str">
        <x:v>Избыток кислоты делает вкус плоско-резким; белая часть кожуры даёт лишнюю горечь.</x:v>
      </x:c>
      <x:c r="I159" s="28" t="str">
        <x:v>сироп, кордиал, чатни, маринад или пряный десерт</x:v>
      </x:c>
      <x:c r="J159" s="28" t="str">
        <x:v>Средняя</x:v>
      </x:c>
      <x:c r="K159" s="28" t="str">
        <x:v>Таблица сочетания(1).pdf</x:v>
      </x:c>
      <x:c r="L159" s="28" t="str">
        <x:v>Таблица сочетания(1).pdf: 11</x:v>
      </x:c>
    </x:row>
    <x:row r="160" ht="62" customHeight="1">
      <x:c r="A160" s="28" t="str">
        <x:v>CIT-0489</x:v>
      </x:c>
      <x:c r="B160" s="28" t="str">
        <x:v>лимон</x:v>
      </x:c>
      <x:c r="C160" s="28" t="str">
        <x:v>чили</x:v>
      </x:c>
      <x:c r="D160" s="28" t="str">
        <x:v>Пряности</x:v>
      </x:c>
      <x:c r="E160" s="28" t="str">
        <x:v>вкусовой баланс, тройничное восприятие</x:v>
      </x:c>
      <x:c r="F160" s="28" t="str">
        <x:v>Лимон формирует профиль «цитрусовый, свежий, цветочный, древесный»; характерные маркеры: цитраль (гераниаль + нераль), лимонен, гамма-терпинен, бета-пинен.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Фруктовые чили могут поддерживать цитрусовые эфиры, но острота требует баланса.</x:v>
      </x:c>
      <x:c r="G16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0"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60" s="28" t="str">
        <x:v>сироп, кордиал, чатни, маринад или пряный десерт</x:v>
      </x:c>
      <x:c r="J160" s="28" t="str">
        <x:v>Высокая</x:v>
      </x:c>
      <x:c r="K160" s="28" t="str">
        <x:v>Тезариус вкусов (Ники Сегнит)(1).pdf</x:v>
      </x:c>
      <x:c r="L160" s="28" t="str">
        <x:v>Тезариус вкусов (Ники Сегнит)(1).pdf: 556, 810</x:v>
      </x:c>
    </x:row>
    <x:row r="161" ht="62" customHeight="1">
      <x:c r="A161" s="28" t="str">
        <x:v>CIT-0490</x:v>
      </x:c>
      <x:c r="B161" s="28" t="str">
        <x:v>лимон</x:v>
      </x:c>
      <x:c r="C161" s="28" t="str">
        <x:v>шалфей</x:v>
      </x:c>
      <x:c r="D161" s="28" t="str">
        <x:v>Травы</x:v>
      </x:c>
      <x:c r="E161" s="28" t="str">
        <x:v>перекрытие ароматических семейств, вкусовой баланс, тройничное восприятие</x:v>
      </x:c>
      <x:c r="F161" s="28" t="str">
        <x:v>Лимон формирует профиль «цитрусовый, свежий, цветочный, древесный»; характерные маркеры: цитраль (гераниаль + нераль), лимонен, гамма-терпинен, бета-пинен. Шалфей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6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1" s="28" t="str">
        <x:v>Избыток кислоты делает вкус плоско-резким; белая часть кожуры даёт лишнюю горечь; цитрус легко подавляет деликатный аромат партнёра.</x:v>
      </x:c>
      <x:c r="I161" s="28" t="str">
        <x:v>лимонад, кордиал, салатная заправка или зелёный соус</x:v>
      </x:c>
      <x:c r="J161" s="28" t="str">
        <x:v>Гипотеза / практическая</x:v>
      </x:c>
      <x:c r="K161" s="28" t="str">
        <x:v>Таблица сочетания(1).pdf</x:v>
      </x:c>
      <x:c r="L161" s="28" t="str">
        <x:v>Таблица сочетания(1).pdf: 11, 20</x:v>
      </x:c>
    </x:row>
    <x:row r="162" ht="62" customHeight="1">
      <x:c r="A162" s="28" t="str">
        <x:v>CIT-0491</x:v>
      </x:c>
      <x:c r="B162" s="28" t="str">
        <x:v>лимон</x:v>
      </x:c>
      <x:c r="C162" s="28" t="str">
        <x:v>шафран</x:v>
      </x:c>
      <x:c r="D162" s="28" t="str">
        <x:v>Пряности</x:v>
      </x:c>
      <x:c r="E162" s="28" t="str">
        <x:v>перекрытие ароматических семейств, вкусовой баланс</x:v>
      </x:c>
      <x:c r="F162" s="28" t="str">
        <x:v>Лимон формирует профиль «цитрусовый, свежий, цветочный, древесный»; характерные маркеры: цитраль (гераниаль + нераль), лимонен, гамма-терпинен, бета-пинен. Шафран относится к группе «пряности» и даёт ноты «медовый, сенной, цветочный, кожистый».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Шафран даёт сухую цветочно-медовую глубину.</x:v>
      </x:c>
      <x:c r="G16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2" s="28" t="str">
        <x:v>Избыток кислоты делает вкус плоско-резким; белая часть кожуры даёт лишнюю горечь.</x:v>
      </x:c>
      <x:c r="I162" s="28" t="str">
        <x:v>сироп, кордиал, чатни, маринад или пряный десерт</x:v>
      </x:c>
      <x:c r="J162" s="28" t="str">
        <x:v>Высокая</x:v>
      </x:c>
      <x:c r="K162" s="28" t="str">
        <x:v>Тезариус вкусов (Ники Сегнит)(1).pdf</x:v>
      </x:c>
      <x:c r="L162" s="28" t="str">
        <x:v>Тезариус вкусов (Ники Сегнит)(1).pdf: 475, 810</x:v>
      </x:c>
    </x:row>
    <x:row r="163" ht="62" customHeight="1">
      <x:c r="A163" s="28" t="str">
        <x:v>CIT-0498</x:v>
      </x:c>
      <x:c r="B163" s="28" t="str">
        <x:v>лимон</x:v>
      </x:c>
      <x:c r="C163" s="28" t="str">
        <x:v>яйца</x:v>
      </x:c>
      <x:c r="D163" s="28" t="str">
        <x:v>Молочные продукты</x:v>
      </x:c>
      <x:c r="E163" s="28" t="str">
        <x:v>вкусовой баланс, влияние матрицы/растворимости</x:v>
      </x:c>
      <x:c r="F163" s="28" t="str">
        <x:v>Лимон формирует профиль «цитрусовый, свежий, цветочный, древесный»; характерные маркеры: цитраль (гераниаль + нераль), лимонен, гамма-терпинен, бета-пинен. Яйца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G163"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63" s="28" t="str">
        <x:v>Избыток кислоты делает вкус плоско-резким; белая часть кожуры даёт лишнюю горечь; возможна коагуляция белка.</x:v>
      </x:c>
      <x:c r="I163" s="28" t="str">
        <x:v>чизкейк, крем, мороженое, соус или салат</x:v>
      </x:c>
      <x:c r="J163" s="28" t="str">
        <x:v>Высокая</x:v>
      </x:c>
      <x:c r="K163" s="28" t="str">
        <x:v>Тезариус вкусов (Ники Сегнит)(1).pdf</x:v>
      </x:c>
      <x:c r="L163" s="28" t="str">
        <x:v>Тезариус вкусов (Ники Сегнит)(1).pdf: 354, 811</x:v>
      </x:c>
    </x:row>
    <x:row r="164" ht="62" customHeight="1">
      <x:c r="A164" s="28" t="str">
        <x:v>CIT-0504</x:v>
      </x:c>
      <x:c r="B164" s="28" t="str">
        <x:v>лимонная цедра</x:v>
      </x:c>
      <x:c r="C164" s="28" t="str">
        <x:v>оливковое масло Пикуаль extra virgin</x:v>
      </x:c>
      <x:c r="D164" s="28" t="str">
        <x:v>Молочные продукты</x:v>
      </x:c>
      <x:c r="E164" s="28" t="str">
        <x:v>вкусовой баланс, влияние матрицы/растворимости</x:v>
      </x:c>
      <x:c r="F164"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Оливковое масло пикуаль extra virgin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G164"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64" s="28" t="str">
        <x:v>Избыток кислоты делает вкус плоско-резким; белая часть кожуры даёт лишнюю горечь; возможна коагуляция белка.</x:v>
      </x:c>
      <x:c r="I164" s="28" t="str">
        <x:v>чизкейк, крем, мороженое, соус или салат</x:v>
      </x:c>
      <x:c r="J164" s="28" t="str">
        <x:v>Средняя</x:v>
      </x:c>
      <x:c r="K164" s="28" t="str">
        <x:v>The Art &amp; Science of Foodpairing.pdf</x:v>
      </x:c>
      <x:c r="L164" s="28" t="str">
        <x:v>The Art &amp; Science of Foodpairing.pdf: 320</x:v>
      </x:c>
    </x:row>
    <x:row r="165" ht="62" customHeight="1">
      <x:c r="A165" s="28" t="str">
        <x:v>CIT-0505</x:v>
      </x:c>
      <x:c r="B165" s="28" t="str">
        <x:v>лимонная цедра</x:v>
      </x:c>
      <x:c r="C165" s="28" t="str">
        <x:v>отварной горох</x:v>
      </x:c>
      <x:c r="D165" s="28" t="str">
        <x:v>Овощи</x:v>
      </x:c>
      <x:c r="E165" s="28" t="str">
        <x:v>вкусовой баланс</x:v>
      </x:c>
      <x:c r="F165"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Отварной горох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6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65" s="28" t="str">
        <x:v>Избыток кислоты делает вкус плоско-резким; белая часть кожуры даёт лишнюю горечь.</x:v>
      </x:c>
      <x:c r="I165" s="28" t="str">
        <x:v>винегрет, салат, пюре, запечённое блюдо или овощной соус</x:v>
      </x:c>
      <x:c r="J165" s="28" t="str">
        <x:v>Средняя</x:v>
      </x:c>
      <x:c r="K165" s="28" t="str">
        <x:v>The Art &amp; Science of Foodpairing.pdf</x:v>
      </x:c>
      <x:c r="L165" s="28" t="str">
        <x:v>The Art &amp; Science of Foodpairing.pdf: 273</x:v>
      </x:c>
    </x:row>
    <x:row r="166" ht="62" customHeight="1">
      <x:c r="A166" s="28" t="str">
        <x:v>CIT-0506</x:v>
      </x:c>
      <x:c r="B166" s="28" t="str">
        <x:v>лимонная цедра</x:v>
      </x:c>
      <x:c r="C166" s="28" t="str">
        <x:v>сушёный орегано</x:v>
      </x:c>
      <x:c r="D166" s="28" t="str">
        <x:v>Травы</x:v>
      </x:c>
      <x:c r="E166" s="28" t="str">
        <x:v>перекрытие ароматических семейств, вкусовой баланс, тройничное восприятие</x:v>
      </x:c>
      <x:c r="F166"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6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6" s="28" t="str">
        <x:v>Избыток кислоты делает вкус плоско-резким; белая часть кожуры даёт лишнюю горечь; цитрус легко подавляет деликатный аромат партнёра.</x:v>
      </x:c>
      <x:c r="I166" s="28" t="str">
        <x:v>лимонад, кордиал, салатная заправка или зелёный соус</x:v>
      </x:c>
      <x:c r="J166" s="28" t="str">
        <x:v>Средняя</x:v>
      </x:c>
      <x:c r="K166" s="28" t="str">
        <x:v>The Art &amp; Science of Foodpairing.pdf</x:v>
      </x:c>
      <x:c r="L166" s="28" t="str">
        <x:v>The Art &amp; Science of Foodpairing.pdf: 87</x:v>
      </x:c>
    </x:row>
    <x:row r="167" ht="62" customHeight="1">
      <x:c r="A167" s="28" t="str">
        <x:v>CIT-0509</x:v>
      </x:c>
      <x:c r="B167" s="28" t="str">
        <x:v>лимонный сок</x:v>
      </x:c>
      <x:c r="C167" s="28" t="str">
        <x:v>баранина на гриле</x:v>
      </x:c>
      <x:c r="D167" s="28" t="str">
        <x:v>Мясо и птица</x:v>
      </x:c>
      <x:c r="E167" s="28" t="str">
        <x:v>вкусовой баланс, влияние матрицы/растворимости</x:v>
      </x:c>
      <x:c r="F167"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Баранина на гриле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G16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67" s="28" t="str">
        <x:v>Избыток кислоты делает вкус плоско-резким; белая часть кожуры даёт лишнюю горечь; слишком долгая маринация ухудшает текстуру.</x:v>
      </x:c>
      <x:c r="I167" s="28" t="str">
        <x:v>маринад, глазурь, соус, жаркое или салат</x:v>
      </x:c>
      <x:c r="J167" s="28" t="str">
        <x:v>Средняя</x:v>
      </x:c>
      <x:c r="K167" s="28" t="str">
        <x:v>The Art &amp; Science of Foodpairing.pdf</x:v>
      </x:c>
      <x:c r="L167" s="28" t="str">
        <x:v>The Art &amp; Science of Foodpairing.pdf: 370</x:v>
      </x:c>
    </x:row>
    <x:row r="168" ht="62" customHeight="1">
      <x:c r="A168" s="28" t="str">
        <x:v>CIT-0512</x:v>
      </x:c>
      <x:c r="B168" s="28" t="str">
        <x:v>лимонный сок</x:v>
      </x:c>
      <x:c r="C168" s="28" t="str">
        <x:v>морковь</x:v>
      </x:c>
      <x:c r="D168" s="28" t="str">
        <x:v>Овощи</x:v>
      </x:c>
      <x:c r="E168" s="28" t="str">
        <x:v>вкусовой баланс</x:v>
      </x:c>
      <x:c r="F168"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Морковь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6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68" s="28" t="str">
        <x:v>Избыток кислоты делает вкус плоско-резким; белая часть кожуры даёт лишнюю горечь.</x:v>
      </x:c>
      <x:c r="I168" s="28" t="str">
        <x:v>винегрет, салат, пюре, запечённое блюдо или овощной соус</x:v>
      </x:c>
      <x:c r="J168" s="28" t="str">
        <x:v>Средняя</x:v>
      </x:c>
      <x:c r="K168" s="28" t="str">
        <x:v>The Art &amp; Science of Foodpairing.pdf</x:v>
      </x:c>
      <x:c r="L168" s="28" t="str">
        <x:v>The Art &amp; Science of Foodpairing.pdf: 370</x:v>
      </x:c>
    </x:row>
    <x:row r="169" ht="62" customHeight="1">
      <x:c r="A169" s="28" t="str">
        <x:v>CIT-0513</x:v>
      </x:c>
      <x:c r="B169" s="28" t="str">
        <x:v>лимонный сок</x:v>
      </x:c>
      <x:c r="C169" s="28" t="str">
        <x:v>обжаренный бекон</x:v>
      </x:c>
      <x:c r="D169" s="28" t="str">
        <x:v>Мясо и птица</x:v>
      </x:c>
      <x:c r="E169" s="28" t="str">
        <x:v>вкусовой баланс, влияние матрицы/растворимости</x:v>
      </x:c>
      <x:c r="F169"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Обжаренный бекон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G16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69" s="28" t="str">
        <x:v>Избыток кислоты делает вкус плоско-резким; белая часть кожуры даёт лишнюю горечь; слишком долгая маринация ухудшает текстуру.</x:v>
      </x:c>
      <x:c r="I169" s="28" t="str">
        <x:v>маринад, глазурь, соус, жаркое или салат</x:v>
      </x:c>
      <x:c r="J169" s="28" t="str">
        <x:v>Средняя</x:v>
      </x:c>
      <x:c r="K169" s="28" t="str">
        <x:v>The Art &amp; Science of Foodpairing.pdf</x:v>
      </x:c>
      <x:c r="L169" s="28" t="str">
        <x:v>The Art &amp; Science of Foodpairing.pdf: 370</x:v>
      </x:c>
    </x:row>
    <x:row r="170" ht="62" customHeight="1">
      <x:c r="A170" s="28" t="str">
        <x:v>CIT-0514</x:v>
      </x:c>
      <x:c r="B170" s="28" t="str">
        <x:v>лимонный сок</x:v>
      </x:c>
      <x:c r="C170" s="28" t="str">
        <x:v>отварная очищенная свёкла</x:v>
      </x:c>
      <x:c r="D170" s="28" t="str">
        <x:v>Овощи</x:v>
      </x:c>
      <x:c r="E170" s="28" t="str">
        <x:v>вкусовой баланс</x:v>
      </x:c>
      <x:c r="F170"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Отварная очищенная свёкла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7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0" s="28" t="str">
        <x:v>Избыток кислоты делает вкус плоско-резким; белая часть кожуры даёт лишнюю горечь.</x:v>
      </x:c>
      <x:c r="I170" s="28" t="str">
        <x:v>винегрет, салат, пюре, запечённое блюдо или овощной соус</x:v>
      </x:c>
      <x:c r="J170" s="28" t="str">
        <x:v>Средняя</x:v>
      </x:c>
      <x:c r="K170" s="28" t="str">
        <x:v>The Art &amp; Science of Foodpairing.pdf</x:v>
      </x:c>
      <x:c r="L170" s="28" t="str">
        <x:v>The Art &amp; Science of Foodpairing.pdf: 370</x:v>
      </x:c>
    </x:row>
    <x:row r="171" ht="62" customHeight="1">
      <x:c r="A171" s="28" t="str">
        <x:v>CIT-0515</x:v>
      </x:c>
      <x:c r="B171" s="28" t="str">
        <x:v>лимонный сок</x:v>
      </x:c>
      <x:c r="C171" s="28" t="str">
        <x:v>тимьян</x:v>
      </x:c>
      <x:c r="D171" s="28" t="str">
        <x:v>Травы</x:v>
      </x:c>
      <x:c r="E171" s="28" t="str">
        <x:v>перекрытие ароматических семейств, вкусовой баланс, тройничное восприятие</x:v>
      </x:c>
      <x:c r="F171"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7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71" s="28" t="str">
        <x:v>Избыток кислоты делает вкус плоско-резким; белая часть кожуры даёт лишнюю горечь; цитрус легко подавляет деликатный аромат партнёра.</x:v>
      </x:c>
      <x:c r="I171" s="28" t="str">
        <x:v>лимонад, кордиал, салатная заправка или зелёный соус</x:v>
      </x:c>
      <x:c r="J171" s="28" t="str">
        <x:v>Средняя</x:v>
      </x:c>
      <x:c r="K171" s="28" t="str">
        <x:v>The Art &amp; Science of Foodpairing.pdf</x:v>
      </x:c>
      <x:c r="L171" s="28" t="str">
        <x:v>The Art &amp; Science of Foodpairing.pdf: 370</x:v>
      </x:c>
    </x:row>
    <x:row r="172" ht="62" customHeight="1">
      <x:c r="A172" s="28" t="str">
        <x:v>CIT-0516</x:v>
      </x:c>
      <x:c r="B172" s="28" t="str">
        <x:v>лимонный сок</x:v>
      </x:c>
      <x:c r="C172" s="28" t="str">
        <x:v>устрица</x:v>
      </x:c>
      <x:c r="D172" s="28" t="str">
        <x:v>Рыба и морепродукты</x:v>
      </x:c>
      <x:c r="E172" s="28" t="str">
        <x:v>вкусовой баланс, влияние матрицы/растворимости</x:v>
      </x:c>
      <x:c r="F172"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Устрица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7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72" s="28" t="str">
        <x:v>Избыток кислоты делает вкус плоско-резким; белая часть кожуры даёт лишнюю горечь; слишком долгая маринация ухудшает текстуру.</x:v>
      </x:c>
      <x:c r="I172" s="28" t="str">
        <x:v>севиче, маринад, beurre blanc, тартар или салат</x:v>
      </x:c>
      <x:c r="J172" s="28" t="str">
        <x:v>Средняя</x:v>
      </x:c>
      <x:c r="K172" s="28" t="str">
        <x:v>The Art &amp; Science of Foodpairing.pdf</x:v>
      </x:c>
      <x:c r="L172" s="28" t="str">
        <x:v>The Art &amp; Science of Foodpairing.pdf: 370</x:v>
      </x:c>
    </x:row>
    <x:row r="173" ht="62" customHeight="1">
      <x:c r="A173" s="28" t="str">
        <x:v>CIT-0526</x:v>
      </x:c>
      <x:c r="B173" s="28" t="str">
        <x:v>лимончелло</x:v>
      </x:c>
      <x:c r="C173" s="28" t="str">
        <x:v>отварное мясо краба</x:v>
      </x:c>
      <x:c r="D173" s="28" t="str">
        <x:v>Рыба и морепродукты</x:v>
      </x:c>
      <x:c r="E173" s="28" t="str">
        <x:v>вкусовой баланс, влияние матрицы/растворимости</x:v>
      </x:c>
      <x:c r="F173"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Отварное мясо краба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73"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73" s="28" t="str">
        <x:v>Избыток кислоты делает вкус плоско-резким; белая часть кожуры даёт лишнюю горечь; слишком долгая маринация ухудшает текстуру.</x:v>
      </x:c>
      <x:c r="I173" s="28" t="str">
        <x:v>севиче, маринад, beurre blanc, тартар или салат</x:v>
      </x:c>
      <x:c r="J173" s="28" t="str">
        <x:v>Средняя</x:v>
      </x:c>
      <x:c r="K173" s="28" t="str">
        <x:v>The Art &amp; Science of Foodpairing.pdf</x:v>
      </x:c>
      <x:c r="L173" s="28" t="str">
        <x:v>The Art &amp; Science of Foodpairing.pdf: 370</x:v>
      </x:c>
    </x:row>
    <x:row r="174" ht="62" customHeight="1">
      <x:c r="A174" s="28" t="str">
        <x:v>CIT-0528</x:v>
      </x:c>
      <x:c r="B174" s="28" t="str">
        <x:v>лимончелло</x:v>
      </x:c>
      <x:c r="C174" s="28" t="str">
        <x:v>светлый соевый соус широ</x:v>
      </x:c>
      <x:c r="D174" s="28" t="str">
        <x:v>Соусы и ферментированные продукты</x:v>
      </x:c>
      <x:c r="E174" s="28" t="str">
        <x:v>вкусовой баланс, тройничное восприятие</x:v>
      </x:c>
      <x:c r="F174"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Светлый соевый соус широ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Сок определяется цитралем и кислотностью, цедра — лимоненом и терпенами. Цитрус добавляет верхние ноты и может заменить часть уксуса, но избыток кислоты нарушит баланс.</x:v>
      </x:c>
      <x:c r="G17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4" s="28" t="str">
        <x:v>Избыток кислоты делает вкус плоско-резким; белая часть кожуры даёт лишнюю горечь.</x:v>
      </x:c>
      <x:c r="I174" s="28" t="str">
        <x:v>дрессинг, глазурь, чатни, маринад или ферментированный соус</x:v>
      </x:c>
      <x:c r="J174" s="28" t="str">
        <x:v>Средняя</x:v>
      </x:c>
      <x:c r="K174" s="28" t="str">
        <x:v>The Art &amp; Science of Foodpairing.pdf</x:v>
      </x:c>
      <x:c r="L174" s="28" t="str">
        <x:v>The Art &amp; Science of Foodpairing.pdf: 370</x:v>
      </x:c>
    </x:row>
    <x:row r="175" ht="62" customHeight="1">
      <x:c r="A175" s="28" t="str">
        <x:v>CIT-0529</x:v>
      </x:c>
      <x:c r="B175" s="28" t="str">
        <x:v>лимончелло</x:v>
      </x:c>
      <x:c r="C175" s="28" t="str">
        <x:v>сыровяленая ветчина Цзиньхуа</x:v>
      </x:c>
      <x:c r="D175" s="28" t="str">
        <x:v>Молочные продукты</x:v>
      </x:c>
      <x:c r="E175" s="28" t="str">
        <x:v>вкусовой баланс, влияние матрицы/растворимости</x:v>
      </x:c>
      <x:c r="F175"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Сыровяленая ветчина цзиньхуа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G175"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75" s="28" t="str">
        <x:v>Избыток кислоты делает вкус плоско-резким; белая часть кожуры даёт лишнюю горечь; возможна коагуляция белка.</x:v>
      </x:c>
      <x:c r="I175" s="28" t="str">
        <x:v>чизкейк, крем, мороженое, соус или салат</x:v>
      </x:c>
      <x:c r="J175" s="28" t="str">
        <x:v>Средняя</x:v>
      </x:c>
      <x:c r="K175" s="28" t="str">
        <x:v>The Art &amp; Science of Foodpairing.pdf</x:v>
      </x:c>
      <x:c r="L175" s="28" t="str">
        <x:v>The Art &amp; Science of Foodpairing.pdf: 370</x:v>
      </x:c>
    </x:row>
    <x:row r="176" ht="62" customHeight="1">
      <x:c r="A176" s="28" t="str">
        <x:v>CIT-0531</x:v>
      </x:c>
      <x:c r="B176" s="28" t="str">
        <x:v>лимончелло</x:v>
      </x:c>
      <x:c r="C176" s="28" t="str">
        <x:v>устрица</x:v>
      </x:c>
      <x:c r="D176" s="28" t="str">
        <x:v>Рыба и морепродукты</x:v>
      </x:c>
      <x:c r="E176" s="28" t="str">
        <x:v>вкусовой баланс, влияние матрицы/растворимости</x:v>
      </x:c>
      <x:c r="F176"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Устрица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7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76" s="28" t="str">
        <x:v>Избыток кислоты делает вкус плоско-резким; белая часть кожуры даёт лишнюю горечь; слишком долгая маринация ухудшает текстуру.</x:v>
      </x:c>
      <x:c r="I176" s="28" t="str">
        <x:v>севиче, маринад, beurre blanc, тартар или салат</x:v>
      </x:c>
      <x:c r="J176" s="28" t="str">
        <x:v>Средняя</x:v>
      </x:c>
      <x:c r="K176" s="28" t="str">
        <x:v>The Art &amp; Science of Foodpairing.pdf</x:v>
      </x:c>
      <x:c r="L176" s="28" t="str">
        <x:v>The Art &amp; Science of Foodpairing.pdf: 370</x:v>
      </x:c>
    </x:row>
    <x:row r="177" ht="62" customHeight="1">
      <x:c r="A177" s="28" t="str">
        <x:v>CIT-0544</x:v>
      </x:c>
      <x:c r="B177" s="28" t="str">
        <x:v>макрут-лайм</x:v>
      </x:c>
      <x:c r="C177" s="28" t="str">
        <x:v>приготовленный фрике</x:v>
      </x:c>
      <x:c r="D177" s="28" t="str">
        <x:v>Злаки и хлеб</x:v>
      </x:c>
      <x:c r="E177" s="28" t="str">
        <x:v>вкусовой баланс</x:v>
      </x:c>
      <x:c r="F177" s="28" t="str">
        <x:v>Макрут-лайм формирует профиль «цитрусовый, зелёный, травяной, камфорный»; характерные маркеры: лимонен, гамма-терпинен, цитраль, бета-пинен, линалол. Приготовленный фрике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освежает зерновой профиль и создаёт контраст с обжаренными нотами.</x:v>
      </x:c>
      <x:c r="G17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7" s="28" t="str">
        <x:v>Избыток кислоты делает вкус плоско-резким; белая часть кожуры даёт лишнюю горечь.</x:v>
      </x:c>
      <x:c r="I177" s="28" t="str">
        <x:v>кекс, каша, хлеб, крамбл или салат</x:v>
      </x:c>
      <x:c r="J177" s="28" t="str">
        <x:v>Средняя</x:v>
      </x:c>
      <x:c r="K177" s="28" t="str">
        <x:v>The Art &amp; Science of Foodpairing.pdf</x:v>
      </x:c>
      <x:c r="L177" s="28" t="str">
        <x:v>The Art &amp; Science of Foodpairing.pdf: 78</x:v>
      </x:c>
    </x:row>
    <x:row r="178" ht="62" customHeight="1">
      <x:c r="A178" s="28" t="str">
        <x:v>CIT-0546</x:v>
      </x:c>
      <x:c r="B178" s="28" t="str">
        <x:v>мандарин</x:v>
      </x:c>
      <x:c r="C178" s="28" t="str">
        <x:v>баранина</x:v>
      </x:c>
      <x:c r="D178" s="28" t="str">
        <x:v>Мясо и птица</x:v>
      </x:c>
      <x:c r="E178" s="28" t="str">
        <x:v>вкусовой баланс, влияние матрицы/растворимости</x:v>
      </x:c>
      <x:c r="F178" s="28" t="str">
        <x:v>Мандарин формирует профиль «цитрусовый, фруктовый, цветочный, пряный»; характерные маркеры: лимонен, гамма-терпинен, метил-N-метилантранилат, линалол. Баранина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создаёт контраст с реакциями Майяра и освежает мясную матрицу.</x:v>
      </x:c>
      <x:c r="G17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78" s="28" t="str">
        <x:v>Избыток кислоты делает вкус плоско-резким; белая часть кожуры даёт лишнюю горечь; слишком долгая маринация ухудшает текстуру.</x:v>
      </x:c>
      <x:c r="I178" s="28" t="str">
        <x:v>маринад, глазурь, соус, жаркое или салат</x:v>
      </x:c>
      <x:c r="J178" s="28" t="str">
        <x:v>Средняя</x:v>
      </x:c>
      <x:c r="K178" s="28" t="str">
        <x:v>The Art &amp; Science of Foodpairing.pdf</x:v>
      </x:c>
      <x:c r="L178" s="28" t="str">
        <x:v>The Art &amp; Science of Foodpairing.pdf: 273</x:v>
      </x:c>
    </x:row>
    <x:row r="179" ht="62" customHeight="1">
      <x:c r="A179" s="28" t="str">
        <x:v>CIT-0549</x:v>
      </x:c>
      <x:c r="B179" s="28" t="str">
        <x:v>мандарин</x:v>
      </x:c>
      <x:c r="C179" s="28" t="str">
        <x:v>ваниль</x:v>
      </x:c>
      <x:c r="D179" s="28" t="str">
        <x:v>Пряности</x:v>
      </x:c>
      <x:c r="E179" s="28" t="str">
        <x:v>вкусовой баланс</x:v>
      </x:c>
      <x:c r="F179" s="28" t="str">
        <x:v>Мандарин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G17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79" s="28" t="str">
        <x:v>Избыток кислоты делает вкус плоско-резким; белая часть кожуры даёт лишнюю горечь.</x:v>
      </x:c>
      <x:c r="I179" s="28" t="str">
        <x:v>сироп, кордиал, чатни, маринад или пряный десерт</x:v>
      </x:c>
      <x:c r="J179" s="28" t="str">
        <x:v>Гипотеза / практическая</x:v>
      </x:c>
      <x:c r="K179" s="28" t="str">
        <x:v>Таблица сочетания(1).pdf</x:v>
      </x:c>
      <x:c r="L179" s="28" t="str">
        <x:v>Таблица сочетания(1).pdf: 12</x:v>
      </x:c>
    </x:row>
    <x:row r="180" ht="62" customHeight="1">
      <x:c r="A180" s="28" t="str">
        <x:v>CIT-0553</x:v>
      </x:c>
      <x:c r="B180" s="28" t="str">
        <x:v>мандарин</x:v>
      </x:c>
      <x:c r="C180" s="28" t="str">
        <x:v>жареная курица</x:v>
      </x:c>
      <x:c r="D180" s="28" t="str">
        <x:v>Мясо и птица</x:v>
      </x:c>
      <x:c r="E180" s="28" t="str">
        <x:v>вкусовой баланс, влияние матрицы/растворимости</x:v>
      </x:c>
      <x:c r="F180" s="28" t="str">
        <x:v>Мандарин формирует профиль «цитрусовый, фруктовый, цветочный, пряный»; характерные маркеры: лимонен, гамма-терпинен, метил-N-метилантранилат, линалол. Жареная курица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создаёт контраст с реакциями Майяра и освежает мясную матрицу.</x:v>
      </x:c>
      <x:c r="G18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80" s="28" t="str">
        <x:v>Избыток кислоты делает вкус плоско-резким; белая часть кожуры даёт лишнюю горечь; слишком долгая маринация ухудшает текстуру.</x:v>
      </x:c>
      <x:c r="I180" s="28" t="str">
        <x:v>маринад, глазурь, соус, жаркое или салат</x:v>
      </x:c>
      <x:c r="J180" s="28" t="str">
        <x:v>Средняя</x:v>
      </x:c>
      <x:c r="K180" s="28" t="str">
        <x:v>The Art &amp; Science of Foodpairing.pdf</x:v>
      </x:c>
      <x:c r="L180" s="28" t="str">
        <x:v>The Art &amp; Science of Foodpairing.pdf: 273</x:v>
      </x:c>
    </x:row>
    <x:row r="181" ht="62" customHeight="1">
      <x:c r="A181" s="28" t="str">
        <x:v>CIT-0554</x:v>
      </x:c>
      <x:c r="B181" s="28" t="str">
        <x:v>мандарин</x:v>
      </x:c>
      <x:c r="C181" s="28" t="str">
        <x:v>икра</x:v>
      </x:c>
      <x:c r="D181" s="28" t="str">
        <x:v>Рыба и морепродукты</x:v>
      </x:c>
      <x:c r="E181" s="28" t="str">
        <x:v>вкусовой баланс, влияние матрицы/растворимости</x:v>
      </x:c>
      <x:c r="F181" s="28" t="str">
        <x:v>Мандарин формирует профиль «цитрусовый, фруктовый, цветочный, пряный»; характерные маркеры: лимонен, гамма-терпинен, метил-N-метилантранилат, линалол. Икра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уменьшает восприятие жирности и рыбных нот, усиливая свежесть и слюноотделение.</x:v>
      </x:c>
      <x:c r="G18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81" s="28" t="str">
        <x:v>Избыток кислоты делает вкус плоско-резким; белая часть кожуры даёт лишнюю горечь; слишком долгая маринация ухудшает текстуру.</x:v>
      </x:c>
      <x:c r="I181" s="28" t="str">
        <x:v>севиче, маринад, beurre blanc, тартар или салат</x:v>
      </x:c>
      <x:c r="J181" s="28" t="str">
        <x:v>Средняя</x:v>
      </x:c>
      <x:c r="K181" s="28" t="str">
        <x:v>The Art &amp; Science of Foodpairing.pdf</x:v>
      </x:c>
      <x:c r="L181" s="28" t="str">
        <x:v>The Art &amp; Science of Foodpairing.pdf: 273</x:v>
      </x:c>
    </x:row>
    <x:row r="182" ht="62" customHeight="1">
      <x:c r="A182" s="28" t="str">
        <x:v>CIT-0555</x:v>
      </x:c>
      <x:c r="B182" s="28" t="str">
        <x:v>мандарин</x:v>
      </x:c>
      <x:c r="C182" s="28" t="str">
        <x:v>имбирь</x:v>
      </x:c>
      <x:c r="D182" s="28" t="str">
        <x:v>Пряности</x:v>
      </x:c>
      <x:c r="E182" s="28" t="str">
        <x:v>перекрытие ароматических семейств, вкусовой баланс, тройничное восприятие</x:v>
      </x:c>
      <x:c r="F182" s="28" t="str">
        <x:v>Мандарин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18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2" s="28" t="str">
        <x:v>Избыток кислоты делает вкус плоско-резким; белая часть кожуры даёт лишнюю горечь.</x:v>
      </x:c>
      <x:c r="I182" s="28" t="str">
        <x:v>сироп, кордиал, чатни, маринад или пряный десерт</x:v>
      </x:c>
      <x:c r="J182" s="28" t="str">
        <x:v>Гипотеза / практическая</x:v>
      </x:c>
      <x:c r="K182" s="28" t="str">
        <x:v>Таблица сочетания(1).pdf</x:v>
      </x:c>
      <x:c r="L182" s="28" t="str">
        <x:v>Таблица сочетания(1).pdf: 12</x:v>
      </x:c>
    </x:row>
    <x:row r="183" ht="62" customHeight="1">
      <x:c r="A183" s="28" t="str">
        <x:v>CIT-0558</x:v>
      </x:c>
      <x:c r="B183" s="28" t="str">
        <x:v>мандарин</x:v>
      </x:c>
      <x:c r="C183" s="28" t="str">
        <x:v>кардамон</x:v>
      </x:c>
      <x:c r="D183" s="28" t="str">
        <x:v>Пряности</x:v>
      </x:c>
      <x:c r="E183" s="28" t="str">
        <x:v>общие ароматические молекулы, перекрытие ароматических семейств, вкусовой баланс, тройничное восприятие</x:v>
      </x:c>
      <x:c r="F183" s="28" t="str">
        <x:v>Мандарин формирует профиль «цитрусовый, фруктовый, цветочный, пряный»; характерные маркеры: лимонен, гамма-терпинен, метил-N-метилантранилат, линалол.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Кардамон часто служит мостом между цитрусом, цветами и древесными нотами.</x:v>
      </x:c>
      <x:c r="G18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3" s="28" t="str">
        <x:v>Избыток кислоты делает вкус плоско-резким; белая часть кожуры даёт лишнюю горечь.</x:v>
      </x:c>
      <x:c r="I183" s="28" t="str">
        <x:v>сироп, кордиал, чатни, маринад или пряный десерт</x:v>
      </x:c>
      <x:c r="J183" s="28" t="str">
        <x:v>Средняя</x:v>
      </x:c>
      <x:c r="K183" s="28" t="str">
        <x:v>Таблица сочетания(1).pdf</x:v>
      </x:c>
      <x:c r="L183" s="28" t="str">
        <x:v>Таблица сочетания(1).pdf: 12</x:v>
      </x:c>
    </x:row>
    <x:row r="184" ht="62" customHeight="1">
      <x:c r="A184" s="28" t="str">
        <x:v>CIT-0561</x:v>
      </x:c>
      <x:c r="B184" s="28" t="str">
        <x:v>мандарин</x:v>
      </x:c>
      <x:c r="C184" s="28" t="str">
        <x:v>корица</x:v>
      </x:c>
      <x:c r="D184" s="28" t="str">
        <x:v>Пряности</x:v>
      </x:c>
      <x:c r="E184" s="28" t="str">
        <x:v>вкусовой баланс, тройничное восприятие</x:v>
      </x:c>
      <x:c r="F184" s="28" t="str">
        <x:v>Мандарин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G18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4" s="28" t="str">
        <x:v>Избыток кислоты делает вкус плоско-резким; белая часть кожуры даёт лишнюю горечь.</x:v>
      </x:c>
      <x:c r="I184" s="28" t="str">
        <x:v>сироп, кордиал, чатни, маринад или пряный десерт</x:v>
      </x:c>
      <x:c r="J184" s="28" t="str">
        <x:v>Гипотеза / практическая</x:v>
      </x:c>
      <x:c r="K184" s="28" t="str">
        <x:v>Таблица сочетания(1).pdf</x:v>
      </x:c>
      <x:c r="L184" s="28" t="str">
        <x:v>Таблица сочетания(1).pdf: 12</x:v>
      </x:c>
    </x:row>
    <x:row r="185" ht="62" customHeight="1">
      <x:c r="A185" s="28" t="str">
        <x:v>CIT-0563</x:v>
      </x:c>
      <x:c r="B185" s="28" t="str">
        <x:v>мандарин</x:v>
      </x:c>
      <x:c r="C185" s="28" t="str">
        <x:v>лимонный тимьян</x:v>
      </x:c>
      <x:c r="D185" s="28" t="str">
        <x:v>Травы</x:v>
      </x:c>
      <x:c r="E185" s="28" t="str">
        <x:v>вкусовой баланс, тройничное восприятие</x:v>
      </x:c>
      <x:c r="F185" s="28" t="str">
        <x:v>Мандарин формирует профиль «цитрусовый, фруктовый, цветочный, пряный»; характерные маркеры: лимонен, гамма-терпинен, метил-N-метилантранилат, линалол.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18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5" s="28" t="str">
        <x:v>Избыток кислоты делает вкус плоско-резким; белая часть кожуры даёт лишнюю горечь; цитрус легко подавляет деликатный аромат партнёра.</x:v>
      </x:c>
      <x:c r="I185" s="28" t="str">
        <x:v>лимонад, кордиал, салатная заправка или зелёный соус</x:v>
      </x:c>
      <x:c r="J185" s="28" t="str">
        <x:v>Гипотеза / практическая</x:v>
      </x:c>
      <x:c r="K185" s="28" t="str">
        <x:v>Таблица сочетания(1).pdf</x:v>
      </x:c>
      <x:c r="L185" s="28" t="str">
        <x:v>Таблица сочетания(1).pdf: 13</x:v>
      </x:c>
    </x:row>
    <x:row r="186" ht="62" customHeight="1">
      <x:c r="A186" s="28" t="str">
        <x:v>CIT-0568</x:v>
      </x:c>
      <x:c r="B186" s="28" t="str">
        <x:v>мандарин</x:v>
      </x:c>
      <x:c r="C186" s="28" t="str">
        <x:v>мята</x:v>
      </x:c>
      <x:c r="D186" s="28" t="str">
        <x:v>Травы</x:v>
      </x:c>
      <x:c r="E186" s="28" t="str">
        <x:v>вкусовой баланс, тройничное восприятие</x:v>
      </x:c>
      <x:c r="F186" s="28" t="str">
        <x:v>Мандарин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G18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6" s="28" t="str">
        <x:v>Избыток кислоты делает вкус плоско-резким; белая часть кожуры даёт лишнюю горечь; цитрус легко подавляет деликатный аромат партнёра.</x:v>
      </x:c>
      <x:c r="I186" s="28" t="str">
        <x:v>лимонад, кордиал, салатная заправка или зелёный соус</x:v>
      </x:c>
      <x:c r="J186" s="28" t="str">
        <x:v>Гипотеза / практическая</x:v>
      </x:c>
      <x:c r="K186" s="28" t="str">
        <x:v>Таблица сочетания(1).pdf</x:v>
      </x:c>
      <x:c r="L186" s="28" t="str">
        <x:v>Таблица сочетания(1).pdf: 13</x:v>
      </x:c>
    </x:row>
    <x:row r="187" ht="62" customHeight="1">
      <x:c r="A187" s="28" t="str">
        <x:v>CIT-0569</x:v>
      </x:c>
      <x:c r="B187" s="28" t="str">
        <x:v>мандарин</x:v>
      </x:c>
      <x:c r="C187" s="28" t="str">
        <x:v>пастернак</x:v>
      </x:c>
      <x:c r="D187" s="28" t="str">
        <x:v>Овощи</x:v>
      </x:c>
      <x:c r="E187" s="28" t="str">
        <x:v>вкусовой баланс</x:v>
      </x:c>
      <x:c r="F187" s="28" t="str">
        <x:v>Мандарин формирует профиль «цитрусовый, фруктовый, цветочный, пряный»; характерные маркеры: лимонен, гамма-терпинен, метил-N-метилантранилат, линалол. Пастернак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18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7" s="28" t="str">
        <x:v>Избыток кислоты делает вкус плоско-резким; белая часть кожуры даёт лишнюю горечь.</x:v>
      </x:c>
      <x:c r="I187" s="28" t="str">
        <x:v>винегрет, салат, пюре, запечённое блюдо или овощной соус</x:v>
      </x:c>
      <x:c r="J187" s="28" t="str">
        <x:v>Средняя</x:v>
      </x:c>
      <x:c r="K187" s="28" t="str">
        <x:v>The Art &amp; Science of Foodpairing.pdf</x:v>
      </x:c>
      <x:c r="L187" s="28" t="str">
        <x:v>The Art &amp; Science of Foodpairing.pdf: 260</x:v>
      </x:c>
    </x:row>
    <x:row r="188" ht="62" customHeight="1">
      <x:c r="A188" s="28" t="str">
        <x:v>CIT-0570</x:v>
      </x:c>
      <x:c r="B188" s="28" t="str">
        <x:v>мандарин</x:v>
      </x:c>
      <x:c r="C188" s="28" t="str">
        <x:v>перец горошком</x:v>
      </x:c>
      <x:c r="D188" s="28" t="str">
        <x:v>Пряности</x:v>
      </x:c>
      <x:c r="E188" s="28" t="str">
        <x:v>общие ароматические молекулы, перекрытие ароматических семейств, вкусовой баланс, тройничное восприятие</x:v>
      </x:c>
      <x:c r="F188" s="28" t="str">
        <x:v>Мандарин формирует профиль «цитрусовый, фруктовый, цветочный, пряный»; характерные маркеры: лимонен, гамма-терпинен, метил-N-метилантранилат, линалол. Перец горошком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G18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8" s="28" t="str">
        <x:v>Избыток кислоты делает вкус плоско-резким; белая часть кожуры даёт лишнюю горечь.</x:v>
      </x:c>
      <x:c r="I188" s="28" t="str">
        <x:v>сироп, кордиал, чатни, маринад или пряный десерт</x:v>
      </x:c>
      <x:c r="J188" s="28" t="str">
        <x:v>Средняя</x:v>
      </x:c>
      <x:c r="K188" s="28" t="str">
        <x:v>The Art &amp; Science of Foodpairing.pdf</x:v>
      </x:c>
      <x:c r="L188" s="28" t="str">
        <x:v>The Art &amp; Science of Foodpairing.pdf: 273</x:v>
      </x:c>
    </x:row>
    <x:row r="189" ht="62" customHeight="1">
      <x:c r="A189" s="28" t="str">
        <x:v>CIT-0571</x:v>
      </x:c>
      <x:c r="B189" s="28" t="str">
        <x:v>мандарин</x:v>
      </x:c>
      <x:c r="C189" s="28" t="str">
        <x:v>приготовленный чёрный рис</x:v>
      </x:c>
      <x:c r="D189" s="28" t="str">
        <x:v>Злаки и хлеб</x:v>
      </x:c>
      <x:c r="E189" s="28" t="str">
        <x:v>вкусовой баланс</x:v>
      </x:c>
      <x:c r="F189" s="28" t="str">
        <x:v>Мандарин формирует профиль «цитрусовый, фруктовый, цветочный, пряный»; характерные маркеры: лимонен, гамма-терпинен, метил-N-метилантранилат, линалол. Приготовленный чёрный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G18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9" s="28" t="str">
        <x:v>Избыток кислоты делает вкус плоско-резким; белая часть кожуры даёт лишнюю горечь.</x:v>
      </x:c>
      <x:c r="I189" s="28" t="str">
        <x:v>кекс, каша, хлеб, крамбл или салат</x:v>
      </x:c>
      <x:c r="J189" s="28" t="str">
        <x:v>Средняя</x:v>
      </x:c>
      <x:c r="K189" s="28" t="str">
        <x:v>The Art &amp; Science of Foodpairing.pdf</x:v>
      </x:c>
      <x:c r="L189" s="28" t="str">
        <x:v>The Art &amp; Science of Foodpairing.pdf: 273</x:v>
      </x:c>
    </x:row>
    <x:row r="190" ht="62" customHeight="1">
      <x:c r="A190" s="28" t="str">
        <x:v>CIT-0572</x:v>
      </x:c>
      <x:c r="B190" s="28" t="str">
        <x:v>мандарин</x:v>
      </x:c>
      <x:c r="C190" s="28" t="str">
        <x:v>рапсовое масло</x:v>
      </x:c>
      <x:c r="D190" s="28" t="str">
        <x:v>Молочные продукты</x:v>
      </x:c>
      <x:c r="E190" s="28" t="str">
        <x:v>вкусовой баланс, влияние матрицы/растворимости</x:v>
      </x:c>
      <x:c r="F190" s="28" t="str">
        <x:v>Мандарин формирует профиль «цитрусовый, фруктовый, цветочный, пряный»; характерные маркеры: лимонен, гамма-терпинен, метил-N-метилантранилат, линалол. Рапсовое масло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режет жирность и освежает, а молочная матрица смягчает кислотность.</x:v>
      </x:c>
      <x:c r="G190"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90" s="28" t="str">
        <x:v>Избыток кислоты делает вкус плоско-резким; белая часть кожуры даёт лишнюю горечь; возможна коагуляция белка.</x:v>
      </x:c>
      <x:c r="I190" s="28" t="str">
        <x:v>чизкейк, крем, мороженое, соус или салат</x:v>
      </x:c>
      <x:c r="J190" s="28" t="str">
        <x:v>Средняя</x:v>
      </x:c>
      <x:c r="K190" s="28" t="str">
        <x:v>The Art &amp; Science of Foodpairing.pdf</x:v>
      </x:c>
      <x:c r="L190" s="28" t="str">
        <x:v>The Art &amp; Science of Foodpairing.pdf: 273</x:v>
      </x:c>
    </x:row>
    <x:row r="191" ht="62" customHeight="1">
      <x:c r="A191" s="28" t="str">
        <x:v>CIT-0573</x:v>
      </x:c>
      <x:c r="B191" s="28" t="str">
        <x:v>мандарин</x:v>
      </x:c>
      <x:c r="C191" s="28" t="str">
        <x:v>розмарин</x:v>
      </x:c>
      <x:c r="D191" s="28" t="str">
        <x:v>Травы</x:v>
      </x:c>
      <x:c r="E191" s="28" t="str">
        <x:v>вкусовой баланс, тройничное восприятие</x:v>
      </x:c>
      <x:c r="F191" s="28" t="str">
        <x:v>Мандарин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19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1" s="28" t="str">
        <x:v>Избыток кислоты делает вкус плоско-резким; белая часть кожуры даёт лишнюю горечь; цитрус легко подавляет деликатный аромат партнёра.</x:v>
      </x:c>
      <x:c r="I191" s="28" t="str">
        <x:v>лимонад, кордиал, салатная заправка или зелёный соус</x:v>
      </x:c>
      <x:c r="J191" s="28" t="str">
        <x:v>Гипотеза / практическая</x:v>
      </x:c>
      <x:c r="K191" s="28" t="str">
        <x:v>Таблица сочетания(1).pdf</x:v>
      </x:c>
      <x:c r="L191" s="28" t="str">
        <x:v>Таблица сочетания(1).pdf: 13</x:v>
      </x:c>
    </x:row>
    <x:row r="192" ht="62" customHeight="1">
      <x:c r="A192" s="28" t="str">
        <x:v>CIT-0577</x:v>
      </x:c>
      <x:c r="B192" s="28" t="str">
        <x:v>мандарин</x:v>
      </x:c>
      <x:c r="C192" s="28" t="str">
        <x:v>тимьян</x:v>
      </x:c>
      <x:c r="D192" s="28" t="str">
        <x:v>Травы</x:v>
      </x:c>
      <x:c r="E192" s="28" t="str">
        <x:v>вкусовой баланс, тройничное восприятие</x:v>
      </x:c>
      <x:c r="F192" s="28" t="str">
        <x:v>Мандарин формирует профиль «цитрусовый, фруктовый, цветочный, пряный»; характерные маркеры: лимонен, гамма-терпинен, метил-N-метилантранилат, линалол.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19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2" s="28" t="str">
        <x:v>Избыток кислоты делает вкус плоско-резким; белая часть кожуры даёт лишнюю горечь; цитрус легко подавляет деликатный аромат партнёра.</x:v>
      </x:c>
      <x:c r="I192" s="28" t="str">
        <x:v>лимонад, кордиал, салатная заправка или зелёный соус</x:v>
      </x:c>
      <x:c r="J192" s="28" t="str">
        <x:v>Гипотеза / практическая</x:v>
      </x:c>
      <x:c r="K192" s="28" t="str">
        <x:v>Таблица сочетания(1).pdf</x:v>
      </x:c>
      <x:c r="L192" s="28" t="str">
        <x:v>Таблица сочетания(1).pdf: 12</x:v>
      </x:c>
    </x:row>
    <x:row r="193" ht="62" customHeight="1">
      <x:c r="A193" s="28" t="str">
        <x:v>CIT-0581</x:v>
      </x:c>
      <x:c r="B193" s="28" t="str">
        <x:v>мандарин</x:v>
      </x:c>
      <x:c r="C193" s="28" t="str">
        <x:v>шалфей</x:v>
      </x:c>
      <x:c r="D193" s="28" t="str">
        <x:v>Травы</x:v>
      </x:c>
      <x:c r="E193" s="28" t="str">
        <x:v>вкусовой баланс, тройничное восприятие</x:v>
      </x:c>
      <x:c r="F193" s="28" t="str">
        <x:v>Мандарин формирует профиль «цитрусовый, фруктовый, цветочный, пряный»; характерные маркеры: лимонен, гамма-терпинен, метил-N-метилантранилат, линалол. Шалфей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19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3" s="28" t="str">
        <x:v>Избыток кислоты делает вкус плоско-резким; белая часть кожуры даёт лишнюю горечь; цитрус легко подавляет деликатный аромат партнёра.</x:v>
      </x:c>
      <x:c r="I193" s="28" t="str">
        <x:v>лимонад, кордиал, салатная заправка или зелёный соус</x:v>
      </x:c>
      <x:c r="J193" s="28" t="str">
        <x:v>Гипотеза / практическая</x:v>
      </x:c>
      <x:c r="K193" s="28" t="str">
        <x:v>Таблица сочетания(1).pdf</x:v>
      </x:c>
      <x:c r="L193" s="28" t="str">
        <x:v>Таблица сочетания(1).pdf: 13</x:v>
      </x:c>
    </x:row>
    <x:row r="194" ht="62" customHeight="1">
      <x:c r="A194" s="28" t="str">
        <x:v>CIT-0584</x:v>
      </x:c>
      <x:c r="B194" s="28" t="str">
        <x:v>нацумкан</x:v>
      </x:c>
      <x:c r="C194" s="28" t="str">
        <x:v>приготовленный бурый рис</x:v>
      </x:c>
      <x:c r="D194" s="28" t="str">
        <x:v>Злаки и хлеб</x:v>
      </x:c>
      <x:c r="E194" s="28" t="str">
        <x:v>вкусовой баланс</x:v>
      </x:c>
      <x:c r="F194" s="28" t="str">
        <x:v>Нацумкан формирует профиль «нейтральный/специфический»; характерные маркеры: . Приготовленный бурый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освежает зерновой профиль и создаёт контраст с обжаренными нотами.</x:v>
      </x:c>
      <x:c r="G19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4" s="28" t="str">
        <x:v>Избыток кислоты делает вкус плоско-резким; белая часть кожуры даёт лишнюю горечь.</x:v>
      </x:c>
      <x:c r="I194" s="28" t="str">
        <x:v>кекс, каша, хлеб, крамбл или салат</x:v>
      </x:c>
      <x:c r="J194" s="28" t="str">
        <x:v>Средняя</x:v>
      </x:c>
      <x:c r="K194" s="28" t="str">
        <x:v>The Art &amp; Science of Foodpairing.pdf</x:v>
      </x:c>
      <x:c r="L194" s="28" t="str">
        <x:v>The Art &amp; Science of Foodpairing.pdf: 108</x:v>
      </x:c>
    </x:row>
    <x:row r="195" ht="62" customHeight="1">
      <x:c r="A195" s="28" t="str">
        <x:v>CIT-0586</x:v>
      </x:c>
      <x:c r="B195" s="28" t="str">
        <x:v>пальчиковый лайм</x:v>
      </x:c>
      <x:c r="C195" s="28" t="str">
        <x:v>душистый перец</x:v>
      </x:c>
      <x:c r="D195" s="28" t="str">
        <x:v>Пряности</x:v>
      </x:c>
      <x:c r="E195" s="28" t="str">
        <x:v>общие ароматические молекулы, перекрытие ароматических семейств, вкусовой баланс, тройничное восприятие</x:v>
      </x:c>
      <x:c r="F195"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Душистый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Перец добавляет сухую пряность и усиливает яркость цедры.</x:v>
      </x:c>
      <x:c r="G19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5" s="28" t="str">
        <x:v>Избыток кислоты делает вкус плоско-резким; белая часть кожуры даёт лишнюю горечь.</x:v>
      </x:c>
      <x:c r="I195" s="28" t="str">
        <x:v>сироп, кордиал, чатни, маринад или пряный десерт</x:v>
      </x:c>
      <x:c r="J195" s="28" t="str">
        <x:v>Средняя</x:v>
      </x:c>
      <x:c r="K195" s="28" t="str">
        <x:v>The Art &amp; Science of Foodpairing.pdf</x:v>
      </x:c>
      <x:c r="L195" s="28" t="str">
        <x:v>The Art &amp; Science of Foodpairing.pdf: 332</x:v>
      </x:c>
    </x:row>
    <x:row r="196" ht="62" customHeight="1">
      <x:c r="A196" s="28" t="str">
        <x:v>CIT-0588</x:v>
      </x:c>
      <x:c r="B196" s="28" t="str">
        <x:v>пальчиковый лайм</x:v>
      </x:c>
      <x:c r="C196" s="28" t="str">
        <x:v>моцарелла из буйволиного молока</x:v>
      </x:c>
      <x:c r="D196" s="28" t="str">
        <x:v>Молочные продукты</x:v>
      </x:c>
      <x:c r="E196" s="28" t="str">
        <x:v>вкусовой баланс, влияние матрицы/растворимости</x:v>
      </x:c>
      <x:c r="F196"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Моцарелла из буйволиного молока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режет жирность и освежает, а молочная матрица смягчает кислотность.</x:v>
      </x:c>
      <x:c r="G196"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96" s="28" t="str">
        <x:v>Избыток кислоты делает вкус плоско-резким; белая часть кожуры даёт лишнюю горечь; возможна коагуляция белка.</x:v>
      </x:c>
      <x:c r="I196" s="28" t="str">
        <x:v>чизкейк, крем, мороженое, соус или салат</x:v>
      </x:c>
      <x:c r="J196" s="28" t="str">
        <x:v>Средняя</x:v>
      </x:c>
      <x:c r="K196" s="28" t="str">
        <x:v>The Art &amp; Science of Foodpairing.pdf</x:v>
      </x:c>
      <x:c r="L196" s="28" t="str">
        <x:v>The Art &amp; Science of Foodpairing.pdf: 332</x:v>
      </x:c>
    </x:row>
    <x:row r="197" ht="62" customHeight="1">
      <x:c r="A197" s="28" t="str">
        <x:v>CIT-0590</x:v>
      </x:c>
      <x:c r="B197" s="28" t="str">
        <x:v>пальчиковый лайм</x:v>
      </x:c>
      <x:c r="C197" s="28" t="str">
        <x:v>обжаренная свёкла</x:v>
      </x:c>
      <x:c r="D197" s="28" t="str">
        <x:v>Овощи</x:v>
      </x:c>
      <x:c r="E197" s="28" t="str">
        <x:v>перекрытие ароматических семейств, вкусовой баланс</x:v>
      </x:c>
      <x:c r="F197"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Обжаренная свёкла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9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7" s="28" t="str">
        <x:v>Избыток кислоты делает вкус плоско-резким; белая часть кожуры даёт лишнюю горечь.</x:v>
      </x:c>
      <x:c r="I197" s="28" t="str">
        <x:v>винегрет, салат, пюре, запечённое блюдо или овощной соус</x:v>
      </x:c>
      <x:c r="J197" s="28" t="str">
        <x:v>Средняя</x:v>
      </x:c>
      <x:c r="K197" s="28" t="str">
        <x:v>The Art &amp; Science of Foodpairing.pdf</x:v>
      </x:c>
      <x:c r="L197" s="28" t="str">
        <x:v>The Art &amp; Science of Foodpairing.pdf: 332</x:v>
      </x:c>
    </x:row>
    <x:row r="198" ht="62" customHeight="1">
      <x:c r="A198" s="28" t="str">
        <x:v>CIT-0591</x:v>
      </x:c>
      <x:c r="B198" s="28" t="str">
        <x:v>пальчиковый лайм</x:v>
      </x:c>
      <x:c r="C198" s="28" t="str">
        <x:v>припущенное филе трески</x:v>
      </x:c>
      <x:c r="D198" s="28" t="str">
        <x:v>Рыба и морепродукты</x:v>
      </x:c>
      <x:c r="E198" s="28" t="str">
        <x:v>перекрытие ароматических семейств, вкусовой баланс, влияние матрицы/растворимости</x:v>
      </x:c>
      <x:c r="F198"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Припущенное филе трески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G19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98" s="28" t="str">
        <x:v>Избыток кислоты делает вкус плоско-резким; белая часть кожуры даёт лишнюю горечь; слишком долгая маринация ухудшает текстуру.</x:v>
      </x:c>
      <x:c r="I198" s="28" t="str">
        <x:v>севиче, маринад, beurre blanc, тартар или салат</x:v>
      </x:c>
      <x:c r="J198" s="28" t="str">
        <x:v>Средняя</x:v>
      </x:c>
      <x:c r="K198" s="28" t="str">
        <x:v>The Art &amp; Science of Foodpairing.pdf</x:v>
      </x:c>
      <x:c r="L198" s="28" t="str">
        <x:v>The Art &amp; Science of Foodpairing.pdf: 332</x:v>
      </x:c>
    </x:row>
    <x:row r="199" ht="62" customHeight="1">
      <x:c r="A199" s="28" t="str">
        <x:v>CIT-0596</x:v>
      </x:c>
      <x:c r="B199" s="28" t="str">
        <x:v>помело</x:v>
      </x:c>
      <x:c r="C199" s="28" t="str">
        <x:v>говядина сухой выдержки</x:v>
      </x:c>
      <x:c r="D199" s="28" t="str">
        <x:v>Мясо и птица</x:v>
      </x:c>
      <x:c r="E199" s="28" t="str">
        <x:v>перекрытие ароматических семейств, вкусовой баланс, влияние матрицы/растворимости</x:v>
      </x:c>
      <x:c r="F199" s="28" t="str">
        <x:v>Помело формирует профиль «цитрусовый, горький, свежий, сернистый»; характерные маркеры: лимонен, нооткатон, грейпфрутовые тиолы, нарингин. Говядина сухой выдержки относится к группе «мясо и птица» и даёт ноты «жареный, мясной, сернистый, жирный». Прямой общий ключевой одорант из доступных профилей не фиксируется, однако продукты пересекаются на уровне семейств: сернистый.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создаёт контраст с реакциями Майяра и освежает мясную матрицу.</x:v>
      </x:c>
      <x:c r="G19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99" s="28" t="str">
        <x:v>Избыток кислоты делает вкус плоско-резким; белая часть кожуры даёт лишнюю горечь; слишком долгая маринация ухудшает текстуру.</x:v>
      </x:c>
      <x:c r="I199" s="28" t="str">
        <x:v>маринад, глазурь, соус, жаркое или салат</x:v>
      </x:c>
      <x:c r="J199" s="28" t="str">
        <x:v>Средняя</x:v>
      </x:c>
      <x:c r="K199" s="28" t="str">
        <x:v>The Art &amp; Science of Foodpairing.pdf</x:v>
      </x:c>
      <x:c r="L199" s="28" t="str">
        <x:v>The Art &amp; Science of Foodpairing.pdf: 251</x:v>
      </x:c>
    </x:row>
    <x:row r="200" ht="62" customHeight="1">
      <x:c r="A200" s="28" t="str">
        <x:v>CIT-0602</x:v>
      </x:c>
      <x:c r="B200" s="28" t="str">
        <x:v>помело</x:v>
      </x:c>
      <x:c r="C200" s="28" t="str">
        <x:v>коричневая креветка</x:v>
      </x:c>
      <x:c r="D200" s="28" t="str">
        <x:v>Рыба и морепродукты</x:v>
      </x:c>
      <x:c r="E200" s="28" t="str">
        <x:v>вкусовой баланс, влияние матрицы/растворимости</x:v>
      </x:c>
      <x:c r="F200" s="28" t="str">
        <x:v>Помело формирует профиль «цитрусовый, горький, свежий, сернистый»; характерные маркеры: лимонен, нооткатон, грейпфрутовые тиолы, нарингин. Коричневая креветка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уменьшает восприятие жирности и рыбных нот, усиливая свежесть и слюноотделение.</x:v>
      </x:c>
      <x:c r="G20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00" s="28" t="str">
        <x:v>Избыток кислоты делает вкус плоско-резким; белая часть кожуры даёт лишнюю горечь; слишком долгая маринация ухудшает текстуру.</x:v>
      </x:c>
      <x:c r="I200" s="28" t="str">
        <x:v>севиче, маринад, beurre blanc, тартар или салат</x:v>
      </x:c>
      <x:c r="J200" s="28" t="str">
        <x:v>Средняя</x:v>
      </x:c>
      <x:c r="K200" s="28" t="str">
        <x:v>The Art &amp; Science of Foodpairing.pdf</x:v>
      </x:c>
      <x:c r="L200" s="28" t="str">
        <x:v>The Art &amp; Science of Foodpairing.pdf: 350</x:v>
      </x:c>
    </x:row>
    <x:row r="201" ht="62" customHeight="1">
      <x:c r="A201" s="28" t="str">
        <x:v>CIT-0605</x:v>
      </x:c>
      <x:c r="B201" s="28" t="str">
        <x:v>помело</x:v>
      </x:c>
      <x:c r="C201" s="28" t="str">
        <x:v>морской ёж</x:v>
      </x:c>
      <x:c r="D201" s="28" t="str">
        <x:v>Рыба и морепродукты</x:v>
      </x:c>
      <x:c r="E201" s="28" t="str">
        <x:v>вкусовой баланс, влияние матрицы/растворимости</x:v>
      </x:c>
      <x:c r="F201" s="28" t="str">
        <x:v>Помело формирует профиль «цитрусовый, горький, свежий, сернистый»; характерные маркеры: лимонен, нооткатон, грейпфрутовые тиолы, нарингин. Морской ёж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уменьшает восприятие жирности и рыбных нот, усиливая свежесть и слюноотделение.</x:v>
      </x:c>
      <x:c r="G20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01" s="28" t="str">
        <x:v>Избыток кислоты делает вкус плоско-резким; белая часть кожуры даёт лишнюю горечь; слишком долгая маринация ухудшает текстуру.</x:v>
      </x:c>
      <x:c r="I201" s="28" t="str">
        <x:v>севиче, маринад, beurre blanc, тартар или салат</x:v>
      </x:c>
      <x:c r="J201" s="28" t="str">
        <x:v>Средняя</x:v>
      </x:c>
      <x:c r="K201" s="28" t="str">
        <x:v>The Art &amp; Science of Foodpairing.pdf</x:v>
      </x:c>
      <x:c r="L201" s="28" t="str">
        <x:v>The Art &amp; Science of Foodpairing.pdf: 94, 350</x:v>
      </x:c>
    </x:row>
    <x:row r="202" ht="62" customHeight="1">
      <x:c r="A202" s="28" t="str">
        <x:v>CIT-0607</x:v>
      </x:c>
      <x:c r="B202" s="28" t="str">
        <x:v>помело</x:v>
      </x:c>
      <x:c r="C202" s="28" t="str">
        <x:v>паста карри мадрас</x:v>
      </x:c>
      <x:c r="D202" s="28" t="str">
        <x:v>Соусы и ферментированные продукты</x:v>
      </x:c>
      <x:c r="E202" s="28" t="str">
        <x:v>вкусовой баланс, тройничное восприятие</x:v>
      </x:c>
      <x:c r="F202" s="28" t="str">
        <x:v>Помело формирует профиль «цитрусовый, горький, свежий, сернистый»; характерные маркеры: лимонен, нооткатон, грейпфрутовые тиолы, нарингин. Паста карри мадрас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Горечь задают флавоноиды, аромат кожуры — терпены и следовые тиолы. Цитрус добавляет верхние ноты и может заменить часть уксуса, но избыток кислоты нарушит баланс.</x:v>
      </x:c>
      <x:c r="G20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2" s="28" t="str">
        <x:v>Избыток кислоты делает вкус плоско-резким; белая часть кожуры даёт лишнюю горечь.</x:v>
      </x:c>
      <x:c r="I202" s="28" t="str">
        <x:v>дрессинг, глазурь, чатни, маринад или ферментированный соус</x:v>
      </x:c>
      <x:c r="J202" s="28" t="str">
        <x:v>Средняя</x:v>
      </x:c>
      <x:c r="K202" s="28" t="str">
        <x:v>The Art &amp; Science of Foodpairing.pdf</x:v>
      </x:c>
      <x:c r="L202" s="28" t="str">
        <x:v>The Art &amp; Science of Foodpairing.pdf: 312</x:v>
      </x:c>
    </x:row>
    <x:row r="203" ht="62" customHeight="1">
      <x:c r="A203" s="28" t="str">
        <x:v>CIT-0608</x:v>
      </x:c>
      <x:c r="B203" s="28" t="str">
        <x:v>помело</x:v>
      </x:c>
      <x:c r="C203" s="28" t="str">
        <x:v>приготовленная зелёная чечевица</x:v>
      </x:c>
      <x:c r="D203" s="28" t="str">
        <x:v>Овощи</x:v>
      </x:c>
      <x:c r="E203" s="28" t="str">
        <x:v>вкусовой баланс</x:v>
      </x:c>
      <x:c r="F203" s="28" t="str">
        <x:v>Помело формирует профиль «цитрусовый, горький, свежий, сернистый»; характерные маркеры: лимонен, нооткатон, грейпфрутовые тиолы, нарингин. Приготовленная зелёная чечевица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Горечь задают флавоноиды, аромат кожуры — терпены и следовые тиолы. Кислота подчёркивает сладость овощей и сокращает землистое или сернистое послевкусие.</x:v>
      </x:c>
      <x:c r="G20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3" s="28" t="str">
        <x:v>Избыток кислоты делает вкус плоско-резким; белая часть кожуры даёт лишнюю горечь.</x:v>
      </x:c>
      <x:c r="I203" s="28" t="str">
        <x:v>винегрет, салат, пюре, запечённое блюдо или овощной соус</x:v>
      </x:c>
      <x:c r="J203" s="28" t="str">
        <x:v>Средняя</x:v>
      </x:c>
      <x:c r="K203" s="28" t="str">
        <x:v>The Art &amp; Science of Foodpairing.pdf</x:v>
      </x:c>
      <x:c r="L203" s="28" t="str">
        <x:v>The Art &amp; Science of Foodpairing.pdf: 350</x:v>
      </x:c>
    </x:row>
    <x:row r="204" ht="62" customHeight="1">
      <x:c r="A204" s="28" t="str">
        <x:v>CIT-0612</x:v>
      </x:c>
      <x:c r="B204" s="28" t="str">
        <x:v>пюре юдзу</x:v>
      </x:c>
      <x:c r="C204" s="28" t="str">
        <x:v>телячий бульон</x:v>
      </x:c>
      <x:c r="D204" s="28" t="str">
        <x:v>Мясо и птица</x:v>
      </x:c>
      <x:c r="E204" s="28" t="str">
        <x:v>вкусовой баланс, влияние матрицы/растворимости</x:v>
      </x:c>
      <x:c r="F204" s="28" t="str">
        <x:v>Пюре юдзу формирует профиль «цитрусовый, зелёный, травяной, камфорный»; характерные маркеры: лимонен, гамма-терпинен, цитраль, бета-пинен, линалол. Телячий бульон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G20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04" s="28" t="str">
        <x:v>Избыток кислоты делает вкус плоско-резким; белая часть кожуры даёт лишнюю горечь; слишком долгая маринация ухудшает текстуру.</x:v>
      </x:c>
      <x:c r="I204" s="28" t="str">
        <x:v>маринад, глазурь, соус, жаркое или салат</x:v>
      </x:c>
      <x:c r="J204" s="28" t="str">
        <x:v>Средняя</x:v>
      </x:c>
      <x:c r="K204" s="28" t="str">
        <x:v>The Art &amp; Science of Foodpairing.pdf</x:v>
      </x:c>
      <x:c r="L204" s="28" t="str">
        <x:v>The Art &amp; Science of Foodpairing.pdf: 256</x:v>
      </x:c>
    </x:row>
    <x:row r="205" ht="62" customHeight="1">
      <x:c r="A205" s="28" t="str">
        <x:v>CIT-0613</x:v>
      </x:c>
      <x:c r="B205" s="28" t="str">
        <x:v>сок лайма</x:v>
      </x:c>
      <x:c r="C205" s="28" t="str">
        <x:v>базилик</x:v>
      </x:c>
      <x:c r="D205" s="28" t="str">
        <x:v>Травы</x:v>
      </x:c>
      <x:c r="E205" s="28" t="str">
        <x:v>общие ароматические молекулы, перекрытие ароматических семейств, вкусовой баланс</x:v>
      </x:c>
      <x:c r="F205" s="28" t="str">
        <x:v>Сок лайма формирует профиль «цитрусовый, зелёный, травяной, камфорный»; характерные маркеры: лимонен, гамма-терпинен, цитраль, бета-пинен,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зелёный.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Базилик и эстрагон могут связать цитрус с фруктами, томатом и сливочными матрицами.</x:v>
      </x:c>
      <x:c r="G20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05" s="28" t="str">
        <x:v>Избыток кислоты делает вкус плоско-резким; белая часть кожуры даёт лишнюю горечь; цитрус легко подавляет деликатный аромат партнёра.</x:v>
      </x:c>
      <x:c r="I205" s="28" t="str">
        <x:v>лимонад, кордиал, салатная заправка или зелёный соус</x:v>
      </x:c>
      <x:c r="J205" s="28" t="str">
        <x:v>Средняя</x:v>
      </x:c>
      <x:c r="K205" s="28" t="str">
        <x:v>The Art &amp; Science of Foodpairing.pdf</x:v>
      </x:c>
      <x:c r="L205" s="28" t="str">
        <x:v>The Art &amp; Science of Foodpairing.pdf: 87</x:v>
      </x:c>
    </x:row>
    <x:row r="206" ht="62" customHeight="1">
      <x:c r="A206" s="28" t="str">
        <x:v>CIT-0614</x:v>
      </x:c>
      <x:c r="B206" s="28" t="str">
        <x:v>сок лайма</x:v>
      </x:c>
      <x:c r="C206" s="28" t="str">
        <x:v>галангал</x:v>
      </x:c>
      <x:c r="D206" s="28" t="str">
        <x:v>Пряности</x:v>
      </x:c>
      <x:c r="E206" s="28" t="str">
        <x:v>общие ароматические молекулы, перекрытие ароматических семейств, вкусовой баланс, тройничное восприятие</x:v>
      </x:c>
      <x:c r="F206" s="28" t="str">
        <x:v>Сок лайма формирует профиль «цитрусовый, зелёный, травяной, камфорный»; характерные маркеры: лимонен, гамма-терпинен, цитраль, бета-пинен, линалол.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20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06" s="28" t="str">
        <x:v>Избыток кислоты делает вкус плоско-резким; белая часть кожуры даёт лишнюю горечь.</x:v>
      </x:c>
      <x:c r="I206" s="28" t="str">
        <x:v>сироп, кордиал, чатни, маринад или пряный десерт</x:v>
      </x:c>
      <x:c r="J206" s="28" t="str">
        <x:v>Средняя</x:v>
      </x:c>
      <x:c r="K206" s="28" t="str">
        <x:v>The Art &amp; Science of Foodpairing.pdf</x:v>
      </x:c>
      <x:c r="L206" s="28" t="str">
        <x:v>The Art &amp; Science of Foodpairing.pdf: 87</x:v>
      </x:c>
    </x:row>
    <x:row r="207" ht="62" customHeight="1">
      <x:c r="A207" s="28" t="str">
        <x:v>CIT-0620</x:v>
      </x:c>
      <x:c r="B207" s="28" t="str">
        <x:v>сок лайма</x:v>
      </x:c>
      <x:c r="C207" s="28" t="str">
        <x:v>отварная морковь</x:v>
      </x:c>
      <x:c r="D207" s="28" t="str">
        <x:v>Овощи</x:v>
      </x:c>
      <x:c r="E207" s="28" t="str">
        <x:v>перекрытие ароматических семейств, вкусовой баланс</x:v>
      </x:c>
      <x:c r="F207" s="28" t="str">
        <x:v>Сок лайма формирует профиль «цитрусовый, зелёный, травяной, камфорный»; характерные маркеры: лимонен, гамма-терпинен, цитраль, бета-пинен, линалол. Отварная морковь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20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7" s="28" t="str">
        <x:v>Избыток кислоты делает вкус плоско-резким; белая часть кожуры даёт лишнюю горечь.</x:v>
      </x:c>
      <x:c r="I207" s="28" t="str">
        <x:v>винегрет, салат, пюре, запечённое блюдо или овощной соус</x:v>
      </x:c>
      <x:c r="J207" s="28" t="str">
        <x:v>Средняя</x:v>
      </x:c>
      <x:c r="K207" s="28" t="str">
        <x:v>The Art &amp; Science of Foodpairing.pdf</x:v>
      </x:c>
      <x:c r="L207" s="28" t="str">
        <x:v>The Art &amp; Science of Foodpairing.pdf: 87</x:v>
      </x:c>
    </x:row>
    <x:row r="208" ht="62" customHeight="1">
      <x:c r="A208" s="28" t="str">
        <x:v>CIT-0621</x:v>
      </x:c>
      <x:c r="B208" s="28" t="str">
        <x:v>сок лайма</x:v>
      </x:c>
      <x:c r="C208" s="28" t="str">
        <x:v>отварной пастернак</x:v>
      </x:c>
      <x:c r="D208" s="28" t="str">
        <x:v>Овощи</x:v>
      </x:c>
      <x:c r="E208" s="28" t="str">
        <x:v>перекрытие ароматических семейств, вкусовой баланс</x:v>
      </x:c>
      <x:c r="F208" s="28" t="str">
        <x:v>Сок лайма формирует профиль «цитрусовый, зелёный, травяной, камфорный»; характерные маркеры: лимонен, гамма-терпинен, цитраль, бета-пинен, линалол. Отварной пастернак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20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8" s="28" t="str">
        <x:v>Избыток кислоты делает вкус плоско-резким; белая часть кожуры даёт лишнюю горечь.</x:v>
      </x:c>
      <x:c r="I208" s="28" t="str">
        <x:v>винегрет, салат, пюре, запечённое блюдо или овощной соус</x:v>
      </x:c>
      <x:c r="J208" s="28" t="str">
        <x:v>Средняя</x:v>
      </x:c>
      <x:c r="K208" s="28" t="str">
        <x:v>The Art &amp; Science of Foodpairing.pdf</x:v>
      </x:c>
      <x:c r="L208" s="28" t="str">
        <x:v>The Art &amp; Science of Foodpairing.pdf: 87</x:v>
      </x:c>
    </x:row>
    <x:row r="209" ht="62" customHeight="1">
      <x:c r="A209" s="28" t="str">
        <x:v>CIT-0622</x:v>
      </x:c>
      <x:c r="B209" s="28" t="str">
        <x:v>сок лайма</x:v>
      </x:c>
      <x:c r="C209" s="28" t="str">
        <x:v>приготовленный бурый рис</x:v>
      </x:c>
      <x:c r="D209" s="28" t="str">
        <x:v>Злаки и хлеб</x:v>
      </x:c>
      <x:c r="E209" s="28" t="str">
        <x:v>вкусовой баланс</x:v>
      </x:c>
      <x:c r="F209" s="28" t="str">
        <x:v>Сок лайма формирует профиль «цитрусовый, зелёный, травяной, камфорный»; характерные маркеры: лимонен, гамма-терпинен, цитраль, бета-пинен, линалол. Приготовленный бурый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освежает зерновой профиль и создаёт контраст с обжаренными нотами.</x:v>
      </x:c>
      <x:c r="G20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9" s="28" t="str">
        <x:v>Избыток кислоты делает вкус плоско-резким; белая часть кожуры даёт лишнюю горечь.</x:v>
      </x:c>
      <x:c r="I209" s="28" t="str">
        <x:v>кекс, каша, хлеб, крамбл или салат</x:v>
      </x:c>
      <x:c r="J209" s="28" t="str">
        <x:v>Средняя</x:v>
      </x:c>
      <x:c r="K209" s="28" t="str">
        <x:v>The Art &amp; Science of Foodpairing.pdf</x:v>
      </x:c>
      <x:c r="L209" s="28" t="str">
        <x:v>The Art &amp; Science of Foodpairing.pdf: 108</x:v>
      </x:c>
    </x:row>
    <x:row r="210" ht="62" customHeight="1">
      <x:c r="A210" s="28" t="str">
        <x:v>CIT-0624</x:v>
      </x:c>
      <x:c r="B210" s="28" t="str">
        <x:v>сок лайма</x:v>
      </x:c>
      <x:c r="C210" s="28" t="str">
        <x:v>чеддер</x:v>
      </x:c>
      <x:c r="D210" s="28" t="str">
        <x:v>Молочные продукты</x:v>
      </x:c>
      <x:c r="E210" s="28" t="str">
        <x:v>вкусовой баланс, влияние матрицы/растворимости</x:v>
      </x:c>
      <x:c r="F210" s="28" t="str">
        <x:v>Сок лайма формирует профиль «цитрусовый, зелёный, травяной, камфорный»; характерные маркеры: лимонен, гамма-терпинен, цитраль, бета-пинен, линалол. Чеддер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режет жирность и освежает, а молочная матрица смягчает кислотность.</x:v>
      </x:c>
      <x:c r="G210"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210" s="28" t="str">
        <x:v>Избыток кислоты делает вкус плоско-резким; белая часть кожуры даёт лишнюю горечь; возможна коагуляция белка.</x:v>
      </x:c>
      <x:c r="I210" s="28" t="str">
        <x:v>чизкейк, крем, мороженое, соус или салат</x:v>
      </x:c>
      <x:c r="J210" s="28" t="str">
        <x:v>Средняя</x:v>
      </x:c>
      <x:c r="K210" s="28" t="str">
        <x:v>The Art &amp; Science of Foodpairing.pdf</x:v>
      </x:c>
      <x:c r="L210" s="28" t="str">
        <x:v>The Art &amp; Science of Foodpairing.pdf: 87</x:v>
      </x:c>
    </x:row>
    <x:row r="211" ht="62" customHeight="1">
      <x:c r="A211" s="28" t="str">
        <x:v>CIT-0632</x:v>
      </x:c>
      <x:c r="B211" s="28" t="str">
        <x:v>танжерин</x:v>
      </x:c>
      <x:c r="C211" s="28" t="str">
        <x:v>лук-порей на пару</x:v>
      </x:c>
      <x:c r="D211" s="28" t="str">
        <x:v>Овощи</x:v>
      </x:c>
      <x:c r="E211" s="28" t="str">
        <x:v>вкусовой баланс</x:v>
      </x:c>
      <x:c r="F211" s="28" t="str">
        <x:v>Танжерин формирует профиль «цитрусовый, фруктовый, цветочный, пряный»; характерные маркеры: лимонен, гамма-терпинен, метил-N-метилантранилат, линалол. Лук-порей на пару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21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11" s="28" t="str">
        <x:v>Избыток кислоты делает вкус плоско-резким; белая часть кожуры даёт лишнюю горечь.</x:v>
      </x:c>
      <x:c r="I211" s="28" t="str">
        <x:v>винегрет, салат, пюре, запечённое блюдо или овощной соус</x:v>
      </x:c>
      <x:c r="J211" s="28" t="str">
        <x:v>Средняя</x:v>
      </x:c>
      <x:c r="K211" s="28" t="str">
        <x:v>The Art &amp; Science of Foodpairing.pdf</x:v>
      </x:c>
      <x:c r="L211" s="28" t="str">
        <x:v>The Art &amp; Science of Foodpairing.pdf: 123</x:v>
      </x:c>
    </x:row>
    <x:row r="212" ht="62" customHeight="1">
      <x:c r="A212" s="28" t="str">
        <x:v>CIT-0634</x:v>
      </x:c>
      <x:c r="B212" s="28" t="str">
        <x:v>танжерин</x:v>
      </x:c>
      <x:c r="C212" s="28" t="str">
        <x:v>молодой чеддер</x:v>
      </x:c>
      <x:c r="D212" s="28" t="str">
        <x:v>Молочные продукты</x:v>
      </x:c>
      <x:c r="E212" s="28" t="str">
        <x:v>вкусовой баланс, влияние матрицы/растворимости</x:v>
      </x:c>
      <x:c r="F212" s="28" t="str">
        <x:v>Танжерин формирует профиль «цитрусовый, фруктовый, цветочный, пряный»; характерные маркеры: лимонен, гамма-терпинен, метил-N-метилантранилат, линалол. Молодой чеддер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режет жирность и освежает, а молочная матрица смягчает кислотность.</x:v>
      </x:c>
      <x:c r="G212"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212" s="28" t="str">
        <x:v>Избыток кислоты делает вкус плоско-резким; белая часть кожуры даёт лишнюю горечь; возможна коагуляция белка.</x:v>
      </x:c>
      <x:c r="I212" s="28" t="str">
        <x:v>чизкейк, крем, мороженое, соус или салат</x:v>
      </x:c>
      <x:c r="J212" s="28" t="str">
        <x:v>Средняя</x:v>
      </x:c>
      <x:c r="K212" s="28" t="str">
        <x:v>The Art &amp; Science of Foodpairing.pdf</x:v>
      </x:c>
      <x:c r="L212" s="28" t="str">
        <x:v>The Art &amp; Science of Foodpairing.pdf: 52</x:v>
      </x:c>
    </x:row>
    <x:row r="213" ht="62" customHeight="1">
      <x:c r="A213" s="28" t="str">
        <x:v>CIT-0642</x:v>
      </x:c>
      <x:c r="B213" s="28" t="str">
        <x:v>танжерин</x:v>
      </x:c>
      <x:c r="C213" s="28" t="str">
        <x:v>соус чили</x:v>
      </x:c>
      <x:c r="D213" s="28" t="str">
        <x:v>Пряности</x:v>
      </x:c>
      <x:c r="E213" s="28" t="str">
        <x:v>перекрытие ароматических семейств, вкусовой баланс, тройничное восприятие</x:v>
      </x:c>
      <x:c r="F213" s="28" t="str">
        <x:v>Танжерин формирует профиль «цитрусовый, фруктовый, цветочный, пряный»; характерные маркеры: лимонен, гамма-терпинен, метил-N-метилантранилат, линалол. Соус чили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пряный, фруктовый.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Фруктовые чили могут поддерживать цитрусовые эфиры, но острота требует баланса.</x:v>
      </x:c>
      <x:c r="G21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3"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213" s="28" t="str">
        <x:v>сироп, кордиал, чатни, маринад или пряный десерт</x:v>
      </x:c>
      <x:c r="J213" s="28" t="str">
        <x:v>Средняя</x:v>
      </x:c>
      <x:c r="K213" s="28" t="str">
        <x:v>The Art &amp; Science of Foodpairing.pdf</x:v>
      </x:c>
      <x:c r="L213" s="28" t="str">
        <x:v>The Art &amp; Science of Foodpairing.pdf: 123</x:v>
      </x:c>
    </x:row>
    <x:row r="214" ht="62" customHeight="1">
      <x:c r="A214" s="28" t="str">
        <x:v>CIT-0643</x:v>
      </x:c>
      <x:c r="B214" s="28" t="str">
        <x:v>танжерин</x:v>
      </x:c>
      <x:c r="C214" s="28" t="str">
        <x:v>сушёный барбарис</x:v>
      </x:c>
      <x:c r="D214" s="28" t="str">
        <x:v>Злаки и хлеб</x:v>
      </x:c>
      <x:c r="E214" s="28" t="str">
        <x:v>вкусовой баланс</x:v>
      </x:c>
      <x:c r="F214" s="28" t="str">
        <x:v>Танжерин формирует профиль «цитрусовый, фруктовый, цветочный, пряный»; характерные маркеры: лимонен, гамма-терпинен, метил-N-метилантранилат, линалол. Сушёный барбарис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G21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14" s="28" t="str">
        <x:v>Избыток кислоты делает вкус плоско-резким; белая часть кожуры даёт лишнюю горечь.</x:v>
      </x:c>
      <x:c r="I214" s="28" t="str">
        <x:v>кекс, каша, хлеб, крамбл или салат</x:v>
      </x:c>
      <x:c r="J214" s="28" t="str">
        <x:v>Средняя</x:v>
      </x:c>
      <x:c r="K214" s="28" t="str">
        <x:v>The Art &amp; Science of Foodpairing.pdf</x:v>
      </x:c>
      <x:c r="L214" s="28" t="str">
        <x:v>The Art &amp; Science of Foodpairing.pdf: 123</x:v>
      </x:c>
    </x:row>
    <x:row r="215" ht="62" customHeight="1">
      <x:c r="A215" s="28" t="str">
        <x:v>CIT-0646</x:v>
      </x:c>
      <x:c r="B215" s="28" t="str">
        <x:v>танжерин (tangerine)</x:v>
      </x:c>
      <x:c r="C215" s="28" t="str">
        <x:v>базилик</x:v>
      </x:c>
      <x:c r="D215" s="28" t="str">
        <x:v>Травы</x:v>
      </x:c>
      <x:c r="E215" s="28" t="str">
        <x:v>общие ароматические молекулы, перекрытие ароматических семейств, вкусовой баланс</x:v>
      </x:c>
      <x:c r="F215"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пряный, цветочный.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Базилик и эстрагон могут связать цитрус с фруктами, томатом и сливочными матрицами.</x:v>
      </x:c>
      <x:c r="G21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5" s="28" t="str">
        <x:v>Избыток кислоты делает вкус плоско-резким; белая часть кожуры даёт лишнюю горечь; цитрус легко подавляет деликатный аромат партнёра.</x:v>
      </x:c>
      <x:c r="I215" s="28" t="str">
        <x:v>лимонад, кордиал, салатная заправка или зелёный соус</x:v>
      </x:c>
      <x:c r="J215" s="28" t="str">
        <x:v>Средняя</x:v>
      </x:c>
      <x:c r="K215" s="28" t="str">
        <x:v>Таблица сочетания(1).pdf</x:v>
      </x:c>
      <x:c r="L215" s="28" t="str">
        <x:v>Таблица сочетания(1).pdf: 21</x:v>
      </x:c>
    </x:row>
    <x:row r="216" ht="62" customHeight="1">
      <x:c r="A216" s="28" t="str">
        <x:v>CIT-0647</x:v>
      </x:c>
      <x:c r="B216" s="28" t="str">
        <x:v>танжерин (tangerine)</x:v>
      </x:c>
      <x:c r="C216" s="28" t="str">
        <x:v>ваниль</x:v>
      </x:c>
      <x:c r="D216" s="28" t="str">
        <x:v>Пряности</x:v>
      </x:c>
      <x:c r="E216" s="28" t="str">
        <x:v>вкусовой баланс</x:v>
      </x:c>
      <x:c r="F216"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G21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6" s="28" t="str">
        <x:v>Избыток кислоты делает вкус плоско-резким; белая часть кожуры даёт лишнюю горечь.</x:v>
      </x:c>
      <x:c r="I216" s="28" t="str">
        <x:v>сироп, кордиал, чатни, маринад или пряный десерт</x:v>
      </x:c>
      <x:c r="J216" s="28" t="str">
        <x:v>Гипотеза / практическая</x:v>
      </x:c>
      <x:c r="K216" s="28" t="str">
        <x:v>Таблица сочетания(1).pdf</x:v>
      </x:c>
      <x:c r="L216" s="28" t="str">
        <x:v>Таблица сочетания(1).pdf: 21</x:v>
      </x:c>
    </x:row>
    <x:row r="217" ht="62" customHeight="1">
      <x:c r="A217" s="28" t="str">
        <x:v>CIT-0648</x:v>
      </x:c>
      <x:c r="B217" s="28" t="str">
        <x:v>танжерин (tangerine)</x:v>
      </x:c>
      <x:c r="C217" s="28" t="str">
        <x:v>имбирь</x:v>
      </x:c>
      <x:c r="D217" s="28" t="str">
        <x:v>Пряности</x:v>
      </x:c>
      <x:c r="E217" s="28" t="str">
        <x:v>перекрытие ароматических семейств, вкусовой баланс, тройничное восприятие</x:v>
      </x:c>
      <x:c r="F217"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21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7" s="28" t="str">
        <x:v>Избыток кислоты делает вкус плоско-резким; белая часть кожуры даёт лишнюю горечь.</x:v>
      </x:c>
      <x:c r="I217" s="28" t="str">
        <x:v>сироп, кордиал, чатни, маринад или пряный десерт</x:v>
      </x:c>
      <x:c r="J217" s="28" t="str">
        <x:v>Гипотеза / практическая</x:v>
      </x:c>
      <x:c r="K217" s="28" t="str">
        <x:v>Таблица сочетания(1).pdf</x:v>
      </x:c>
      <x:c r="L217" s="28" t="str">
        <x:v>Таблица сочетания(1).pdf: 21</x:v>
      </x:c>
    </x:row>
    <x:row r="218" ht="62" customHeight="1">
      <x:c r="A218" s="28" t="str">
        <x:v>CIT-0650</x:v>
      </x:c>
      <x:c r="B218" s="28" t="str">
        <x:v>танжерин (tangerine)</x:v>
      </x:c>
      <x:c r="C218" s="28" t="str">
        <x:v>корица</x:v>
      </x:c>
      <x:c r="D218" s="28" t="str">
        <x:v>Пряности</x:v>
      </x:c>
      <x:c r="E218" s="28" t="str">
        <x:v>вкусовой баланс, тройничное восприятие</x:v>
      </x:c>
      <x:c r="F218"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G21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8" s="28" t="str">
        <x:v>Избыток кислоты делает вкус плоско-резким; белая часть кожуры даёт лишнюю горечь.</x:v>
      </x:c>
      <x:c r="I218" s="28" t="str">
        <x:v>сироп, кордиал, чатни, маринад или пряный десерт</x:v>
      </x:c>
      <x:c r="J218" s="28" t="str">
        <x:v>Гипотеза / практическая</x:v>
      </x:c>
      <x:c r="K218" s="28" t="str">
        <x:v>Таблица сочетания(1).pdf</x:v>
      </x:c>
      <x:c r="L218" s="28" t="str">
        <x:v>Таблица сочетания(1).pdf: 21</x:v>
      </x:c>
    </x:row>
    <x:row r="219" ht="62" customHeight="1">
      <x:c r="A219" s="28" t="str">
        <x:v>CIT-0652</x:v>
      </x:c>
      <x:c r="B219" s="28" t="str">
        <x:v>танжерин (tangerine)</x:v>
      </x:c>
      <x:c r="C219" s="28" t="str">
        <x:v>мята</x:v>
      </x:c>
      <x:c r="D219" s="28" t="str">
        <x:v>Травы</x:v>
      </x:c>
      <x:c r="E219" s="28" t="str">
        <x:v>вкусовой баланс, тройничное восприятие</x:v>
      </x:c>
      <x:c r="F219"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G21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9" s="28" t="str">
        <x:v>Избыток кислоты делает вкус плоско-резким; белая часть кожуры даёт лишнюю горечь; цитрус легко подавляет деликатный аромат партнёра.</x:v>
      </x:c>
      <x:c r="I219" s="28" t="str">
        <x:v>лимонад, кордиал, салатная заправка или зелёный соус</x:v>
      </x:c>
      <x:c r="J219" s="28" t="str">
        <x:v>Гипотеза / практическая</x:v>
      </x:c>
      <x:c r="K219" s="28" t="str">
        <x:v>Таблица сочетания(1).pdf</x:v>
      </x:c>
      <x:c r="L219" s="28" t="str">
        <x:v>Таблица сочетания(1).pdf: 21</x:v>
      </x:c>
    </x:row>
    <x:row r="220" ht="62" customHeight="1">
      <x:c r="A220" s="28" t="str">
        <x:v>CIT-0661</x:v>
      </x:c>
      <x:c r="B220" s="28" t="str">
        <x:v>цедра танжерина</x:v>
      </x:c>
      <x:c r="C220" s="28" t="str">
        <x:v>молотый чёрный перец</x:v>
      </x:c>
      <x:c r="D220" s="28" t="str">
        <x:v>Пряности</x:v>
      </x:c>
      <x:c r="E220" s="28" t="str">
        <x:v>общие ароматические молекулы, перекрытие ароматических семейств, вкусовой баланс, тройничное восприятие</x:v>
      </x:c>
      <x:c r="F220"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Молотый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G22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20" s="28" t="str">
        <x:v>Избыток кислоты делает вкус плоско-резким; белая часть кожуры даёт лишнюю горечь.</x:v>
      </x:c>
      <x:c r="I220" s="28" t="str">
        <x:v>сироп, кордиал, чатни, маринад или пряный десерт</x:v>
      </x:c>
      <x:c r="J220" s="28" t="str">
        <x:v>Средняя</x:v>
      </x:c>
      <x:c r="K220" s="28" t="str">
        <x:v>The Art &amp; Science of Foodpairing.pdf</x:v>
      </x:c>
      <x:c r="L220" s="28" t="str">
        <x:v>The Art &amp; Science of Foodpairing.pdf: 228</x:v>
      </x:c>
    </x:row>
    <x:row r="221" ht="62" customHeight="1">
      <x:c r="A221" s="28" t="str">
        <x:v>CIT-0662</x:v>
      </x:c>
      <x:c r="B221" s="28" t="str">
        <x:v>цедра танжерина</x:v>
      </x:c>
      <x:c r="C221" s="28" t="str">
        <x:v>обжаренная свёкла</x:v>
      </x:c>
      <x:c r="D221" s="28" t="str">
        <x:v>Овощи</x:v>
      </x:c>
      <x:c r="E221" s="28" t="str">
        <x:v>вкусовой баланс</x:v>
      </x:c>
      <x:c r="F221"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Обжаренная свёкла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22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21" s="28" t="str">
        <x:v>Избыток кислоты делает вкус плоско-резким; белая часть кожуры даёт лишнюю горечь.</x:v>
      </x:c>
      <x:c r="I221" s="28" t="str">
        <x:v>винегрет, салат, пюре, запечённое блюдо или овощной соус</x:v>
      </x:c>
      <x:c r="J221" s="28" t="str">
        <x:v>Средняя</x:v>
      </x:c>
      <x:c r="K221" s="28" t="str">
        <x:v>The Art &amp; Science of Foodpairing.pdf</x:v>
      </x:c>
      <x:c r="L221" s="28" t="str">
        <x:v>The Art &amp; Science of Foodpairing.pdf: 228</x:v>
      </x:c>
    </x:row>
    <x:row r="222" ht="62" customHeight="1">
      <x:c r="A222" s="28" t="str">
        <x:v>CIT-0663</x:v>
      </x:c>
      <x:c r="B222" s="28" t="str">
        <x:v>цедра танжерина</x:v>
      </x:c>
      <x:c r="C222" s="28" t="str">
        <x:v>приготовленный бурый рис</x:v>
      </x:c>
      <x:c r="D222" s="28" t="str">
        <x:v>Злаки и хлеб</x:v>
      </x:c>
      <x:c r="E222" s="28" t="str">
        <x:v>вкусовой баланс</x:v>
      </x:c>
      <x:c r="F222"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Приготовленный бурый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G22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22" s="28" t="str">
        <x:v>Избыток кислоты делает вкус плоско-резким; белая часть кожуры даёт лишнюю горечь.</x:v>
      </x:c>
      <x:c r="I222" s="28" t="str">
        <x:v>кекс, каша, хлеб, крамбл или салат</x:v>
      </x:c>
      <x:c r="J222" s="28" t="str">
        <x:v>Средняя</x:v>
      </x:c>
      <x:c r="K222" s="28" t="str">
        <x:v>The Art &amp; Science of Foodpairing.pdf</x:v>
      </x:c>
      <x:c r="L222" s="28" t="str">
        <x:v>The Art &amp; Science of Foodpairing.pdf: 108</x:v>
      </x:c>
    </x:row>
    <x:row r="223" ht="62" customHeight="1">
      <x:c r="A223" s="28" t="str">
        <x:v>CIT-0666</x:v>
      </x:c>
      <x:c r="B223" s="28" t="str">
        <x:v>цедра танжерина</x:v>
      </x:c>
      <x:c r="C223" s="28" t="str">
        <x:v>тыква</x:v>
      </x:c>
      <x:c r="D223" s="28" t="str">
        <x:v>Овощи</x:v>
      </x:c>
      <x:c r="E223" s="28" t="str">
        <x:v>вкусовой баланс</x:v>
      </x:c>
      <x:c r="F223"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22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23" s="28" t="str">
        <x:v>Избыток кислоты делает вкус плоско-резким; белая часть кожуры даёт лишнюю горечь.</x:v>
      </x:c>
      <x:c r="I223" s="28" t="str">
        <x:v>винегрет, салат, пюре, запечённое блюдо или овощной соус</x:v>
      </x:c>
      <x:c r="J223" s="28" t="str">
        <x:v>Средняя</x:v>
      </x:c>
      <x:c r="K223" s="28" t="str">
        <x:v>The Art &amp; Science of Foodpairing.pdf</x:v>
      </x:c>
      <x:c r="L223" s="28" t="str">
        <x:v>The Art &amp; Science of Foodpairing.pdf: 228</x:v>
      </x:c>
    </x:row>
    <x:row r="224" ht="62" customHeight="1">
      <x:c r="A224" s="28" t="str">
        <x:v>CIT-0679</x:v>
      </x:c>
      <x:c r="B224" s="28" t="str">
        <x:v>цитрусовые</x:v>
      </x:c>
      <x:c r="C224" s="28" t="str">
        <x:v>огурец</x:v>
      </x:c>
      <x:c r="D224" s="28" t="str">
        <x:v>Овощи</x:v>
      </x:c>
      <x:c r="E224" s="28" t="str">
        <x:v>вкусовой баланс</x:v>
      </x:c>
      <x:c r="F224"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Огурец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22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24" s="28" t="str">
        <x:v>Избыток кислоты делает вкус плоско-резким; белая часть кожуры даёт лишнюю горечь.</x:v>
      </x:c>
      <x:c r="I224" s="28" t="str">
        <x:v>винегрет, салат, пюре, запечённое блюдо или овощной соус</x:v>
      </x:c>
      <x:c r="J224" s="28" t="str">
        <x:v>Гипотеза / практическая</x:v>
      </x:c>
      <x:c r="K224" s="28" t="str">
        <x:v>Таблица сочетания(1).pdf</x:v>
      </x:c>
      <x:c r="L224" s="28" t="str">
        <x:v>Таблица сочетания(1).pdf: 6</x:v>
      </x:c>
    </x:row>
    <x:row r="225" ht="62" customHeight="1">
      <x:c r="A225" s="28" t="str">
        <x:v>CIT-0686</x:v>
      </x:c>
      <x:c r="B225" s="28" t="str">
        <x:v>цукаты из апельсиновой кожуры</x:v>
      </x:c>
      <x:c r="C225" s="28" t="str">
        <x:v>водоросль Gracilaria carnosa</x:v>
      </x:c>
      <x:c r="D225" s="28" t="str">
        <x:v>Рыба и морепродукты</x:v>
      </x:c>
      <x:c r="E225" s="28" t="str">
        <x:v>вкусовой баланс, влияние матрицы/растворимости</x:v>
      </x:c>
      <x:c r="F225"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Водоросль gracilaria carnosa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22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25" s="28" t="str">
        <x:v>Избыток кислоты делает вкус плоско-резким; белая часть кожуры даёт лишнюю горечь; слишком долгая маринация ухудшает текстуру.</x:v>
      </x:c>
      <x:c r="I225" s="28" t="str">
        <x:v>севиче, маринад, beurre blanc, тартар или салат</x:v>
      </x:c>
      <x:c r="J225" s="28" t="str">
        <x:v>Средняя</x:v>
      </x:c>
      <x:c r="K225" s="28" t="str">
        <x:v>The Art &amp; Science of Foodpairing.pdf</x:v>
      </x:c>
      <x:c r="L225" s="28" t="str">
        <x:v>The Art &amp; Science of Foodpairing.pdf: 267</x:v>
      </x:c>
    </x:row>
    <x:row r="226" ht="62" customHeight="1">
      <x:c r="A226" s="28" t="str">
        <x:v>CIT-0687</x:v>
      </x:c>
      <x:c r="B226" s="28" t="str">
        <x:v>цукаты из апельсиновой кожуры</x:v>
      </x:c>
      <x:c r="C226" s="28" t="str">
        <x:v>морские водоросли</x:v>
      </x:c>
      <x:c r="D226" s="28" t="str">
        <x:v>Рыба и морепродукты</x:v>
      </x:c>
      <x:c r="E226" s="28" t="str">
        <x:v>вкусовой баланс, влияние матрицы/растворимости</x:v>
      </x:c>
      <x:c r="F226"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Морские водоросли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22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26" s="28" t="str">
        <x:v>Избыток кислоты делает вкус плоско-резким; белая часть кожуры даёт лишнюю горечь; слишком долгая маринация ухудшает текстуру.</x:v>
      </x:c>
      <x:c r="I226" s="28" t="str">
        <x:v>севиче, маринад, beurre blanc, тартар или салат</x:v>
      </x:c>
      <x:c r="J226" s="28" t="str">
        <x:v>Средняя</x:v>
      </x:c>
      <x:c r="K226" s="28" t="str">
        <x:v>The Art &amp; Science of Foodpairing.pdf</x:v>
      </x:c>
      <x:c r="L226" s="28" t="str">
        <x:v>The Art &amp; Science of Foodpairing.pdf: 267</x:v>
      </x:c>
    </x:row>
    <x:row r="227" ht="62" customHeight="1">
      <x:c r="A227" s="28" t="str">
        <x:v>CIT-0688</x:v>
      </x:c>
      <x:c r="B227" s="28" t="str">
        <x:v>цукаты из апельсиновой кожуры</x:v>
      </x:c>
      <x:c r="C227" s="28" t="str">
        <x:v>морской ёж</x:v>
      </x:c>
      <x:c r="D227" s="28" t="str">
        <x:v>Рыба и морепродукты</x:v>
      </x:c>
      <x:c r="E227" s="28" t="str">
        <x:v>вкусовой баланс, влияние матрицы/растворимости</x:v>
      </x:c>
      <x:c r="F227"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Морской ёж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22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27" s="28" t="str">
        <x:v>Избыток кислоты делает вкус плоско-резким; белая часть кожуры даёт лишнюю горечь; слишком долгая маринация ухудшает текстуру.</x:v>
      </x:c>
      <x:c r="I227" s="28" t="str">
        <x:v>севиче, маринад, beurre blanc, тартар или салат</x:v>
      </x:c>
      <x:c r="J227" s="28" t="str">
        <x:v>Средняя</x:v>
      </x:c>
      <x:c r="K227" s="28" t="str">
        <x:v>The Art &amp; Science of Foodpairing.pdf</x:v>
      </x:c>
      <x:c r="L227" s="28" t="str">
        <x:v>The Art &amp; Science of Foodpairing.pdf: 267</x:v>
      </x:c>
    </x:row>
    <x:row r="228" ht="62" customHeight="1">
      <x:c r="A228" s="28" t="str">
        <x:v>CIT-0692</x:v>
      </x:c>
      <x:c r="B228" s="28" t="str">
        <x:v>цукаты из апельсиновой кожуры</x:v>
      </x:c>
      <x:c r="C228" s="28" t="str">
        <x:v>тыква</x:v>
      </x:c>
      <x:c r="D228" s="28" t="str">
        <x:v>Овощи</x:v>
      </x:c>
      <x:c r="E228" s="28" t="str">
        <x:v>вкусовой баланс</x:v>
      </x:c>
      <x:c r="F228"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22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28" s="28" t="str">
        <x:v>Избыток кислоты делает вкус плоско-резким; белая часть кожуры даёт лишнюю горечь.</x:v>
      </x:c>
      <x:c r="I228" s="28" t="str">
        <x:v>винегрет, салат, пюре, запечённое блюдо или овощной соус</x:v>
      </x:c>
      <x:c r="J228" s="28" t="str">
        <x:v>Средняя</x:v>
      </x:c>
      <x:c r="K228" s="28" t="str">
        <x:v>The Art &amp; Science of Foodpairing.pdf</x:v>
      </x:c>
      <x:c r="L228" s="28" t="str">
        <x:v>The Art &amp; Science of Foodpairing.pdf: 267</x:v>
      </x:c>
    </x:row>
    <x:row r="229" ht="62" customHeight="1">
      <x:c r="A229" s="28" t="str">
        <x:v>CIT-0693</x:v>
      </x:c>
      <x:c r="B229" s="28" t="str">
        <x:v>цукаты из апельсиновой кожуры</x:v>
      </x:c>
      <x:c r="C229" s="28" t="str">
        <x:v>хересный уксус</x:v>
      </x:c>
      <x:c r="D229" s="28" t="str">
        <x:v>Соусы и ферментированные продукты</x:v>
      </x:c>
      <x:c r="E229" s="28" t="str">
        <x:v>вкусовой баланс, тройничное восприятие</x:v>
      </x:c>
      <x:c r="F229"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Хересный уксус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Апельсиновый профиль строится на лимонене и альдегидах с восково-сладкой нотой. Цитрус добавляет верхние ноты и может заменить часть уксуса, но избыток кислоты нарушит баланс.</x:v>
      </x:c>
      <x:c r="G22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29" s="28" t="str">
        <x:v>Избыток кислоты делает вкус плоско-резким; белая часть кожуры даёт лишнюю горечь.</x:v>
      </x:c>
      <x:c r="I229" s="28" t="str">
        <x:v>дрессинг, глазурь, чатни, маринад или ферментированный соус</x:v>
      </x:c>
      <x:c r="J229" s="28" t="str">
        <x:v>Средняя</x:v>
      </x:c>
      <x:c r="K229" s="28" t="str">
        <x:v>The Art &amp; Science of Foodpairing.pdf</x:v>
      </x:c>
      <x:c r="L229" s="28" t="str">
        <x:v>The Art &amp; Science of Foodpairing.pdf: 267</x:v>
      </x:c>
    </x:row>
    <x:row r="230" ht="62" customHeight="1">
      <x:c r="A230" s="28" t="str">
        <x:v>CIT-0695</x:v>
      </x:c>
      <x:c r="B230" s="28" t="str">
        <x:v>цукаты из лимонной кожуры</x:v>
      </x:c>
      <x:c r="C230" s="28" t="str">
        <x:v>артишок</x:v>
      </x:c>
      <x:c r="D230" s="28" t="str">
        <x:v>Овощи</x:v>
      </x:c>
      <x:c r="E230" s="28" t="str">
        <x:v>вкусовой баланс</x:v>
      </x:c>
      <x:c r="F230"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Артишок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23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30" s="28" t="str">
        <x:v>Избыток кислоты делает вкус плоско-резким; белая часть кожуры даёт лишнюю горечь.</x:v>
      </x:c>
      <x:c r="I230" s="28" t="str">
        <x:v>винегрет, салат, пюре, запечённое блюдо или овощной соус</x:v>
      </x:c>
      <x:c r="J230" s="28" t="str">
        <x:v>Средняя</x:v>
      </x:c>
      <x:c r="K230" s="28" t="str">
        <x:v>The Art &amp; Science of Foodpairing.pdf</x:v>
      </x:c>
      <x:c r="L230" s="28" t="str">
        <x:v>The Art &amp; Science of Foodpairing.pdf: 328</x:v>
      </x:c>
    </x:row>
    <x:row r="231" ht="62" customHeight="1">
      <x:c r="A231" s="28" t="str">
        <x:v>CIT-0696</x:v>
      </x:c>
      <x:c r="B231" s="28" t="str">
        <x:v>цукаты из лимонной кожуры</x:v>
      </x:c>
      <x:c r="C231" s="28" t="str">
        <x:v>базилик</x:v>
      </x:c>
      <x:c r="D231" s="28" t="str">
        <x:v>Травы</x:v>
      </x:c>
      <x:c r="E231" s="28" t="str">
        <x:v>перекрытие ароматических семейств, вкусовой баланс</x:v>
      </x:c>
      <x:c r="F231"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Базилик относится к группе «травы» и даёт ноты «зелёный, анисовый, цветочный, пряный».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Базилик и эстрагон могут связать цитрус с фруктами, томатом и сливочными матрицами.</x:v>
      </x:c>
      <x:c r="G23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31" s="28" t="str">
        <x:v>Избыток кислоты делает вкус плоско-резким; белая часть кожуры даёт лишнюю горечь; цитрус легко подавляет деликатный аромат партнёра.</x:v>
      </x:c>
      <x:c r="I231" s="28" t="str">
        <x:v>лимонад, кордиал, салатная заправка или зелёный соус</x:v>
      </x:c>
      <x:c r="J231" s="28" t="str">
        <x:v>Средняя</x:v>
      </x:c>
      <x:c r="K231" s="28" t="str">
        <x:v>The Art &amp; Science of Foodpairing.pdf</x:v>
      </x:c>
      <x:c r="L231" s="28" t="str">
        <x:v>The Art &amp; Science of Foodpairing.pdf: 328</x:v>
      </x:c>
    </x:row>
    <x:row r="232" ht="62" customHeight="1">
      <x:c r="A232" s="28" t="str">
        <x:v>CIT-0701</x:v>
      </x:c>
      <x:c r="B232" s="28" t="str">
        <x:v>цукаты из лимонной кожуры</x:v>
      </x:c>
      <x:c r="C232" s="28" t="str">
        <x:v>отварная цветная капуста</x:v>
      </x:c>
      <x:c r="D232" s="28" t="str">
        <x:v>Овощи</x:v>
      </x:c>
      <x:c r="E232" s="28" t="str">
        <x:v>вкусовой баланс</x:v>
      </x:c>
      <x:c r="F232"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Отварная цветная капуста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23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32" s="28" t="str">
        <x:v>Избыток кислоты делает вкус плоско-резким; белая часть кожуры даёт лишнюю горечь.</x:v>
      </x:c>
      <x:c r="I232" s="28" t="str">
        <x:v>винегрет, салат, пюре, запечённое блюдо или овощной соус</x:v>
      </x:c>
      <x:c r="J232" s="28" t="str">
        <x:v>Средняя</x:v>
      </x:c>
      <x:c r="K232" s="28" t="str">
        <x:v>The Art &amp; Science of Foodpairing.pdf</x:v>
      </x:c>
      <x:c r="L232" s="28" t="str">
        <x:v>The Art &amp; Science of Foodpairing.pdf: 328</x:v>
      </x:c>
    </x:row>
    <x:row r="233" ht="62" customHeight="1">
      <x:c r="A233" s="28" t="str">
        <x:v>CIT-0703</x:v>
      </x:c>
      <x:c r="B233" s="28" t="str">
        <x:v>цукаты из лимонной кожуры</x:v>
      </x:c>
      <x:c r="C233" s="28" t="str">
        <x:v>приготовленная зелёная чечевица</x:v>
      </x:c>
      <x:c r="D233" s="28" t="str">
        <x:v>Овощи</x:v>
      </x:c>
      <x:c r="E233" s="28" t="str">
        <x:v>вкусовой баланс</x:v>
      </x:c>
      <x:c r="F233"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Приготовленная зелёная чечевица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23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33" s="28" t="str">
        <x:v>Избыток кислоты делает вкус плоско-резким; белая часть кожуры даёт лишнюю горечь.</x:v>
      </x:c>
      <x:c r="I233" s="28" t="str">
        <x:v>винегрет, салат, пюре, запечённое блюдо или овощной соус</x:v>
      </x:c>
      <x:c r="J233" s="28" t="str">
        <x:v>Средняя</x:v>
      </x:c>
      <x:c r="K233" s="28" t="str">
        <x:v>The Art &amp; Science of Foodpairing.pdf</x:v>
      </x:c>
      <x:c r="L233" s="28" t="str">
        <x:v>The Art &amp; Science of Foodpairing.pdf: 328</x:v>
      </x:c>
    </x:row>
    <x:row r="234" ht="62" customHeight="1">
      <x:c r="A234" s="28" t="str">
        <x:v>CIT-0705</x:v>
      </x:c>
      <x:c r="B234" s="28" t="str">
        <x:v>цукаты из лимонной кожуры</x:v>
      </x:c>
      <x:c r="C234" s="28" t="str">
        <x:v>припущенная барабулька</x:v>
      </x:c>
      <x:c r="D234" s="28" t="str">
        <x:v>Рыба и морепродукты</x:v>
      </x:c>
      <x:c r="E234" s="28" t="str">
        <x:v>вкусовой баланс, влияние матрицы/растворимости</x:v>
      </x:c>
      <x:c r="F234"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Припущенная барабулька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23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34" s="28" t="str">
        <x:v>Избыток кислоты делает вкус плоско-резким; белая часть кожуры даёт лишнюю горечь; слишком долгая маринация ухудшает текстуру.</x:v>
      </x:c>
      <x:c r="I234" s="28" t="str">
        <x:v>севиче, маринад, beurre blanc, тартар или салат</x:v>
      </x:c>
      <x:c r="J234" s="28" t="str">
        <x:v>Средняя</x:v>
      </x:c>
      <x:c r="K234" s="28" t="str">
        <x:v>The Art &amp; Science of Foodpairing.pdf</x:v>
      </x:c>
      <x:c r="L234" s="28" t="str">
        <x:v>The Art &amp; Science of Foodpairing.pdf: 328</x:v>
      </x:c>
    </x:row>
    <x:row r="235" ht="62" customHeight="1">
      <x:c r="A235" s="28" t="str">
        <x:v>CIT-0709</x:v>
      </x:c>
      <x:c r="B235" s="28" t="str">
        <x:v>юдзу</x:v>
      </x:c>
      <x:c r="C235" s="28" t="str">
        <x:v>имбирь</x:v>
      </x:c>
      <x:c r="D235" s="28" t="str">
        <x:v>Пряности</x:v>
      </x:c>
      <x:c r="E235" s="28" t="str">
        <x:v>общие ароматические молекулы, перекрытие ароматических семейств, вкусовой баланс, тройничное восприятие</x:v>
      </x:c>
      <x:c r="F235" s="28" t="str">
        <x:v>Юдзу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23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35" s="28" t="str">
        <x:v>Избыток кислоты делает вкус плоско-резким; белая часть кожуры даёт лишнюю горечь.</x:v>
      </x:c>
      <x:c r="I235" s="28" t="str">
        <x:v>сироп, кордиал, чатни, маринад или пряный десерт</x:v>
      </x:c>
      <x:c r="J235" s="28" t="str">
        <x:v>Средняя</x:v>
      </x:c>
      <x:c r="K235" s="28" t="str">
        <x:v>Таблица сочетания(1).pdf</x:v>
      </x:c>
      <x:c r="L235" s="28" t="str">
        <x:v>Таблица сочетания(1).pdf: 22</x:v>
      </x:c>
    </x:row>
    <x:row r="236" ht="62" customHeight="1">
      <x:c r="A236" s="28" t="str">
        <x:v>CIT-0715</x:v>
      </x:c>
      <x:c r="B236" s="28" t="str">
        <x:v>юдзу</x:v>
      </x:c>
      <x:c r="C236" s="28" t="str">
        <x:v>мята</x:v>
      </x:c>
      <x:c r="D236" s="28" t="str">
        <x:v>Травы</x:v>
      </x:c>
      <x:c r="E236" s="28" t="str">
        <x:v>перекрытие ароматических семейств, вкусовой баланс, тройничное восприятие</x:v>
      </x:c>
      <x:c r="F236" s="28" t="str">
        <x:v>Юдзу формирует профиль «цитрусовый, зелёный, травяной, камфорный»; характерные маркеры: лимонен, гамма-терпинен, цитраль, бета-пинен, линалол.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Мята усиливает воспринимаемую прохладу и кислотную свежесть.</x:v>
      </x:c>
      <x:c r="G23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36" s="28" t="str">
        <x:v>Избыток кислоты делает вкус плоско-резким; белая часть кожуры даёт лишнюю горечь; цитрус легко подавляет деликатный аромат партнёра.</x:v>
      </x:c>
      <x:c r="I236" s="28" t="str">
        <x:v>лимонад, кордиал, салатная заправка или зелёный соус</x:v>
      </x:c>
      <x:c r="J236" s="28" t="str">
        <x:v>Гипотеза / практическая</x:v>
      </x:c>
      <x:c r="K236" s="28" t="str">
        <x:v>Таблица сочетания(1).pdf</x:v>
      </x:c>
      <x:c r="L236" s="28" t="str">
        <x:v>Таблица сочетания(1).pdf: 22</x:v>
      </x:c>
    </x:row>
  </x:sheetData>
  <x:conditionalFormatting sqref="J2:J236">
    <x:cfRule type="expression" dxfId="6" priority="1">
      <x:formula>J2="Высокая"</x:formula>
    </x:cfRule>
    <x:cfRule type="expression" dxfId="7" priority="2">
      <x:formula>J2="Средняя"</x:formula>
    </x:cfRule>
    <x:cfRule type="expression" dxfId="8" priority="3">
      <x:formula>J2="Гипотеза / практическая"</x:formula>
    </x:cfRule>
  </x:conditionalFormatting>
  <x:pageMargins left="0.7" right="0.7" top="0.75" bottom="0.75" header="0.3" footer="0.3"/>
  <x:tableParts count="1">
    <x:tablePart xmlns:r="http://schemas.openxmlformats.org/officeDocument/2006/relationships" r:id="R792b38784e2c4141"/>
  </x:tableParts>
</x:worksheet>
</file>

<file path=xl/worksheets/sheet5.xml><?xml version="1.0" encoding="utf-8"?>
<x:worksheet xmlns:x="http://schemas.openxmlformats.org/spreadsheetml/2006/main">
  <x:sheetFormatPr defaultRowHeight="15"/>
  <x:cols>
    <x:col min="1" max="1" width="13" hidden="0" customWidth="1"/>
    <x:col min="2" max="2" width="25" hidden="0" customWidth="1"/>
    <x:col min="3" max="3" width="29" hidden="0" customWidth="1"/>
    <x:col min="4" max="4" width="23" hidden="0" customWidth="1"/>
    <x:col min="5" max="5" width="34" hidden="0" customWidth="1"/>
    <x:col min="6" max="6" width="80" hidden="0" customWidth="1"/>
    <x:col min="7" max="7" width="55" hidden="0" customWidth="1"/>
    <x:col min="8" max="8" width="48" hidden="0" customWidth="1"/>
    <x:col min="9" max="9" width="45" hidden="0" customWidth="1"/>
    <x:col min="10" max="10" width="22" hidden="0" customWidth="1"/>
    <x:col min="11" max="11" width="36" hidden="0" customWidth="1"/>
    <x:col min="12" max="12" width="42" hidden="0" customWidth="1"/>
  </x:cols>
  <x:sheetData>
    <x:row r="1">
      <x:c r="A1" s="20" t="str">
        <x:v>ID</x:v>
      </x:c>
      <x:c r="B1" s="20" t="str">
        <x:v>Ингредиент 1</x:v>
      </x:c>
      <x:c r="C1" s="20" t="str">
        <x:v>Ингредиент 2</x:v>
      </x:c>
      <x:c r="D1" s="20" t="str">
        <x:v>Группа партнёра</x:v>
      </x:c>
      <x:c r="E1" s="20" t="str">
        <x:v>Тип механизма</x:v>
      </x:c>
      <x:c r="F1" s="20" t="str">
        <x:v>Подробное научное объяснение</x:v>
      </x:c>
      <x:c r="G1" s="20" t="str">
        <x:v>Обработка</x:v>
      </x:c>
      <x:c r="H1" s="20" t="str">
        <x:v>Критические точки</x:v>
      </x:c>
      <x:c r="I1" s="20" t="str">
        <x:v>Практическое применение</x:v>
      </x:c>
      <x:c r="J1" s="20" t="str">
        <x:v>Уверенность</x:v>
      </x:c>
      <x:c r="K1" s="20" t="str">
        <x:v>Источники</x:v>
      </x:c>
      <x:c r="L1" s="20" t="str">
        <x:v>Страницы</x:v>
      </x:c>
    </x:row>
    <x:row r="2" ht="62" customHeight="1">
      <x:c r="A2" s="28" t="str">
        <x:v>CIT-0001</x:v>
      </x:c>
      <x:c r="B2" s="28" t="str">
        <x:v>апельсин</x:v>
      </x:c>
      <x:c r="C2" s="28" t="str">
        <x:v>абрикос</x:v>
      </x:c>
      <x:c r="D2" s="28" t="str">
        <x:v>Косточковые фрукты</x:v>
      </x:c>
      <x:c r="E2" s="28" t="str">
        <x:v>перекрытие ароматических семейств, вкусовой баланс</x:v>
      </x:c>
      <x:c r="F2" s="28" t="str">
        <x:v>Апельсин формирует профиль «цитрусовый, сладко-фруктовый, цветочный, восковой»; характерные маркеры: лимонен, линалол, деканаль, октаналь, мирцен. Абрикос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добавляет кислотность, а лактоны смягчают его резкость.</x:v>
      </x:c>
      <x:c r="G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 s="28" t="str">
        <x:v>Избыток кислоты делает вкус плоско-резким; белая часть кожуры даёт лишнюю горечь.</x:v>
      </x:c>
      <x:c r="I2" s="28" t="str">
        <x:v>тарт, сорбет, джем или фруктовый соус</x:v>
      </x:c>
      <x:c r="J2" s="28" t="str">
        <x:v>Высокая</x:v>
      </x:c>
      <x:c r="K2" s="28" t="str">
        <x:v>Таблица сочетания(1).pdf | Тезариус вкусов (Ники Сегнит)(1).pdf</x:v>
      </x:c>
      <x:c r="L2" s="28" t="str">
        <x:v>Таблица сочетания(1).pdf: 1, 14 | Тезариус вкусов (Ники Сегнит)(1).pdf: 741, 772</x:v>
      </x:c>
    </x:row>
    <x:row r="3" ht="62" customHeight="1">
      <x:c r="A3" s="28" t="str">
        <x:v>CIT-0003</x:v>
      </x:c>
      <x:c r="B3" s="28" t="str">
        <x:v>апельсин</x:v>
      </x:c>
      <x:c r="C3" s="28" t="str">
        <x:v>ананас</x:v>
      </x:c>
      <x:c r="D3" s="28" t="str">
        <x:v>Тропические фрукты</x:v>
      </x:c>
      <x:c r="E3" s="28" t="str">
        <x:v>перекрытие ароматических семейств, вкусовой баланс</x:v>
      </x:c>
      <x:c r="F3" s="28" t="str">
        <x:v>Апельсин формирует профиль «цитрусовый, сладко-фруктовый, цветочный, восковой»; характерные маркеры: лимонен, линалол, деканаль, октаналь, мирцен.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3" s="28" t="str">
        <x:v>Избыток кислоты делает вкус плоско-резким; белая часть кожуры даёт лишнюю горечь.</x:v>
      </x:c>
      <x:c r="I3" s="28" t="str">
        <x:v>смузи, кордиал, сорбет, чатни или коктейль</x:v>
      </x:c>
      <x:c r="J3" s="28" t="str">
        <x:v>Высокая</x:v>
      </x:c>
      <x:c r="K3" s="28" t="str">
        <x:v>Таблица сочетания(1).pdf | Тезариус вкусов (Ники Сегнит)(1).pdf</x:v>
      </x:c>
      <x:c r="L3" s="28" t="str">
        <x:v>Таблица сочетания(1).pdf: 17 | Тезариус вкусов (Ники Сегнит)(1).pdf: 702, 772</x:v>
      </x:c>
    </x:row>
    <x:row r="4" ht="62" customHeight="1">
      <x:c r="A4" s="28" t="str">
        <x:v>CIT-0005</x:v>
      </x:c>
      <x:c r="B4" s="28" t="str">
        <x:v>апельсин</x:v>
      </x:c>
      <x:c r="C4" s="28" t="str">
        <x:v>арбуз</x:v>
      </x:c>
      <x:c r="D4" s="28" t="str">
        <x:v>Бахчевые</x:v>
      </x:c>
      <x:c r="E4" s="28" t="str">
        <x:v>вкусовой баланс</x:v>
      </x:c>
      <x:c r="F4" s="28" t="str">
        <x:v>Апельсин формирует профиль «цитрусовый, сладко-фруктовый, цветочный, восковой»; характерные маркеры: лимонен, линалол, деканаль, октаналь, мирцен. Арбуз относится к группе «бахчевые» и даёт ноты «свежий, зелёный, водянистый, фруктовый».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придаёт структуру, но легко подавляет тонкий аромат дыни.</x:v>
      </x:c>
      <x:c r="G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4" s="28" t="str">
        <x:v>Избыток кислоты делает вкус плоско-резким; белая часть кожуры даёт лишнюю горечь; цитрус легко подавляет деликатный аромат партнёра.</x:v>
      </x:c>
      <x:c r="I4" s="28" t="str">
        <x:v>холодный напиток, гранита, салат или сорбет</x:v>
      </x:c>
      <x:c r="J4" s="28" t="str">
        <x:v>Гипотеза / практическая</x:v>
      </x:c>
      <x:c r="K4" s="28" t="str">
        <x:v>Таблица сочетания(1).pdf</x:v>
      </x:c>
      <x:c r="L4" s="28" t="str">
        <x:v>Таблица сочетания(1).pdf: 22</x:v>
      </x:c>
    </x:row>
    <x:row r="5" ht="62" customHeight="1">
      <x:c r="A5" s="28" t="str">
        <x:v>CIT-0009</x:v>
      </x:c>
      <x:c r="B5" s="28" t="str">
        <x:v>апельсин</x:v>
      </x:c>
      <x:c r="C5" s="28" t="str">
        <x:v>банан</x:v>
      </x:c>
      <x:c r="D5" s="28" t="str">
        <x:v>Тропические фрукты</x:v>
      </x:c>
      <x:c r="E5" s="28" t="str">
        <x:v>перекрытие ароматических семейств, вкусовой баланс</x:v>
      </x:c>
      <x:c r="F5" s="28" t="str">
        <x:v>Апельсин формирует профиль «цитрусовый, сладко-фруктовый, цветочный, восковой»; характерные маркеры: лимонен, линалол, деканаль, октаналь, мирцен. Банан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5" s="28" t="str">
        <x:v>Избыток кислоты делает вкус плоско-резким; белая часть кожуры даёт лишнюю горечь.</x:v>
      </x:c>
      <x:c r="I5" s="28" t="str">
        <x:v>смузи, кордиал, сорбет, чатни или коктейль</x:v>
      </x:c>
      <x:c r="J5" s="28" t="str">
        <x:v>Гипотеза / практическая</x:v>
      </x:c>
      <x:c r="K5" s="28" t="str">
        <x:v>Таблица сочетания(1).pdf</x:v>
      </x:c>
      <x:c r="L5" s="28" t="str">
        <x:v>Таблица сочетания(1).pdf: 2, 14</x:v>
      </x:c>
    </x:row>
    <x:row r="6" ht="62" customHeight="1">
      <x:c r="A6" s="28" t="str">
        <x:v>CIT-0016</x:v>
      </x:c>
      <x:c r="B6" s="28" t="str">
        <x:v>апельсин</x:v>
      </x:c>
      <x:c r="C6" s="28" t="str">
        <x:v>вишня</x:v>
      </x:c>
      <x:c r="D6" s="28" t="str">
        <x:v>Ягоды/косточковые</x:v>
      </x:c>
      <x:c r="E6" s="28" t="str">
        <x:v>перекрытие ароматических семейств, вкусовой баланс</x:v>
      </x:c>
      <x:c r="F6" s="28" t="str">
        <x:v>Апельсин формирует профиль «цитрусовый, сладко-фруктовый, цветочный, восковой»; характерные маркеры: лимонен, линалол, деканаль, октаналь, мирцен.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6" s="28" t="str">
        <x:v>Избыток кислоты делает вкус плоско-резким; белая часть кожуры даёт лишнюю горечь.</x:v>
      </x:c>
      <x:c r="I6" s="28" t="str">
        <x:v>джем, сорбет, коктейль или соус</x:v>
      </x:c>
      <x:c r="J6" s="28" t="str">
        <x:v>Гипотеза / практическая</x:v>
      </x:c>
      <x:c r="K6" s="28" t="str">
        <x:v>Таблица сочетания(1).pdf</x:v>
      </x:c>
      <x:c r="L6" s="28" t="str">
        <x:v>Таблица сочетания(1).pdf: 14</x:v>
      </x:c>
    </x:row>
    <x:row r="7" ht="62" customHeight="1">
      <x:c r="A7" s="28" t="str">
        <x:v>CIT-0021</x:v>
      </x:c>
      <x:c r="B7" s="28" t="str">
        <x:v>апельсин</x:v>
      </x:c>
      <x:c r="C7" s="28" t="str">
        <x:v>грейпфрут</x:v>
      </x:c>
      <x:c r="D7" s="28" t="str">
        <x:v>Цитрусовые</x:v>
      </x:c>
      <x:c r="E7" s="28" t="str">
        <x:v>общие ароматические молекулы, перекрытие ароматических семейств, вкусовой баланс, тройничное восприятие</x:v>
      </x:c>
      <x:c r="F7" s="28" t="str">
        <x:v>Апельсин формирует профиль «цитрусовый, сладко-фруктовый, цветочный, восковой»; характерные маркеры: лимонен, линалол, деканаль, октаналь, мирцен. Грейпфрут относится к группе «цитрусовые» и даёт ноты «цитрусовый, горький, свежий, сернистый».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Горечь задают флавоноиды, аромат кожуры — терпены и следовые тиолы.</x:v>
      </x:c>
      <x:c r="G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 s="28" t="str">
        <x:v>Избыток кислоты делает вкус плоско-резким; белая часть кожуры даёт лишнюю горечь.</x:v>
      </x:c>
      <x:c r="I7" s="28" t="str">
        <x:v>цитрусовый кордиал, мармелад, сорбет, салат или купаж соков</x:v>
      </x:c>
      <x:c r="J7" s="28" t="str">
        <x:v>Высокая</x:v>
      </x:c>
      <x:c r="K7" s="28" t="str">
        <x:v>Таблица сочетания(1).pdf | Тезариус вкусов (Ники Сегнит)(1).pdf</x:v>
      </x:c>
      <x:c r="L7" s="28" t="str">
        <x:v>Таблица сочетания(1).pdf: 9, 14 | Тезариус вкусов (Ники Сегнит)(1).pdf: 775, 786</x:v>
      </x:c>
    </x:row>
    <x:row r="8" ht="62" customHeight="1">
      <x:c r="A8" s="28" t="str">
        <x:v>CIT-0022</x:v>
      </x:c>
      <x:c r="B8" s="28" t="str">
        <x:v>апельсин</x:v>
      </x:c>
      <x:c r="C8" s="28" t="str">
        <x:v>грецкий орех</x:v>
      </x:c>
      <x:c r="D8" s="28" t="str">
        <x:v>Орехи и семена</x:v>
      </x:c>
      <x:c r="E8" s="28" t="str">
        <x:v>вкусовой баланс, влияние матрицы/растворимости</x:v>
      </x:c>
      <x:c r="F8" s="28" t="str">
        <x:v>Апельсин формирует профиль «цитрусовый, сладко-фруктовый, цветочный, восковой»; характерные маркеры: лимонен, линалол, деканаль, октаналь, мирцен. Грецкий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G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8" s="28" t="str">
        <x:v>Избыток кислоты делает вкус плоско-резким; белая часть кожуры даёт лишнюю горечь.</x:v>
      </x:c>
      <x:c r="I8" s="28" t="str">
        <x:v>пралине, крем, выпечка, салат или ореховый соус</x:v>
      </x:c>
      <x:c r="J8" s="28" t="str">
        <x:v>Высокая</x:v>
      </x:c>
      <x:c r="K8" s="28" t="str">
        <x:v>Тезариус вкусов (Ники Сегнит)(1).pdf</x:v>
      </x:c>
      <x:c r="L8" s="28" t="str">
        <x:v>Тезариус вкусов (Ники Сегнит)(1).pdf: 623, 775</x:v>
      </x:c>
    </x:row>
    <x:row r="9" ht="62" customHeight="1">
      <x:c r="A9" s="28" t="str">
        <x:v>CIT-0023</x:v>
      </x:c>
      <x:c r="B9" s="28" t="str">
        <x:v>апельсин</x:v>
      </x:c>
      <x:c r="C9" s="28" t="str">
        <x:v>гуава</x:v>
      </x:c>
      <x:c r="D9" s="28" t="str">
        <x:v>Тропические фрукты</x:v>
      </x:c>
      <x:c r="E9" s="28" t="str">
        <x:v>перекрытие ароматических семейств, вкусовой баланс</x:v>
      </x:c>
      <x:c r="F9" s="28" t="str">
        <x:v>Апельсин формирует профиль «цитрусовый, сладко-фруктовый, цветочный, восковой»; характерные маркеры: лимонен, линалол, деканаль, октаналь, мирцен. Гуава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9" s="28" t="str">
        <x:v>Избыток кислоты делает вкус плоско-резким; белая часть кожуры даёт лишнюю горечь.</x:v>
      </x:c>
      <x:c r="I9" s="28" t="str">
        <x:v>смузи, кордиал, сорбет, чатни или коктейль</x:v>
      </x:c>
      <x:c r="J9" s="28" t="str">
        <x:v>Гипотеза / практическая</x:v>
      </x:c>
      <x:c r="K9" s="28" t="str">
        <x:v>Таблица сочетания(1).pdf</x:v>
      </x:c>
      <x:c r="L9" s="28" t="str">
        <x:v>Таблица сочетания(1).pdf: 14</x:v>
      </x:c>
    </x:row>
    <x:row r="10" ht="62" customHeight="1">
      <x:c r="A10" s="28" t="str">
        <x:v>CIT-0024</x:v>
      </x:c>
      <x:c r="B10" s="28" t="str">
        <x:v>апельсин</x:v>
      </x:c>
      <x:c r="C10" s="28" t="str">
        <x:v>дыня</x:v>
      </x:c>
      <x:c r="D10" s="28" t="str">
        <x:v>Бахчевые</x:v>
      </x:c>
      <x:c r="E10" s="28" t="str">
        <x:v>вкусовой баланс</x:v>
      </x:c>
      <x:c r="F10" s="28" t="str">
        <x:v>Апельсин формирует профиль «цитрусовый, сладко-фруктовый, цветочный, восковой»; характерные маркеры: лимонен, линалол, деканаль, октаналь, мирцен. Дыня относится к группе «бахчевые» и даёт ноты «свежий, зелёный, водянистый, фруктовый».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придаёт структуру, но легко подавляет тонкий аромат дыни.</x:v>
      </x:c>
      <x:c r="G1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 s="28" t="str">
        <x:v>Избыток кислоты делает вкус плоско-резким; белая часть кожуры даёт лишнюю горечь; цитрус легко подавляет деликатный аромат партнёра.</x:v>
      </x:c>
      <x:c r="I10" s="28" t="str">
        <x:v>холодный напиток, гранита, салат или сорбет</x:v>
      </x:c>
      <x:c r="J10" s="28" t="str">
        <x:v>Высокая</x:v>
      </x:c>
      <x:c r="K10" s="28" t="str">
        <x:v>Тезариус вкусов (Ники Сегнит)(1).pdf</x:v>
      </x:c>
      <x:c r="L10" s="28" t="str">
        <x:v>Тезариус вкусов (Ники Сегнит)(1).pdf: 736, 775</x:v>
      </x:c>
    </x:row>
    <x:row r="11" ht="62" customHeight="1">
      <x:c r="A11" s="28" t="str">
        <x:v>CIT-0034</x:v>
      </x:c>
      <x:c r="B11" s="28" t="str">
        <x:v>апельсин</x:v>
      </x:c>
      <x:c r="C11" s="28" t="str">
        <x:v>клубника</x:v>
      </x:c>
      <x:c r="D11" s="28" t="str">
        <x:v>Ягоды</x:v>
      </x:c>
      <x:c r="E11" s="28" t="str">
        <x:v>перекрытие ароматических семейств, вкусовой баланс</x:v>
      </x:c>
      <x:c r="F11" s="28" t="str">
        <x:v>Апельсин формирует профиль «цитрусовый, сладко-фруктовый, цветочный, восковой»; характерные маркеры: лимонен, линалол, деканаль, октаналь, мирцен. Клубника относится к группе «ягоды» и даёт ноты «фруктовый,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Фуранеол даёт карамельно-ананасовый оттенок, цитрус подчёркивает свежие эфиры.</x:v>
      </x:c>
      <x:c r="G1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 s="28" t="str">
        <x:v>Избыток кислоты делает вкус плоско-резким; белая часть кожуры даёт лишнюю горечь.</x:v>
      </x:c>
      <x:c r="I11" s="28" t="str">
        <x:v>морс, кордиал, джем, сорбет или коктейль</x:v>
      </x:c>
      <x:c r="J11" s="28" t="str">
        <x:v>Высокая</x:v>
      </x:c>
      <x:c r="K11" s="28" t="str">
        <x:v>Таблица сочетания(1).pdf | Тезариус вкусов (Ники Сегнит)(1).pdf</x:v>
      </x:c>
      <x:c r="L11" s="28" t="str">
        <x:v>Таблица сочетания(1).pdf: 20 | Тезариус вкусов (Ники Сегнит)(1).pdf: 693, 775</x:v>
      </x:c>
    </x:row>
    <x:row r="12" ht="62" customHeight="1">
      <x:c r="A12" s="28" t="str">
        <x:v>CIT-0036</x:v>
      </x:c>
      <x:c r="B12" s="28" t="str">
        <x:v>апельсин</x:v>
      </x:c>
      <x:c r="C12" s="28" t="str">
        <x:v>кокос</x:v>
      </x:c>
      <x:c r="D12" s="28" t="str">
        <x:v>Тропические плоды</x:v>
      </x:c>
      <x:c r="E12" s="28" t="str">
        <x:v>перекрытие ароматических семейств, вкусовой баланс</x:v>
      </x:c>
      <x:c r="F12" s="28" t="str">
        <x:v>Апельсин формирует профиль «цитрусовый, сладко-фруктовый, цветочный, восковой»; характерные маркеры: лимонен, линалол, деканаль, октаналь, мирцен. Кокос относится к группе «тропические плоды» и даёт ноты «сливочный, кокосовый, восковой, ореховый». Прямой общий ключевой одорант из доступных профилей не фиксируется, однако продукты пересекаются на уровне семейств: восковой.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Кокос округляет кислотность и продлевает цитрусовый аромат.</x:v>
      </x:c>
      <x:c r="G1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 s="28" t="str">
        <x:v>Избыток кислоты делает вкус плоско-резким; белая часть кожуры даёт лишнюю горечь.</x:v>
      </x:c>
      <x:c r="I12" s="28" t="str">
        <x:v>коктейль, крем, сорбет или соус</x:v>
      </x:c>
      <x:c r="J12" s="28" t="str">
        <x:v>Гипотеза / практическая</x:v>
      </x:c>
      <x:c r="K12" s="28" t="str">
        <x:v>Таблица сочетания(1).pdf</x:v>
      </x:c>
      <x:c r="L12" s="28" t="str">
        <x:v>Таблица сочетания(1).pdf: 5, 6</x:v>
      </x:c>
    </x:row>
    <x:row r="13" ht="62" customHeight="1">
      <x:c r="A13" s="28" t="str">
        <x:v>CIT-0038</x:v>
      </x:c>
      <x:c r="B13" s="28" t="str">
        <x:v>апельсин</x:v>
      </x:c>
      <x:c r="C13" s="28" t="str">
        <x:v>кофе</x:v>
      </x:c>
      <x:c r="D13" s="28" t="str">
        <x:v>Кофе/обжаренное</x:v>
      </x:c>
      <x:c r="E13" s="28" t="str">
        <x:v>вкусовой баланс</x:v>
      </x:c>
      <x:c r="F13" s="28" t="str">
        <x:v>Апельсин формирует профиль «цитрусовый, сладко-фруктовый, цветочный, восковой»; характерные маркеры: лимонен, линалол, деканаль, октаналь, мирцен. Кофе относится к группе «кофе/обжаренное» и даёт ноты «обжаренный, карамельный, ореховый,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может подчеркнуть естественную кислотность и связаться с фруктовыми нотами кофе.</x:v>
      </x:c>
      <x:c r="G1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3" s="28" t="str">
        <x:v>Избыток кислоты делает вкус плоско-резким; белая часть кожуры даёт лишнюю горечь.</x:v>
      </x:c>
      <x:c r="I13" s="28" t="str">
        <x:v>кофейный напиток, тирамису, ликёр или десертный соус</x:v>
      </x:c>
      <x:c r="J13" s="28" t="str">
        <x:v>Высокая</x:v>
      </x:c>
      <x:c r="K13" s="28" t="str">
        <x:v>Таблица сочетания(1).pdf | Тезариус вкусов (Ники Сегнит)(1).pdf</x:v>
      </x:c>
      <x:c r="L13" s="28" t="str">
        <x:v>Таблица сочетания(1).pdf: 6 | Тезариус вкусов (Ники Сегнит)(1).pdf: 42, 776</x:v>
      </x:c>
    </x:row>
    <x:row r="14" ht="62" customHeight="1">
      <x:c r="A14" s="28" t="str">
        <x:v>CIT-0040</x:v>
      </x:c>
      <x:c r="B14" s="28" t="str">
        <x:v>апельсин</x:v>
      </x:c>
      <x:c r="C14" s="28" t="str">
        <x:v>кумкват</x:v>
      </x:c>
      <x:c r="D14" s="28" t="str">
        <x:v>Цитрусовые</x:v>
      </x:c>
      <x:c r="E14" s="28" t="str">
        <x:v>общие ароматические молекулы, перекрытие ароматических семейств, вкусовой баланс</x:v>
      </x:c>
      <x:c r="F14" s="28" t="str">
        <x:v>Апельсин формирует профиль «цитрусовый, сладко-фруктовый, цветочный, восковой»; характерные маркеры: лимонен, линалол, деканаль, октаналь, мирцен. Кумкват относится к группе «цитрусовые» и даёт ноты «цитрусовый, фруктовый, цветочный, пряный». Наиболее правдоподобный молекулярный мост — лимонен, линалол;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Мандариновая группа мягче по кислотности и выраженнее по сладко-цветочным нотам.</x:v>
      </x:c>
      <x:c r="G1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4" s="28" t="str">
        <x:v>Избыток кислоты делает вкус плоско-резким; белая часть кожуры даёт лишнюю горечь.</x:v>
      </x:c>
      <x:c r="I14" s="28" t="str">
        <x:v>цитрусовый кордиал, мармелад, сорбет, салат или купаж соков</x:v>
      </x:c>
      <x:c r="J14" s="28" t="str">
        <x:v>Средняя</x:v>
      </x:c>
      <x:c r="K14" s="28" t="str">
        <x:v>Таблица сочетания(1).pdf</x:v>
      </x:c>
      <x:c r="L14" s="28" t="str">
        <x:v>Таблица сочетания(1).pdf: 14</x:v>
      </x:c>
    </x:row>
    <x:row r="15" ht="62" customHeight="1">
      <x:c r="A15" s="28" t="str">
        <x:v>CIT-0042</x:v>
      </x:c>
      <x:c r="B15" s="28" t="str">
        <x:v>апельсин</x:v>
      </x:c>
      <x:c r="C15" s="28" t="str">
        <x:v>лайм</x:v>
      </x:c>
      <x:c r="D15" s="28" t="str">
        <x:v>Цитрусовые</x:v>
      </x:c>
      <x:c r="E15" s="28" t="str">
        <x:v>общие ароматические молекулы, перекрытие ароматических семейств, вкусовой баланс, тройничное восприятие</x:v>
      </x:c>
      <x:c r="F15" s="28" t="str">
        <x:v>Апельсин формирует профиль «цитрусовый, сладко-фруктовый, цветочный, восковой»; характерные маркеры: лимонен, линалол, деканаль, октаналь, мирцен. Лайм относится к группе «цитрусовые» и даёт ноты «цитрусовый, зелёный, травяной, камфорный». Наиболее правдоподобный молекулярный мост —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Лаймовые цитрусы дают более зелёный и камфорный профиль, чем сладкий апельсин.</x:v>
      </x:c>
      <x:c r="G1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5" s="28" t="str">
        <x:v>Избыток кислоты делает вкус плоско-резким; белая часть кожуры даёт лишнюю горечь.</x:v>
      </x:c>
      <x:c r="I15" s="28" t="str">
        <x:v>цитрусовый кордиал, мармелад, сорбет, салат или купаж соков</x:v>
      </x:c>
      <x:c r="J15" s="28" t="str">
        <x:v>Высокая</x:v>
      </x:c>
      <x:c r="K15" s="28" t="str">
        <x:v>Таблица сочетания(1).pdf | Тезариус вкусов (Ники Сегнит)(1).pdf</x:v>
      </x:c>
      <x:c r="L15" s="28" t="str">
        <x:v>Таблица сочетания(1).pdf: 12 | Тезариус вкусов (Ники Сегнит)(1).pdf: 776, 792</x:v>
      </x:c>
    </x:row>
    <x:row r="16" ht="62" customHeight="1">
      <x:c r="A16" s="28" t="str">
        <x:v>CIT-0043</x:v>
      </x:c>
      <x:c r="B16" s="28" t="str">
        <x:v>апельсин</x:v>
      </x:c>
      <x:c r="C16" s="28" t="str">
        <x:v>лимон</x:v>
      </x:c>
      <x:c r="D16" s="28" t="str">
        <x:v>Цитрусовые</x:v>
      </x:c>
      <x:c r="E16" s="28" t="str">
        <x:v>общие ароматические молекулы, перекрытие ароматических семейств, вкусовой баланс, тройничное восприятие</x:v>
      </x:c>
      <x:c r="F16" s="28" t="str">
        <x:v>Апельсин формирует профиль «цитрусовый, сладко-фруктовый, цветочный, восковой»; характерные маркеры: лимонен, линалол, деканаль, октаналь, мирцен. Лимон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G1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6" s="28" t="str">
        <x:v>Избыток кислоты делает вкус плоско-резким; белая часть кожуры даёт лишнюю горечь.</x:v>
      </x:c>
      <x:c r="I16" s="28" t="str">
        <x:v>цитрусовый кордиал, мармелад, сорбет, салат или купаж соков</x:v>
      </x:c>
      <x:c r="J16" s="28" t="str">
        <x:v>Высокая</x:v>
      </x:c>
      <x:c r="K16" s="28" t="str">
        <x:v>Тезариус вкусов (Ники Сегнит)(1).pdf</x:v>
      </x:c>
      <x:c r="L16" s="28" t="str">
        <x:v>Тезариус вкусов (Ники Сегнит)(1).pdf: 776, 800, 809</x:v>
      </x:c>
    </x:row>
    <x:row r="17" ht="62" customHeight="1">
      <x:c r="A17" s="28" t="str">
        <x:v>CIT-0044</x:v>
      </x:c>
      <x:c r="B17" s="28" t="str">
        <x:v>апельсин</x:v>
      </x:c>
      <x:c r="C17" s="28" t="str">
        <x:v>лимонная вербена</x:v>
      </x:c>
      <x:c r="D17" s="28" t="str">
        <x:v>Цитрусовые</x:v>
      </x:c>
      <x:c r="E17" s="28" t="str">
        <x:v>общие ароматические молекулы, перекрытие ароматических семейств, вкусовой баланс, тройничное восприятие</x:v>
      </x:c>
      <x:c r="F17" s="28" t="str">
        <x:v>Апельсин формирует профиль «цитрусовый, сладко-фруктовый, цветочный, восковой»; характерные маркеры: лимонен, линалол, деканаль, октаналь, мирцен. Лимонная вербена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G1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 s="28" t="str">
        <x:v>Избыток кислоты делает вкус плоско-резким; белая часть кожуры даёт лишнюю горечь.</x:v>
      </x:c>
      <x:c r="I17" s="28" t="str">
        <x:v>цитрусовый кордиал, мармелад, сорбет, салат или купаж соков</x:v>
      </x:c>
      <x:c r="J17" s="28" t="str">
        <x:v>Средняя</x:v>
      </x:c>
      <x:c r="K17" s="28" t="str">
        <x:v>The Art &amp; Science of Foodpairing.pdf</x:v>
      </x:c>
      <x:c r="L17" s="28" t="str">
        <x:v>The Art &amp; Science of Foodpairing.pdf: 236</x:v>
      </x:c>
    </x:row>
    <x:row r="18" ht="62" customHeight="1">
      <x:c r="A18" s="28" t="str">
        <x:v>CIT-0047</x:v>
      </x:c>
      <x:c r="B18" s="28" t="str">
        <x:v>апельсин</x:v>
      </x:c>
      <x:c r="C18" s="28" t="str">
        <x:v>лонган</x:v>
      </x:c>
      <x:c r="D18" s="28" t="str">
        <x:v>Тропические фрукты</x:v>
      </x:c>
      <x:c r="E18" s="28" t="str">
        <x:v>перекрытие ароматических семейств, вкусовой баланс</x:v>
      </x:c>
      <x:c r="F18" s="28" t="str">
        <x:v>Апельсин формирует профиль «цитрусовый, сладко-фруктовый, цветочный, восковой»; характерные маркеры: лимонен, линалол, деканаль, октаналь, мирцен. Лонган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1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8" s="28" t="str">
        <x:v>Избыток кислоты делает вкус плоско-резким; белая часть кожуры даёт лишнюю горечь.</x:v>
      </x:c>
      <x:c r="I18" s="28" t="str">
        <x:v>смузи, кордиал, сорбет, чатни или коктейль</x:v>
      </x:c>
      <x:c r="J18" s="28" t="str">
        <x:v>Гипотеза / практическая</x:v>
      </x:c>
      <x:c r="K18" s="28" t="str">
        <x:v>Таблица сочетания(1).pdf</x:v>
      </x:c>
      <x:c r="L18" s="28" t="str">
        <x:v>Таблица сочетания(1).pdf: 12</x:v>
      </x:c>
    </x:row>
    <x:row r="19" ht="62" customHeight="1">
      <x:c r="A19" s="28" t="str">
        <x:v>CIT-0049</x:v>
      </x:c>
      <x:c r="B19" s="28" t="str">
        <x:v>апельсин</x:v>
      </x:c>
      <x:c r="C19" s="28" t="str">
        <x:v>манго</x:v>
      </x:c>
      <x:c r="D19" s="28" t="str">
        <x:v>Тропические фрукты</x:v>
      </x:c>
      <x:c r="E19" s="28" t="str">
        <x:v>перекрытие ароматических семейств, вкусовой баланс</x:v>
      </x:c>
      <x:c r="F19" s="28" t="str">
        <x:v>Апельсин формирует профиль «цитрусовый, сладко-фруктовый, цветочный, восковой»; характерные маркеры: лимонен, линалол, деканаль, октаналь, мирцен.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1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9" s="28" t="str">
        <x:v>Избыток кислоты делает вкус плоско-резким; белая часть кожуры даёт лишнюю горечь.</x:v>
      </x:c>
      <x:c r="I19" s="28" t="str">
        <x:v>смузи, кордиал, сорбет, чатни или коктейль</x:v>
      </x:c>
      <x:c r="J19" s="28" t="str">
        <x:v>Высокая</x:v>
      </x:c>
      <x:c r="K19" s="28" t="str">
        <x:v>Таблица сочетания(1).pdf | Тезариус вкусов (Ники Сегнит)(1).pdf</x:v>
      </x:c>
      <x:c r="L19" s="28" t="str">
        <x:v>Таблица сочетания(1).pdf: 13, 14 | Тезариус вкусов (Ники Сегнит)(1).pdf: 764, 777</x:v>
      </x:c>
    </x:row>
    <x:row r="20" ht="62" customHeight="1">
      <x:c r="A20" s="28" t="str">
        <x:v>CIT-0050</x:v>
      </x:c>
      <x:c r="B20" s="28" t="str">
        <x:v>апельсин</x:v>
      </x:c>
      <x:c r="C20" s="28" t="str">
        <x:v>маракуйя</x:v>
      </x:c>
      <x:c r="D20" s="28" t="str">
        <x:v>Тропические фрукты</x:v>
      </x:c>
      <x:c r="E20" s="28" t="str">
        <x:v>перекрытие ароматических семейств, вкусовой баланс</x:v>
      </x:c>
      <x:c r="F20" s="28" t="str">
        <x:v>Апельсин формирует профиль «цитрусовый, сладко-фруктовый, цветочный, восковой»; характерные маркеры: лимонен, линалол, деканаль, октаналь, мирцен. Маракуйя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2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 s="28" t="str">
        <x:v>Избыток кислоты делает вкус плоско-резким; белая часть кожуры даёт лишнюю горечь.</x:v>
      </x:c>
      <x:c r="I20" s="28" t="str">
        <x:v>смузи, кордиал, сорбет, чатни или коктейль</x:v>
      </x:c>
      <x:c r="J20" s="28" t="str">
        <x:v>Гипотеза / практическая</x:v>
      </x:c>
      <x:c r="K20" s="28" t="str">
        <x:v>Таблица сочетания(1).pdf</x:v>
      </x:c>
      <x:c r="L20" s="28" t="str">
        <x:v>Таблица сочетания(1).pdf: 15</x:v>
      </x:c>
    </x:row>
    <x:row r="21" ht="62" customHeight="1">
      <x:c r="A21" s="28" t="str">
        <x:v>CIT-0052</x:v>
      </x:c>
      <x:c r="B21" s="28" t="str">
        <x:v>апельсин</x:v>
      </x:c>
      <x:c r="C21" s="28" t="str">
        <x:v>мёд</x:v>
      </x:c>
      <x:c r="D21" s="28" t="str">
        <x:v>Подсластители</x:v>
      </x:c>
      <x:c r="E21" s="28" t="str">
        <x:v>перекрытие ароматических семейств, вкусовой баланс</x:v>
      </x:c>
      <x:c r="F21" s="28" t="str">
        <x:v>Апельсин формирует профиль «цитрусовый, сладко-фруктовый, цветочный, восковой»; характерные маркеры: лимонен, линалол, деканаль, октаналь, мирцен.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Апельсиновый профиль строится на лимонене и альдегидах с восково-сладкой нотой. Сладость балансирует кислоту и горечь кожуры; цветочные компоненты могут поддерживать цитрус.</x:v>
      </x:c>
      <x:c r="G2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1" s="28" t="str">
        <x:v>Избыток кислоты делает вкус плоско-резким; белая часть кожуры даёт лишнюю горечь.</x:v>
      </x:c>
      <x:c r="I21" s="28" t="str">
        <x:v>сироп, мармелад, крем, глазурь или лимонад</x:v>
      </x:c>
      <x:c r="J21" s="28" t="str">
        <x:v>Гипотеза / практическая</x:v>
      </x:c>
      <x:c r="K21" s="28" t="str">
        <x:v>Таблица сочетания(1).pdf</x:v>
      </x:c>
      <x:c r="L21" s="28" t="str">
        <x:v>Таблица сочетания(1).pdf: 9</x:v>
      </x:c>
    </x:row>
    <x:row r="22" ht="62" customHeight="1">
      <x:c r="A22" s="28" t="str">
        <x:v>CIT-0053</x:v>
      </x:c>
      <x:c r="B22" s="28" t="str">
        <x:v>апельсин</x:v>
      </x:c>
      <x:c r="C22" s="28" t="str">
        <x:v>миндаль</x:v>
      </x:c>
      <x:c r="D22" s="28" t="str">
        <x:v>Орехи и семена</x:v>
      </x:c>
      <x:c r="E22" s="28" t="str">
        <x:v>вкусовой баланс, влияние матрицы/растворимости</x:v>
      </x:c>
      <x:c r="F22" s="28" t="str">
        <x:v>Апельсин формирует профиль «цитрусовый, сладко-фруктовый, цветочный, восковой»; характерные маркеры: лимонен, линалол, деканаль, октаналь, мирцен. Миндаль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G22"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2" s="28" t="str">
        <x:v>Избыток кислоты делает вкус плоско-резким; белая часть кожуры даёт лишнюю горечь.</x:v>
      </x:c>
      <x:c r="I22" s="28" t="str">
        <x:v>пралине, крем, выпечка, салат или ореховый соус</x:v>
      </x:c>
      <x:c r="J22" s="28" t="str">
        <x:v>Высокая</x:v>
      </x:c>
      <x:c r="K22" s="28" t="str">
        <x:v>Тезариус вкусов (Ники Сегнит)(1).pdf</x:v>
      </x:c>
      <x:c r="L22" s="28" t="str">
        <x:v>Тезариус вкусов (Ники Сегнит)(1).pdf: 642, 777</x:v>
      </x:c>
    </x:row>
    <x:row r="23" ht="62" customHeight="1">
      <x:c r="A23" s="28" t="str">
        <x:v>CIT-0057</x:v>
      </x:c>
      <x:c r="B23" s="28" t="str">
        <x:v>апельсин</x:v>
      </x:c>
      <x:c r="C23" s="28" t="str">
        <x:v>мускатный орех</x:v>
      </x:c>
      <x:c r="D23" s="28" t="str">
        <x:v>Орехи и семена</x:v>
      </x:c>
      <x:c r="E23" s="28" t="str">
        <x:v>вкусовой баланс, влияние матрицы/растворимости</x:v>
      </x:c>
      <x:c r="F23" s="28" t="str">
        <x:v>Апельсин формирует профиль «цитрусовый, сладко-фруктовый, цветочный, восковой»; характерные маркеры: лимонен, линалол, деканаль, октаналь, мирцен. Мускатный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G2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3" s="28" t="str">
        <x:v>Избыток кислоты делает вкус плоско-резким; белая часть кожуры даёт лишнюю горечь.</x:v>
      </x:c>
      <x:c r="I23" s="28" t="str">
        <x:v>пралине, крем, выпечка, салат или ореховый соус</x:v>
      </x:c>
      <x:c r="J23" s="28" t="str">
        <x:v>Гипотеза / практическая</x:v>
      </x:c>
      <x:c r="K23" s="28" t="str">
        <x:v>Таблица сочетания(1).pdf</x:v>
      </x:c>
      <x:c r="L23" s="28" t="str">
        <x:v>Таблица сочетания(1).pdf: 14</x:v>
      </x:c>
    </x:row>
    <x:row r="24" ht="62" customHeight="1">
      <x:c r="A24" s="28" t="str">
        <x:v>CIT-0060</x:v>
      </x:c>
      <x:c r="B24" s="28" t="str">
        <x:v>апельсин</x:v>
      </x:c>
      <x:c r="C24" s="28" t="str">
        <x:v>нектарин</x:v>
      </x:c>
      <x:c r="D24" s="28" t="str">
        <x:v>Косточковые фрукты</x:v>
      </x:c>
      <x:c r="E24" s="28" t="str">
        <x:v>перекрытие ароматических семейств, вкусовой баланс</x:v>
      </x:c>
      <x:c r="F24" s="28" t="str">
        <x:v>Апельсин формирует профиль «цитрусовый, сладко-фруктовый, цветочный, восковой»; характерные маркеры: лимонен, линалол, деканаль, октаналь, мирцен. Нектарин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добавляет кислотность, а лактоны смягчают его резкость.</x:v>
      </x:c>
      <x:c r="G2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4" s="28" t="str">
        <x:v>Избыток кислоты делает вкус плоско-резким; белая часть кожуры даёт лишнюю горечь.</x:v>
      </x:c>
      <x:c r="I24" s="28" t="str">
        <x:v>тарт, сорбет, джем или фруктовый соус</x:v>
      </x:c>
      <x:c r="J24" s="28" t="str">
        <x:v>Гипотеза / практическая</x:v>
      </x:c>
      <x:c r="K24" s="28" t="str">
        <x:v>Таблица сочетания(1).pdf</x:v>
      </x:c>
      <x:c r="L24" s="28" t="str">
        <x:v>Таблица сочетания(1).pdf: 14</x:v>
      </x:c>
    </x:row>
    <x:row r="25" ht="62" customHeight="1">
      <x:c r="A25" s="28" t="str">
        <x:v>CIT-0061</x:v>
      </x:c>
      <x:c r="B25" s="28" t="str">
        <x:v>апельсин</x:v>
      </x:c>
      <x:c r="C25" s="28" t="str">
        <x:v>обжаренный бразильский орех</x:v>
      </x:c>
      <x:c r="D25" s="28" t="str">
        <x:v>Орехи и семена</x:v>
      </x:c>
      <x:c r="E25" s="28" t="str">
        <x:v>вкусовой баланс, влияние матрицы/растворимости</x:v>
      </x:c>
      <x:c r="F25" s="28" t="str">
        <x:v>Апельсин формирует профиль «цитрусовый, сладко-фруктовый, цветочный, восковой»; характерные маркеры: лимонен, линалол, деканаль, октаналь, мирцен. Обжаренный бразильский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G25"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5" s="28" t="str">
        <x:v>Избыток кислоты делает вкус плоско-резким; белая часть кожуры даёт лишнюю горечь.</x:v>
      </x:c>
      <x:c r="I25" s="28" t="str">
        <x:v>пралине, крем, выпечка, салат или ореховый соус</x:v>
      </x:c>
      <x:c r="J25" s="28" t="str">
        <x:v>Средняя</x:v>
      </x:c>
      <x:c r="K25" s="28" t="str">
        <x:v>The Art &amp; Science of Foodpairing.pdf</x:v>
      </x:c>
      <x:c r="L25" s="28" t="str">
        <x:v>The Art &amp; Science of Foodpairing.pdf: 236</x:v>
      </x:c>
    </x:row>
    <x:row r="26" ht="62" customHeight="1">
      <x:c r="A26" s="28" t="str">
        <x:v>CIT-0067</x:v>
      </x:c>
      <x:c r="B26" s="28" t="str">
        <x:v>апельсин</x:v>
      </x:c>
      <x:c r="C26" s="28" t="str">
        <x:v>папайя</x:v>
      </x:c>
      <x:c r="D26" s="28" t="str">
        <x:v>Тропические фрукты</x:v>
      </x:c>
      <x:c r="E26" s="28" t="str">
        <x:v>перекрытие ароматических семейств, вкусовой баланс</x:v>
      </x:c>
      <x:c r="F26" s="28" t="str">
        <x:v>Апельсин формирует профиль «цитрусовый, сладко-фруктовый, цветочный, восковой»; характерные маркеры: лимонен, линалол, деканаль, октаналь, мирцен. Папайя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2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6" s="28" t="str">
        <x:v>Избыток кислоты делает вкус плоско-резким; белая часть кожуры даёт лишнюю горечь.</x:v>
      </x:c>
      <x:c r="I26" s="28" t="str">
        <x:v>смузи, кордиал, сорбет, чатни или коктейль</x:v>
      </x:c>
      <x:c r="J26" s="28" t="str">
        <x:v>Гипотеза / практическая</x:v>
      </x:c>
      <x:c r="K26" s="28" t="str">
        <x:v>Таблица сочетания(1).pdf</x:v>
      </x:c>
      <x:c r="L26" s="28" t="str">
        <x:v>Таблица сочетания(1).pdf: 15</x:v>
      </x:c>
    </x:row>
    <x:row r="27" ht="62" customHeight="1">
      <x:c r="A27" s="28" t="str">
        <x:v>CIT-0068</x:v>
      </x:c>
      <x:c r="B27" s="28" t="str">
        <x:v>апельсин</x:v>
      </x:c>
      <x:c r="C27" s="28" t="str">
        <x:v>персик</x:v>
      </x:c>
      <x:c r="D27" s="28" t="str">
        <x:v>Косточковые фрукты</x:v>
      </x:c>
      <x:c r="E27" s="28" t="str">
        <x:v>перекрытие ароматических семейств, вкусовой баланс</x:v>
      </x:c>
      <x:c r="F27" s="28" t="str">
        <x:v>Апельсин формирует профиль «цитрусовый, сладко-фруктовый, цветочный, восковой»; характерные маркеры: лимонен, линалол, деканаль, октаналь, мирцен. Персик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добавляет кислотность, а лактоны смягчают его резкость.</x:v>
      </x:c>
      <x:c r="G2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7" s="28" t="str">
        <x:v>Избыток кислоты делает вкус плоско-резким; белая часть кожуры даёт лишнюю горечь.</x:v>
      </x:c>
      <x:c r="I27" s="28" t="str">
        <x:v>тарт, сорбет, джем или фруктовый соус</x:v>
      </x:c>
      <x:c r="J27" s="28" t="str">
        <x:v>Гипотеза / практическая</x:v>
      </x:c>
      <x:c r="K27" s="28" t="str">
        <x:v>Тезариус вкусов (Ники Сегнит)(1).pdf</x:v>
      </x:c>
      <x:c r="L27" s="28" t="str">
        <x:v>Тезариус вкусов (Ники Сегнит)(1).pdf: 747, 779</x:v>
      </x:c>
    </x:row>
    <x:row r="28" ht="62" customHeight="1">
      <x:c r="A28" s="28" t="str">
        <x:v>CIT-0069</x:v>
      </x:c>
      <x:c r="B28" s="28" t="str">
        <x:v>апельсин</x:v>
      </x:c>
      <x:c r="C28" s="28" t="str">
        <x:v>польский голубой сыр</x:v>
      </x:c>
      <x:c r="D28" s="28" t="str">
        <x:v>Молочные продукты</x:v>
      </x:c>
      <x:c r="E28" s="28" t="str">
        <x:v>вкусовой баланс, влияние матрицы/растворимости</x:v>
      </x:c>
      <x:c r="F28" s="28" t="str">
        <x:v>Апельсин формирует профиль «цитрусовый, сладко-фруктовый, цветочный, восковой»; характерные маркеры: лимонен, линалол, деканаль, октаналь, мирцен. Польский голубой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G28"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28" s="28" t="str">
        <x:v>Избыток кислоты делает вкус плоско-резким; белая часть кожуры даёт лишнюю горечь; возможна коагуляция белка.</x:v>
      </x:c>
      <x:c r="I28" s="28" t="str">
        <x:v>чизкейк, крем, мороженое, соус или салат</x:v>
      </x:c>
      <x:c r="J28" s="28" t="str">
        <x:v>Средняя</x:v>
      </x:c>
      <x:c r="K28" s="28" t="str">
        <x:v>The Art &amp; Science of Foodpairing.pdf</x:v>
      </x:c>
      <x:c r="L28" s="28" t="str">
        <x:v>The Art &amp; Science of Foodpairing.pdf: 236</x:v>
      </x:c>
    </x:row>
    <x:row r="29" ht="62" customHeight="1">
      <x:c r="A29" s="28" t="str">
        <x:v>CIT-0077</x:v>
      </x:c>
      <x:c r="B29" s="28" t="str">
        <x:v>апельсин</x:v>
      </x:c>
      <x:c r="C29" s="28" t="str">
        <x:v>семена чёрного тмина</x:v>
      </x:c>
      <x:c r="D29" s="28" t="str">
        <x:v>Орехи и семена</x:v>
      </x:c>
      <x:c r="E29" s="28" t="str">
        <x:v>вкусовой баланс, влияние матрицы/растворимости</x:v>
      </x:c>
      <x:c r="F29" s="28" t="str">
        <x:v>Апельсин формирует профиль «цитрусовый, сладко-фруктовый, цветочный, восковой»; характерные маркеры: лимонен, линалол, деканаль, октаналь, мирцен. Семена чёрного тмина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G29"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9" s="28" t="str">
        <x:v>Избыток кислоты делает вкус плоско-резким; белая часть кожуры даёт лишнюю горечь.</x:v>
      </x:c>
      <x:c r="I29" s="28" t="str">
        <x:v>пралине, крем, выпечка, салат или ореховый соус</x:v>
      </x:c>
      <x:c r="J29" s="28" t="str">
        <x:v>Средняя</x:v>
      </x:c>
      <x:c r="K29" s="28" t="str">
        <x:v>The Art &amp; Science of Foodpairing.pdf</x:v>
      </x:c>
      <x:c r="L29" s="28" t="str">
        <x:v>The Art &amp; Science of Foodpairing.pdf: 236</x:v>
      </x:c>
    </x:row>
    <x:row r="30" ht="62" customHeight="1">
      <x:c r="A30" s="28" t="str">
        <x:v>CIT-0079</x:v>
      </x:c>
      <x:c r="B30" s="28" t="str">
        <x:v>апельсин</x:v>
      </x:c>
      <x:c r="C30" s="28" t="str">
        <x:v>танжерин (tangerine)</x:v>
      </x:c>
      <x:c r="D30" s="28" t="str">
        <x:v>Цитрусовые</x:v>
      </x:c>
      <x:c r="E30" s="28" t="str">
        <x:v>общие ароматические молекулы, перекрытие ароматических семейств, вкусовой баланс</x:v>
      </x:c>
      <x:c r="F30" s="28" t="str">
        <x:v>Апельсин формирует профиль «цитрусовый, сладко-фруктовый, цветочный, восковой»; характерные маркеры: лимонен, линалол, деканаль, октаналь, мирцен. Танжерин (tangerine) относится к группе «цитрусовые» и даёт ноты «цитрусовый, фруктовый, цветочный, пряный». Наиболее правдоподобный молекулярный мост — лимонен, линалол;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Мандариновая группа мягче по кислотности и выраженнее по сладко-цветочным нотам.</x:v>
      </x:c>
      <x:c r="G3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30" s="28" t="str">
        <x:v>Избыток кислоты делает вкус плоско-резким; белая часть кожуры даёт лишнюю горечь.</x:v>
      </x:c>
      <x:c r="I30" s="28" t="str">
        <x:v>цитрусовый кордиал, мармелад, сорбет, салат или купаж соков</x:v>
      </x:c>
      <x:c r="J30" s="28" t="str">
        <x:v>Средняя</x:v>
      </x:c>
      <x:c r="K30" s="28" t="str">
        <x:v>Таблица сочетания(1).pdf</x:v>
      </x:c>
      <x:c r="L30" s="28" t="str">
        <x:v>Таблица сочетания(1).pdf: 21</x:v>
      </x:c>
    </x:row>
    <x:row r="31" ht="62" customHeight="1">
      <x:c r="A31" s="28" t="str">
        <x:v>CIT-0081</x:v>
      </x:c>
      <x:c r="B31" s="28" t="str">
        <x:v>апельсин</x:v>
      </x:c>
      <x:c r="C31" s="28" t="str">
        <x:v>твердый сыр</x:v>
      </x:c>
      <x:c r="D31" s="28" t="str">
        <x:v>Молочные продукты</x:v>
      </x:c>
      <x:c r="E31" s="28" t="str">
        <x:v>вкусовой баланс, влияние матрицы/растворимости</x:v>
      </x:c>
      <x:c r="F31" s="28" t="str">
        <x:v>Апельсин формирует профиль «цитрусовый, сладко-фруктовый, цветочный, восковой»; характерные маркеры: лимонен, линалол, деканаль, октаналь, мирцен. Твердый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G31"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31" s="28" t="str">
        <x:v>Избыток кислоты делает вкус плоско-резким; белая часть кожуры даёт лишнюю горечь; возможна коагуляция белка.</x:v>
      </x:c>
      <x:c r="I31" s="28" t="str">
        <x:v>чизкейк, крем, мороженое, соус или салат</x:v>
      </x:c>
      <x:c r="J31" s="28" t="str">
        <x:v>Высокая</x:v>
      </x:c>
      <x:c r="K31" s="28" t="str">
        <x:v>Тезариус вкусов (Ники Сегнит)(1).pdf</x:v>
      </x:c>
      <x:c r="L31" s="28" t="str">
        <x:v>Тезариус вкусов (Ники Сегнит)(1).pdf: 165, 781</x:v>
      </x:c>
    </x:row>
    <x:row r="32" ht="62" customHeight="1">
      <x:c r="A32" s="28" t="str">
        <x:v>CIT-0088</x:v>
      </x:c>
      <x:c r="B32" s="28" t="str">
        <x:v>апельсин</x:v>
      </x:c>
      <x:c r="C32" s="28" t="str">
        <x:v>цитрусовые</x:v>
      </x:c>
      <x:c r="D32" s="28" t="str">
        <x:v>Цитрусовые</x:v>
      </x:c>
      <x:c r="E32" s="28" t="str">
        <x:v>общие ароматические молекулы, перекрытие ароматических семейств, вкусовой баланс, тройничное восприятие</x:v>
      </x:c>
      <x:c r="F32" s="28" t="str">
        <x:v>Апельсин формирует профиль «цитрусовый, сладко-фруктовый, цветочный, восковой»; характерные маркеры: лимонен, линалол, деканаль, октаналь, мирцен. Цитрусовые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G3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32" s="28" t="str">
        <x:v>Избыток кислоты делает вкус плоско-резким; белая часть кожуры даёт лишнюю горечь.</x:v>
      </x:c>
      <x:c r="I32" s="28" t="str">
        <x:v>цитрусовый кордиал, мармелад, сорбет, салат или купаж соков</x:v>
      </x:c>
      <x:c r="J32" s="28" t="str">
        <x:v>Средняя</x:v>
      </x:c>
      <x:c r="K32" s="28" t="str">
        <x:v>Таблица сочетания(1).pdf</x:v>
      </x:c>
      <x:c r="L32" s="28" t="str">
        <x:v>Таблица сочетания(1).pdf: 14</x:v>
      </x:c>
    </x:row>
    <x:row r="33" ht="62" customHeight="1">
      <x:c r="A33" s="28" t="str">
        <x:v>CIT-0089</x:v>
      </x:c>
      <x:c r="B33" s="28" t="str">
        <x:v>апельсин</x:v>
      </x:c>
      <x:c r="C33" s="28" t="str">
        <x:v>чернослив</x:v>
      </x:c>
      <x:c r="D33" s="28" t="str">
        <x:v>Косточковые фрукты</x:v>
      </x:c>
      <x:c r="E33" s="28" t="str">
        <x:v>перекрытие ароматических семейств, вкусовой баланс</x:v>
      </x:c>
      <x:c r="F33" s="28" t="str">
        <x:v>Апельсин формирует профиль «цитрусовый, сладко-фруктовый, цветочный, восковой»; характерные маркеры: лимонен, линалол, деканаль, октаналь, мирцен. Чернослив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добавляет кислотность, а лактоны смягчают его резкость.</x:v>
      </x:c>
      <x:c r="G3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33" s="28" t="str">
        <x:v>Избыток кислоты делает вкус плоско-резким; белая часть кожуры даёт лишнюю горечь.</x:v>
      </x:c>
      <x:c r="I33" s="28" t="str">
        <x:v>тарт, сорбет, джем или фруктовый соус</x:v>
      </x:c>
      <x:c r="J33" s="28" t="str">
        <x:v>Гипотеза / практическая</x:v>
      </x:c>
      <x:c r="K33" s="28" t="str">
        <x:v>Таблица сочетания(1).pdf</x:v>
      </x:c>
      <x:c r="L33" s="28" t="str">
        <x:v>Таблица сочетания(1).pdf: 18</x:v>
      </x:c>
    </x:row>
    <x:row r="34" ht="62" customHeight="1">
      <x:c r="A34" s="28" t="str">
        <x:v>CIT-0093</x:v>
      </x:c>
      <x:c r="B34" s="28" t="str">
        <x:v>апельсин</x:v>
      </x:c>
      <x:c r="C34" s="28" t="str">
        <x:v>шоколад</x:v>
      </x:c>
      <x:c r="D34" s="28" t="str">
        <x:v>Шоколад/обжаренное</x:v>
      </x:c>
      <x:c r="E34" s="28" t="str">
        <x:v>вкусовой баланс</x:v>
      </x:c>
      <x:c r="F34" s="28" t="str">
        <x:v>Апельсин формирует профиль «цитрусовый, сладко-фруктовый, цветочный, восковой»; характерные маркеры: лимонен, линалол, деканаль, октаналь, мирцен.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даёт высокую свежую ноту на фоне тёмных жареных соединений.</x:v>
      </x:c>
      <x:c r="G3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34" s="28" t="str">
        <x:v>Избыток кислоты делает вкус плоско-резким; белая часть кожуры даёт лишнюю горечь.</x:v>
      </x:c>
      <x:c r="I34" s="28" t="str">
        <x:v>ганаш, тарт, конфеты, кофейный напиток или биттер</x:v>
      </x:c>
      <x:c r="J34" s="28" t="str">
        <x:v>Высокая</x:v>
      </x:c>
      <x:c r="K34" s="28" t="str">
        <x:v>Таблица сочетания(1).pdf | Тезариус вкусов (Ники Сегнит)(1).pdf</x:v>
      </x:c>
      <x:c r="L34" s="28" t="str">
        <x:v>Таблица сочетания(1).pdf: 5 | Тезариус вкусов (Ники Сегнит)(1).pdf: 26, 783</x:v>
      </x:c>
    </x:row>
    <x:row r="35" ht="62" customHeight="1">
      <x:c r="A35" s="28" t="str">
        <x:v>CIT-0094</x:v>
      </x:c>
      <x:c r="B35" s="28" t="str">
        <x:v>апельсин</x:v>
      </x:c>
      <x:c r="C35" s="28" t="str">
        <x:v>юдзу</x:v>
      </x:c>
      <x:c r="D35" s="28" t="str">
        <x:v>Цитрусовые</x:v>
      </x:c>
      <x:c r="E35" s="28" t="str">
        <x:v>общие ароматические молекулы, перекрытие ароматических семейств, вкусовой баланс, тройничное восприятие</x:v>
      </x:c>
      <x:c r="F35" s="28" t="str">
        <x:v>Апельсин формирует профиль «цитрусовый, сладко-фруктовый, цветочный, восковой»; характерные маркеры: лимонен, линалол, деканаль, октаналь, мирцен. Юдзу относится к группе «цитрусовые» и даёт ноты «цитрусовый, зелёный, травяной, камфорный». Наиболее правдоподобный молекулярный мост —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Лаймовые цитрусы дают более зелёный и камфорный профиль, чем сладкий апельсин.</x:v>
      </x:c>
      <x:c r="G3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35" s="28" t="str">
        <x:v>Избыток кислоты делает вкус плоско-резким; белая часть кожуры даёт лишнюю горечь.</x:v>
      </x:c>
      <x:c r="I35" s="28" t="str">
        <x:v>цитрусовый кордиал, мармелад, сорбет, салат или купаж соков</x:v>
      </x:c>
      <x:c r="J35" s="28" t="str">
        <x:v>Средняя</x:v>
      </x:c>
      <x:c r="K35" s="28" t="str">
        <x:v>Таблица сочетания(1).pdf</x:v>
      </x:c>
      <x:c r="L35" s="28" t="str">
        <x:v>Таблица сочетания(1).pdf: 22</x:v>
      </x:c>
    </x:row>
    <x:row r="36" ht="62" customHeight="1">
      <x:c r="A36" s="28" t="str">
        <x:v>CIT-0095</x:v>
      </x:c>
      <x:c r="B36" s="28" t="str">
        <x:v>апельсин</x:v>
      </x:c>
      <x:c r="C36" s="28" t="str">
        <x:v>яблоко</x:v>
      </x:c>
      <x:c r="D36" s="28" t="str">
        <x:v>Фрукты</x:v>
      </x:c>
      <x:c r="E36" s="28" t="str">
        <x:v>перекрытие ароматических семейств, вкусовой баланс</x:v>
      </x:c>
      <x:c r="F36" s="28" t="str">
        <x:v>Апельсин формирует профиль «цитрусовый, сладко-фруктовый, цветочный, восковой»; характерные маркеры: лимонен, линалол, деканаль, октаналь, мирцен.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Яблочные эфиры и зелёные альдегиды хорошо поддерживают свежий цитрус.</x:v>
      </x:c>
      <x:c r="G3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36" s="28" t="str">
        <x:v>Избыток кислоты делает вкус плоско-резким; белая часть кожуры даёт лишнюю горечь.</x:v>
      </x:c>
      <x:c r="I36" s="28" t="str">
        <x:v>лимонад, сорбет, компот, салат или фруктовый кордиал</x:v>
      </x:c>
      <x:c r="J36" s="28" t="str">
        <x:v>Высокая</x:v>
      </x:c>
      <x:c r="K36" s="28" t="str">
        <x:v>Таблица сочетания(1).pdf | Тезариус вкусов (Ники Сегнит)(1).pdf</x:v>
      </x:c>
      <x:c r="L36" s="28" t="str">
        <x:v>Таблица сочетания(1).pdf: 14 | Тезариус вкусов (Ники Сегнит)(1).pdf: 710, 784</x:v>
      </x:c>
    </x:row>
    <x:row r="37" ht="62" customHeight="1">
      <x:c r="A37" s="28" t="str">
        <x:v>CIT-0096</x:v>
      </x:c>
      <x:c r="B37" s="28" t="str">
        <x:v>апельсин</x:v>
      </x:c>
      <x:c r="C37" s="28" t="str">
        <x:v>ягоды</x:v>
      </x:c>
      <x:c r="D37" s="28" t="str">
        <x:v>Ягоды/косточковые</x:v>
      </x:c>
      <x:c r="E37" s="28" t="str">
        <x:v>перекрытие ароматических семейств, вкусовой баланс</x:v>
      </x:c>
      <x:c r="F37" s="28" t="str">
        <x:v>Апельсин формирует профиль «цитрусовый, сладко-фруктовый, цветочный, восковой»; характерные маркеры: лимонен, линалол, деканаль, октаналь, мирцен.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3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37" s="28" t="str">
        <x:v>Избыток кислоты делает вкус плоско-резким; белая часть кожуры даёт лишнюю горечь.</x:v>
      </x:c>
      <x:c r="I37" s="28" t="str">
        <x:v>джем, сорбет, коктейль или соус</x:v>
      </x:c>
      <x:c r="J37" s="28" t="str">
        <x:v>Гипотеза / практическая</x:v>
      </x:c>
      <x:c r="K37" s="28" t="str">
        <x:v>Таблица сочетания(1).pdf</x:v>
      </x:c>
      <x:c r="L37" s="28" t="str">
        <x:v>Таблица сочетания(1).pdf: 14</x:v>
      </x:c>
    </x:row>
    <x:row r="38" ht="62" customHeight="1">
      <x:c r="A38" s="28" t="str">
        <x:v>CIT-0097</x:v>
      </x:c>
      <x:c r="B38" s="28" t="str">
        <x:v>апельсин</x:v>
      </x:c>
      <x:c r="C38" s="28" t="str">
        <x:v>ягоды можжевельника</x:v>
      </x:c>
      <x:c r="D38" s="28" t="str">
        <x:v>Ягоды/косточковые</x:v>
      </x:c>
      <x:c r="E38" s="28" t="str">
        <x:v>перекрытие ароматических семейств, вкусовой баланс</x:v>
      </x:c>
      <x:c r="F38" s="28" t="str">
        <x:v>Апельсин формирует профиль «цитрусовый, сладко-фруктовый, цветочный, восковой»; характерные маркеры: лимонен, линалол, деканаль, октаналь, мирцен. Ягоды можжевельника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3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38" s="28" t="str">
        <x:v>Избыток кислоты делает вкус плоско-резким; белая часть кожуры даёт лишнюю горечь.</x:v>
      </x:c>
      <x:c r="I38" s="28" t="str">
        <x:v>джем, сорбет, коктейль или соус</x:v>
      </x:c>
      <x:c r="J38" s="28" t="str">
        <x:v>Гипотеза / практическая</x:v>
      </x:c>
      <x:c r="K38" s="28" t="str">
        <x:v>Таблица сочетания(1).pdf</x:v>
      </x:c>
      <x:c r="L38" s="28" t="str">
        <x:v>Таблица сочетания(1).pdf: 10</x:v>
      </x:c>
    </x:row>
    <x:row r="39" ht="62" customHeight="1">
      <x:c r="A39" s="28" t="str">
        <x:v>CIT-0103</x:v>
      </x:c>
      <x:c r="B39" s="28" t="str">
        <x:v>апельсиновая кожура</x:v>
      </x:c>
      <x:c r="C39" s="28" t="str">
        <x:v>семена чёрного тмина</x:v>
      </x:c>
      <x:c r="D39" s="28" t="str">
        <x:v>Орехи и семена</x:v>
      </x:c>
      <x:c r="E39" s="28" t="str">
        <x:v>вкусовой баланс, влияние матрицы/растворимости</x:v>
      </x:c>
      <x:c r="F39" s="28" t="str">
        <x:v>Апельсиновая кожура формирует профиль «цитрусовый, сладко-фруктовый, цветочный, восковой»; характерные маркеры: лимонен, линалол, деканаль, октаналь, мирцен. Семена чёрного тмина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G39"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39" s="28" t="str">
        <x:v>Избыток кислоты делает вкус плоско-резким; белая часть кожуры даёт лишнюю горечь.</x:v>
      </x:c>
      <x:c r="I39" s="28" t="str">
        <x:v>пралине, крем, выпечка, салат или ореховый соус</x:v>
      </x:c>
      <x:c r="J39" s="28" t="str">
        <x:v>Средняя</x:v>
      </x:c>
      <x:c r="K39" s="28" t="str">
        <x:v>The Art &amp; Science of Foodpairing.pdf</x:v>
      </x:c>
      <x:c r="L39" s="28" t="str">
        <x:v>The Art &amp; Science of Foodpairing.pdf: 236</x:v>
      </x:c>
    </x:row>
    <x:row r="40" ht="62" customHeight="1">
      <x:c r="A40" s="28" t="str">
        <x:v>CIT-0104</x:v>
      </x:c>
      <x:c r="B40" s="28" t="str">
        <x:v>апельсиновый сок</x:v>
      </x:c>
      <x:c r="C40" s="28" t="str">
        <x:v>бойзенова ягода</x:v>
      </x:c>
      <x:c r="D40" s="28" t="str">
        <x:v>Ягоды/косточковые</x:v>
      </x:c>
      <x:c r="E40" s="28" t="str">
        <x:v>перекрытие ароматических семейств, вкусовой баланс</x:v>
      </x:c>
      <x:c r="F40"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Бойзенова ягода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4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40" s="28" t="str">
        <x:v>Избыток кислоты делает вкус плоско-резким; белая часть кожуры даёт лишнюю горечь.</x:v>
      </x:c>
      <x:c r="I40" s="28" t="str">
        <x:v>джем, сорбет, коктейль или соус</x:v>
      </x:c>
      <x:c r="J40" s="28" t="str">
        <x:v>Средняя</x:v>
      </x:c>
      <x:c r="K40" s="28" t="str">
        <x:v>The Art &amp; Science of Foodpairing.pdf</x:v>
      </x:c>
      <x:c r="L40" s="28" t="str">
        <x:v>The Art &amp; Science of Foodpairing.pdf: 74</x:v>
      </x:c>
    </x:row>
    <x:row r="41" ht="62" customHeight="1">
      <x:c r="A41" s="28" t="str">
        <x:v>CIT-0106</x:v>
      </x:c>
      <x:c r="B41" s="28" t="str">
        <x:v>апельсиновый сок</x:v>
      </x:c>
      <x:c r="C41" s="28" t="str">
        <x:v>попкорн</x:v>
      </x:c>
      <x:c r="D41" s="28" t="str">
        <x:v>Злаки и хлеб</x:v>
      </x:c>
      <x:c r="E41" s="28" t="str">
        <x:v>вкусовой баланс</x:v>
      </x:c>
      <x:c r="F41"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Попкорн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освежает зерновой профиль и создаёт контраст с обжаренными нотами.</x:v>
      </x:c>
      <x:c r="G4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41" s="28" t="str">
        <x:v>Избыток кислоты делает вкус плоско-резким; белая часть кожуры даёт лишнюю горечь.</x:v>
      </x:c>
      <x:c r="I41" s="28" t="str">
        <x:v>кекс, каша, хлеб, крамбл или салат</x:v>
      </x:c>
      <x:c r="J41" s="28" t="str">
        <x:v>Средняя</x:v>
      </x:c>
      <x:c r="K41" s="28" t="str">
        <x:v>The Art &amp; Science of Foodpairing.pdf</x:v>
      </x:c>
      <x:c r="L41" s="28" t="str">
        <x:v>The Art &amp; Science of Foodpairing.pdf: 232</x:v>
      </x:c>
    </x:row>
    <x:row r="42" ht="62" customHeight="1">
      <x:c r="A42" s="28" t="str">
        <x:v>CIT-0108</x:v>
      </x:c>
      <x:c r="B42" s="28" t="str">
        <x:v>бергамот</x:v>
      </x:c>
      <x:c r="C42" s="28" t="str">
        <x:v>багет</x:v>
      </x:c>
      <x:c r="D42" s="28" t="str">
        <x:v>Злаки и хлеб</x:v>
      </x:c>
      <x:c r="E42" s="28" t="str">
        <x:v>вкусовой баланс</x:v>
      </x:c>
      <x:c r="F42" s="28" t="str">
        <x:v>Бергамот формирует профиль «цитрусовый, цветочный, травяной, хвойный»; характерные маркеры: лимонен, линалол, линалил ацетат, гамма-терпинен. Багет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Бергамот отличается высоким вкладом линалоола и линалилацетата. Цитрус освежает зерновой профиль и создаёт контраст с обжаренными нотами.</x:v>
      </x:c>
      <x:c r="G4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42" s="28" t="str">
        <x:v>Избыток кислоты делает вкус плоско-резким; белая часть кожуры даёт лишнюю горечь.</x:v>
      </x:c>
      <x:c r="I42" s="28" t="str">
        <x:v>кекс, каша, хлеб, крамбл или салат</x:v>
      </x:c>
      <x:c r="J42" s="28" t="str">
        <x:v>Средняя</x:v>
      </x:c>
      <x:c r="K42" s="28" t="str">
        <x:v>The Art &amp; Science of Foodpairing.pdf</x:v>
      </x:c>
      <x:c r="L42" s="28" t="str">
        <x:v>The Art &amp; Science of Foodpairing.pdf: 332</x:v>
      </x:c>
    </x:row>
    <x:row r="43" ht="62" customHeight="1">
      <x:c r="A43" s="28" t="str">
        <x:v>CIT-0118</x:v>
      </x:c>
      <x:c r="B43" s="28" t="str">
        <x:v>бергамот</x:v>
      </x:c>
      <x:c r="C43" s="28" t="str">
        <x:v>лавандовый мёд</x:v>
      </x:c>
      <x:c r="D43" s="28" t="str">
        <x:v>Подсластители</x:v>
      </x:c>
      <x:c r="E43" s="28" t="str">
        <x:v>перекрытие ароматических семейств, вкусовой баланс</x:v>
      </x:c>
      <x:c r="F43" s="28" t="str">
        <x:v>Бергамот формирует профиль «цитрусовый, цветочный, травяной, хвойный»; характерные маркеры: лимонен, линалол, линалил ацетат, гамма-терпинен. Лавандовый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Бергамот отличается высоким вкладом линалоола и линалилацетата. Сладость балансирует кислоту и горечь кожуры; цветочные компоненты могут поддерживать цитрус.</x:v>
      </x:c>
      <x:c r="G4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43" s="28" t="str">
        <x:v>Избыток кислоты делает вкус плоско-резким; белая часть кожуры даёт лишнюю горечь.</x:v>
      </x:c>
      <x:c r="I43" s="28" t="str">
        <x:v>сироп, мармелад, крем, глазурь или лимонад</x:v>
      </x:c>
      <x:c r="J43" s="28" t="str">
        <x:v>Средняя</x:v>
      </x:c>
      <x:c r="K43" s="28" t="str">
        <x:v>The Art &amp; Science of Foodpairing.pdf</x:v>
      </x:c>
      <x:c r="L43" s="28" t="str">
        <x:v>The Art &amp; Science of Foodpairing.pdf: 188</x:v>
      </x:c>
    </x:row>
    <x:row r="44" ht="62" customHeight="1">
      <x:c r="A44" s="28" t="str">
        <x:v>CIT-0119</x:v>
      </x:c>
      <x:c r="B44" s="28" t="str">
        <x:v>бергамот</x:v>
      </x:c>
      <x:c r="C44" s="28" t="str">
        <x:v>лимонник китайский (омиджа)</x:v>
      </x:c>
      <x:c r="D44" s="28" t="str">
        <x:v>Цитрусовые</x:v>
      </x:c>
      <x:c r="E44" s="28" t="str">
        <x:v>общие ароматические молекулы, перекрытие ароматических семейств, вкусовой баланс, тройничное восприятие</x:v>
      </x:c>
      <x:c r="F44" s="28" t="str">
        <x:v>Бергамот формирует профиль «цитрусовый, цветочный, травяной, хвойный»; характерные маркеры: лимонен, линалол, линалил ацетат, гамма-терпинен. Лимонник китайский (омиджа) относится к группе «цитрусовые» и даёт ноты «цитрусовый, свежий, цветочный, древесный».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Бергамот отличается высоким вкладом линалоола и линалилацетата. Сок определяется цитралем и кислотностью, цедра — лимоненом и терпенами.</x:v>
      </x:c>
      <x:c r="G4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44" s="28" t="str">
        <x:v>Избыток кислоты делает вкус плоско-резким; белая часть кожуры даёт лишнюю горечь.</x:v>
      </x:c>
      <x:c r="I44" s="28" t="str">
        <x:v>цитрусовый кордиал, мармелад, сорбет, салат или купаж соков</x:v>
      </x:c>
      <x:c r="J44" s="28" t="str">
        <x:v>Средняя</x:v>
      </x:c>
      <x:c r="K44" s="28" t="str">
        <x:v>The Art &amp; Science of Foodpairing.pdf</x:v>
      </x:c>
      <x:c r="L44" s="28" t="str">
        <x:v>The Art &amp; Science of Foodpairing.pdf: 218</x:v>
      </x:c>
    </x:row>
    <x:row r="45" ht="62" customHeight="1">
      <x:c r="A45" s="28" t="str">
        <x:v>CIT-0120</x:v>
      </x:c>
      <x:c r="B45" s="28" t="str">
        <x:v>бергамот</x:v>
      </x:c>
      <x:c r="C45" s="28" t="str">
        <x:v>личи</x:v>
      </x:c>
      <x:c r="D45" s="28" t="str">
        <x:v>Тропические фрукты</x:v>
      </x:c>
      <x:c r="E45" s="28" t="str">
        <x:v>перекрытие ароматических семейств, вкусовой баланс</x:v>
      </x:c>
      <x:c r="F45" s="28" t="str">
        <x:v>Бергамот формирует профиль «цитрусовый, цветочный, травяной, хвойный»; характерные маркеры: лимонен, линалол, линалил ацетат, гамма-терпинен. Личи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Бергамот отличается высоким вкладом линалоола и линалилацетата. Цитрус снижает ощущение приторности и усиливает летучие фруктовые эфиры.</x:v>
      </x:c>
      <x:c r="G4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45" s="28" t="str">
        <x:v>Избыток кислоты делает вкус плоско-резким; белая часть кожуры даёт лишнюю горечь.</x:v>
      </x:c>
      <x:c r="I45" s="28" t="str">
        <x:v>смузи, кордиал, сорбет, чатни или коктейль</x:v>
      </x:c>
      <x:c r="J45" s="28" t="str">
        <x:v>Средняя</x:v>
      </x:c>
      <x:c r="K45" s="28" t="str">
        <x:v>The Art &amp; Science of Foodpairing.pdf</x:v>
      </x:c>
      <x:c r="L45" s="28" t="str">
        <x:v>The Art &amp; Science of Foodpairing.pdf: 210</x:v>
      </x:c>
    </x:row>
    <x:row r="46" ht="62" customHeight="1">
      <x:c r="A46" s="28" t="str">
        <x:v>CIT-0122</x:v>
      </x:c>
      <x:c r="B46" s="28" t="str">
        <x:v>бергамот</x:v>
      </x:c>
      <x:c r="C46" s="28" t="str">
        <x:v>семена чёрного тмина</x:v>
      </x:c>
      <x:c r="D46" s="28" t="str">
        <x:v>Орехи и семена</x:v>
      </x:c>
      <x:c r="E46" s="28" t="str">
        <x:v>вкусовой баланс, влияние матрицы/растворимости</x:v>
      </x:c>
      <x:c r="F46" s="28" t="str">
        <x:v>Бергамот формирует профиль «цитрусовый, цветочный, травяной, хвойный»; характерные маркеры: лимонен, линалол, линалил ацетат, гамма-терпинен. Семена чёрного тмина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Кислота режет жирность, а цедра связывается с обжаренными и цветочными нотами.</x:v>
      </x:c>
      <x:c r="G46"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46" s="28" t="str">
        <x:v>Избыток кислоты делает вкус плоско-резким; белая часть кожуры даёт лишнюю горечь.</x:v>
      </x:c>
      <x:c r="I46" s="28" t="str">
        <x:v>пралине, крем, выпечка, салат или ореховый соус</x:v>
      </x:c>
      <x:c r="J46" s="28" t="str">
        <x:v>Средняя</x:v>
      </x:c>
      <x:c r="K46" s="28" t="str">
        <x:v>The Art &amp; Science of Foodpairing.pdf</x:v>
      </x:c>
      <x:c r="L46" s="28" t="str">
        <x:v>The Art &amp; Science of Foodpairing.pdf: 236</x:v>
      </x:c>
    </x:row>
    <x:row r="47" ht="62" customHeight="1">
      <x:c r="A47" s="28" t="str">
        <x:v>CIT-0130</x:v>
      </x:c>
      <x:c r="B47" s="28" t="str">
        <x:v>грейпфрут</x:v>
      </x:c>
      <x:c r="C47" s="28" t="str">
        <x:v>ананас</x:v>
      </x:c>
      <x:c r="D47" s="28" t="str">
        <x:v>Тропические фрукты</x:v>
      </x:c>
      <x:c r="E47" s="28" t="str">
        <x:v>вкусовой баланс</x:v>
      </x:c>
      <x:c r="F47" s="28" t="str">
        <x:v>Грейпфрут формирует профиль «цитрусовый, горький, свежий, сернистый»; характерные маркеры: лимонен, нооткатон, грейпфрутовые тиолы, нарингин. Ананас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снижает ощущение приторности и усиливает летучие фруктовые эфиры.</x:v>
      </x:c>
      <x:c r="G4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47"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47" s="28" t="str">
        <x:v>смузи, кордиал, сорбет, чатни или коктейль</x:v>
      </x:c>
      <x:c r="J47" s="28" t="str">
        <x:v>Высокая</x:v>
      </x:c>
      <x:c r="K47" s="28" t="str">
        <x:v>Таблица сочетания(1).pdf | Тезариус вкусов (Ники Сегнит)(1).pdf</x:v>
      </x:c>
      <x:c r="L47" s="28" t="str">
        <x:v>Таблица сочетания(1).pdf: 9, 17 | Тезариус вкусов (Ники Сегнит)(1).pdf: 703, 786</x:v>
      </x:c>
    </x:row>
    <x:row r="48" ht="62" customHeight="1">
      <x:c r="A48" s="28" t="str">
        <x:v>CIT-0136</x:v>
      </x:c>
      <x:c r="B48" s="28" t="str">
        <x:v>грейпфрут</x:v>
      </x:c>
      <x:c r="C48" s="28" t="str">
        <x:v>голубой сыр</x:v>
      </x:c>
      <x:c r="D48" s="28" t="str">
        <x:v>Молочные продукты</x:v>
      </x:c>
      <x:c r="E48" s="28" t="str">
        <x:v>вкусовой баланс, влияние матрицы/растворимости</x:v>
      </x:c>
      <x:c r="F48" s="28" t="str">
        <x:v>Грейпфрут формирует профиль «цитрусовый, горький, свежий, сернистый»; характерные маркеры: лимонен, нооткатон, грейпфрутовые тиолы, нарингин. Голубой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режет жирность и освежает, а молочная матрица смягчает кислотность.</x:v>
      </x:c>
      <x:c r="G48"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48" s="28" t="str">
        <x:v>Избыток кислоты делает вкус плоско-резким; белая часть кожуры даёт лишнюю горечь; возможна коагуляция белка; горечь нооткатона и нарингина требует контроля сахара и соли.</x:v>
      </x:c>
      <x:c r="I48" s="28" t="str">
        <x:v>чизкейк, крем, мороженое, соус или салат</x:v>
      </x:c>
      <x:c r="J48" s="28" t="str">
        <x:v>Высокая</x:v>
      </x:c>
      <x:c r="K48" s="28" t="str">
        <x:v>Тезариус вкусов (Ники Сегнит)(1).pdf</x:v>
      </x:c>
      <x:c r="L48" s="28" t="str">
        <x:v>Тезариус вкусов (Ники Сегнит)(1).pdf: 156, 787</x:v>
      </x:c>
    </x:row>
    <x:row r="49" ht="62" customHeight="1">
      <x:c r="A49" s="28" t="str">
        <x:v>CIT-0138</x:v>
      </x:c>
      <x:c r="B49" s="28" t="str">
        <x:v>грейпфрут</x:v>
      </x:c>
      <x:c r="C49" s="28" t="str">
        <x:v>дыня</x:v>
      </x:c>
      <x:c r="D49" s="28" t="str">
        <x:v>Бахчевые</x:v>
      </x:c>
      <x:c r="E49" s="28" t="str">
        <x:v>перекрытие ароматических семейств, вкусовой баланс</x:v>
      </x:c>
      <x:c r="F49" s="28" t="str">
        <x:v>Грейпфрут формирует профиль «цитрусовый, горький, свежий, сернистый»; характерные маркеры: лимонен, нооткатон, грейпфрутовые тиолы, нарингин. Дыня относится к группе «бахчевые» и даёт ноты «свежий, зелёный, водянистый, фруктовый».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придаёт структуру, но легко подавляет тонкий аромат дыни.</x:v>
      </x:c>
      <x:c r="G4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49"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49" s="28" t="str">
        <x:v>холодный напиток, гранита, салат или сорбет</x:v>
      </x:c>
      <x:c r="J49" s="28" t="str">
        <x:v>Гипотеза / практическая</x:v>
      </x:c>
      <x:c r="K49" s="28" t="str">
        <x:v>Таблица сочетания(1).pdf</x:v>
      </x:c>
      <x:c r="L49" s="28" t="str">
        <x:v>Таблица сочетания(1).pdf: 9</x:v>
      </x:c>
    </x:row>
    <x:row r="50" ht="62" customHeight="1">
      <x:c r="A50" s="28" t="str">
        <x:v>CIT-0141</x:v>
      </x:c>
      <x:c r="B50" s="28" t="str">
        <x:v>грейпфрут</x:v>
      </x:c>
      <x:c r="C50" s="28" t="str">
        <x:v>клубника</x:v>
      </x:c>
      <x:c r="D50" s="28" t="str">
        <x:v>Ягоды</x:v>
      </x:c>
      <x:c r="E50" s="28" t="str">
        <x:v>вкусовой баланс</x:v>
      </x:c>
      <x:c r="F50" s="28" t="str">
        <x:v>Грейпфрут формирует профиль «цитрусовый, горький, свежий, сернистый»; характерные маркеры: лимонен, нооткатон, грейпфрутовые тиолы, нарингин. Клубника относится к группе «ягоды» и даёт ноты «фруктовый,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Фуранеол даёт карамельно-ананасовый оттенок, цитрус подчёркивает свежие эфиры.</x:v>
      </x:c>
      <x:c r="G5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50"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0" s="28" t="str">
        <x:v>морс, кордиал, джем, сорбет или коктейль</x:v>
      </x:c>
      <x:c r="J50" s="28" t="str">
        <x:v>Гипотеза / практическая</x:v>
      </x:c>
      <x:c r="K50" s="28" t="str">
        <x:v>Таблица сочетания(1).pdf</x:v>
      </x:c>
      <x:c r="L50" s="28" t="str">
        <x:v>Таблица сочетания(1).pdf: 20</x:v>
      </x:c>
    </x:row>
    <x:row r="51" ht="62" customHeight="1">
      <x:c r="A51" s="28" t="str">
        <x:v>CIT-0143</x:v>
      </x:c>
      <x:c r="B51" s="28" t="str">
        <x:v>грейпфрут</x:v>
      </x:c>
      <x:c r="C51" s="28" t="str">
        <x:v>кумкват</x:v>
      </x:c>
      <x:c r="D51" s="28" t="str">
        <x:v>Цитрусовые</x:v>
      </x:c>
      <x:c r="E51" s="28" t="str">
        <x:v>общие ароматические молекулы, перекрытие ароматических семейств, вкусовой баланс</x:v>
      </x:c>
      <x:c r="F51" s="28" t="str">
        <x:v>Грейпфрут формирует профиль «цитрусовый, горький, свежий, сернистый»; характерные маркеры: лимонен, нооткатон, грейпфрутовые тиолы, нарингин. Кумкват относится к группе «цитрусовые» и даёт ноты «цитрусовый, фруктовый, цветочный, пряный».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Мандариновая группа мягче по кислотности и выраженнее по сладко-цветочным нотам.</x:v>
      </x:c>
      <x:c r="G5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1"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1" s="28" t="str">
        <x:v>цитрусовый кордиал, мармелад, сорбет, салат или купаж соков</x:v>
      </x:c>
      <x:c r="J51" s="28" t="str">
        <x:v>Средняя</x:v>
      </x:c>
      <x:c r="K51" s="28" t="str">
        <x:v>The Art &amp; Science of Foodpairing.pdf</x:v>
      </x:c>
      <x:c r="L51" s="28" t="str">
        <x:v>The Art &amp; Science of Foodpairing.pdf: 215</x:v>
      </x:c>
    </x:row>
    <x:row r="52" ht="62" customHeight="1">
      <x:c r="A52" s="28" t="str">
        <x:v>CIT-0145</x:v>
      </x:c>
      <x:c r="B52" s="28" t="str">
        <x:v>грейпфрут</x:v>
      </x:c>
      <x:c r="C52" s="28" t="str">
        <x:v>лайм</x:v>
      </x:c>
      <x:c r="D52" s="28" t="str">
        <x:v>Цитрусовые</x:v>
      </x:c>
      <x:c r="E52" s="28" t="str">
        <x:v>общие ароматические молекулы, перекрытие ароматических семейств, вкусовой баланс, тройничное восприятие</x:v>
      </x:c>
      <x:c r="F52" s="28" t="str">
        <x:v>Грейпфрут формирует профиль «цитрусовый, горький, свежий, сернистый»; характерные маркеры: лимонен, нооткатон, грейпфрутовые тиолы, нарингин. Лайм относится к группе «цитрусовые» и даёт ноты «цитрусовый, зелёный, травяной, камфорный».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Лаймовые цитрусы дают более зелёный и камфорный профиль, чем сладкий апельсин.</x:v>
      </x:c>
      <x:c r="G5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2"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2" s="28" t="str">
        <x:v>цитрусовый кордиал, мармелад, сорбет, салат или купаж соков</x:v>
      </x:c>
      <x:c r="J52" s="28" t="str">
        <x:v>Средняя</x:v>
      </x:c>
      <x:c r="K52" s="28" t="str">
        <x:v>Таблица сочетания(1).pdf</x:v>
      </x:c>
      <x:c r="L52" s="28" t="str">
        <x:v>Таблица сочетания(1).pdf: 9, 12</x:v>
      </x:c>
    </x:row>
    <x:row r="53" ht="62" customHeight="1">
      <x:c r="A53" s="28" t="str">
        <x:v>CIT-0146</x:v>
      </x:c>
      <x:c r="B53" s="28" t="str">
        <x:v>грейпфрут</x:v>
      </x:c>
      <x:c r="C53" s="28" t="str">
        <x:v>лимон</x:v>
      </x:c>
      <x:c r="D53" s="28" t="str">
        <x:v>Цитрусовые</x:v>
      </x:c>
      <x:c r="E53" s="28" t="str">
        <x:v>общие ароматические молекулы, перекрытие ароматических семейств, вкусовой баланс, тройничное восприятие</x:v>
      </x:c>
      <x:c r="F53" s="28" t="str">
        <x:v>Грейпфрут формирует профиль «цитрусовый, горький, свежий, сернистый»; характерные маркеры: лимонен, нооткатон, грейпфрутовые тиолы, нарингин. Лимон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свежий,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Сок определяется цитралем и кислотностью, цедра — лимоненом и терпенами.</x:v>
      </x:c>
      <x:c r="G5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3"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3" s="28" t="str">
        <x:v>цитрусовый кордиал, мармелад, сорбет, салат или купаж соков</x:v>
      </x:c>
      <x:c r="J53" s="28" t="str">
        <x:v>Средняя</x:v>
      </x:c>
      <x:c r="K53" s="28" t="str">
        <x:v>Таблица сочетания(1).pdf</x:v>
      </x:c>
      <x:c r="L53" s="28" t="str">
        <x:v>Таблица сочетания(1).pdf: 9, 11</x:v>
      </x:c>
    </x:row>
    <x:row r="54" ht="62" customHeight="1">
      <x:c r="A54" s="28" t="str">
        <x:v>CIT-0148</x:v>
      </x:c>
      <x:c r="B54" s="28" t="str">
        <x:v>грейпфрут</x:v>
      </x:c>
      <x:c r="C54" s="28" t="str">
        <x:v>малина</x:v>
      </x:c>
      <x:c r="D54" s="28" t="str">
        <x:v>Ягоды/косточковые</x:v>
      </x:c>
      <x:c r="E54" s="28" t="str">
        <x:v>вкусовой баланс</x:v>
      </x:c>
      <x:c r="F54" s="28" t="str">
        <x:v>Грейпфрут формирует профиль «цитрусовый, горький, свежий, сернистый»; характерные маркеры: лимонен, нооткатон, грейпфрутовые тиолы, нарингин. Малина относится к группе «ягоды/косточковые» и даёт ноты «фруктовый, цветочный, зелёный, винный».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усиливает кислотный контур, а цветочные терпены поддерживают ягодный аромат.</x:v>
      </x:c>
      <x:c r="G5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5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4" s="28" t="str">
        <x:v>джем, сорбет, коктейль или соус</x:v>
      </x:c>
      <x:c r="J54" s="28" t="str">
        <x:v>Гипотеза / практическая</x:v>
      </x:c>
      <x:c r="K54" s="28" t="str">
        <x:v>Таблица сочетания(1).pdf</x:v>
      </x:c>
      <x:c r="L54" s="28" t="str">
        <x:v>Таблица сочетания(1).pdf: 9</x:v>
      </x:c>
    </x:row>
    <x:row r="55" ht="62" customHeight="1">
      <x:c r="A55" s="28" t="str">
        <x:v>CIT-0149</x:v>
      </x:c>
      <x:c r="B55" s="28" t="str">
        <x:v>грейпфрут</x:v>
      </x:c>
      <x:c r="C55" s="28" t="str">
        <x:v>мёд</x:v>
      </x:c>
      <x:c r="D55" s="28" t="str">
        <x:v>Подсластители</x:v>
      </x:c>
      <x:c r="E55" s="28" t="str">
        <x:v>вкусовой баланс</x:v>
      </x:c>
      <x:c r="F55" s="28" t="str">
        <x:v>Грейпфрут формирует профиль «цитрусовый, горький, свежий, сернистый»; характерные маркеры: лимонен, нооткатон, грейпфрутовые тиолы, нарингин. Мёд относится к группе «подсластители» и даёт ноты «медовый,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Сладость подавляет воспринимаемую кислотность и горечь кожуры, а кислота не даёт сочетанию стать приторным. Горечь задают флавоноиды, аромат кожуры — терпены и следовые тиолы. Сладость балансирует кислоту и горечь кожуры; цветочные компоненты могут поддерживать цитрус.</x:v>
      </x:c>
      <x:c r="G5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5"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5" s="28" t="str">
        <x:v>сироп, мармелад, крем, глазурь или лимонад</x:v>
      </x:c>
      <x:c r="J55" s="28" t="str">
        <x:v>Гипотеза / практическая</x:v>
      </x:c>
      <x:c r="K55" s="28" t="str">
        <x:v>Таблица сочетания(1).pdf</x:v>
      </x:c>
      <x:c r="L55" s="28" t="str">
        <x:v>Таблица сочетания(1).pdf: 9, 10</x:v>
      </x:c>
    </x:row>
    <x:row r="56" ht="62" customHeight="1">
      <x:c r="A56" s="28" t="str">
        <x:v>CIT-0152</x:v>
      </x:c>
      <x:c r="B56" s="28" t="str">
        <x:v>грейпфрут</x:v>
      </x:c>
      <x:c r="C56" s="28" t="str">
        <x:v>моцарелла из буйволиного молока</x:v>
      </x:c>
      <x:c r="D56" s="28" t="str">
        <x:v>Молочные продукты</x:v>
      </x:c>
      <x:c r="E56" s="28" t="str">
        <x:v>вкусовой баланс, влияние матрицы/растворимости</x:v>
      </x:c>
      <x:c r="F56" s="28" t="str">
        <x:v>Грейпфрут формирует профиль «цитрусовый, горький, свежий, сернистый»; характерные маркеры: лимонен, нооткатон, грейпфрутовые тиолы, нарингин. Моцарелла из буйволиного молока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режет жирность и освежает, а молочная матрица смягчает кислотность.</x:v>
      </x:c>
      <x:c r="G56"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56" s="28" t="str">
        <x:v>Избыток кислоты делает вкус плоско-резким; белая часть кожуры даёт лишнюю горечь; возможна коагуляция белка; горечь нооткатона и нарингина требует контроля сахара и соли.</x:v>
      </x:c>
      <x:c r="I56" s="28" t="str">
        <x:v>чизкейк, крем, мороженое, соус или салат</x:v>
      </x:c>
      <x:c r="J56" s="28" t="str">
        <x:v>Средняя</x:v>
      </x:c>
      <x:c r="K56" s="28" t="str">
        <x:v>The Art &amp; Science of Foodpairing.pdf</x:v>
      </x:c>
      <x:c r="L56" s="28" t="str">
        <x:v>The Art &amp; Science of Foodpairing.pdf: 161</x:v>
      </x:c>
    </x:row>
    <x:row r="57" ht="62" customHeight="1">
      <x:c r="A57" s="28" t="str">
        <x:v>CIT-0158</x:v>
      </x:c>
      <x:c r="B57" s="28" t="str">
        <x:v>грейпфрут</x:v>
      </x:c>
      <x:c r="C57" s="28" t="str">
        <x:v>папайя</x:v>
      </x:c>
      <x:c r="D57" s="28" t="str">
        <x:v>Тропические фрукты</x:v>
      </x:c>
      <x:c r="E57" s="28" t="str">
        <x:v>вкусовой баланс</x:v>
      </x:c>
      <x:c r="F57" s="28" t="str">
        <x:v>Грейпфрут формирует профиль «цитрусовый, горький, свежий, сернистый»; характерные маркеры: лимонен, нооткатон, грейпфрутовые тиолы, нарингин. Папайя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снижает ощущение приторности и усиливает летучие фруктовые эфиры.</x:v>
      </x:c>
      <x:c r="G5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57"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7" s="28" t="str">
        <x:v>смузи, кордиал, сорбет, чатни или коктейль</x:v>
      </x:c>
      <x:c r="J57" s="28" t="str">
        <x:v>Гипотеза / практическая</x:v>
      </x:c>
      <x:c r="K57" s="28" t="str">
        <x:v>Таблица сочетания(1).pdf</x:v>
      </x:c>
      <x:c r="L57" s="28" t="str">
        <x:v>Таблица сочетания(1).pdf: 9, 15</x:v>
      </x:c>
    </x:row>
    <x:row r="58" ht="62" customHeight="1">
      <x:c r="A58" s="28" t="str">
        <x:v>CIT-0159</x:v>
      </x:c>
      <x:c r="B58" s="28" t="str">
        <x:v>грейпфрут</x:v>
      </x:c>
      <x:c r="C58" s="28" t="str">
        <x:v>пекан</x:v>
      </x:c>
      <x:c r="D58" s="28" t="str">
        <x:v>Орехи и семена</x:v>
      </x:c>
      <x:c r="E58" s="28" t="str">
        <x:v>вкусовой баланс, влияние матрицы/растворимости</x:v>
      </x:c>
      <x:c r="F58" s="28" t="str">
        <x:v>Грейпфрут формирует профиль «цитрусовый, горький, свежий, сернистый»; характерные маркеры: лимонен, нооткатон, грейпфрутовые тиолы, нарингин. Пекан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Кислота режет жирность, а цедра связывается с обжаренными и цветочными нотами.</x:v>
      </x:c>
      <x:c r="G5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58"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8" s="28" t="str">
        <x:v>пралине, крем, выпечка, салат или ореховый соус</x:v>
      </x:c>
      <x:c r="J58" s="28" t="str">
        <x:v>Гипотеза / практическая</x:v>
      </x:c>
      <x:c r="K58" s="28" t="str">
        <x:v>Таблица сочетания(1).pdf</x:v>
      </x:c>
      <x:c r="L58" s="28" t="str">
        <x:v>Таблица сочетания(1).pdf: 9</x:v>
      </x:c>
    </x:row>
    <x:row r="59" ht="62" customHeight="1">
      <x:c r="A59" s="28" t="str">
        <x:v>CIT-0160</x:v>
      </x:c>
      <x:c r="B59" s="28" t="str">
        <x:v>грейпфрут</x:v>
      </x:c>
      <x:c r="C59" s="28" t="str">
        <x:v>рапсовый мёд</x:v>
      </x:c>
      <x:c r="D59" s="28" t="str">
        <x:v>Подсластители</x:v>
      </x:c>
      <x:c r="E59" s="28" t="str">
        <x:v>вкусовой баланс</x:v>
      </x:c>
      <x:c r="F59" s="28" t="str">
        <x:v>Грейпфрут формирует профиль «цитрусовый, горький, свежий, сернистый»; характерные маркеры: лимонен, нооткатон, грейпфрутовые тиолы, нарингин. Рапсовый мёд относится к группе «подсластители» и даёт ноты «медовый,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Сладость подавляет воспринимаемую кислотность и горечь кожуры, а кислота не даёт сочетанию стать приторным. Горечь задают флавоноиды, аромат кожуры — терпены и следовые тиолы. Сладость балансирует кислоту и горечь кожуры; цветочные компоненты могут поддерживать цитрус.</x:v>
      </x:c>
      <x:c r="G5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9"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59" s="28" t="str">
        <x:v>сироп, мармелад, крем, глазурь или лимонад</x:v>
      </x:c>
      <x:c r="J59" s="28" t="str">
        <x:v>Средняя</x:v>
      </x:c>
      <x:c r="K59" s="28" t="str">
        <x:v>The Art &amp; Science of Foodpairing.pdf</x:v>
      </x:c>
      <x:c r="L59" s="28" t="str">
        <x:v>The Art &amp; Science of Foodpairing.pdf: 350</x:v>
      </x:c>
    </x:row>
    <x:row r="60" ht="62" customHeight="1">
      <x:c r="A60" s="28" t="str">
        <x:v>CIT-0166</x:v>
      </x:c>
      <x:c r="B60" s="28" t="str">
        <x:v>грейпфрут</x:v>
      </x:c>
      <x:c r="C60" s="28" t="str">
        <x:v>сыр Bouton de Culotte</x:v>
      </x:c>
      <x:c r="D60" s="28" t="str">
        <x:v>Молочные продукты</x:v>
      </x:c>
      <x:c r="E60" s="28" t="str">
        <x:v>вкусовой баланс, влияние матрицы/растворимости</x:v>
      </x:c>
      <x:c r="F60" s="28" t="str">
        <x:v>Грейпфрут формирует профиль «цитрусовый, горький, свежий, сернистый»; характерные маркеры: лимонен, нооткатон, грейпфрутовые тиолы, нарингин. Сыр bouton de culotte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режет жирность и освежает, а молочная матрица смягчает кислотность.</x:v>
      </x:c>
      <x:c r="G60"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60" s="28" t="str">
        <x:v>Избыток кислоты делает вкус плоско-резким; белая часть кожуры даёт лишнюю горечь; возможна коагуляция белка; горечь нооткатона и нарингина требует контроля сахара и соли.</x:v>
      </x:c>
      <x:c r="I60" s="28" t="str">
        <x:v>чизкейк, крем, мороженое, соус или салат</x:v>
      </x:c>
      <x:c r="J60" s="28" t="str">
        <x:v>Средняя</x:v>
      </x:c>
      <x:c r="K60" s="28" t="str">
        <x:v>The Art &amp; Science of Foodpairing.pdf</x:v>
      </x:c>
      <x:c r="L60" s="28" t="str">
        <x:v>The Art &amp; Science of Foodpairing.pdf: 358</x:v>
      </x:c>
    </x:row>
    <x:row r="61" ht="62" customHeight="1">
      <x:c r="A61" s="28" t="str">
        <x:v>CIT-0167</x:v>
      </x:c>
      <x:c r="B61" s="28" t="str">
        <x:v>грейпфрут</x:v>
      </x:c>
      <x:c r="C61" s="28" t="str">
        <x:v>танжерин (tangerine)</x:v>
      </x:c>
      <x:c r="D61" s="28" t="str">
        <x:v>Цитрусовые</x:v>
      </x:c>
      <x:c r="E61" s="28" t="str">
        <x:v>общие ароматические молекулы, перекрытие ароматических семейств, вкусовой баланс</x:v>
      </x:c>
      <x:c r="F61" s="28" t="str">
        <x:v>Грейпфрут формирует профиль «цитрусовый, горький, свежий, сернистый»; характерные маркеры: лимонен, нооткатон, грейпфрутовые тиолы, нарингин. Танжерин (tangerine) относится к группе «цитрусовые» и даёт ноты «цитрусовый, фруктовый, цветочный, пряный».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Мандариновая группа мягче по кислотности и выраженнее по сладко-цветочным нотам.</x:v>
      </x:c>
      <x:c r="G6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1"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1" s="28" t="str">
        <x:v>цитрусовый кордиал, мармелад, сорбет, салат или купаж соков</x:v>
      </x:c>
      <x:c r="J61" s="28" t="str">
        <x:v>Средняя</x:v>
      </x:c>
      <x:c r="K61" s="28" t="str">
        <x:v>Таблица сочетания(1).pdf</x:v>
      </x:c>
      <x:c r="L61" s="28" t="str">
        <x:v>Таблица сочетания(1).pdf: 21</x:v>
      </x:c>
    </x:row>
    <x:row r="62" ht="62" customHeight="1">
      <x:c r="A62" s="28" t="str">
        <x:v>CIT-0174</x:v>
      </x:c>
      <x:c r="B62" s="28" t="str">
        <x:v>грейпфрут</x:v>
      </x:c>
      <x:c r="C62" s="28" t="str">
        <x:v>чернослив Ажен</x:v>
      </x:c>
      <x:c r="D62" s="28" t="str">
        <x:v>Косточковые фрукты</x:v>
      </x:c>
      <x:c r="E62" s="28" t="str">
        <x:v>вкусовой баланс</x:v>
      </x:c>
      <x:c r="F62" s="28" t="str">
        <x:v>Грейпфрут формирует профиль «цитрусовый, горький, свежий, сернистый»; характерные маркеры: лимонен, нооткатон, грейпфрутовые тиолы, нарингин. Чернослив ажен относится к группе «косточковые фрукты» и даёт ноты «фруктовый, цветочный, сливочный, миндальный».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добавляет кислотность, а лактоны смягчают его резкость.</x:v>
      </x:c>
      <x:c r="G6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62"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2" s="28" t="str">
        <x:v>тарт, сорбет, джем или фруктовый соус</x:v>
      </x:c>
      <x:c r="J62" s="28" t="str">
        <x:v>Средняя</x:v>
      </x:c>
      <x:c r="K62" s="28" t="str">
        <x:v>The Art &amp; Science of Foodpairing.pdf</x:v>
      </x:c>
      <x:c r="L62" s="28" t="str">
        <x:v>The Art &amp; Science of Foodpairing.pdf: 336</x:v>
      </x:c>
    </x:row>
    <x:row r="63" ht="62" customHeight="1">
      <x:c r="A63" s="28" t="str">
        <x:v>CIT-0178</x:v>
      </x:c>
      <x:c r="B63" s="28" t="str">
        <x:v>грейпфрут</x:v>
      </x:c>
      <x:c r="C63" s="28" t="str">
        <x:v>юдзу</x:v>
      </x:c>
      <x:c r="D63" s="28" t="str">
        <x:v>Цитрусовые</x:v>
      </x:c>
      <x:c r="E63" s="28" t="str">
        <x:v>общие ароматические молекулы, перекрытие ароматических семейств, вкусовой баланс, тройничное восприятие</x:v>
      </x:c>
      <x:c r="F63" s="28" t="str">
        <x:v>Грейпфрут формирует профиль «цитрусовый, горький, свежий, сернистый»; характерные маркеры: лимонен, нооткатон, грейпфрутовые тиолы, нарингин. Юдзу относится к группе «цитрусовые» и даёт ноты «цитрусовый, зелёный, травяной, камфорный». Наиболее правдоподобный молекулярный мост — лимонен;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Горечь задают флавоноиды, аромат кожуры — терпены и следовые тиолы. Лаймовые цитрусы дают более зелёный и камфорный профиль, чем сладкий апельсин.</x:v>
      </x:c>
      <x:c r="G6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3"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3" s="28" t="str">
        <x:v>цитрусовый кордиал, мармелад, сорбет, салат или купаж соков</x:v>
      </x:c>
      <x:c r="J63" s="28" t="str">
        <x:v>Средняя</x:v>
      </x:c>
      <x:c r="K63" s="28" t="str">
        <x:v>Таблица сочетания(1).pdf</x:v>
      </x:c>
      <x:c r="L63" s="28" t="str">
        <x:v>Таблица сочетания(1).pdf: 22</x:v>
      </x:c>
    </x:row>
    <x:row r="64" ht="62" customHeight="1">
      <x:c r="A64" s="28" t="str">
        <x:v>CIT-0179</x:v>
      </x:c>
      <x:c r="B64" s="28" t="str">
        <x:v>грейпфрут</x:v>
      </x:c>
      <x:c r="C64" s="28" t="str">
        <x:v>ягоды можжевельника</x:v>
      </x:c>
      <x:c r="D64" s="28" t="str">
        <x:v>Ягоды/косточковые</x:v>
      </x:c>
      <x:c r="E64" s="28" t="str">
        <x:v>вкусовой баланс</x:v>
      </x:c>
      <x:c r="F64" s="28" t="str">
        <x:v>Грейпфрут формирует профиль «цитрусовый, горький, свежий, сернистый»; характерные маркеры: лимонен, нооткатон, грейпфрутовые тиолы, нарингин. Ягоды можжевельника относится к группе «ягоды/косточковые» и даёт ноты «фруктовый, цветочный, зелёный, винный».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усиливает кислотный контур, а цветочные терпены поддерживают ягодный аромат.</x:v>
      </x:c>
      <x:c r="G6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64"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64" s="28" t="str">
        <x:v>джем, сорбет, коктейль или соус</x:v>
      </x:c>
      <x:c r="J64" s="28" t="str">
        <x:v>Гипотеза / практическая</x:v>
      </x:c>
      <x:c r="K64" s="28" t="str">
        <x:v>Таблица сочетания(1).pdf</x:v>
      </x:c>
      <x:c r="L64" s="28" t="str">
        <x:v>Таблица сочетания(1).pdf: 10</x:v>
      </x:c>
    </x:row>
    <x:row r="65" ht="62" customHeight="1">
      <x:c r="A65" s="28" t="str">
        <x:v>CIT-0186</x:v>
      </x:c>
      <x:c r="B65" s="28" t="str">
        <x:v>кабосу</x:v>
      </x:c>
      <x:c r="C65" s="28" t="str">
        <x:v>колумбийский кофе</x:v>
      </x:c>
      <x:c r="D65" s="28" t="str">
        <x:v>Кофе/обжаренное</x:v>
      </x:c>
      <x:c r="E65" s="28" t="str">
        <x:v>вкусовой баланс</x:v>
      </x:c>
      <x:c r="F65" s="28" t="str">
        <x:v>Кабосу формирует профиль «нейтральный/специфический»; характерные маркеры: . Колумбийский кофе относится к группе «кофе/обжаренное» и даёт ноты «обжаренный, карамельный, ореховый,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может подчеркнуть естественную кислотность и связаться с фруктовыми нотами кофе.</x:v>
      </x:c>
      <x:c r="G65"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65" s="28" t="str">
        <x:v>Избыток кислоты делает вкус плоско-резким; белая часть кожуры даёт лишнюю горечь.</x:v>
      </x:c>
      <x:c r="I65" s="28" t="str">
        <x:v>кофейный напиток, тирамису, ликёр или десертный соус</x:v>
      </x:c>
      <x:c r="J65" s="28" t="str">
        <x:v>Средняя</x:v>
      </x:c>
      <x:c r="K65" s="28" t="str">
        <x:v>The Art &amp; Science of Foodpairing.pdf</x:v>
      </x:c>
      <x:c r="L65" s="28" t="str">
        <x:v>The Art &amp; Science of Foodpairing.pdf: 177</x:v>
      </x:c>
    </x:row>
    <x:row r="66" ht="62" customHeight="1">
      <x:c r="A66" s="28" t="str">
        <x:v>CIT-0188</x:v>
      </x:c>
      <x:c r="B66" s="28" t="str">
        <x:v>кабосу</x:v>
      </x:c>
      <x:c r="C66" s="28" t="str">
        <x:v>марокканское оливковое масло</x:v>
      </x:c>
      <x:c r="D66" s="28" t="str">
        <x:v>Молочные продукты</x:v>
      </x:c>
      <x:c r="E66" s="28" t="str">
        <x:v>вкусовой баланс, влияние матрицы/растворимости</x:v>
      </x:c>
      <x:c r="F66" s="28" t="str">
        <x:v>Кабосу формирует профиль «нейтральный/специфический»; характерные маркеры: . Марокканское оливковое масло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Для точного молекулярного вывода нужен профиль конкретного ингредиента и способа обработки. Цитрус режет жирность и освежает, а молочная матрица смягчает кислотность.</x:v>
      </x:c>
      <x:c r="G66"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66" s="28" t="str">
        <x:v>Избыток кислоты делает вкус плоско-резким; белая часть кожуры даёт лишнюю горечь; возможна коагуляция белка.</x:v>
      </x:c>
      <x:c r="I66" s="28" t="str">
        <x:v>чизкейк, крем, мороженое, соус или салат</x:v>
      </x:c>
      <x:c r="J66" s="28" t="str">
        <x:v>Средняя</x:v>
      </x:c>
      <x:c r="K66" s="28" t="str">
        <x:v>The Art &amp; Science of Foodpairing.pdf</x:v>
      </x:c>
      <x:c r="L66" s="28" t="str">
        <x:v>The Art &amp; Science of Foodpairing.pdf: 177</x:v>
      </x:c>
    </x:row>
    <x:row r="67" ht="62" customHeight="1">
      <x:c r="A67" s="28" t="str">
        <x:v>CIT-0189</x:v>
      </x:c>
      <x:c r="B67" s="28" t="str">
        <x:v>кабосу</x:v>
      </x:c>
      <x:c r="C67" s="28" t="str">
        <x:v>ржаной хлеб на закваске</x:v>
      </x:c>
      <x:c r="D67" s="28" t="str">
        <x:v>Злаки и хлеб</x:v>
      </x:c>
      <x:c r="E67" s="28" t="str">
        <x:v>вкусовой баланс</x:v>
      </x:c>
      <x:c r="F67" s="28" t="str">
        <x:v>Кабосу формирует профиль «нейтральный/специфический»; характерные маркеры: . Ржаной хлеб на закваске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освежает зерновой профиль и создаёт контраст с обжаренными нотами.</x:v>
      </x:c>
      <x:c r="G6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7" s="28" t="str">
        <x:v>Избыток кислоты делает вкус плоско-резким; белая часть кожуры даёт лишнюю горечь.</x:v>
      </x:c>
      <x:c r="I67" s="28" t="str">
        <x:v>кекс, каша, хлеб, крамбл или салат</x:v>
      </x:c>
      <x:c r="J67" s="28" t="str">
        <x:v>Средняя</x:v>
      </x:c>
      <x:c r="K67" s="28" t="str">
        <x:v>The Art &amp; Science of Foodpairing.pdf</x:v>
      </x:c>
      <x:c r="L67" s="28" t="str">
        <x:v>The Art &amp; Science of Foodpairing.pdf: 177</x:v>
      </x:c>
    </x:row>
    <x:row r="68" ht="62" customHeight="1">
      <x:c r="A68" s="28" t="str">
        <x:v>CIT-0190</x:v>
      </x:c>
      <x:c r="B68" s="28" t="str">
        <x:v>кабосу</x:v>
      </x:c>
      <x:c r="C68" s="28" t="str">
        <x:v>соевый йогурт</x:v>
      </x:c>
      <x:c r="D68" s="28" t="str">
        <x:v>Молочные продукты</x:v>
      </x:c>
      <x:c r="E68" s="28" t="str">
        <x:v>вкусовой баланс, влияние матрицы/растворимости</x:v>
      </x:c>
      <x:c r="F68" s="28" t="str">
        <x:v>Кабосу формирует профиль «нейтральный/специфический»; характерные маркеры: . Соевый йогурт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Для точного молекулярного вывода нужен профиль конкретного ингредиента и способа обработки. Цитрус режет жирность и освежает, а молочная матрица смягчает кислотность.</x:v>
      </x:c>
      <x:c r="G68"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68" s="28" t="str">
        <x:v>Избыток кислоты делает вкус плоско-резким; белая часть кожуры даёт лишнюю горечь; возможна коагуляция белка.</x:v>
      </x:c>
      <x:c r="I68" s="28" t="str">
        <x:v>чизкейк, крем, мороженое, соус или салат</x:v>
      </x:c>
      <x:c r="J68" s="28" t="str">
        <x:v>Средняя</x:v>
      </x:c>
      <x:c r="K68" s="28" t="str">
        <x:v>The Art &amp; Science of Foodpairing.pdf</x:v>
      </x:c>
      <x:c r="L68" s="28" t="str">
        <x:v>The Art &amp; Science of Foodpairing.pdf: 177</x:v>
      </x:c>
    </x:row>
    <x:row r="69" ht="62" customHeight="1">
      <x:c r="A69" s="28" t="str">
        <x:v>CIT-0192</x:v>
      </x:c>
      <x:c r="B69" s="28" t="str">
        <x:v>кабосу</x:v>
      </x:c>
      <x:c r="C69" s="28" t="str">
        <x:v>фундук</x:v>
      </x:c>
      <x:c r="D69" s="28" t="str">
        <x:v>Орехи и семена</x:v>
      </x:c>
      <x:c r="E69" s="28" t="str">
        <x:v>вкусовой баланс, влияние матрицы/растворимости</x:v>
      </x:c>
      <x:c r="F69" s="28" t="str">
        <x:v>Кабосу формирует профиль «нейтральный/специфический»; характерные маркеры: . Фундук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Для точного молекулярного вывода нужен профиль конкретного ингредиента и способа обработки. Кислота режет жирность, а цедра связывается с обжаренными и цветочными нотами.</x:v>
      </x:c>
      <x:c r="G69"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69" s="28" t="str">
        <x:v>Избыток кислоты делает вкус плоско-резким; белая часть кожуры даёт лишнюю горечь.</x:v>
      </x:c>
      <x:c r="I69" s="28" t="str">
        <x:v>пралине, крем, выпечка, салат или ореховый соус</x:v>
      </x:c>
      <x:c r="J69" s="28" t="str">
        <x:v>Средняя</x:v>
      </x:c>
      <x:c r="K69" s="28" t="str">
        <x:v>The Art &amp; Science of Foodpairing.pdf</x:v>
      </x:c>
      <x:c r="L69" s="28" t="str">
        <x:v>The Art &amp; Science of Foodpairing.pdf: 177</x:v>
      </x:c>
    </x:row>
    <x:row r="70" ht="62" customHeight="1">
      <x:c r="A70" s="28" t="str">
        <x:v>CIT-0193</x:v>
      </x:c>
      <x:c r="B70" s="28" t="str">
        <x:v>кабосу</x:v>
      </x:c>
      <x:c r="C70" s="28" t="str">
        <x:v>хлеб на закваске</x:v>
      </x:c>
      <x:c r="D70" s="28" t="str">
        <x:v>Злаки и хлеб</x:v>
      </x:c>
      <x:c r="E70" s="28" t="str">
        <x:v>вкусовой баланс</x:v>
      </x:c>
      <x:c r="F70" s="28" t="str">
        <x:v>Кабосу формирует профиль «нейтральный/специфический»; характерные маркеры: . Хлеб на закваске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освежает зерновой профиль и создаёт контраст с обжаренными нотами.</x:v>
      </x:c>
      <x:c r="G7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0" s="28" t="str">
        <x:v>Избыток кислоты делает вкус плоско-резким; белая часть кожуры даёт лишнюю горечь.</x:v>
      </x:c>
      <x:c r="I70" s="28" t="str">
        <x:v>кекс, каша, хлеб, крамбл или салат</x:v>
      </x:c>
      <x:c r="J70" s="28" t="str">
        <x:v>Средняя</x:v>
      </x:c>
      <x:c r="K70" s="28" t="str">
        <x:v>The Art &amp; Science of Foodpairing.pdf</x:v>
      </x:c>
      <x:c r="L70" s="28" t="str">
        <x:v>The Art &amp; Science of Foodpairing.pdf: 177</x:v>
      </x:c>
    </x:row>
    <x:row r="71" ht="62" customHeight="1">
      <x:c r="A71" s="28" t="str">
        <x:v>CIT-0195</x:v>
      </x:c>
      <x:c r="B71" s="28" t="str">
        <x:v>каламондин</x:v>
      </x:c>
      <x:c r="C71" s="28" t="str">
        <x:v>каламонси</x:v>
      </x:c>
      <x:c r="D71" s="28" t="str">
        <x:v>Цитрусовые</x:v>
      </x:c>
      <x:c r="E71" s="28" t="str">
        <x:v>общие ароматические молекулы, перекрытие ароматических семейств, вкусовой баланс, тройничное восприятие</x:v>
      </x:c>
      <x:c r="F71" s="28" t="str">
        <x:v>Каламондин формирует профиль «цитрусовый, зелёный, травяной, камфорный»; характерные маркеры: лимонен, гамма-терпинен, цитраль, бета-пинен, линалол. Каламонси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линалол, цитраль; дополнительно совпадают ароматические семейства: зелёный, камфорный, травяной,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Лаймовые цитрусы дают более зелёный и камфорный профиль, чем сладкий апельсин.</x:v>
      </x:c>
      <x:c r="G7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1" s="28" t="str">
        <x:v>Избыток кислоты делает вкус плоско-резким; белая часть кожуры даёт лишнюю горечь.</x:v>
      </x:c>
      <x:c r="I71" s="28" t="str">
        <x:v>цитрусовый кордиал, мармелад, сорбет, салат или купаж соков</x:v>
      </x:c>
      <x:c r="J71" s="28" t="str">
        <x:v>Средняя</x:v>
      </x:c>
      <x:c r="K71" s="28" t="str">
        <x:v>The Art &amp; Science of Foodpairing.pdf</x:v>
      </x:c>
      <x:c r="L71" s="28" t="str">
        <x:v>The Art &amp; Science of Foodpairing.pdf: 142</x:v>
      </x:c>
    </x:row>
    <x:row r="72" ht="62" customHeight="1">
      <x:c r="A72" s="28" t="str">
        <x:v>CIT-0201</x:v>
      </x:c>
      <x:c r="B72" s="28" t="str">
        <x:v>каламонси</x:v>
      </x:c>
      <x:c r="C72" s="28" t="str">
        <x:v>куантро</x:v>
      </x:c>
      <x:c r="D72" s="28" t="str">
        <x:v>Цитрусовые</x:v>
      </x:c>
      <x:c r="E72" s="28" t="str">
        <x:v>общие ароматические молекулы, перекрытие ароматических семейств, вкусовой баланс</x:v>
      </x:c>
      <x:c r="F72" s="28" t="str">
        <x:v>Каламонси формирует профиль «цитрусовый, зелёный, травяной, камфорный»; характерные маркеры: лимонен, гамма-терпинен, цитраль, бета-пинен, линалол. Куантро относится к группе «цитрусовые» и даёт ноты «цитрусовый, сладко-фруктовый, цветочный, восковой». Наиболее правдоподобный молекулярный мост —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Апельсиновый профиль строится на лимонене и альдегидах с восково-сладкой нотой.</x:v>
      </x:c>
      <x:c r="G7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2" s="28" t="str">
        <x:v>Избыток кислоты делает вкус плоско-резким; белая часть кожуры даёт лишнюю горечь.</x:v>
      </x:c>
      <x:c r="I72" s="28" t="str">
        <x:v>цитрусовый кордиал, мармелад, сорбет, салат или купаж соков</x:v>
      </x:c>
      <x:c r="J72" s="28" t="str">
        <x:v>Средняя</x:v>
      </x:c>
      <x:c r="K72" s="28" t="str">
        <x:v>The Art &amp; Science of Foodpairing.pdf</x:v>
      </x:c>
      <x:c r="L72" s="28" t="str">
        <x:v>The Art &amp; Science of Foodpairing.pdf: 142</x:v>
      </x:c>
    </x:row>
    <x:row r="73" ht="62" customHeight="1">
      <x:c r="A73" s="28" t="str">
        <x:v>CIT-0205</x:v>
      </x:c>
      <x:c r="B73" s="28" t="str">
        <x:v>каламонси</x:v>
      </x:c>
      <x:c r="C73" s="28" t="str">
        <x:v>персик</x:v>
      </x:c>
      <x:c r="D73" s="28" t="str">
        <x:v>Косточковые фрукты</x:v>
      </x:c>
      <x:c r="E73" s="28" t="str">
        <x:v>вкусовой баланс</x:v>
      </x:c>
      <x:c r="F73" s="28" t="str">
        <x:v>Каламонси формирует профиль «цитрусовый, зелёный, травяной, камфорный»; характерные маркеры: лимонен, гамма-терпинен, цитраль, бета-пинен, линалол. Персик относится к группе «косточковые фрукты» и даёт ноты «фруктовый, цветочный, сливочный, миндальный».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добавляет кислотность, а лактоны смягчают его резкость.</x:v>
      </x:c>
      <x:c r="G7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73" s="28" t="str">
        <x:v>Избыток кислоты делает вкус плоско-резким; белая часть кожуры даёт лишнюю горечь.</x:v>
      </x:c>
      <x:c r="I73" s="28" t="str">
        <x:v>тарт, сорбет, джем или фруктовый соус</x:v>
      </x:c>
      <x:c r="J73" s="28" t="str">
        <x:v>Средняя</x:v>
      </x:c>
      <x:c r="K73" s="28" t="str">
        <x:v>The Art &amp; Science of Foodpairing.pdf</x:v>
      </x:c>
      <x:c r="L73" s="28" t="str">
        <x:v>The Art &amp; Science of Foodpairing.pdf: 142</x:v>
      </x:c>
    </x:row>
    <x:row r="74" ht="62" customHeight="1">
      <x:c r="A74" s="28" t="str">
        <x:v>CIT-0206</x:v>
      </x:c>
      <x:c r="B74" s="28" t="str">
        <x:v>каламонси</x:v>
      </x:c>
      <x:c r="C74" s="28" t="str">
        <x:v>попкорн</x:v>
      </x:c>
      <x:c r="D74" s="28" t="str">
        <x:v>Злаки и хлеб</x:v>
      </x:c>
      <x:c r="E74" s="28" t="str">
        <x:v>вкусовой баланс</x:v>
      </x:c>
      <x:c r="F74" s="28" t="str">
        <x:v>Каламонси формирует профиль «цитрусовый, зелёный, травяной, камфорный»; характерные маркеры: лимонен, гамма-терпинен, цитраль, бета-пинен, линалол. Попкорн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освежает зерновой профиль и создаёт контраст с обжаренными нотами.</x:v>
      </x:c>
      <x:c r="G7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4" s="28" t="str">
        <x:v>Избыток кислоты делает вкус плоско-резким; белая часть кожуры даёт лишнюю горечь.</x:v>
      </x:c>
      <x:c r="I74" s="28" t="str">
        <x:v>кекс, каша, хлеб, крамбл или салат</x:v>
      </x:c>
      <x:c r="J74" s="28" t="str">
        <x:v>Средняя</x:v>
      </x:c>
      <x:c r="K74" s="28" t="str">
        <x:v>The Art &amp; Science of Foodpairing.pdf</x:v>
      </x:c>
      <x:c r="L74" s="28" t="str">
        <x:v>The Art &amp; Science of Foodpairing.pdf: 232</x:v>
      </x:c>
    </x:row>
    <x:row r="75" ht="62" customHeight="1">
      <x:c r="A75" s="28" t="str">
        <x:v>CIT-0210</x:v>
      </x:c>
      <x:c r="B75" s="28" t="str">
        <x:v>кожура горького апельсина</x:v>
      </x:c>
      <x:c r="C75" s="28" t="str">
        <x:v>сыр романо</x:v>
      </x:c>
      <x:c r="D75" s="28" t="str">
        <x:v>Молочные продукты</x:v>
      </x:c>
      <x:c r="E75" s="28" t="str">
        <x:v>вкусовой баланс, влияние матрицы/растворимости</x:v>
      </x:c>
      <x:c r="F75" s="28" t="str">
        <x:v>Кожура горького апельсина формирует профиль «цитрусовый, сладко-фруктовый, цветочный, восковой»; характерные маркеры: лимонен, линалол, деканаль, октаналь, мирцен. Сыр романо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G75"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75" s="28" t="str">
        <x:v>Избыток кислоты делает вкус плоско-резким; белая часть кожуры даёт лишнюю горечь; возможна коагуляция белка.</x:v>
      </x:c>
      <x:c r="I75" s="28" t="str">
        <x:v>чизкейк, крем, мороженое, соус или салат</x:v>
      </x:c>
      <x:c r="J75" s="28" t="str">
        <x:v>Средняя</x:v>
      </x:c>
      <x:c r="K75" s="28" t="str">
        <x:v>The Art &amp; Science of Foodpairing.pdf</x:v>
      </x:c>
      <x:c r="L75" s="28" t="str">
        <x:v>The Art &amp; Science of Foodpairing.pdf: 312</x:v>
      </x:c>
    </x:row>
    <x:row r="76" ht="62" customHeight="1">
      <x:c r="A76" s="28" t="str">
        <x:v>CIT-0212</x:v>
      </x:c>
      <x:c r="B76" s="28" t="str">
        <x:v>кожура горького апельсина</x:v>
      </x:c>
      <x:c r="C76" s="28" t="str">
        <x:v>черника</x:v>
      </x:c>
      <x:c r="D76" s="28" t="str">
        <x:v>Ягоды/косточковые</x:v>
      </x:c>
      <x:c r="E76" s="28" t="str">
        <x:v>перекрытие ароматических семейств, вкусовой баланс</x:v>
      </x:c>
      <x:c r="F76" s="28" t="str">
        <x:v>Кожура горького апельсина формирует профиль «цитрусовый, сладко-фруктовый, цветочный, восковой»; характерные маркеры: лимонен, линалол, деканаль, октаналь, мирцен. Черника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7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76" s="28" t="str">
        <x:v>Избыток кислоты делает вкус плоско-резким; белая часть кожуры даёт лишнюю горечь.</x:v>
      </x:c>
      <x:c r="I76" s="28" t="str">
        <x:v>джем, сорбет, коктейль или соус</x:v>
      </x:c>
      <x:c r="J76" s="28" t="str">
        <x:v>Средняя</x:v>
      </x:c>
      <x:c r="K76" s="28" t="str">
        <x:v>The Art &amp; Science of Foodpairing.pdf</x:v>
      </x:c>
      <x:c r="L76" s="28" t="str">
        <x:v>The Art &amp; Science of Foodpairing.pdf: 47</x:v>
      </x:c>
    </x:row>
    <x:row r="77" ht="62" customHeight="1">
      <x:c r="A77" s="28" t="str">
        <x:v>CIT-0221</x:v>
      </x:c>
      <x:c r="B77" s="28" t="str">
        <x:v>кожура мандарина</x:v>
      </x:c>
      <x:c r="C77" s="28" t="str">
        <x:v>обжаренный фундук</x:v>
      </x:c>
      <x:c r="D77" s="28" t="str">
        <x:v>Орехи и семена</x:v>
      </x:c>
      <x:c r="E77" s="28" t="str">
        <x:v>вкусовой баланс, влияние матрицы/растворимости</x:v>
      </x:c>
      <x:c r="F77"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Обжаренный фундук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G7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77" s="28" t="str">
        <x:v>Избыток кислоты делает вкус плоско-резким; белая часть кожуры даёт лишнюю горечь.</x:v>
      </x:c>
      <x:c r="I77" s="28" t="str">
        <x:v>пралине, крем, выпечка, салат или ореховый соус</x:v>
      </x:c>
      <x:c r="J77" s="28" t="str">
        <x:v>Средняя</x:v>
      </x:c>
      <x:c r="K77" s="28" t="str">
        <x:v>The Art &amp; Science of Foodpairing.pdf</x:v>
      </x:c>
      <x:c r="L77" s="28" t="str">
        <x:v>The Art &amp; Science of Foodpairing.pdf: 366</x:v>
      </x:c>
    </x:row>
    <x:row r="78" ht="62" customHeight="1">
      <x:c r="A78" s="28" t="str">
        <x:v>CIT-0223</x:v>
      </x:c>
      <x:c r="B78" s="28" t="str">
        <x:v>кожура мандарина</x:v>
      </x:c>
      <x:c r="C78" s="28" t="str">
        <x:v>пекан</x:v>
      </x:c>
      <x:c r="D78" s="28" t="str">
        <x:v>Орехи и семена</x:v>
      </x:c>
      <x:c r="E78" s="28" t="str">
        <x:v>вкусовой баланс, влияние матрицы/растворимости</x:v>
      </x:c>
      <x:c r="F78"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Пекан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G7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78" s="28" t="str">
        <x:v>Избыток кислоты делает вкус плоско-резким; белая часть кожуры даёт лишнюю горечь.</x:v>
      </x:c>
      <x:c r="I78" s="28" t="str">
        <x:v>пралине, крем, выпечка, салат или ореховый соус</x:v>
      </x:c>
      <x:c r="J78" s="28" t="str">
        <x:v>Средняя</x:v>
      </x:c>
      <x:c r="K78" s="28" t="str">
        <x:v>The Art &amp; Science of Foodpairing.pdf</x:v>
      </x:c>
      <x:c r="L78" s="28" t="str">
        <x:v>The Art &amp; Science of Foodpairing.pdf: 74</x:v>
      </x:c>
    </x:row>
    <x:row r="79" ht="62" customHeight="1">
      <x:c r="A79" s="28" t="str">
        <x:v>CIT-0224</x:v>
      </x:c>
      <x:c r="B79" s="28" t="str">
        <x:v>кожура мандарина</x:v>
      </x:c>
      <x:c r="C79" s="28" t="str">
        <x:v>приготовленный длиннозёрный рис</x:v>
      </x:c>
      <x:c r="D79" s="28" t="str">
        <x:v>Злаки и хлеб</x:v>
      </x:c>
      <x:c r="E79" s="28" t="str">
        <x:v>вкусовой баланс</x:v>
      </x:c>
      <x:c r="F79"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Приготовленный длиннозёрный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G7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9" s="28" t="str">
        <x:v>Избыток кислоты делает вкус плоско-резким; белая часть кожуры даёт лишнюю горечь.</x:v>
      </x:c>
      <x:c r="I79" s="28" t="str">
        <x:v>кекс, каша, хлеб, крамбл или салат</x:v>
      </x:c>
      <x:c r="J79" s="28" t="str">
        <x:v>Средняя</x:v>
      </x:c>
      <x:c r="K79" s="28" t="str">
        <x:v>The Art &amp; Science of Foodpairing.pdf</x:v>
      </x:c>
      <x:c r="L79" s="28" t="str">
        <x:v>The Art &amp; Science of Foodpairing.pdf: 366</x:v>
      </x:c>
    </x:row>
    <x:row r="80" ht="62" customHeight="1">
      <x:c r="A80" s="28" t="str">
        <x:v>CIT-0233</x:v>
      </x:c>
      <x:c r="B80" s="28" t="str">
        <x:v>кожура помело</x:v>
      </x:c>
      <x:c r="C80" s="28" t="str">
        <x:v>семена укропа</x:v>
      </x:c>
      <x:c r="D80" s="28" t="str">
        <x:v>Орехи и семена</x:v>
      </x:c>
      <x:c r="E80" s="28" t="str">
        <x:v>вкусовой баланс, влияние матрицы/растворимости</x:v>
      </x:c>
      <x:c r="F80" s="28" t="str">
        <x:v>Кожура помело формирует профиль «цитрусовый, горький, свежий, сернистый»; характерные маркеры: лимонен, нооткатон, грейпфрутовые тиолы, нарингин. Семена укропа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Кислота режет жирность, а цедра связывается с обжаренными и цветочными нотами.</x:v>
      </x:c>
      <x:c r="G80"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80" s="28" t="str">
        <x:v>Избыток кислоты делает вкус плоско-резким; белая часть кожуры даёт лишнюю горечь.</x:v>
      </x:c>
      <x:c r="I80" s="28" t="str">
        <x:v>пралине, крем, выпечка, салат или ореховый соус</x:v>
      </x:c>
      <x:c r="J80" s="28" t="str">
        <x:v>Средняя</x:v>
      </x:c>
      <x:c r="K80" s="28" t="str">
        <x:v>The Art &amp; Science of Foodpairing.pdf</x:v>
      </x:c>
      <x:c r="L80" s="28" t="str">
        <x:v>The Art &amp; Science of Foodpairing.pdf: 42</x:v>
      </x:c>
    </x:row>
    <x:row r="81" ht="62" customHeight="1">
      <x:c r="A81" s="28" t="str">
        <x:v>CIT-0234</x:v>
      </x:c>
      <x:c r="B81" s="28" t="str">
        <x:v>красный апельсин</x:v>
      </x:c>
      <x:c r="C81" s="28" t="str">
        <x:v>ананас</x:v>
      </x:c>
      <x:c r="D81" s="28" t="str">
        <x:v>Тропические фрукты</x:v>
      </x:c>
      <x:c r="E81" s="28" t="str">
        <x:v>перекрытие ароматических семейств, вкусовой баланс</x:v>
      </x:c>
      <x:c r="F81"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8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81" s="28" t="str">
        <x:v>Избыток кислоты делает вкус плоско-резким; белая часть кожуры даёт лишнюю горечь.</x:v>
      </x:c>
      <x:c r="I81" s="28" t="str">
        <x:v>смузи, кордиал, сорбет, чатни или коктейль</x:v>
      </x:c>
      <x:c r="J81" s="28" t="str">
        <x:v>Гипотеза / практическая</x:v>
      </x:c>
      <x:c r="K81" s="28" t="str">
        <x:v>Таблица сочетания(1).pdf</x:v>
      </x:c>
      <x:c r="L81" s="28" t="str">
        <x:v>Таблица сочетания(1).pdf: 3</x:v>
      </x:c>
    </x:row>
    <x:row r="82" ht="62" customHeight="1">
      <x:c r="A82" s="28" t="str">
        <x:v>CIT-0240</x:v>
      </x:c>
      <x:c r="B82" s="28" t="str">
        <x:v>красный апельсин</x:v>
      </x:c>
      <x:c r="C82" s="28" t="str">
        <x:v>маракуйя</x:v>
      </x:c>
      <x:c r="D82" s="28" t="str">
        <x:v>Тропические фрукты</x:v>
      </x:c>
      <x:c r="E82" s="28" t="str">
        <x:v>перекрытие ароматических семейств, вкусовой баланс</x:v>
      </x:c>
      <x:c r="F82"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Маракуйя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8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82" s="28" t="str">
        <x:v>Избыток кислоты делает вкус плоско-резким; белая часть кожуры даёт лишнюю горечь.</x:v>
      </x:c>
      <x:c r="I82" s="28" t="str">
        <x:v>смузи, кордиал, сорбет, чатни или коктейль</x:v>
      </x:c>
      <x:c r="J82" s="28" t="str">
        <x:v>Гипотеза / практическая</x:v>
      </x:c>
      <x:c r="K82" s="28" t="str">
        <x:v>Таблица сочетания(1).pdf</x:v>
      </x:c>
      <x:c r="L82" s="28" t="str">
        <x:v>Таблица сочетания(1).pdf: 3</x:v>
      </x:c>
    </x:row>
    <x:row r="83" ht="62" customHeight="1">
      <x:c r="A83" s="28" t="str">
        <x:v>CIT-0241</x:v>
      </x:c>
      <x:c r="B83" s="28" t="str">
        <x:v>красный апельсин</x:v>
      </x:c>
      <x:c r="C83" s="28" t="str">
        <x:v>мёд</x:v>
      </x:c>
      <x:c r="D83" s="28" t="str">
        <x:v>Подсластители</x:v>
      </x:c>
      <x:c r="E83" s="28" t="str">
        <x:v>перекрытие ароматических семейств, вкусовой баланс</x:v>
      </x:c>
      <x:c r="F83"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Апельсиновый профиль строится на лимонене и альдегидах с восково-сладкой нотой. Сладость балансирует кислоту и горечь кожуры; цветочные компоненты могут поддерживать цитрус.</x:v>
      </x:c>
      <x:c r="G8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83" s="28" t="str">
        <x:v>Избыток кислоты делает вкус плоско-резким; белая часть кожуры даёт лишнюю горечь.</x:v>
      </x:c>
      <x:c r="I83" s="28" t="str">
        <x:v>сироп, мармелад, крем, глазурь или лимонад</x:v>
      </x:c>
      <x:c r="J83" s="28" t="str">
        <x:v>Гипотеза / практическая</x:v>
      </x:c>
      <x:c r="K83" s="28" t="str">
        <x:v>Таблица сочетания(1).pdf</x:v>
      </x:c>
      <x:c r="L83" s="28" t="str">
        <x:v>Таблица сочетания(1).pdf: 3</x:v>
      </x:c>
    </x:row>
    <x:row r="84" ht="62" customHeight="1">
      <x:c r="A84" s="28" t="str">
        <x:v>CIT-0242</x:v>
      </x:c>
      <x:c r="B84" s="28" t="str">
        <x:v>красный апельсин</x:v>
      </x:c>
      <x:c r="C84" s="28" t="str">
        <x:v>миндаль</x:v>
      </x:c>
      <x:c r="D84" s="28" t="str">
        <x:v>Орехи и семена</x:v>
      </x:c>
      <x:c r="E84" s="28" t="str">
        <x:v>вкусовой баланс, влияние матрицы/растворимости</x:v>
      </x:c>
      <x:c r="F84"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Миндаль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G8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84" s="28" t="str">
        <x:v>Избыток кислоты делает вкус плоско-резким; белая часть кожуры даёт лишнюю горечь.</x:v>
      </x:c>
      <x:c r="I84" s="28" t="str">
        <x:v>пралине, крем, выпечка, салат или ореховый соус</x:v>
      </x:c>
      <x:c r="J84" s="28" t="str">
        <x:v>Гипотеза / практическая</x:v>
      </x:c>
      <x:c r="K84" s="28" t="str">
        <x:v>Таблица сочетания(1).pdf</x:v>
      </x:c>
      <x:c r="L84" s="28" t="str">
        <x:v>Таблица сочетания(1).pdf: 3</x:v>
      </x:c>
    </x:row>
    <x:row r="85" ht="62" customHeight="1">
      <x:c r="A85" s="28" t="str">
        <x:v>CIT-0245</x:v>
      </x:c>
      <x:c r="B85" s="28" t="str">
        <x:v>красный апельсин</x:v>
      </x:c>
      <x:c r="C85" s="28" t="str">
        <x:v>шоколад</x:v>
      </x:c>
      <x:c r="D85" s="28" t="str">
        <x:v>Шоколад/обжаренное</x:v>
      </x:c>
      <x:c r="E85" s="28" t="str">
        <x:v>вкусовой баланс</x:v>
      </x:c>
      <x:c r="F85"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даёт высокую свежую ноту на фоне тёмных жареных соединений.</x:v>
      </x:c>
      <x:c r="G85"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85" s="28" t="str">
        <x:v>Избыток кислоты делает вкус плоско-резким; белая часть кожуры даёт лишнюю горечь.</x:v>
      </x:c>
      <x:c r="I85" s="28" t="str">
        <x:v>ганаш, тарт, конфеты, кофейный напиток или биттер</x:v>
      </x:c>
      <x:c r="J85" s="28" t="str">
        <x:v>Гипотеза / практическая</x:v>
      </x:c>
      <x:c r="K85" s="28" t="str">
        <x:v>Таблица сочетания(1).pdf</x:v>
      </x:c>
      <x:c r="L85" s="28" t="str">
        <x:v>Таблица сочетания(1).pdf: 3</x:v>
      </x:c>
    </x:row>
    <x:row r="86" ht="62" customHeight="1">
      <x:c r="A86" s="28" t="str">
        <x:v>CIT-0247</x:v>
      </x:c>
      <x:c r="B86" s="28" t="str">
        <x:v>красный апельсин Моро</x:v>
      </x:c>
      <x:c r="C86" s="28" t="str">
        <x:v>гречка</x:v>
      </x:c>
      <x:c r="D86" s="28" t="str">
        <x:v>Злаки и хлеб</x:v>
      </x:c>
      <x:c r="E86" s="28" t="str">
        <x:v>вкусовой баланс</x:v>
      </x:c>
      <x:c r="F86"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Гречка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освежает зерновой профиль и создаёт контраст с обжаренными нотами.</x:v>
      </x:c>
      <x:c r="G8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86" s="28" t="str">
        <x:v>Избыток кислоты делает вкус плоско-резким; белая часть кожуры даёт лишнюю горечь.</x:v>
      </x:c>
      <x:c r="I86" s="28" t="str">
        <x:v>кекс, каша, хлеб, крамбл или салат</x:v>
      </x:c>
      <x:c r="J86" s="28" t="str">
        <x:v>Средняя</x:v>
      </x:c>
      <x:c r="K86" s="28" t="str">
        <x:v>The Art &amp; Science of Foodpairing.pdf</x:v>
      </x:c>
      <x:c r="L86" s="28" t="str">
        <x:v>The Art &amp; Science of Foodpairing.pdf: 67</x:v>
      </x:c>
    </x:row>
    <x:row r="87" ht="62" customHeight="1">
      <x:c r="A87" s="28" t="str">
        <x:v>CIT-0251</x:v>
      </x:c>
      <x:c r="B87" s="28" t="str">
        <x:v>красный апельсин Моро</x:v>
      </x:c>
      <x:c r="C87" s="28" t="str">
        <x:v>приготовленный чёрный рис</x:v>
      </x:c>
      <x:c r="D87" s="28" t="str">
        <x:v>Злаки и хлеб</x:v>
      </x:c>
      <x:c r="E87" s="28" t="str">
        <x:v>вкусовой баланс</x:v>
      </x:c>
      <x:c r="F87"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Приготовленный чёрный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Апельсиновый профиль строится на лимонене и альдегидах с восково-сладкой нотой. Цитрус освежает зерновой профиль и создаёт контраст с обжаренными нотами.</x:v>
      </x:c>
      <x:c r="G8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87" s="28" t="str">
        <x:v>Избыток кислоты делает вкус плоско-резким; белая часть кожуры даёт лишнюю горечь.</x:v>
      </x:c>
      <x:c r="I87" s="28" t="str">
        <x:v>кекс, каша, хлеб, крамбл или салат</x:v>
      </x:c>
      <x:c r="J87" s="28" t="str">
        <x:v>Средняя</x:v>
      </x:c>
      <x:c r="K87" s="28" t="str">
        <x:v>The Art &amp; Science of Foodpairing.pdf</x:v>
      </x:c>
      <x:c r="L87" s="28" t="str">
        <x:v>The Art &amp; Science of Foodpairing.pdf: 67</x:v>
      </x:c>
    </x:row>
    <x:row r="88" ht="62" customHeight="1">
      <x:c r="A88" s="28" t="str">
        <x:v>CIT-0252</x:v>
      </x:c>
      <x:c r="B88" s="28" t="str">
        <x:v>красный апельсин Моро</x:v>
      </x:c>
      <x:c r="C88" s="28" t="str">
        <x:v>рапсовое масло</x:v>
      </x:c>
      <x:c r="D88" s="28" t="str">
        <x:v>Молочные продукты</x:v>
      </x:c>
      <x:c r="E88" s="28" t="str">
        <x:v>вкусовой баланс, влияние матрицы/растворимости</x:v>
      </x:c>
      <x:c r="F88"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Рапсовое масло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режет жирность и освежает, а молочная матрица смягчает кислотность.</x:v>
      </x:c>
      <x:c r="G88"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88" s="28" t="str">
        <x:v>Избыток кислоты делает вкус плоско-резким; белая часть кожуры даёт лишнюю горечь; возможна коагуляция белка.</x:v>
      </x:c>
      <x:c r="I88" s="28" t="str">
        <x:v>чизкейк, крем, мороженое, соус или салат</x:v>
      </x:c>
      <x:c r="J88" s="28" t="str">
        <x:v>Средняя</x:v>
      </x:c>
      <x:c r="K88" s="28" t="str">
        <x:v>The Art &amp; Science of Foodpairing.pdf</x:v>
      </x:c>
      <x:c r="L88" s="28" t="str">
        <x:v>The Art &amp; Science of Foodpairing.pdf: 67</x:v>
      </x:c>
    </x:row>
    <x:row r="89" ht="62" customHeight="1">
      <x:c r="A89" s="28" t="str">
        <x:v>CIT-0261</x:v>
      </x:c>
      <x:c r="B89" s="28" t="str">
        <x:v>красный апельсин Тарокко</x:v>
      </x:c>
      <x:c r="C89" s="28" t="str">
        <x:v>дуриан</x:v>
      </x:c>
      <x:c r="D89" s="28" t="str">
        <x:v>Тропические фрукты</x:v>
      </x:c>
      <x:c r="E89" s="28" t="str">
        <x:v>перекрытие ароматических семейств, вкусовой баланс</x:v>
      </x:c>
      <x:c r="F89"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Дуриан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8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89" s="28" t="str">
        <x:v>Избыток кислоты делает вкус плоско-резким; белая часть кожуры даёт лишнюю горечь.</x:v>
      </x:c>
      <x:c r="I89" s="28" t="str">
        <x:v>смузи, кордиал, сорбет, чатни или коктейль</x:v>
      </x:c>
      <x:c r="J89" s="28" t="str">
        <x:v>Средняя</x:v>
      </x:c>
      <x:c r="K89" s="28" t="str">
        <x:v>The Art &amp; Science of Foodpairing.pdf</x:v>
      </x:c>
      <x:c r="L89" s="28" t="str">
        <x:v>The Art &amp; Science of Foodpairing.pdf: 292</x:v>
      </x:c>
    </x:row>
    <x:row r="90" ht="62" customHeight="1">
      <x:c r="A90" s="28" t="str">
        <x:v>CIT-0262</x:v>
      </x:c>
      <x:c r="B90" s="28" t="str">
        <x:v>красный апельсин Тарокко</x:v>
      </x:c>
      <x:c r="C90" s="28" t="str">
        <x:v>дуриан Мон Тонг</x:v>
      </x:c>
      <x:c r="D90" s="28" t="str">
        <x:v>Тропические фрукты</x:v>
      </x:c>
      <x:c r="E90" s="28" t="str">
        <x:v>перекрытие ароматических семейств, вкусовой баланс</x:v>
      </x:c>
      <x:c r="F90"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Дуриан мон тонг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9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90" s="28" t="str">
        <x:v>Избыток кислоты делает вкус плоско-резким; белая часть кожуры даёт лишнюю горечь.</x:v>
      </x:c>
      <x:c r="I90" s="28" t="str">
        <x:v>смузи, кордиал, сорбет, чатни или коктейль</x:v>
      </x:c>
      <x:c r="J90" s="28" t="str">
        <x:v>Средняя</x:v>
      </x:c>
      <x:c r="K90" s="28" t="str">
        <x:v>The Art &amp; Science of Foodpairing.pdf</x:v>
      </x:c>
      <x:c r="L90" s="28" t="str">
        <x:v>The Art &amp; Science of Foodpairing.pdf: 292</x:v>
      </x:c>
    </x:row>
    <x:row r="91" ht="62" customHeight="1">
      <x:c r="A91" s="28" t="str">
        <x:v>CIT-0266</x:v>
      </x:c>
      <x:c r="B91" s="28" t="str">
        <x:v>красный апельсин Тарокко</x:v>
      </x:c>
      <x:c r="C91" s="28" t="str">
        <x:v>кедровый орех</x:v>
      </x:c>
      <x:c r="D91" s="28" t="str">
        <x:v>Орехи и семена</x:v>
      </x:c>
      <x:c r="E91" s="28" t="str">
        <x:v>вкусовой баланс, влияние матрицы/растворимости</x:v>
      </x:c>
      <x:c r="F91"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Кедровый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G9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91" s="28" t="str">
        <x:v>Избыток кислоты делает вкус плоско-резким; белая часть кожуры даёт лишнюю горечь.</x:v>
      </x:c>
      <x:c r="I91" s="28" t="str">
        <x:v>пралине, крем, выпечка, салат или ореховый соус</x:v>
      </x:c>
      <x:c r="J91" s="28" t="str">
        <x:v>Средняя</x:v>
      </x:c>
      <x:c r="K91" s="28" t="str">
        <x:v>The Art &amp; Science of Foodpairing.pdf</x:v>
      </x:c>
      <x:c r="L91" s="28" t="str">
        <x:v>The Art &amp; Science of Foodpairing.pdf: 104</x:v>
      </x:c>
    </x:row>
    <x:row r="92" ht="62" customHeight="1">
      <x:c r="A92" s="28" t="str">
        <x:v>CIT-0267</x:v>
      </x:c>
      <x:c r="B92" s="28" t="str">
        <x:v>красный апельсин Тарокко</x:v>
      </x:c>
      <x:c r="C92" s="28" t="str">
        <x:v>кокосовая вода</x:v>
      </x:c>
      <x:c r="D92" s="28" t="str">
        <x:v>Тропические плоды</x:v>
      </x:c>
      <x:c r="E92" s="28" t="str">
        <x:v>перекрытие ароматических семейств, вкусовой баланс</x:v>
      </x:c>
      <x:c r="F92"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Кокосовая вода относится к группе «тропические плоды» и даёт ноты «сливочный, кокосовый, восковой, ореховый». Прямой общий ключевой одорант из доступных профилей не фиксируется, однако продукты пересекаются на уровне семейств: восковой.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Кокос округляет кислотность и продлевает цитрусовый аромат.</x:v>
      </x:c>
      <x:c r="G9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92" s="28" t="str">
        <x:v>Избыток кислоты делает вкус плоско-резким; белая часть кожуры даёт лишнюю горечь.</x:v>
      </x:c>
      <x:c r="I92" s="28" t="str">
        <x:v>коктейль, крем, сорбет или соус</x:v>
      </x:c>
      <x:c r="J92" s="28" t="str">
        <x:v>Средняя</x:v>
      </x:c>
      <x:c r="K92" s="28" t="str">
        <x:v>The Art &amp; Science of Foodpairing.pdf</x:v>
      </x:c>
      <x:c r="L92" s="28" t="str">
        <x:v>The Art &amp; Science of Foodpairing.pdf: 292</x:v>
      </x:c>
    </x:row>
    <x:row r="93" ht="62" customHeight="1">
      <x:c r="A93" s="28" t="str">
        <x:v>CIT-0269</x:v>
      </x:c>
      <x:c r="B93" s="28" t="str">
        <x:v>красный апельсин Тарокко</x:v>
      </x:c>
      <x:c r="C93" s="28" t="str">
        <x:v>лимонник китайский (омиджа)</x:v>
      </x:c>
      <x:c r="D93" s="28" t="str">
        <x:v>Цитрусовые</x:v>
      </x:c>
      <x:c r="E93" s="28" t="str">
        <x:v>общие ароматические молекулы, перекрытие ароматических семейств, вкусовой баланс, тройничное восприятие</x:v>
      </x:c>
      <x:c r="F93"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Лимонник китайский (омиджа) относится к группе «цитрусовые» и даёт ноты «цитрусовый, свежий, цветочный, древесный».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Апельсиновый профиль строится на лимонене и альдегидах с восково-сладкой нотой. Сок определяется цитралем и кислотностью, цедра — лимоненом и терпенами.</x:v>
      </x:c>
      <x:c r="G9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93" s="28" t="str">
        <x:v>Избыток кислоты делает вкус плоско-резким; белая часть кожуры даёт лишнюю горечь.</x:v>
      </x:c>
      <x:c r="I93" s="28" t="str">
        <x:v>цитрусовый кордиал, мармелад, сорбет, салат или купаж соков</x:v>
      </x:c>
      <x:c r="J93" s="28" t="str">
        <x:v>Средняя</x:v>
      </x:c>
      <x:c r="K93" s="28" t="str">
        <x:v>The Art &amp; Science of Foodpairing.pdf</x:v>
      </x:c>
      <x:c r="L93" s="28" t="str">
        <x:v>The Art &amp; Science of Foodpairing.pdf: 218</x:v>
      </x:c>
    </x:row>
    <x:row r="94" ht="62" customHeight="1">
      <x:c r="A94" s="28" t="str">
        <x:v>CIT-0271</x:v>
      </x:c>
      <x:c r="B94" s="28" t="str">
        <x:v>красный апельсин Тарокко</x:v>
      </x:c>
      <x:c r="C94" s="28" t="str">
        <x:v>лонган</x:v>
      </x:c>
      <x:c r="D94" s="28" t="str">
        <x:v>Тропические фрукты</x:v>
      </x:c>
      <x:c r="E94" s="28" t="str">
        <x:v>перекрытие ароматических семейств, вкусовой баланс</x:v>
      </x:c>
      <x:c r="F94"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Лонган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9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94" s="28" t="str">
        <x:v>Избыток кислоты делает вкус плоско-резким; белая часть кожуры даёт лишнюю горечь.</x:v>
      </x:c>
      <x:c r="I94" s="28" t="str">
        <x:v>смузи, кордиал, сорбет, чатни или коктейль</x:v>
      </x:c>
      <x:c r="J94" s="28" t="str">
        <x:v>Средняя</x:v>
      </x:c>
      <x:c r="K94" s="28" t="str">
        <x:v>The Art &amp; Science of Foodpairing.pdf</x:v>
      </x:c>
      <x:c r="L94" s="28" t="str">
        <x:v>The Art &amp; Science of Foodpairing.pdf: 74</x:v>
      </x:c>
    </x:row>
    <x:row r="95" ht="62" customHeight="1">
      <x:c r="A95" s="28" t="str">
        <x:v>CIT-0272</x:v>
      </x:c>
      <x:c r="B95" s="28" t="str">
        <x:v>красный апельсин Тарокко</x:v>
      </x:c>
      <x:c r="C95" s="28" t="str">
        <x:v>манго</x:v>
      </x:c>
      <x:c r="D95" s="28" t="str">
        <x:v>Тропические фрукты</x:v>
      </x:c>
      <x:c r="E95" s="28" t="str">
        <x:v>перекрытие ароматических семейств, вкусовой баланс</x:v>
      </x:c>
      <x:c r="F95"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снижает ощущение приторности и усиливает летучие фруктовые эфиры.</x:v>
      </x:c>
      <x:c r="G9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95" s="28" t="str">
        <x:v>Избыток кислоты делает вкус плоско-резким; белая часть кожуры даёт лишнюю горечь.</x:v>
      </x:c>
      <x:c r="I95" s="28" t="str">
        <x:v>смузи, кордиал, сорбет, чатни или коктейль</x:v>
      </x:c>
      <x:c r="J95" s="28" t="str">
        <x:v>Средняя</x:v>
      </x:c>
      <x:c r="K95" s="28" t="str">
        <x:v>The Art &amp; Science of Foodpairing.pdf</x:v>
      </x:c>
      <x:c r="L95" s="28" t="str">
        <x:v>The Art &amp; Science of Foodpairing.pdf: 292</x:v>
      </x:c>
    </x:row>
    <x:row r="96" ht="62" customHeight="1">
      <x:c r="A96" s="28" t="str">
        <x:v>CIT-0275</x:v>
      </x:c>
      <x:c r="B96" s="28" t="str">
        <x:v>красный апельсин Тарокко</x:v>
      </x:c>
      <x:c r="C96" s="28" t="str">
        <x:v>пюре из обжаренного фундука</x:v>
      </x:c>
      <x:c r="D96" s="28" t="str">
        <x:v>Орехи и семена</x:v>
      </x:c>
      <x:c r="E96" s="28" t="str">
        <x:v>вкусовой баланс, влияние матрицы/растворимости</x:v>
      </x:c>
      <x:c r="F96"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Пюре из обжаренного фундука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G96"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96" s="28" t="str">
        <x:v>Избыток кислоты делает вкус плоско-резким; белая часть кожуры даёт лишнюю горечь.</x:v>
      </x:c>
      <x:c r="I96" s="28" t="str">
        <x:v>пралине, крем, выпечка, салат или ореховый соус</x:v>
      </x:c>
      <x:c r="J96" s="28" t="str">
        <x:v>Средняя</x:v>
      </x:c>
      <x:c r="K96" s="28" t="str">
        <x:v>The Art &amp; Science of Foodpairing.pdf</x:v>
      </x:c>
      <x:c r="L96" s="28" t="str">
        <x:v>The Art &amp; Science of Foodpairing.pdf: 200</x:v>
      </x:c>
    </x:row>
    <x:row r="97" ht="62" customHeight="1">
      <x:c r="A97" s="28" t="str">
        <x:v>CIT-0277</x:v>
      </x:c>
      <x:c r="B97" s="28" t="str">
        <x:v>красный апельсин Тарокко</x:v>
      </x:c>
      <x:c r="C97" s="28" t="str">
        <x:v>фисташка</x:v>
      </x:c>
      <x:c r="D97" s="28" t="str">
        <x:v>Орехи и семена</x:v>
      </x:c>
      <x:c r="E97" s="28" t="str">
        <x:v>вкусовой баланс, влияние матрицы/растворимости</x:v>
      </x:c>
      <x:c r="F97"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Фисташка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Кислота режет жирность, а цедра связывается с обжаренными и цветочными нотами.</x:v>
      </x:c>
      <x:c r="G9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97" s="28" t="str">
        <x:v>Избыток кислоты делает вкус плоско-резким; белая часть кожуры даёт лишнюю горечь.</x:v>
      </x:c>
      <x:c r="I97" s="28" t="str">
        <x:v>пралине, крем, выпечка, салат или ореховый соус</x:v>
      </x:c>
      <x:c r="J97" s="28" t="str">
        <x:v>Средняя</x:v>
      </x:c>
      <x:c r="K97" s="28" t="str">
        <x:v>The Art &amp; Science of Foodpairing.pdf</x:v>
      </x:c>
      <x:c r="L97" s="28" t="str">
        <x:v>The Art &amp; Science of Foodpairing.pdf: 292</x:v>
      </x:c>
    </x:row>
    <x:row r="98" ht="62" customHeight="1">
      <x:c r="A98" s="28" t="str">
        <x:v>CIT-0279</x:v>
      </x:c>
      <x:c r="B98" s="28" t="str">
        <x:v>кумкват</x:v>
      </x:c>
      <x:c r="C98" s="28" t="str">
        <x:v>ананас</x:v>
      </x:c>
      <x:c r="D98" s="28" t="str">
        <x:v>Тропические фрукты</x:v>
      </x:c>
      <x:c r="E98" s="28" t="str">
        <x:v>перекрытие ароматических семейств, вкусовой баланс</x:v>
      </x:c>
      <x:c r="F98" s="28" t="str">
        <x:v>Кумкват формирует профиль «цитрусовый, фруктовый, цветочный, пряный»; характерные маркеры: лимонен, гамма-терпинен, метил-N-метилантранилат, линалол.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9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98" s="28" t="str">
        <x:v>Избыток кислоты делает вкус плоско-резким; белая часть кожуры даёт лишнюю горечь.</x:v>
      </x:c>
      <x:c r="I98" s="28" t="str">
        <x:v>смузи, кордиал, сорбет, чатни или коктейль</x:v>
      </x:c>
      <x:c r="J98" s="28" t="str">
        <x:v>Гипотеза / практическая</x:v>
      </x:c>
      <x:c r="K98" s="28" t="str">
        <x:v>Таблица сочетания(1).pdf</x:v>
      </x:c>
      <x:c r="L98" s="28" t="str">
        <x:v>Таблица сочетания(1).pdf: 17</x:v>
      </x:c>
    </x:row>
    <x:row r="99" ht="62" customHeight="1">
      <x:c r="A99" s="28" t="str">
        <x:v>CIT-0282</x:v>
      </x:c>
      <x:c r="B99" s="28" t="str">
        <x:v>кумкват</x:v>
      </x:c>
      <x:c r="C99" s="28" t="str">
        <x:v>банан</x:v>
      </x:c>
      <x:c r="D99" s="28" t="str">
        <x:v>Тропические фрукты</x:v>
      </x:c>
      <x:c r="E99" s="28" t="str">
        <x:v>перекрытие ароматических семейств, вкусовой баланс</x:v>
      </x:c>
      <x:c r="F99" s="28" t="str">
        <x:v>Кумкват формирует профиль «цитрусовый, фруктовый, цветочный, пряный»; характерные маркеры: лимонен, гамма-терпинен, метил-N-метилантранилат, линалол. Банан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9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99" s="28" t="str">
        <x:v>Избыток кислоты делает вкус плоско-резким; белая часть кожуры даёт лишнюю горечь.</x:v>
      </x:c>
      <x:c r="I99" s="28" t="str">
        <x:v>смузи, кордиал, сорбет, чатни или коктейль</x:v>
      </x:c>
      <x:c r="J99" s="28" t="str">
        <x:v>Гипотеза / практическая</x:v>
      </x:c>
      <x:c r="K99" s="28" t="str">
        <x:v>Таблица сочетания(1).pdf</x:v>
      </x:c>
      <x:c r="L99" s="28" t="str">
        <x:v>Таблица сочетания(1).pdf: 2</x:v>
      </x:c>
    </x:row>
    <x:row r="100" ht="62" customHeight="1">
      <x:c r="A100" s="28" t="str">
        <x:v>CIT-0284</x:v>
      </x:c>
      <x:c r="B100" s="28" t="str">
        <x:v>кумкват</x:v>
      </x:c>
      <x:c r="C100" s="28" t="str">
        <x:v>вишня</x:v>
      </x:c>
      <x:c r="D100" s="28" t="str">
        <x:v>Ягоды/косточковые</x:v>
      </x:c>
      <x:c r="E100" s="28" t="str">
        <x:v>перекрытие ароматических семейств, вкусовой баланс</x:v>
      </x:c>
      <x:c r="F100" s="28" t="str">
        <x:v>Кумкват формирует профиль «цитрусовый, фруктовый, цветочный, пряный»; характерные маркеры: лимонен, гамма-терпинен, метил-N-метилантранилат, линалол.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10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0" s="28" t="str">
        <x:v>Избыток кислоты делает вкус плоско-резким; белая часть кожуры даёт лишнюю горечь.</x:v>
      </x:c>
      <x:c r="I100" s="28" t="str">
        <x:v>джем, сорбет, коктейль или соус</x:v>
      </x:c>
      <x:c r="J100" s="28" t="str">
        <x:v>Гипотеза / практическая</x:v>
      </x:c>
      <x:c r="K100" s="28" t="str">
        <x:v>Таблица сочетания(1).pdf</x:v>
      </x:c>
      <x:c r="L100" s="28" t="str">
        <x:v>Таблица сочетания(1).pdf: 10</x:v>
      </x:c>
    </x:row>
    <x:row r="101" ht="62" customHeight="1">
      <x:c r="A101" s="28" t="str">
        <x:v>CIT-0285</x:v>
      </x:c>
      <x:c r="B101" s="28" t="str">
        <x:v>кумкват</x:v>
      </x:c>
      <x:c r="C101" s="28" t="str">
        <x:v>грецкий орех</x:v>
      </x:c>
      <x:c r="D101" s="28" t="str">
        <x:v>Орехи и семена</x:v>
      </x:c>
      <x:c r="E101" s="28" t="str">
        <x:v>вкусовой баланс, влияние матрицы/растворимости</x:v>
      </x:c>
      <x:c r="F101" s="28" t="str">
        <x:v>Кумкват формирует профиль «цитрусовый, фруктовый, цветочный, пряный»; характерные маркеры: лимонен, гамма-терпинен, метил-N-метилантранилат, линалол. Грецкий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G10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01" s="28" t="str">
        <x:v>Избыток кислоты делает вкус плоско-резким; белая часть кожуры даёт лишнюю горечь.</x:v>
      </x:c>
      <x:c r="I101" s="28" t="str">
        <x:v>пралине, крем, выпечка, салат или ореховый соус</x:v>
      </x:c>
      <x:c r="J101" s="28" t="str">
        <x:v>Гипотеза / практическая</x:v>
      </x:c>
      <x:c r="K101" s="28" t="str">
        <x:v>Таблица сочетания(1).pdf</x:v>
      </x:c>
      <x:c r="L101" s="28" t="str">
        <x:v>Таблица сочетания(1).pdf: 10</x:v>
      </x:c>
    </x:row>
    <x:row r="102" ht="62" customHeight="1">
      <x:c r="A102" s="28" t="str">
        <x:v>CIT-0287</x:v>
      </x:c>
      <x:c r="B102" s="28" t="str">
        <x:v>кумкват</x:v>
      </x:c>
      <x:c r="C102" s="28" t="str">
        <x:v>ежевика</x:v>
      </x:c>
      <x:c r="D102" s="28" t="str">
        <x:v>Ягоды/косточковые</x:v>
      </x:c>
      <x:c r="E102" s="28" t="str">
        <x:v>перекрытие ароматических семейств, вкусовой баланс</x:v>
      </x:c>
      <x:c r="F102" s="28" t="str">
        <x:v>Кумкват формирует профиль «цитрусовый, фруктовый, цветочный, пряный»; характерные маркеры: лимонен, гамма-терпинен, метил-N-метилантранилат, линалол. Ежевика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10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2" s="28" t="str">
        <x:v>Избыток кислоты делает вкус плоско-резким; белая часть кожуры даёт лишнюю горечь.</x:v>
      </x:c>
      <x:c r="I102" s="28" t="str">
        <x:v>джем, сорбет, коктейль или соус</x:v>
      </x:c>
      <x:c r="J102" s="28" t="str">
        <x:v>Средняя</x:v>
      </x:c>
      <x:c r="K102" s="28" t="str">
        <x:v>The Art &amp; Science of Foodpairing.pdf</x:v>
      </x:c>
      <x:c r="L102" s="28" t="str">
        <x:v>The Art &amp; Science of Foodpairing.pdf: 215</x:v>
      </x:c>
    </x:row>
    <x:row r="103" ht="62" customHeight="1">
      <x:c r="A103" s="28" t="str">
        <x:v>CIT-0290</x:v>
      </x:c>
      <x:c r="B103" s="28" t="str">
        <x:v>кумкват</x:v>
      </x:c>
      <x:c r="C103" s="28" t="str">
        <x:v>клубника</x:v>
      </x:c>
      <x:c r="D103" s="28" t="str">
        <x:v>Ягоды</x:v>
      </x:c>
      <x:c r="E103" s="28" t="str">
        <x:v>перекрытие ароматических семейств, вкусовой баланс</x:v>
      </x:c>
      <x:c r="F103" s="28" t="str">
        <x:v>Кумкват формирует профиль «цитрусовый, фруктовый, цветочный, пряный»; характерные маркеры: лимонен, гамма-терпинен, метил-N-метилантранилат, линалол. Клубника относится к группе «ягоды» и даёт ноты «фруктовый, цветочный, карамельный».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Фуранеол даёт карамельно-ананасовый оттенок, цитрус подчёркивает свежие эфиры.</x:v>
      </x:c>
      <x:c r="G10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3" s="28" t="str">
        <x:v>Избыток кислоты делает вкус плоско-резким; белая часть кожуры даёт лишнюю горечь.</x:v>
      </x:c>
      <x:c r="I103" s="28" t="str">
        <x:v>морс, кордиал, джем, сорбет или коктейль</x:v>
      </x:c>
      <x:c r="J103" s="28" t="str">
        <x:v>Гипотеза / практическая</x:v>
      </x:c>
      <x:c r="K103" s="28" t="str">
        <x:v>Таблица сочетания(1).pdf</x:v>
      </x:c>
      <x:c r="L103" s="28" t="str">
        <x:v>Таблица сочетания(1).pdf: 20</x:v>
      </x:c>
    </x:row>
    <x:row r="104" ht="62" customHeight="1">
      <x:c r="A104" s="28" t="str">
        <x:v>CIT-0292</x:v>
      </x:c>
      <x:c r="B104" s="28" t="str">
        <x:v>кумкват</x:v>
      </x:c>
      <x:c r="C104" s="28" t="str">
        <x:v>кофе</x:v>
      </x:c>
      <x:c r="D104" s="28" t="str">
        <x:v>Кофе/обжаренное</x:v>
      </x:c>
      <x:c r="E104" s="28" t="str">
        <x:v>вкусовой баланс</x:v>
      </x:c>
      <x:c r="F104" s="28" t="str">
        <x:v>Кумкват формирует профиль «цитрусовый, фруктовый, цветочный, пряный»; характерные маркеры: лимонен, гамма-терпинен, метил-N-метилантранилат, линалол. Кофе относится к группе «кофе/обжаренное» и даёт ноты «обжаренный, карамельный, ореховый,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может подчеркнуть естественную кислотность и связаться с фруктовыми нотами кофе.</x:v>
      </x:c>
      <x:c r="G10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04" s="28" t="str">
        <x:v>Избыток кислоты делает вкус плоско-резким; белая часть кожуры даёт лишнюю горечь.</x:v>
      </x:c>
      <x:c r="I104" s="28" t="str">
        <x:v>кофейный напиток, тирамису, ликёр или десертный соус</x:v>
      </x:c>
      <x:c r="J104" s="28" t="str">
        <x:v>Гипотеза / практическая</x:v>
      </x:c>
      <x:c r="K104" s="28" t="str">
        <x:v>Таблица сочетания(1).pdf</x:v>
      </x:c>
      <x:c r="L104" s="28" t="str">
        <x:v>Таблица сочетания(1).pdf: 10</x:v>
      </x:c>
    </x:row>
    <x:row r="105" ht="62" customHeight="1">
      <x:c r="A105" s="28" t="str">
        <x:v>CIT-0293</x:v>
      </x:c>
      <x:c r="B105" s="28" t="str">
        <x:v>кумкват</x:v>
      </x:c>
      <x:c r="C105" s="28" t="str">
        <x:v>лайм</x:v>
      </x:c>
      <x:c r="D105" s="28" t="str">
        <x:v>Цитрусовые</x:v>
      </x:c>
      <x:c r="E105" s="28" t="str">
        <x:v>общие ароматические молекулы, перекрытие ароматических семейств, вкусовой баланс, тройничное восприятие</x:v>
      </x:c>
      <x:c r="F105" s="28" t="str">
        <x:v>Кумкват формирует профиль «цитрусовый, фруктовый, цветочный, пряный»; характерные маркеры: лимонен, гамма-терпинен, метил-N-метилантранилат, линалол. Лайм относится к группе «цитрусовые» и даёт ноты «цитрусовый, зелёный, травяной, камфорный». Наиболее правдоподобный молекулярный мост — гамма-терпинен,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Лаймовые цитрусы дают более зелёный и камфорный профиль, чем сладкий апельсин.</x:v>
      </x:c>
      <x:c r="G10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05" s="28" t="str">
        <x:v>Избыток кислоты делает вкус плоско-резким; белая часть кожуры даёт лишнюю горечь.</x:v>
      </x:c>
      <x:c r="I105" s="28" t="str">
        <x:v>цитрусовый кордиал, мармелад, сорбет, салат или купаж соков</x:v>
      </x:c>
      <x:c r="J105" s="28" t="str">
        <x:v>Средняя</x:v>
      </x:c>
      <x:c r="K105" s="28" t="str">
        <x:v>Таблица сочетания(1).pdf</x:v>
      </x:c>
      <x:c r="L105" s="28" t="str">
        <x:v>Таблица сочетания(1).pdf: 10, 12</x:v>
      </x:c>
    </x:row>
    <x:row r="106" ht="62" customHeight="1">
      <x:c r="A106" s="28" t="str">
        <x:v>CIT-0294</x:v>
      </x:c>
      <x:c r="B106" s="28" t="str">
        <x:v>кумкват</x:v>
      </x:c>
      <x:c r="C106" s="28" t="str">
        <x:v>лимон</x:v>
      </x:c>
      <x:c r="D106" s="28" t="str">
        <x:v>Цитрусовые</x:v>
      </x:c>
      <x:c r="E106" s="28" t="str">
        <x:v>общие ароматические молекулы, перекрытие ароматических семейств, вкусовой баланс, тройничное восприятие</x:v>
      </x:c>
      <x:c r="F106" s="28" t="str">
        <x:v>Кумкват формирует профиль «цитрусовый, фруктовый, цветочный, пряный»; характерные маркеры: лимонен, гамма-терпинен, метил-N-метилантранилат, линалол. Лимон относится к группе «цитрусовые» и даёт ноты «цитрусовый, свежий, цветочный, древесный».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Сок определяется цитралем и кислотностью, цедра — лимоненом и терпенами.</x:v>
      </x:c>
      <x:c r="G10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06" s="28" t="str">
        <x:v>Избыток кислоты делает вкус плоско-резким; белая часть кожуры даёт лишнюю горечь.</x:v>
      </x:c>
      <x:c r="I106" s="28" t="str">
        <x:v>цитрусовый кордиал, мармелад, сорбет, салат или купаж соков</x:v>
      </x:c>
      <x:c r="J106" s="28" t="str">
        <x:v>Средняя</x:v>
      </x:c>
      <x:c r="K106" s="28" t="str">
        <x:v>Таблица сочетания(1).pdf</x:v>
      </x:c>
      <x:c r="L106" s="28" t="str">
        <x:v>Таблица сочетания(1).pdf: 11</x:v>
      </x:c>
    </x:row>
    <x:row r="107" ht="62" customHeight="1">
      <x:c r="A107" s="28" t="str">
        <x:v>CIT-0295</x:v>
      </x:c>
      <x:c r="B107" s="28" t="str">
        <x:v>кумкват</x:v>
      </x:c>
      <x:c r="C107" s="28" t="str">
        <x:v>манго</x:v>
      </x:c>
      <x:c r="D107" s="28" t="str">
        <x:v>Тропические фрукты</x:v>
      </x:c>
      <x:c r="E107" s="28" t="str">
        <x:v>перекрытие ароматических семейств, вкусовой баланс</x:v>
      </x:c>
      <x:c r="F107" s="28" t="str">
        <x:v>Кумкват формирует профиль «цитрусовый, фруктовый, цветочный, пряный»; характерные маркеры: лимонен, гамма-терпинен, метил-N-метилантранилат, линалол.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10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07" s="28" t="str">
        <x:v>Избыток кислоты делает вкус плоско-резким; белая часть кожуры даёт лишнюю горечь.</x:v>
      </x:c>
      <x:c r="I107" s="28" t="str">
        <x:v>смузи, кордиал, сорбет, чатни или коктейль</x:v>
      </x:c>
      <x:c r="J107" s="28" t="str">
        <x:v>Гипотеза / практическая</x:v>
      </x:c>
      <x:c r="K107" s="28" t="str">
        <x:v>Таблица сочетания(1).pdf</x:v>
      </x:c>
      <x:c r="L107" s="28" t="str">
        <x:v>Таблица сочетания(1).pdf: 13</x:v>
      </x:c>
    </x:row>
    <x:row r="108" ht="62" customHeight="1">
      <x:c r="A108" s="28" t="str">
        <x:v>CIT-0296</x:v>
      </x:c>
      <x:c r="B108" s="28" t="str">
        <x:v>кумкват</x:v>
      </x:c>
      <x:c r="C108" s="28" t="str">
        <x:v>мёд</x:v>
      </x:c>
      <x:c r="D108" s="28" t="str">
        <x:v>Подсластители</x:v>
      </x:c>
      <x:c r="E108" s="28" t="str">
        <x:v>перекрытие ароматических семейств, вкусовой баланс</x:v>
      </x:c>
      <x:c r="F108" s="28" t="str">
        <x:v>Кумкват формирует профиль «цитрусовый, фруктовый, цветочный, пряный»; характерные маркеры: лимонен, гамма-терпинен, метил-N-метилантранилат, линалол.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G10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08" s="28" t="str">
        <x:v>Избыток кислоты делает вкус плоско-резким; белая часть кожуры даёт лишнюю горечь.</x:v>
      </x:c>
      <x:c r="I108" s="28" t="str">
        <x:v>сироп, мармелад, крем, глазурь или лимонад</x:v>
      </x:c>
      <x:c r="J108" s="28" t="str">
        <x:v>Гипотеза / практическая</x:v>
      </x:c>
      <x:c r="K108" s="28" t="str">
        <x:v>Таблица сочетания(1).pdf</x:v>
      </x:c>
      <x:c r="L108" s="28" t="str">
        <x:v>Таблица сочетания(1).pdf: 10</x:v>
      </x:c>
    </x:row>
    <x:row r="109" ht="62" customHeight="1">
      <x:c r="A109" s="28" t="str">
        <x:v>CIT-0297</x:v>
      </x:c>
      <x:c r="B109" s="28" t="str">
        <x:v>кумкват</x:v>
      </x:c>
      <x:c r="C109" s="28" t="str">
        <x:v>мускатный орех</x:v>
      </x:c>
      <x:c r="D109" s="28" t="str">
        <x:v>Орехи и семена</x:v>
      </x:c>
      <x:c r="E109" s="28" t="str">
        <x:v>вкусовой баланс, влияние матрицы/растворимости</x:v>
      </x:c>
      <x:c r="F109" s="28" t="str">
        <x:v>Кумкват формирует профиль «цитрусовый, фруктовый, цветочный, пряный»; характерные маркеры: лимонен, гамма-терпинен, метил-N-метилантранилат, линалол. Мускатный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G109"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09" s="28" t="str">
        <x:v>Избыток кислоты делает вкус плоско-резким; белая часть кожуры даёт лишнюю горечь.</x:v>
      </x:c>
      <x:c r="I109" s="28" t="str">
        <x:v>пралине, крем, выпечка, салат или ореховый соус</x:v>
      </x:c>
      <x:c r="J109" s="28" t="str">
        <x:v>Гипотеза / практическая</x:v>
      </x:c>
      <x:c r="K109" s="28" t="str">
        <x:v>Таблица сочетания(1).pdf</x:v>
      </x:c>
      <x:c r="L109" s="28" t="str">
        <x:v>Таблица сочетания(1).pdf: 10</x:v>
      </x:c>
    </x:row>
    <x:row r="110" ht="62" customHeight="1">
      <x:c r="A110" s="28" t="str">
        <x:v>CIT-0299</x:v>
      </x:c>
      <x:c r="B110" s="28" t="str">
        <x:v>кумкват</x:v>
      </x:c>
      <x:c r="C110" s="28" t="str">
        <x:v>папайя</x:v>
      </x:c>
      <x:c r="D110" s="28" t="str">
        <x:v>Тропические фрукты</x:v>
      </x:c>
      <x:c r="E110" s="28" t="str">
        <x:v>перекрытие ароматических семейств, вкусовой баланс</x:v>
      </x:c>
      <x:c r="F110" s="28" t="str">
        <x:v>Кумкват формирует профиль «цитрусовый, фруктовый, цветочный, пряный»; характерные маркеры: лимонен, гамма-терпинен, метил-N-метилантранилат, линалол. Папайя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11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0" s="28" t="str">
        <x:v>Избыток кислоты делает вкус плоско-резким; белая часть кожуры даёт лишнюю горечь.</x:v>
      </x:c>
      <x:c r="I110" s="28" t="str">
        <x:v>смузи, кордиал, сорбет, чатни или коктейль</x:v>
      </x:c>
      <x:c r="J110" s="28" t="str">
        <x:v>Гипотеза / практическая</x:v>
      </x:c>
      <x:c r="K110" s="28" t="str">
        <x:v>Таблица сочетания(1).pdf</x:v>
      </x:c>
      <x:c r="L110" s="28" t="str">
        <x:v>Таблица сочетания(1).pdf: 10, 15</x:v>
      </x:c>
    </x:row>
    <x:row r="111" ht="62" customHeight="1">
      <x:c r="A111" s="28" t="str">
        <x:v>CIT-0304</x:v>
      </x:c>
      <x:c r="B111" s="28" t="str">
        <x:v>кумкват</x:v>
      </x:c>
      <x:c r="C111" s="28" t="str">
        <x:v>слива</x:v>
      </x:c>
      <x:c r="D111" s="28" t="str">
        <x:v>Косточковые фрукты</x:v>
      </x:c>
      <x:c r="E111" s="28" t="str">
        <x:v>перекрытие ароматических семейств, вкусовой баланс</x:v>
      </x:c>
      <x:c r="F111" s="28" t="str">
        <x:v>Кумкват формирует профиль «цитрусовый, фруктовый, цветочный, пряный»; характерные маркеры: лимонен, гамма-терпинен, метил-N-метилантранилат, линалол. Слива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добавляет кислотность, а лактоны смягчают его резкость.</x:v>
      </x:c>
      <x:c r="G11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1" s="28" t="str">
        <x:v>Избыток кислоты делает вкус плоско-резким; белая часть кожуры даёт лишнюю горечь.</x:v>
      </x:c>
      <x:c r="I111" s="28" t="str">
        <x:v>тарт, сорбет, джем или фруктовый соус</x:v>
      </x:c>
      <x:c r="J111" s="28" t="str">
        <x:v>Гипотеза / практическая</x:v>
      </x:c>
      <x:c r="K111" s="28" t="str">
        <x:v>Таблица сочетания(1).pdf</x:v>
      </x:c>
      <x:c r="L111" s="28" t="str">
        <x:v>Таблица сочетания(1).pdf: 10, 17</x:v>
      </x:c>
    </x:row>
    <x:row r="112" ht="62" customHeight="1">
      <x:c r="A112" s="28" t="str">
        <x:v>CIT-0306</x:v>
      </x:c>
      <x:c r="B112" s="28" t="str">
        <x:v>кумкват</x:v>
      </x:c>
      <x:c r="C112" s="28" t="str">
        <x:v>сушёный лист макрут-лайма</x:v>
      </x:c>
      <x:c r="D112" s="28" t="str">
        <x:v>Цитрусовые</x:v>
      </x:c>
      <x:c r="E112" s="28" t="str">
        <x:v>общие ароматические молекулы, перекрытие ароматических семейств, вкусовой баланс, тройничное восприятие</x:v>
      </x:c>
      <x:c r="F112" s="28" t="str">
        <x:v>Кумкват формирует профиль «цитрусовый, фруктовый, цветочный, пряный»; характерные маркеры: лимонен, гамма-терпинен, метил-N-метилантранилат, линалол. Сушёный лист макрут-лайма относится к группе «цитрусовые» и даёт ноты «цитрусовый, зелёный, травяной, камфорный». Наиболее правдоподобный молекулярный мост — гамма-терпинен, лимонен, линалол;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Лаймовые цитрусы дают более зелёный и камфорный профиль, чем сладкий апельсин.</x:v>
      </x:c>
      <x:c r="G11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12" s="28" t="str">
        <x:v>Избыток кислоты делает вкус плоско-резким; белая часть кожуры даёт лишнюю горечь.</x:v>
      </x:c>
      <x:c r="I112" s="28" t="str">
        <x:v>цитрусовый кордиал, мармелад, сорбет, салат или купаж соков</x:v>
      </x:c>
      <x:c r="J112" s="28" t="str">
        <x:v>Средняя</x:v>
      </x:c>
      <x:c r="K112" s="28" t="str">
        <x:v>The Art &amp; Science of Foodpairing.pdf</x:v>
      </x:c>
      <x:c r="L112" s="28" t="str">
        <x:v>The Art &amp; Science of Foodpairing.pdf: 215</x:v>
      </x:c>
    </x:row>
    <x:row r="113" ht="62" customHeight="1">
      <x:c r="A113" s="28" t="str">
        <x:v>CIT-0311</x:v>
      </x:c>
      <x:c r="B113" s="28" t="str">
        <x:v>кумкват</x:v>
      </x:c>
      <x:c r="C113" s="28" t="str">
        <x:v>яблоко</x:v>
      </x:c>
      <x:c r="D113" s="28" t="str">
        <x:v>Фрукты</x:v>
      </x:c>
      <x:c r="E113" s="28" t="str">
        <x:v>перекрытие ароматических семейств, вкусовой баланс</x:v>
      </x:c>
      <x:c r="F113" s="28" t="str">
        <x:v>Кумкват формирует профиль «цитрусовый, фруктовый, цветочный, пряный»; характерные маркеры: лимонен, гамма-терпинен, метил-N-метилантранилат, линалол.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Яблочные эфиры и зелёные альдегиды хорошо поддерживают свежий цитрус.</x:v>
      </x:c>
      <x:c r="G11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3" s="28" t="str">
        <x:v>Избыток кислоты делает вкус плоско-резким; белая часть кожуры даёт лишнюю горечь.</x:v>
      </x:c>
      <x:c r="I113" s="28" t="str">
        <x:v>лимонад, сорбет, компот, салат или фруктовый кордиал</x:v>
      </x:c>
      <x:c r="J113" s="28" t="str">
        <x:v>Гипотеза / практическая</x:v>
      </x:c>
      <x:c r="K113" s="28" t="str">
        <x:v>Таблица сочетания(1).pdf</x:v>
      </x:c>
      <x:c r="L113" s="28" t="str">
        <x:v>Таблица сочетания(1).pdf: 10</x:v>
      </x:c>
    </x:row>
    <x:row r="114" ht="62" customHeight="1">
      <x:c r="A114" s="28" t="str">
        <x:v>CIT-0312</x:v>
      </x:c>
      <x:c r="B114" s="28" t="str">
        <x:v>кумкват</x:v>
      </x:c>
      <x:c r="C114" s="28" t="str">
        <x:v>ягоды</x:v>
      </x:c>
      <x:c r="D114" s="28" t="str">
        <x:v>Ягоды/косточковые</x:v>
      </x:c>
      <x:c r="E114" s="28" t="str">
        <x:v>перекрытие ароматических семейств, вкусовой баланс</x:v>
      </x:c>
      <x:c r="F114" s="28" t="str">
        <x:v>Кумкват формирует профиль «цитрусовый, фруктовый, цветочный, пряный»; характерные маркеры: лимонен, гамма-терпинен, метил-N-метилантранилат, линалол.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11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4" s="28" t="str">
        <x:v>Избыток кислоты делает вкус плоско-резким; белая часть кожуры даёт лишнюю горечь.</x:v>
      </x:c>
      <x:c r="I114" s="28" t="str">
        <x:v>джем, сорбет, коктейль или соус</x:v>
      </x:c>
      <x:c r="J114" s="28" t="str">
        <x:v>Гипотеза / практическая</x:v>
      </x:c>
      <x:c r="K114" s="28" t="str">
        <x:v>Таблица сочетания(1).pdf</x:v>
      </x:c>
      <x:c r="L114" s="28" t="str">
        <x:v>Таблица сочетания(1).pdf: 10</x:v>
      </x:c>
    </x:row>
    <x:row r="115" ht="62" customHeight="1">
      <x:c r="A115" s="28" t="str">
        <x:v>CIT-0313</x:v>
      </x:c>
      <x:c r="B115" s="28" t="str">
        <x:v>лайм</x:v>
      </x:c>
      <x:c r="C115" s="28" t="str">
        <x:v>абрикос</x:v>
      </x:c>
      <x:c r="D115" s="28" t="str">
        <x:v>Косточковые фрукты</x:v>
      </x:c>
      <x:c r="E115" s="28" t="str">
        <x:v>вкусовой баланс</x:v>
      </x:c>
      <x:c r="F115" s="28" t="str">
        <x:v>Лайм формирует профиль «цитрусовый, зелёный, травяной, камфорный»; характерные маркеры: лимонен, гамма-терпинен, цитраль, бета-пинен, линалол. Абрикос относится к группе «косточковые фрукты» и даёт ноты «фруктовый, цветочный, сливочный, миндальный».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добавляет кислотность, а лактоны смягчают его резкость.</x:v>
      </x:c>
      <x:c r="G11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5" s="28" t="str">
        <x:v>Избыток кислоты делает вкус плоско-резким; белая часть кожуры даёт лишнюю горечь.</x:v>
      </x:c>
      <x:c r="I115" s="28" t="str">
        <x:v>тарт, сорбет, джем или фруктовый соус</x:v>
      </x:c>
      <x:c r="J115" s="28" t="str">
        <x:v>Гипотеза / практическая</x:v>
      </x:c>
      <x:c r="K115" s="28" t="str">
        <x:v>Таблица сочетания(1).pdf</x:v>
      </x:c>
      <x:c r="L115" s="28" t="str">
        <x:v>Таблица сочетания(1).pdf: 11</x:v>
      </x:c>
    </x:row>
    <x:row r="116" ht="62" customHeight="1">
      <x:c r="A116" s="28" t="str">
        <x:v>CIT-0316</x:v>
      </x:c>
      <x:c r="B116" s="28" t="str">
        <x:v>лайм</x:v>
      </x:c>
      <x:c r="C116" s="28" t="str">
        <x:v>ананас</x:v>
      </x:c>
      <x:c r="D116" s="28" t="str">
        <x:v>Тропические фрукты</x:v>
      </x:c>
      <x:c r="E116" s="28" t="str">
        <x:v>вкусовой баланс</x:v>
      </x:c>
      <x:c r="F116" s="28" t="str">
        <x:v>Лайм формирует профиль «цитрусовый, зелёный, травяной, камфорный»; характерные маркеры: лимонен, гамма-терпинен, цитраль, бета-пинен, линалол. Ананас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1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6" s="28" t="str">
        <x:v>Избыток кислоты делает вкус плоско-резким; белая часть кожуры даёт лишнюю горечь.</x:v>
      </x:c>
      <x:c r="I116" s="28" t="str">
        <x:v>смузи, кордиал, сорбет, чатни или коктейль</x:v>
      </x:c>
      <x:c r="J116" s="28" t="str">
        <x:v>Гипотеза / практическая</x:v>
      </x:c>
      <x:c r="K116" s="28" t="str">
        <x:v>Таблица сочетания(1).pdf</x:v>
      </x:c>
      <x:c r="L116" s="28" t="str">
        <x:v>Таблица сочетания(1).pdf: 17</x:v>
      </x:c>
    </x:row>
    <x:row r="117" ht="62" customHeight="1">
      <x:c r="A117" s="28" t="str">
        <x:v>CIT-0320</x:v>
      </x:c>
      <x:c r="B117" s="28" t="str">
        <x:v>лайм</x:v>
      </x:c>
      <x:c r="C117" s="28" t="str">
        <x:v>арахис</x:v>
      </x:c>
      <x:c r="D117" s="28" t="str">
        <x:v>Орехи и семена</x:v>
      </x:c>
      <x:c r="E117" s="28" t="str">
        <x:v>перекрытие ароматических семейств, вкусовой баланс, влияние матрицы/растворимости</x:v>
      </x:c>
      <x:c r="F117" s="28" t="str">
        <x:v>Лайм формирует профиль «цитрусовый, зелёный, травяной, камфорный»; характерные маркеры: лимонен, гамма-терпинен, цитраль, бета-пинен, линалол. Арахис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G11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17" s="28" t="str">
        <x:v>Избыток кислоты делает вкус плоско-резким; белая часть кожуры даёт лишнюю горечь.</x:v>
      </x:c>
      <x:c r="I117" s="28" t="str">
        <x:v>пралине, крем, выпечка, салат или ореховый соус</x:v>
      </x:c>
      <x:c r="J117" s="28" t="str">
        <x:v>Высокая</x:v>
      </x:c>
      <x:c r="K117" s="28" t="str">
        <x:v>Тезариус вкусов (Ники Сегнит)(1).pdf</x:v>
      </x:c>
      <x:c r="L117" s="28" t="str">
        <x:v>Тезариус вкусов (Ники Сегнит)(1).pdf: 54, 792</x:v>
      </x:c>
    </x:row>
    <x:row r="118" ht="62" customHeight="1">
      <x:c r="A118" s="28" t="str">
        <x:v>CIT-0321</x:v>
      </x:c>
      <x:c r="B118" s="28" t="str">
        <x:v>лайм</x:v>
      </x:c>
      <x:c r="C118" s="28" t="str">
        <x:v>арбуз</x:v>
      </x:c>
      <x:c r="D118" s="28" t="str">
        <x:v>Бахчевые</x:v>
      </x:c>
      <x:c r="E118" s="28" t="str">
        <x:v>перекрытие ароматических семейств, вкусовой баланс</x:v>
      </x:c>
      <x:c r="F118" s="28" t="str">
        <x:v>Лайм формирует профиль «цитрусовый, зелёный, травяной, камфорный»; характерные маркеры: лимонен, гамма-терпинен, цитраль, бета-пинен, линалол. Арбуз относится к группе «бахчевые» и даёт ноты «свежий, зелёный, водянистый, фруктовый».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придаёт структуру, но легко подавляет тонкий аромат дыни.</x:v>
      </x:c>
      <x:c r="G11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8" s="28" t="str">
        <x:v>Избыток кислоты делает вкус плоско-резким; белая часть кожуры даёт лишнюю горечь; цитрус легко подавляет деликатный аромат партнёра.</x:v>
      </x:c>
      <x:c r="I118" s="28" t="str">
        <x:v>холодный напиток, гранита, салат или сорбет</x:v>
      </x:c>
      <x:c r="J118" s="28" t="str">
        <x:v>Высокая</x:v>
      </x:c>
      <x:c r="K118" s="28" t="str">
        <x:v>Таблица сочетания(1).pdf | Тезариус вкусов (Ники Сегнит)(1).pdf</x:v>
      </x:c>
      <x:c r="L118" s="28" t="str">
        <x:v>Таблица сочетания(1).pdf: 22 | Тезариус вкусов (Ники Сегнит)(1).pdf: 659, 792</x:v>
      </x:c>
    </x:row>
    <x:row r="119" ht="62" customHeight="1">
      <x:c r="A119" s="28" t="str">
        <x:v>CIT-0325</x:v>
      </x:c>
      <x:c r="B119" s="28" t="str">
        <x:v>лайм</x:v>
      </x:c>
      <x:c r="C119" s="28" t="str">
        <x:v>банан</x:v>
      </x:c>
      <x:c r="D119" s="28" t="str">
        <x:v>Тропические фрукты</x:v>
      </x:c>
      <x:c r="E119" s="28" t="str">
        <x:v>вкусовой баланс</x:v>
      </x:c>
      <x:c r="F119" s="28" t="str">
        <x:v>Лайм формирует профиль «цитрусовый, зелёный, травяной, камфорный»; характерные маркеры: лимонен, гамма-терпинен, цитраль, бета-пинен, линалол. Банан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1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19" s="28" t="str">
        <x:v>Избыток кислоты делает вкус плоско-резким; белая часть кожуры даёт лишнюю горечь.</x:v>
      </x:c>
      <x:c r="I119" s="28" t="str">
        <x:v>смузи, кордиал, сорбет, чатни или коктейль</x:v>
      </x:c>
      <x:c r="J119" s="28" t="str">
        <x:v>Гипотеза / практическая</x:v>
      </x:c>
      <x:c r="K119" s="28" t="str">
        <x:v>Таблица сочетания(1).pdf</x:v>
      </x:c>
      <x:c r="L119" s="28" t="str">
        <x:v>Таблица сочетания(1).pdf: 2, 11</x:v>
      </x:c>
    </x:row>
    <x:row r="120" ht="62" customHeight="1">
      <x:c r="A120" s="28" t="str">
        <x:v>CIT-0326</x:v>
      </x:c>
      <x:c r="B120" s="28" t="str">
        <x:v>лайм</x:v>
      </x:c>
      <x:c r="C120" s="28" t="str">
        <x:v>банановый ликёр</x:v>
      </x:c>
      <x:c r="D120" s="28" t="str">
        <x:v>Тропические фрукты</x:v>
      </x:c>
      <x:c r="E120" s="28" t="str">
        <x:v>вкусовой баланс</x:v>
      </x:c>
      <x:c r="F120" s="28" t="str">
        <x:v>Лайм формирует профиль «цитрусовый, зелёный, травяной, камфорный»; характерные маркеры: лимонен, гамма-терпинен, цитраль, бета-пинен, линалол. Банановый ликёр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2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0" s="28" t="str">
        <x:v>Избыток кислоты делает вкус плоско-резким; белая часть кожуры даёт лишнюю горечь.</x:v>
      </x:c>
      <x:c r="I120" s="28" t="str">
        <x:v>смузи, кордиал, сорбет, чатни или коктейль</x:v>
      </x:c>
      <x:c r="J120" s="28" t="str">
        <x:v>Средняя</x:v>
      </x:c>
      <x:c r="K120" s="28" t="str">
        <x:v>The Art &amp; Science of Foodpairing.pdf</x:v>
      </x:c>
      <x:c r="L120" s="28" t="str">
        <x:v>The Art &amp; Science of Foodpairing.pdf: 88</x:v>
      </x:c>
    </x:row>
    <x:row r="121" ht="62" customHeight="1">
      <x:c r="A121" s="28" t="str">
        <x:v>CIT-0332</x:v>
      </x:c>
      <x:c r="B121" s="28" t="str">
        <x:v>лайм</x:v>
      </x:c>
      <x:c r="C121" s="28" t="str">
        <x:v>гуава</x:v>
      </x:c>
      <x:c r="D121" s="28" t="str">
        <x:v>Тропические фрукты</x:v>
      </x:c>
      <x:c r="E121" s="28" t="str">
        <x:v>вкусовой баланс</x:v>
      </x:c>
      <x:c r="F121" s="28" t="str">
        <x:v>Лайм формирует профиль «цитрусовый, зелёный, травяной, камфорный»; характерные маркеры: лимонен, гамма-терпинен, цитраль, бета-пинен, линалол. Гуава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2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1" s="28" t="str">
        <x:v>Избыток кислоты делает вкус плоско-резким; белая часть кожуры даёт лишнюю горечь.</x:v>
      </x:c>
      <x:c r="I121" s="28" t="str">
        <x:v>смузи, кордиал, сорбет, чатни или коктейль</x:v>
      </x:c>
      <x:c r="J121" s="28" t="str">
        <x:v>Гипотеза / практическая</x:v>
      </x:c>
      <x:c r="K121" s="28" t="str">
        <x:v>Таблица сочетания(1).pdf</x:v>
      </x:c>
      <x:c r="L121" s="28" t="str">
        <x:v>Таблица сочетания(1).pdf: 9, 12</x:v>
      </x:c>
    </x:row>
    <x:row r="122" ht="62" customHeight="1">
      <x:c r="A122" s="28" t="str">
        <x:v>CIT-0333</x:v>
      </x:c>
      <x:c r="B122" s="28" t="str">
        <x:v>лайм</x:v>
      </x:c>
      <x:c r="C122" s="28" t="str">
        <x:v>дуриан</x:v>
      </x:c>
      <x:c r="D122" s="28" t="str">
        <x:v>Тропические фрукты</x:v>
      </x:c>
      <x:c r="E122" s="28" t="str">
        <x:v>вкусовой баланс</x:v>
      </x:c>
      <x:c r="F122" s="28" t="str">
        <x:v>Лайм формирует профиль «цитрусовый, зелёный, травяной, камфорный»; характерные маркеры: лимонен, гамма-терпинен, цитраль, бета-пинен, линалол. Дуриан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2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2" s="28" t="str">
        <x:v>Избыток кислоты делает вкус плоско-резким; белая часть кожуры даёт лишнюю горечь.</x:v>
      </x:c>
      <x:c r="I122" s="28" t="str">
        <x:v>смузи, кордиал, сорбет, чатни или коктейль</x:v>
      </x:c>
      <x:c r="J122" s="28" t="str">
        <x:v>Гипотеза / практическая</x:v>
      </x:c>
      <x:c r="K122" s="28" t="str">
        <x:v>Таблица сочетания(1).pdf</x:v>
      </x:c>
      <x:c r="L122" s="28" t="str">
        <x:v>Таблица сочетания(1).pdf: 7</x:v>
      </x:c>
    </x:row>
    <x:row r="123" ht="62" customHeight="1">
      <x:c r="A123" s="28" t="str">
        <x:v>CIT-0343</x:v>
      </x:c>
      <x:c r="B123" s="28" t="str">
        <x:v>лайм</x:v>
      </x:c>
      <x:c r="C123" s="28" t="str">
        <x:v>кокос</x:v>
      </x:c>
      <x:c r="D123" s="28" t="str">
        <x:v>Тропические плоды</x:v>
      </x:c>
      <x:c r="E123" s="28" t="str">
        <x:v>вкусовой баланс</x:v>
      </x:c>
      <x:c r="F123" s="28" t="str">
        <x:v>Лайм формирует профиль «цитрусовый, зелёный, травяной, камфорный»; характерные маркеры: лимонен, гамма-терпинен, цитраль, бета-пинен, линалол. Кокос относится к группе «тропические плоды» и даёт ноты «сливочный, кокосовый, восковой, ореховый».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Кокос округляет кислотность и продлевает цитрусовый аромат.</x:v>
      </x:c>
      <x:c r="G12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3" s="28" t="str">
        <x:v>Избыток кислоты делает вкус плоско-резким; белая часть кожуры даёт лишнюю горечь.</x:v>
      </x:c>
      <x:c r="I123" s="28" t="str">
        <x:v>коктейль, крем, сорбет или соус</x:v>
      </x:c>
      <x:c r="J123" s="28" t="str">
        <x:v>Высокая</x:v>
      </x:c>
      <x:c r="K123" s="28" t="str">
        <x:v>Тезариус вкусов (Ники Сегнит)(1).pdf</x:v>
      </x:c>
      <x:c r="L123" s="28" t="str">
        <x:v>Тезариус вкусов (Ники Сегнит)(1).pdf: 757, 794</x:v>
      </x:c>
    </x:row>
    <x:row r="124" ht="62" customHeight="1">
      <x:c r="A124" s="28" t="str">
        <x:v>CIT-0349</x:v>
      </x:c>
      <x:c r="B124" s="28" t="str">
        <x:v>лайм</x:v>
      </x:c>
      <x:c r="C124" s="28" t="str">
        <x:v>лимон</x:v>
      </x:c>
      <x:c r="D124" s="28" t="str">
        <x:v>Цитрусовые</x:v>
      </x:c>
      <x:c r="E124" s="28" t="str">
        <x:v>общие ароматические молекулы, перекрытие ароматических семейств, вкусовой баланс, тройничное восприятие</x:v>
      </x:c>
      <x:c r="F124" s="28" t="str">
        <x:v>Лайм формирует профиль «цитрусовый, зелёный, травяной, камфорный»; характерные маркеры: лимонен, гамма-терпинен, цитраль, бета-пинен, линалол. Лимон относится к группе «цитрусовые» и даёт ноты «цитрусовый, свежий, цветочный, древесный».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Сок определяется цитралем и кислотностью, цедра — лимоненом и терпенами.</x:v>
      </x:c>
      <x:c r="G12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24" s="28" t="str">
        <x:v>Избыток кислоты делает вкус плоско-резким; белая часть кожуры даёт лишнюю горечь.</x:v>
      </x:c>
      <x:c r="I124" s="28" t="str">
        <x:v>цитрусовый кордиал, мармелад, сорбет, салат или купаж соков</x:v>
      </x:c>
      <x:c r="J124" s="28" t="str">
        <x:v>Высокая</x:v>
      </x:c>
      <x:c r="K124" s="28" t="str">
        <x:v>Таблица сочетания(1).pdf | Тезариус вкусов (Ники Сегнит)(1).pdf</x:v>
      </x:c>
      <x:c r="L124" s="28" t="str">
        <x:v>Таблица сочетания(1).pdf: 11, 12 | Тезариус вкусов (Ники Сегнит)(1).pdf: 795, 804</x:v>
      </x:c>
    </x:row>
    <x:row r="125" ht="62" customHeight="1">
      <x:c r="A125" s="28" t="str">
        <x:v>CIT-0351</x:v>
      </x:c>
      <x:c r="B125" s="28" t="str">
        <x:v>лайм</x:v>
      </x:c>
      <x:c r="C125" s="28" t="str">
        <x:v>личи</x:v>
      </x:c>
      <x:c r="D125" s="28" t="str">
        <x:v>Тропические фрукты</x:v>
      </x:c>
      <x:c r="E125" s="28" t="str">
        <x:v>вкусовой баланс</x:v>
      </x:c>
      <x:c r="F125" s="28" t="str">
        <x:v>Лайм формирует профиль «цитрусовый, зелёный, травяной, камфорный»; характерные маркеры: лимонен, гамма-терпинен, цитраль, бета-пинен, линалол. Личи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2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5" s="28" t="str">
        <x:v>Избыток кислоты делает вкус плоско-резким; белая часть кожуры даёт лишнюю горечь.</x:v>
      </x:c>
      <x:c r="I125" s="28" t="str">
        <x:v>смузи, кордиал, сорбет, чатни или коктейль</x:v>
      </x:c>
      <x:c r="J125" s="28" t="str">
        <x:v>Гипотеза / практическая</x:v>
      </x:c>
      <x:c r="K125" s="28" t="str">
        <x:v>Таблица сочетания(1).pdf</x:v>
      </x:c>
      <x:c r="L125" s="28" t="str">
        <x:v>Таблица сочетания(1).pdf: 12</x:v>
      </x:c>
    </x:row>
    <x:row r="126" ht="62" customHeight="1">
      <x:c r="A126" s="28" t="str">
        <x:v>CIT-0352</x:v>
      </x:c>
      <x:c r="B126" s="28" t="str">
        <x:v>лайм</x:v>
      </x:c>
      <x:c r="C126" s="28" t="str">
        <x:v>манго</x:v>
      </x:c>
      <x:c r="D126" s="28" t="str">
        <x:v>Тропические фрукты</x:v>
      </x:c>
      <x:c r="E126" s="28" t="str">
        <x:v>вкусовой баланс</x:v>
      </x:c>
      <x:c r="F126" s="28" t="str">
        <x:v>Лайм формирует профиль «цитрусовый, зелёный, травяной, камфорный»; характерные маркеры: лимонен, гамма-терпинен, цитраль, бета-пинен, линалол. Манго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2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6" s="28" t="str">
        <x:v>Избыток кислоты делает вкус плоско-резким; белая часть кожуры даёт лишнюю горечь.</x:v>
      </x:c>
      <x:c r="I126" s="28" t="str">
        <x:v>смузи, кордиал, сорбет, чатни или коктейль</x:v>
      </x:c>
      <x:c r="J126" s="28" t="str">
        <x:v>Высокая</x:v>
      </x:c>
      <x:c r="K126" s="28" t="str">
        <x:v>Таблица сочетания(1).pdf | Тезариус вкусов (Ники Сегнит)(1).pdf</x:v>
      </x:c>
      <x:c r="L126" s="28" t="str">
        <x:v>Таблица сочетания(1).pdf: 12, 13 | Тезариус вкусов (Ники Сегнит)(1).pdf: 765, 795</x:v>
      </x:c>
    </x:row>
    <x:row r="127" ht="62" customHeight="1">
      <x:c r="A127" s="28" t="str">
        <x:v>CIT-0353</x:v>
      </x:c>
      <x:c r="B127" s="28" t="str">
        <x:v>лайм</x:v>
      </x:c>
      <x:c r="C127" s="28" t="str">
        <x:v>манго Альфонсо</x:v>
      </x:c>
      <x:c r="D127" s="28" t="str">
        <x:v>Тропические фрукты</x:v>
      </x:c>
      <x:c r="E127" s="28" t="str">
        <x:v>вкусовой баланс</x:v>
      </x:c>
      <x:c r="F127" s="28" t="str">
        <x:v>Лайм формирует профиль «цитрусовый, зелёный, травяной, камфорный»; характерные маркеры: лимонен, гамма-терпинен, цитраль, бета-пинен, линалол. Манго альфонсо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2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7" s="28" t="str">
        <x:v>Избыток кислоты делает вкус плоско-резким; белая часть кожуры даёт лишнюю горечь.</x:v>
      </x:c>
      <x:c r="I127" s="28" t="str">
        <x:v>смузи, кордиал, сорбет, чатни или коктейль</x:v>
      </x:c>
      <x:c r="J127" s="28" t="str">
        <x:v>Средняя</x:v>
      </x:c>
      <x:c r="K127" s="28" t="str">
        <x:v>The Art &amp; Science of Foodpairing.pdf</x:v>
      </x:c>
      <x:c r="L127" s="28" t="str">
        <x:v>The Art &amp; Science of Foodpairing.pdf: 87</x:v>
      </x:c>
    </x:row>
    <x:row r="128" ht="62" customHeight="1">
      <x:c r="A128" s="28" t="str">
        <x:v>CIT-0357</x:v>
      </x:c>
      <x:c r="B128" s="28" t="str">
        <x:v>лайм</x:v>
      </x:c>
      <x:c r="C128" s="28" t="str">
        <x:v>мускатный орех</x:v>
      </x:c>
      <x:c r="D128" s="28" t="str">
        <x:v>Орехи и семена</x:v>
      </x:c>
      <x:c r="E128" s="28" t="str">
        <x:v>перекрытие ароматических семейств, вкусовой баланс, влияние матрицы/растворимости</x:v>
      </x:c>
      <x:c r="F128" s="28" t="str">
        <x:v>Лайм формирует профиль «цитрусовый, зелёный, травяной, камфорный»; характерные маркеры: лимонен, гамма-терпинен, цитраль, бета-пинен, линалол. Мускатный орех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G12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28" s="28" t="str">
        <x:v>Избыток кислоты делает вкус плоско-резким; белая часть кожуры даёт лишнюю горечь.</x:v>
      </x:c>
      <x:c r="I128" s="28" t="str">
        <x:v>пралине, крем, выпечка, салат или ореховый соус</x:v>
      </x:c>
      <x:c r="J128" s="28" t="str">
        <x:v>Гипотеза / практическая</x:v>
      </x:c>
      <x:c r="K128" s="28" t="str">
        <x:v>Таблица сочетания(1).pdf</x:v>
      </x:c>
      <x:c r="L128" s="28" t="str">
        <x:v>Таблица сочетания(1).pdf: 14</x:v>
      </x:c>
    </x:row>
    <x:row r="129" ht="62" customHeight="1">
      <x:c r="A129" s="28" t="str">
        <x:v>CIT-0360</x:v>
      </x:c>
      <x:c r="B129" s="28" t="str">
        <x:v>лайм</x:v>
      </x:c>
      <x:c r="C129" s="28" t="str">
        <x:v>папайя</x:v>
      </x:c>
      <x:c r="D129" s="28" t="str">
        <x:v>Тропические фрукты</x:v>
      </x:c>
      <x:c r="E129" s="28" t="str">
        <x:v>вкусовой баланс</x:v>
      </x:c>
      <x:c r="F129" s="28" t="str">
        <x:v>Лайм формирует профиль «цитрусовый, зелёный, травяной, камфорный»; характерные маркеры: лимонен, гамма-терпинен, цитраль, бета-пинен, линалол. Папайя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2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29" s="28" t="str">
        <x:v>Избыток кислоты делает вкус плоско-резким; белая часть кожуры даёт лишнюю горечь.</x:v>
      </x:c>
      <x:c r="I129" s="28" t="str">
        <x:v>смузи, кордиал, сорбет, чатни или коктейль</x:v>
      </x:c>
      <x:c r="J129" s="28" t="str">
        <x:v>Гипотеза / практическая</x:v>
      </x:c>
      <x:c r="K129" s="28" t="str">
        <x:v>Таблица сочетания(1).pdf</x:v>
      </x:c>
      <x:c r="L129" s="28" t="str">
        <x:v>Таблица сочетания(1).pdf: 12, 15</x:v>
      </x:c>
    </x:row>
    <x:row r="130" ht="62" customHeight="1">
      <x:c r="A130" s="28" t="str">
        <x:v>CIT-0368</x:v>
      </x:c>
      <x:c r="B130" s="28" t="str">
        <x:v>лайм</x:v>
      </x:c>
      <x:c r="C130" s="28" t="str">
        <x:v>сок лайма</x:v>
      </x:c>
      <x:c r="D130" s="28" t="str">
        <x:v>Цитрусовые</x:v>
      </x:c>
      <x:c r="E130" s="28" t="str">
        <x:v>общие ароматические молекулы, перекрытие ароматических семейств, вкусовой баланс, тройничное восприятие</x:v>
      </x:c>
      <x:c r="F130" s="28" t="str">
        <x:v>Лайм формирует профиль «цитрусовый, зелёный, травяной, камфорный»; характерные маркеры: лимонен, гамма-терпинен, цитраль, бета-пинен, линалол. Сок лайма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линалол, цитраль; дополнительно совпадают ароматические семейства: зелёный, камфорный, травяной, цитрусовый. Сочетание строится на близком терпеновом профиле; различия в кислотности, горечи и цветочно-зелёных оттенках создают объём. Лаймовые цитрусы дают более зелёный и камфорный профиль, чем сладкий апельсин. Лаймовые цитрусы дают более зелёный и камфорный профиль, чем сладкий апельсин.</x:v>
      </x:c>
      <x:c r="G13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30" s="28" t="str">
        <x:v>Избыток кислоты делает вкус плоско-резким; белая часть кожуры даёт лишнюю горечь.</x:v>
      </x:c>
      <x:c r="I130" s="28" t="str">
        <x:v>цитрусовый кордиал, мармелад, сорбет, салат или купаж соков</x:v>
      </x:c>
      <x:c r="J130" s="28" t="str">
        <x:v>Средняя</x:v>
      </x:c>
      <x:c r="K130" s="28" t="str">
        <x:v>The Art &amp; Science of Foodpairing.pdf</x:v>
      </x:c>
      <x:c r="L130" s="28" t="str">
        <x:v>The Art &amp; Science of Foodpairing.pdf: 87</x:v>
      </x:c>
    </x:row>
    <x:row r="131" ht="62" customHeight="1">
      <x:c r="A131" s="28" t="str">
        <x:v>CIT-0384</x:v>
      </x:c>
      <x:c r="B131" s="28" t="str">
        <x:v>лайм</x:v>
      </x:c>
      <x:c r="C131" s="28" t="str">
        <x:v>шоколад</x:v>
      </x:c>
      <x:c r="D131" s="28" t="str">
        <x:v>Шоколад/обжаренное</x:v>
      </x:c>
      <x:c r="E131" s="28" t="str">
        <x:v>вкусовой баланс</x:v>
      </x:c>
      <x:c r="F131" s="28" t="str">
        <x:v>Лайм формирует профиль «цитрусовый, зелёный, травяной, камфорный»; характерные маркеры: лимонен, гамма-терпинен, цитраль, бета-пинен, линалол.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даёт высокую свежую ноту на фоне тёмных жареных соединений.</x:v>
      </x:c>
      <x:c r="G13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31" s="28" t="str">
        <x:v>Избыток кислоты делает вкус плоско-резким; белая часть кожуры даёт лишнюю горечь.</x:v>
      </x:c>
      <x:c r="I131" s="28" t="str">
        <x:v>ганаш, тарт, конфеты, кофейный напиток или биттер</x:v>
      </x:c>
      <x:c r="J131" s="28" t="str">
        <x:v>Высокая</x:v>
      </x:c>
      <x:c r="K131" s="28" t="str">
        <x:v>Тезариус вкусов (Ники Сегнит)(1).pdf</x:v>
      </x:c>
      <x:c r="L131" s="28" t="str">
        <x:v>Тезариус вкусов (Ники Сегнит)(1).pdf: 32, 798</x:v>
      </x:c>
    </x:row>
    <x:row r="132" ht="62" customHeight="1">
      <x:c r="A132" s="28" t="str">
        <x:v>CIT-0385</x:v>
      </x:c>
      <x:c r="B132" s="28" t="str">
        <x:v>лайм</x:v>
      </x:c>
      <x:c r="C132" s="28" t="str">
        <x:v>ягоды</x:v>
      </x:c>
      <x:c r="D132" s="28" t="str">
        <x:v>Ягоды/косточковые</x:v>
      </x:c>
      <x:c r="E132" s="28" t="str">
        <x:v>перекрытие ароматических семейств, вкусовой баланс</x:v>
      </x:c>
      <x:c r="F132" s="28" t="str">
        <x:v>Лайм формирует профиль «цитрусовый, зелёный, травяной, камфорный»; характерные маркеры: лимонен, гамма-терпинен, цитраль, бета-пинен, линалол.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усиливает кислотный контур, а цветочные терпены поддерживают ягодный аромат.</x:v>
      </x:c>
      <x:c r="G13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2" s="28" t="str">
        <x:v>Избыток кислоты делает вкус плоско-резким; белая часть кожуры даёт лишнюю горечь.</x:v>
      </x:c>
      <x:c r="I132" s="28" t="str">
        <x:v>джем, сорбет, коктейль или соус</x:v>
      </x:c>
      <x:c r="J132" s="28" t="str">
        <x:v>Гипотеза / практическая</x:v>
      </x:c>
      <x:c r="K132" s="28" t="str">
        <x:v>Таблица сочетания(1).pdf</x:v>
      </x:c>
      <x:c r="L132" s="28" t="str">
        <x:v>Таблица сочетания(1).pdf: 12</x:v>
      </x:c>
    </x:row>
    <x:row r="133" ht="62" customHeight="1">
      <x:c r="A133" s="28" t="str">
        <x:v>CIT-0388</x:v>
      </x:c>
      <x:c r="B133" s="28" t="str">
        <x:v>ликёр Mandarine Napoléon</x:v>
      </x:c>
      <x:c r="C133" s="28" t="str">
        <x:v>сушёные ягоды годжи</x:v>
      </x:c>
      <x:c r="D133" s="28" t="str">
        <x:v>Ягоды/косточковые</x:v>
      </x:c>
      <x:c r="E133" s="28" t="str">
        <x:v>перекрытие ароматических семейств, вкусовой баланс</x:v>
      </x:c>
      <x:c r="F133" s="28" t="str">
        <x:v>Ликёр mandarine napoléon формирует профиль «цитрусовый, фруктовый, цветочный, пряный»; характерные маркеры: лимонен, гамма-терпинен, метил-N-метилантранилат, линалол. Сушёные ягоды годжи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13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3" s="28" t="str">
        <x:v>Избыток кислоты делает вкус плоско-резким; белая часть кожуры даёт лишнюю горечь.</x:v>
      </x:c>
      <x:c r="I133" s="28" t="str">
        <x:v>джем, сорбет, коктейль или соус</x:v>
      </x:c>
      <x:c r="J133" s="28" t="str">
        <x:v>Средняя</x:v>
      </x:c>
      <x:c r="K133" s="28" t="str">
        <x:v>The Art &amp; Science of Foodpairing.pdf</x:v>
      </x:c>
      <x:c r="L133" s="28" t="str">
        <x:v>The Art &amp; Science of Foodpairing.pdf: 370</x:v>
      </x:c>
    </x:row>
    <x:row r="134" ht="62" customHeight="1">
      <x:c r="A134" s="28" t="str">
        <x:v>CIT-0389</x:v>
      </x:c>
      <x:c r="B134" s="28" t="str">
        <x:v>лимон</x:v>
      </x:c>
      <x:c r="C134" s="28" t="str">
        <x:v>абрикос</x:v>
      </x:c>
      <x:c r="D134" s="28" t="str">
        <x:v>Косточковые фрукты</x:v>
      </x:c>
      <x:c r="E134" s="28" t="str">
        <x:v>перекрытие ароматических семейств, вкусовой баланс</x:v>
      </x:c>
      <x:c r="F134" s="28" t="str">
        <x:v>Лимон формирует профиль «цитрусовый, свежий, цветочный, древесный»; характерные маркеры: цитраль (гераниаль + нераль), лимонен, гамма-терпинен, бета-пинен. Абрикос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G13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4" s="28" t="str">
        <x:v>Избыток кислоты делает вкус плоско-резким; белая часть кожуры даёт лишнюю горечь.</x:v>
      </x:c>
      <x:c r="I134" s="28" t="str">
        <x:v>тарт, сорбет, джем или фруктовый соус</x:v>
      </x:c>
      <x:c r="J134" s="28" t="str">
        <x:v>Гипотеза / практическая</x:v>
      </x:c>
      <x:c r="K134" s="28" t="str">
        <x:v>Таблица сочетания(1).pdf</x:v>
      </x:c>
      <x:c r="L134" s="28" t="str">
        <x:v>Таблица сочетания(1).pdf: 11</x:v>
      </x:c>
    </x:row>
    <x:row r="135" ht="62" customHeight="1">
      <x:c r="A135" s="28" t="str">
        <x:v>CIT-0393</x:v>
      </x:c>
      <x:c r="B135" s="28" t="str">
        <x:v>лимон</x:v>
      </x:c>
      <x:c r="C135" s="28" t="str">
        <x:v>арбуз</x:v>
      </x:c>
      <x:c r="D135" s="28" t="str">
        <x:v>Бахчевые</x:v>
      </x:c>
      <x:c r="E135" s="28" t="str">
        <x:v>перекрытие ароматических семейств, вкусовой баланс</x:v>
      </x:c>
      <x:c r="F135" s="28" t="str">
        <x:v>Лимон формирует профиль «цитрусовый, свежий, цветочный, древесный»; характерные маркеры: цитраль (гераниаль + нераль), лимонен, гамма-терпинен, бета-пинен. Арбуз относится к группе «бахчевые» и даёт ноты «свежий, зелёный, водянистый, фруктовый».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придаёт структуру, но легко подавляет тонкий аромат дыни.</x:v>
      </x:c>
      <x:c r="G13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5" s="28" t="str">
        <x:v>Избыток кислоты делает вкус плоско-резким; белая часть кожуры даёт лишнюю горечь; цитрус легко подавляет деликатный аромат партнёра.</x:v>
      </x:c>
      <x:c r="I135" s="28" t="str">
        <x:v>холодный напиток, гранита, салат или сорбет</x:v>
      </x:c>
      <x:c r="J135" s="28" t="str">
        <x:v>Гипотеза / практическая</x:v>
      </x:c>
      <x:c r="K135" s="28" t="str">
        <x:v>Таблица сочетания(1).pdf</x:v>
      </x:c>
      <x:c r="L135" s="28" t="str">
        <x:v>Таблица сочетания(1).pdf: 22</x:v>
      </x:c>
    </x:row>
    <x:row r="136" ht="62" customHeight="1">
      <x:c r="A136" s="28" t="str">
        <x:v>CIT-0397</x:v>
      </x:c>
      <x:c r="B136" s="28" t="str">
        <x:v>лимон</x:v>
      </x:c>
      <x:c r="C136" s="28" t="str">
        <x:v>банан</x:v>
      </x:c>
      <x:c r="D136" s="28" t="str">
        <x:v>Тропические фрукты</x:v>
      </x:c>
      <x:c r="E136" s="28" t="str">
        <x:v>перекрытие ароматических семейств, вкусовой баланс</x:v>
      </x:c>
      <x:c r="F136"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Банан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3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6" s="28" t="str">
        <x:v>Избыток кислоты делает вкус плоско-резким; белая часть кожуры даёт лишнюю горечь.</x:v>
      </x:c>
      <x:c r="I136" s="28" t="str">
        <x:v>смузи, кордиал, сорбет, чатни или коктейль</x:v>
      </x:c>
      <x:c r="J136" s="28" t="str">
        <x:v>Гипотеза / практическая</x:v>
      </x:c>
      <x:c r="K136" s="28" t="str">
        <x:v>Таблица сочетания(1).pdf</x:v>
      </x:c>
      <x:c r="L136" s="28" t="str">
        <x:v>Таблица сочетания(1).pdf: 11</x:v>
      </x:c>
    </x:row>
    <x:row r="137" ht="62" customHeight="1">
      <x:c r="A137" s="28" t="str">
        <x:v>CIT-0398</x:v>
      </x:c>
      <x:c r="B137" s="28" t="str">
        <x:v>лимон</x:v>
      </x:c>
      <x:c r="C137" s="28" t="str">
        <x:v>банановый ликёр</x:v>
      </x:c>
      <x:c r="D137" s="28" t="str">
        <x:v>Тропические фрукты</x:v>
      </x:c>
      <x:c r="E137" s="28" t="str">
        <x:v>перекрытие ароматических семейств, вкусовой баланс</x:v>
      </x:c>
      <x:c r="F137"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Банановый ликёр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3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7" s="28" t="str">
        <x:v>Избыток кислоты делает вкус плоско-резким; белая часть кожуры даёт лишнюю горечь.</x:v>
      </x:c>
      <x:c r="I137" s="28" t="str">
        <x:v>смузи, кордиал, сорбет, чатни или коктейль</x:v>
      </x:c>
      <x:c r="J137" s="28" t="str">
        <x:v>Средняя</x:v>
      </x:c>
      <x:c r="K137" s="28" t="str">
        <x:v>The Art &amp; Science of Foodpairing.pdf</x:v>
      </x:c>
      <x:c r="L137" s="28" t="str">
        <x:v>The Art &amp; Science of Foodpairing.pdf: 88</x:v>
      </x:c>
    </x:row>
    <x:row r="138" ht="62" customHeight="1">
      <x:c r="A138" s="28" t="str">
        <x:v>CIT-0401</x:v>
      </x:c>
      <x:c r="B138" s="28" t="str">
        <x:v>лимон</x:v>
      </x:c>
      <x:c r="C138" s="28" t="str">
        <x:v>белый шоколад</x:v>
      </x:c>
      <x:c r="D138" s="28" t="str">
        <x:v>Шоколад/обжаренное</x:v>
      </x:c>
      <x:c r="E138" s="28" t="str">
        <x:v>вкусовой баланс</x:v>
      </x:c>
      <x:c r="F138" s="28" t="str">
        <x:v>Лимон формирует профиль «цитрусовый, свежий, цветочный, древесный»; характерные маркеры: цитраль (гераниаль + нераль), лимонен, гамма-терпинен, бета-пинен. Белый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Сок определяется цитралем и кислотностью, цедра — лимоненом и терпенами. Цитрус даёт высокую свежую ноту на фоне тёмных жареных соединений.</x:v>
      </x:c>
      <x:c r="G13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38" s="28" t="str">
        <x:v>Избыток кислоты делает вкус плоско-резким; белая часть кожуры даёт лишнюю горечь.</x:v>
      </x:c>
      <x:c r="I138" s="28" t="str">
        <x:v>ганаш, тарт, конфеты, кофейный напиток или биттер</x:v>
      </x:c>
      <x:c r="J138" s="28" t="str">
        <x:v>Высокая</x:v>
      </x:c>
      <x:c r="K138" s="28" t="str">
        <x:v>Тезариус вкусов (Ники Сегнит)(1).pdf</x:v>
      </x:c>
      <x:c r="L138" s="28" t="str">
        <x:v>Тезариус вкусов (Ники Сегнит)(1).pdf: 801, 924</x:v>
      </x:c>
    </x:row>
    <x:row r="139" ht="62" customHeight="1">
      <x:c r="A139" s="28" t="str">
        <x:v>CIT-0405</x:v>
      </x:c>
      <x:c r="B139" s="28" t="str">
        <x:v>лимон</x:v>
      </x:c>
      <x:c r="C139" s="28" t="str">
        <x:v>вишня</x:v>
      </x:c>
      <x:c r="D139" s="28" t="str">
        <x:v>Ягоды/косточковые</x:v>
      </x:c>
      <x:c r="E139" s="28" t="str">
        <x:v>перекрытие ароматических семейств, вкусовой баланс</x:v>
      </x:c>
      <x:c r="F139" s="28" t="str">
        <x:v>Лимон формирует профиль «цитрусовый, свежий, цветочный, древесный»; характерные маркеры: цитраль (гераниаль + нераль), лимонен, гамма-терпинен, бета-пинен.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3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39" s="28" t="str">
        <x:v>Избыток кислоты делает вкус плоско-резким; белая часть кожуры даёт лишнюю горечь.</x:v>
      </x:c>
      <x:c r="I139" s="28" t="str">
        <x:v>джем, сорбет, коктейль или соус</x:v>
      </x:c>
      <x:c r="J139" s="28" t="str">
        <x:v>Гипотеза / практическая</x:v>
      </x:c>
      <x:c r="K139" s="28" t="str">
        <x:v>Таблица сочетания(1).pdf</x:v>
      </x:c>
      <x:c r="L139" s="28" t="str">
        <x:v>Таблица сочетания(1).pdf: 11</x:v>
      </x:c>
    </x:row>
    <x:row r="140" ht="62" customHeight="1">
      <x:c r="A140" s="28" t="str">
        <x:v>CIT-0410</x:v>
      </x:c>
      <x:c r="B140" s="28" t="str">
        <x:v>лимон</x:v>
      </x:c>
      <x:c r="C140" s="28" t="str">
        <x:v>гуава</x:v>
      </x:c>
      <x:c r="D140" s="28" t="str">
        <x:v>Тропические фрукты</x:v>
      </x:c>
      <x:c r="E140" s="28" t="str">
        <x:v>перекрытие ароматических семейств, вкусовой баланс</x:v>
      </x:c>
      <x:c r="F140" s="28" t="str">
        <x:v>Лимон формирует профиль «цитрусовый, свежий, цветочный, древесный»; характерные маркеры: цитраль (гераниаль + нераль), лимонен, гамма-терпинен, бета-пинен. Гуава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4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40" s="28" t="str">
        <x:v>Избыток кислоты делает вкус плоско-резким; белая часть кожуры даёт лишнюю горечь.</x:v>
      </x:c>
      <x:c r="I140" s="28" t="str">
        <x:v>смузи, кордиал, сорбет, чатни или коктейль</x:v>
      </x:c>
      <x:c r="J140" s="28" t="str">
        <x:v>Гипотеза / практическая</x:v>
      </x:c>
      <x:c r="K140" s="28" t="str">
        <x:v>Таблица сочетания(1).pdf</x:v>
      </x:c>
      <x:c r="L140" s="28" t="str">
        <x:v>Таблица сочетания(1).pdf: 11</x:v>
      </x:c>
    </x:row>
    <x:row r="141" ht="62" customHeight="1">
      <x:c r="A141" s="28" t="str">
        <x:v>CIT-0419</x:v>
      </x:c>
      <x:c r="B141" s="28" t="str">
        <x:v>лимон</x:v>
      </x:c>
      <x:c r="C141" s="28" t="str">
        <x:v>карамель</x:v>
      </x:c>
      <x:c r="D141" s="28" t="str">
        <x:v>Подсластители</x:v>
      </x:c>
      <x:c r="E141" s="28" t="str">
        <x:v>перекрытие ароматических семейств, вкусовой баланс</x:v>
      </x:c>
      <x:c r="F141"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Карамель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Сок определяется цитралем и кислотностью, цедра — лимоненом и терпенами. Сладость балансирует кислоту и горечь кожуры; цветочные компоненты могут поддерживать цитрус.</x:v>
      </x:c>
      <x:c r="G14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41" s="28" t="str">
        <x:v>Избыток кислоты делает вкус плоско-резким; белая часть кожуры даёт лишнюю горечь.</x:v>
      </x:c>
      <x:c r="I141" s="28" t="str">
        <x:v>сироп, мармелад, крем, глазурь или лимонад</x:v>
      </x:c>
      <x:c r="J141" s="28" t="str">
        <x:v>Гипотеза / практическая</x:v>
      </x:c>
      <x:c r="K141" s="28" t="str">
        <x:v>Таблица сочетания(1).pdf</x:v>
      </x:c>
      <x:c r="L141" s="28" t="str">
        <x:v>Таблица сочетания(1).pdf: 11</x:v>
      </x:c>
    </x:row>
    <x:row r="142" ht="62" customHeight="1">
      <x:c r="A142" s="28" t="str">
        <x:v>CIT-0424</x:v>
      </x:c>
      <x:c r="B142" s="28" t="str">
        <x:v>лимон</x:v>
      </x:c>
      <x:c r="C142" s="28" t="str">
        <x:v>кедровый орех</x:v>
      </x:c>
      <x:c r="D142" s="28" t="str">
        <x:v>Орехи и семена</x:v>
      </x:c>
      <x:c r="E142" s="28" t="str">
        <x:v>вкусовой баланс, влияние матрицы/растворимости</x:v>
      </x:c>
      <x:c r="F142" s="28" t="str">
        <x:v>Лимон формирует профиль «цитрусовый, свежий, цветочный, древесный»; характерные маркеры: цитраль (гераниаль + нераль), лимонен, гамма-терпинен, бета-пинен. Кедровый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G142"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42" s="28" t="str">
        <x:v>Избыток кислоты делает вкус плоско-резким; белая часть кожуры даёт лишнюю горечь.</x:v>
      </x:c>
      <x:c r="I142" s="28" t="str">
        <x:v>пралине, крем, выпечка, салат или ореховый соус</x:v>
      </x:c>
      <x:c r="J142" s="28" t="str">
        <x:v>Гипотеза / практическая</x:v>
      </x:c>
      <x:c r="K142" s="28" t="str">
        <x:v>Таблица сочетания(1).pdf</x:v>
      </x:c>
      <x:c r="L142" s="28" t="str">
        <x:v>Таблица сочетания(1).pdf: 11, 16</x:v>
      </x:c>
    </x:row>
    <x:row r="143" ht="62" customHeight="1">
      <x:c r="A143" s="28" t="str">
        <x:v>CIT-0427</x:v>
      </x:c>
      <x:c r="B143" s="28" t="str">
        <x:v>лимон</x:v>
      </x:c>
      <x:c r="C143" s="28" t="str">
        <x:v>козий сыр</x:v>
      </x:c>
      <x:c r="D143" s="28" t="str">
        <x:v>Молочные продукты</x:v>
      </x:c>
      <x:c r="E143" s="28" t="str">
        <x:v>вкусовой баланс, влияние матрицы/растворимости</x:v>
      </x:c>
      <x:c r="F143"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Козий сыр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G143"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43" s="28" t="str">
        <x:v>Избыток кислоты делает вкус плоско-резким; белая часть кожуры даёт лишнюю горечь; возможна коагуляция белка.</x:v>
      </x:c>
      <x:c r="I143" s="28" t="str">
        <x:v>чизкейк, крем, мороженое, соус или салат</x:v>
      </x:c>
      <x:c r="J143" s="28" t="str">
        <x:v>Высокая</x:v>
      </x:c>
      <x:c r="K143" s="28" t="str">
        <x:v>Тезариус вкусов (Ники Сегнит)(1).pdf</x:v>
      </x:c>
      <x:c r="L143" s="28" t="str">
        <x:v>Тезариус вкусов (Ники Сегнит)(1).pdf: 140, 804</x:v>
      </x:c>
    </x:row>
    <x:row r="144" ht="62" customHeight="1">
      <x:c r="A144" s="28" t="str">
        <x:v>CIT-0428</x:v>
      </x:c>
      <x:c r="B144" s="28" t="str">
        <x:v>лимон</x:v>
      </x:c>
      <x:c r="C144" s="28" t="str">
        <x:v>кокос</x:v>
      </x:c>
      <x:c r="D144" s="28" t="str">
        <x:v>Тропические плоды</x:v>
      </x:c>
      <x:c r="E144" s="28" t="str">
        <x:v>вкусовой баланс</x:v>
      </x:c>
      <x:c r="F144"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Кокос относится к группе «тропические плоды» и даёт ноты «сливочный, кокосовый, восковой, ореховый».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Кокос округляет кислотность и продлевает цитрусовый аромат.</x:v>
      </x:c>
      <x:c r="G14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44" s="28" t="str">
        <x:v>Избыток кислоты делает вкус плоско-резким; белая часть кожуры даёт лишнюю горечь.</x:v>
      </x:c>
      <x:c r="I144" s="28" t="str">
        <x:v>коктейль, крем, сорбет или соус</x:v>
      </x:c>
      <x:c r="J144" s="28" t="str">
        <x:v>Высокая</x:v>
      </x:c>
      <x:c r="K144" s="28" t="str">
        <x:v>Тезариус вкусов (Ники Сегнит)(1).pdf</x:v>
      </x:c>
      <x:c r="L144" s="28" t="str">
        <x:v>Тезариус вкусов (Ники Сегнит)(1).pdf: 757, 804</x:v>
      </x:c>
    </x:row>
    <x:row r="145" ht="62" customHeight="1">
      <x:c r="A145" s="28" t="str">
        <x:v>CIT-0439</x:v>
      </x:c>
      <x:c r="B145" s="28" t="str">
        <x:v>лимон</x:v>
      </x:c>
      <x:c r="C145" s="28" t="str">
        <x:v>малина</x:v>
      </x:c>
      <x:c r="D145" s="28" t="str">
        <x:v>Ягоды/косточковые</x:v>
      </x:c>
      <x:c r="E145" s="28" t="str">
        <x:v>перекрытие ароматических семейств, вкусовой баланс</x:v>
      </x:c>
      <x:c r="F145" s="28" t="str">
        <x:v>Лимон формирует профиль «цитрусовый, свежий, цветочный, древесный»; характерные маркеры: цитраль (гераниаль + нераль), лимонен, гамма-терпинен, бета-пинен. Малина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4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45" s="28" t="str">
        <x:v>Избыток кислоты делает вкус плоско-резким; белая часть кожуры даёт лишнюю горечь.</x:v>
      </x:c>
      <x:c r="I145" s="28" t="str">
        <x:v>джем, сорбет, коктейль или соус</x:v>
      </x:c>
      <x:c r="J145" s="28" t="str">
        <x:v>Гипотеза / практическая</x:v>
      </x:c>
      <x:c r="K145" s="28" t="str">
        <x:v>Таблица сочетания(1).pdf</x:v>
      </x:c>
      <x:c r="L145" s="28" t="str">
        <x:v>Таблица сочетания(1).pdf: 19</x:v>
      </x:c>
    </x:row>
    <x:row r="146" ht="62" customHeight="1">
      <x:c r="A146" s="28" t="str">
        <x:v>CIT-0440</x:v>
      </x:c>
      <x:c r="B146" s="28" t="str">
        <x:v>лимон</x:v>
      </x:c>
      <x:c r="C146" s="28" t="str">
        <x:v>манго</x:v>
      </x:c>
      <x:c r="D146" s="28" t="str">
        <x:v>Тропические фрукты</x:v>
      </x:c>
      <x:c r="E146" s="28" t="str">
        <x:v>перекрытие ароматических семейств, вкусовой баланс</x:v>
      </x:c>
      <x:c r="F146" s="28" t="str">
        <x:v>Лимон формирует профиль «цитрусовый, свежий, цветочный, древесный»; характерные маркеры: цитраль (гераниаль + нераль), лимонен, гамма-терпинен, бета-пинен.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4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46" s="28" t="str">
        <x:v>Избыток кислоты делает вкус плоско-резким; белая часть кожуры даёт лишнюю горечь.</x:v>
      </x:c>
      <x:c r="I146" s="28" t="str">
        <x:v>смузи, кордиал, сорбет, чатни или коктейль</x:v>
      </x:c>
      <x:c r="J146" s="28" t="str">
        <x:v>Гипотеза / практическая</x:v>
      </x:c>
      <x:c r="K146" s="28" t="str">
        <x:v>Таблица сочетания(1).pdf</x:v>
      </x:c>
      <x:c r="L146" s="28" t="str">
        <x:v>Таблица сочетания(1).pdf: 11, 13</x:v>
      </x:c>
    </x:row>
    <x:row r="147" ht="62" customHeight="1">
      <x:c r="A147" s="28" t="str">
        <x:v>CIT-0441</x:v>
      </x:c>
      <x:c r="B147" s="28" t="str">
        <x:v>лимон</x:v>
      </x:c>
      <x:c r="C147" s="28" t="str">
        <x:v>манго Альфонсо</x:v>
      </x:c>
      <x:c r="D147" s="28" t="str">
        <x:v>Тропические фрукты</x:v>
      </x:c>
      <x:c r="E147" s="28" t="str">
        <x:v>перекрытие ароматических семейств, вкусовой баланс</x:v>
      </x:c>
      <x:c r="F147" s="28" t="str">
        <x:v>Лимон формирует профиль «цитрусовый, свежий, цветочный, древесный»; характерные маркеры: цитраль (гераниаль + нераль), лимонен, гамма-терпинен, бета-пинен. Манго альфонсо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4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47" s="28" t="str">
        <x:v>Избыток кислоты делает вкус плоско-резким; белая часть кожуры даёт лишнюю горечь.</x:v>
      </x:c>
      <x:c r="I147" s="28" t="str">
        <x:v>смузи, кордиал, сорбет, чатни или коктейль</x:v>
      </x:c>
      <x:c r="J147" s="28" t="str">
        <x:v>Средняя</x:v>
      </x:c>
      <x:c r="K147" s="28" t="str">
        <x:v>The Art &amp; Science of Foodpairing.pdf</x:v>
      </x:c>
      <x:c r="L147" s="28" t="str">
        <x:v>The Art &amp; Science of Foodpairing.pdf: 87</x:v>
      </x:c>
    </x:row>
    <x:row r="148" ht="62" customHeight="1">
      <x:c r="A148" s="28" t="str">
        <x:v>CIT-0442</x:v>
      </x:c>
      <x:c r="B148" s="28" t="str">
        <x:v>лимон</x:v>
      </x:c>
      <x:c r="C148" s="28" t="str">
        <x:v>мёд</x:v>
      </x:c>
      <x:c r="D148" s="28" t="str">
        <x:v>Подсластители</x:v>
      </x:c>
      <x:c r="E148" s="28" t="str">
        <x:v>перекрытие ароматических семейств, вкусовой баланс</x:v>
      </x:c>
      <x:c r="F148" s="28" t="str">
        <x:v>Лимон формирует профиль «цитрусовый, свежий, цветочный, древесный»; характерные маркеры: цитраль (гераниаль + нераль), лимонен, гамма-терпинен, бета-пинен.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Сок определяется цитралем и кислотностью, цедра — лимоненом и терпенами. Сладость балансирует кислоту и горечь кожуры; цветочные компоненты могут поддерживать цитрус.</x:v>
      </x:c>
      <x:c r="G14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48" s="28" t="str">
        <x:v>Избыток кислоты делает вкус плоско-резким; белая часть кожуры даёт лишнюю горечь.</x:v>
      </x:c>
      <x:c r="I148" s="28" t="str">
        <x:v>сироп, мармелад, крем, глазурь или лимонад</x:v>
      </x:c>
      <x:c r="J148" s="28" t="str">
        <x:v>Гипотеза / практическая</x:v>
      </x:c>
      <x:c r="K148" s="28" t="str">
        <x:v>Таблица сочетания(1).pdf</x:v>
      </x:c>
      <x:c r="L148" s="28" t="str">
        <x:v>Таблица сочетания(1).pdf: 9, 11</x:v>
      </x:c>
    </x:row>
    <x:row r="149" ht="62" customHeight="1">
      <x:c r="A149" s="28" t="str">
        <x:v>CIT-0443</x:v>
      </x:c>
      <x:c r="B149" s="28" t="str">
        <x:v>лимон</x:v>
      </x:c>
      <x:c r="C149" s="28" t="str">
        <x:v>миндаль</x:v>
      </x:c>
      <x:c r="D149" s="28" t="str">
        <x:v>Орехи и семена</x:v>
      </x:c>
      <x:c r="E149" s="28" t="str">
        <x:v>вкусовой баланс, влияние матрицы/растворимости</x:v>
      </x:c>
      <x:c r="F149" s="28" t="str">
        <x:v>Лимон формирует профиль «цитрусовый, свежий, цветочный, древесный»; характерные маркеры: цитраль (гераниаль + нераль), лимонен, гамма-терпинен, бета-пинен. Миндаль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G149"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49" s="28" t="str">
        <x:v>Избыток кислоты делает вкус плоско-резким; белая часть кожуры даёт лишнюю горечь.</x:v>
      </x:c>
      <x:c r="I149" s="28" t="str">
        <x:v>пралине, крем, выпечка, салат или ореховый соус</x:v>
      </x:c>
      <x:c r="J149" s="28" t="str">
        <x:v>Высокая</x:v>
      </x:c>
      <x:c r="K149" s="28" t="str">
        <x:v>Таблица сочетания(1).pdf | Тезариус вкусов (Ники Сегнит)(1).pdf</x:v>
      </x:c>
      <x:c r="L149" s="28" t="str">
        <x:v>Таблица сочетания(1).pdf: 11 | Тезариус вкусов (Ники Сегнит)(1).pdf: 645, 805</x:v>
      </x:c>
    </x:row>
    <x:row r="150" ht="62" customHeight="1">
      <x:c r="A150" s="28" t="str">
        <x:v>CIT-0446</x:v>
      </x:c>
      <x:c r="B150" s="28" t="str">
        <x:v>лимон</x:v>
      </x:c>
      <x:c r="C150" s="28" t="str">
        <x:v>мускатный орех</x:v>
      </x:c>
      <x:c r="D150" s="28" t="str">
        <x:v>Орехи и семена</x:v>
      </x:c>
      <x:c r="E150" s="28" t="str">
        <x:v>вкусовой баланс, влияние матрицы/растворимости</x:v>
      </x:c>
      <x:c r="F150" s="28" t="str">
        <x:v>Лимон формирует профиль «цитрусовый, свежий, цветочный, древесный»; характерные маркеры: цитраль (гераниаль + нераль), лимонен, гамма-терпинен, бета-пинен. Мускатный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G150"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50" s="28" t="str">
        <x:v>Избыток кислоты делает вкус плоско-резким; белая часть кожуры даёт лишнюю горечь.</x:v>
      </x:c>
      <x:c r="I150" s="28" t="str">
        <x:v>пралине, крем, выпечка, салат или ореховый соус</x:v>
      </x:c>
      <x:c r="J150" s="28" t="str">
        <x:v>Гипотеза / практическая</x:v>
      </x:c>
      <x:c r="K150" s="28" t="str">
        <x:v>Таблица сочетания(1).pdf</x:v>
      </x:c>
      <x:c r="L150" s="28" t="str">
        <x:v>Таблица сочетания(1).pdf: 14</x:v>
      </x:c>
    </x:row>
    <x:row r="151" ht="62" customHeight="1">
      <x:c r="A151" s="28" t="str">
        <x:v>CIT-0448</x:v>
      </x:c>
      <x:c r="B151" s="28" t="str">
        <x:v>лимон</x:v>
      </x:c>
      <x:c r="C151" s="28" t="str">
        <x:v>нектарин</x:v>
      </x:c>
      <x:c r="D151" s="28" t="str">
        <x:v>Косточковые фрукты</x:v>
      </x:c>
      <x:c r="E151" s="28" t="str">
        <x:v>перекрытие ароматических семейств, вкусовой баланс</x:v>
      </x:c>
      <x:c r="F151" s="28" t="str">
        <x:v>Лимон формирует профиль «цитрусовый, свежий, цветочный, древесный»; характерные маркеры: цитраль (гераниаль + нераль), лимонен, гамма-терпинен, бета-пинен. Нектарин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G15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51" s="28" t="str">
        <x:v>Избыток кислоты делает вкус плоско-резким; белая часть кожуры даёт лишнюю горечь.</x:v>
      </x:c>
      <x:c r="I151" s="28" t="str">
        <x:v>тарт, сорбет, джем или фруктовый соус</x:v>
      </x:c>
      <x:c r="J151" s="28" t="str">
        <x:v>Гипотеза / практическая</x:v>
      </x:c>
      <x:c r="K151" s="28" t="str">
        <x:v>Таблица сочетания(1).pdf</x:v>
      </x:c>
      <x:c r="L151" s="28" t="str">
        <x:v>Таблица сочетания(1).pdf: 14</x:v>
      </x:c>
    </x:row>
    <x:row r="152" ht="62" customHeight="1">
      <x:c r="A152" s="28" t="str">
        <x:v>CIT-0452</x:v>
      </x:c>
      <x:c r="B152" s="28" t="str">
        <x:v>лимон</x:v>
      </x:c>
      <x:c r="C152" s="28" t="str">
        <x:v>папайя</x:v>
      </x:c>
      <x:c r="D152" s="28" t="str">
        <x:v>Тропические фрукты</x:v>
      </x:c>
      <x:c r="E152" s="28" t="str">
        <x:v>перекрытие ароматических семейств, вкусовой баланс</x:v>
      </x:c>
      <x:c r="F152" s="28" t="str">
        <x:v>Лимон формирует профиль «цитрусовый, свежий, цветочный, древесный»; характерные маркеры: цитраль (гераниаль + нераль), лимонен, гамма-терпинен, бета-пинен. Папайя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5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52" s="28" t="str">
        <x:v>Избыток кислоты делает вкус плоско-резким; белая часть кожуры даёт лишнюю горечь.</x:v>
      </x:c>
      <x:c r="I152" s="28" t="str">
        <x:v>смузи, кордиал, сорбет, чатни или коктейль</x:v>
      </x:c>
      <x:c r="J152" s="28" t="str">
        <x:v>Гипотеза / практическая</x:v>
      </x:c>
      <x:c r="K152" s="28" t="str">
        <x:v>Таблица сочетания(1).pdf</x:v>
      </x:c>
      <x:c r="L152" s="28" t="str">
        <x:v>Таблица сочетания(1).pdf: 15</x:v>
      </x:c>
    </x:row>
    <x:row r="153" ht="62" customHeight="1">
      <x:c r="A153" s="28" t="str">
        <x:v>CIT-0453</x:v>
      </x:c>
      <x:c r="B153" s="28" t="str">
        <x:v>лимон</x:v>
      </x:c>
      <x:c r="C153" s="28" t="str">
        <x:v>пекан</x:v>
      </x:c>
      <x:c r="D153" s="28" t="str">
        <x:v>Орехи и семена</x:v>
      </x:c>
      <x:c r="E153" s="28" t="str">
        <x:v>вкусовой баланс, влияние матрицы/растворимости</x:v>
      </x:c>
      <x:c r="F153" s="28" t="str">
        <x:v>Лимон формирует профиль «цитрусовый, свежий, цветочный, древесный»; характерные маркеры: цитраль (гераниаль + нераль), лимонен, гамма-терпинен, бета-пинен. Пекан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G15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53" s="28" t="str">
        <x:v>Избыток кислоты делает вкус плоско-резким; белая часть кожуры даёт лишнюю горечь.</x:v>
      </x:c>
      <x:c r="I153" s="28" t="str">
        <x:v>пралине, крем, выпечка, салат или ореховый соус</x:v>
      </x:c>
      <x:c r="J153" s="28" t="str">
        <x:v>Гипотеза / практическая</x:v>
      </x:c>
      <x:c r="K153" s="28" t="str">
        <x:v>Таблица сочетания(1).pdf</x:v>
      </x:c>
      <x:c r="L153" s="28" t="str">
        <x:v>Таблица сочетания(1).pdf: 11</x:v>
      </x:c>
    </x:row>
    <x:row r="154" ht="62" customHeight="1">
      <x:c r="A154" s="28" t="str">
        <x:v>CIT-0463</x:v>
      </x:c>
      <x:c r="B154" s="28" t="str">
        <x:v>лимон</x:v>
      </x:c>
      <x:c r="C154" s="28" t="str">
        <x:v>слива</x:v>
      </x:c>
      <x:c r="D154" s="28" t="str">
        <x:v>Косточковые фрукты</x:v>
      </x:c>
      <x:c r="E154" s="28" t="str">
        <x:v>перекрытие ароматических семейств, вкусовой баланс</x:v>
      </x:c>
      <x:c r="F154" s="28" t="str">
        <x:v>Лимон формирует профиль «цитрусовый, свежий, цветочный, древесный»; характерные маркеры: цитраль (гераниаль + нераль), лимонен, гамма-терпинен, бета-пинен. Слива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G15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54" s="28" t="str">
        <x:v>Избыток кислоты делает вкус плоско-резким; белая часть кожуры даёт лишнюю горечь.</x:v>
      </x:c>
      <x:c r="I154" s="28" t="str">
        <x:v>тарт, сорбет, джем или фруктовый соус</x:v>
      </x:c>
      <x:c r="J154" s="28" t="str">
        <x:v>Гипотеза / практическая</x:v>
      </x:c>
      <x:c r="K154" s="28" t="str">
        <x:v>Таблица сочетания(1).pdf</x:v>
      </x:c>
      <x:c r="L154" s="28" t="str">
        <x:v>Таблица сочетания(1).pdf: 17</x:v>
      </x:c>
    </x:row>
    <x:row r="155" ht="62" customHeight="1">
      <x:c r="A155" s="28" t="str">
        <x:v>CIT-0464</x:v>
      </x:c>
      <x:c r="B155" s="28" t="str">
        <x:v>лимон</x:v>
      </x:c>
      <x:c r="C155" s="28" t="str">
        <x:v>смородина</x:v>
      </x:c>
      <x:c r="D155" s="28" t="str">
        <x:v>Ягоды/косточковые</x:v>
      </x:c>
      <x:c r="E155" s="28" t="str">
        <x:v>перекрытие ароматических семейств, вкусовой баланс</x:v>
      </x:c>
      <x:c r="F155" s="28" t="str">
        <x:v>Лимон формирует профиль «цитрусовый, свежий, цветочный, древесный»; характерные маркеры: цитраль (гераниаль + нераль), лимонен, гамма-терпинен, бета-пинен. Смородина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5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55" s="28" t="str">
        <x:v>Избыток кислоты делает вкус плоско-резким; белая часть кожуры даёт лишнюю горечь.</x:v>
      </x:c>
      <x:c r="I155" s="28" t="str">
        <x:v>джем, сорбет, коктейль или соус</x:v>
      </x:c>
      <x:c r="J155" s="28" t="str">
        <x:v>Гипотеза / практическая</x:v>
      </x:c>
      <x:c r="K155" s="28" t="str">
        <x:v>Таблица сочетания(1).pdf</x:v>
      </x:c>
      <x:c r="L155" s="28" t="str">
        <x:v>Таблица сочетания(1).pdf: 11</x:v>
      </x:c>
    </x:row>
    <x:row r="156" ht="62" customHeight="1">
      <x:c r="A156" s="28" t="str">
        <x:v>CIT-0465</x:v>
      </x:c>
      <x:c r="B156" s="28" t="str">
        <x:v>лимон</x:v>
      </x:c>
      <x:c r="C156" s="28" t="str">
        <x:v>сок лайма</x:v>
      </x:c>
      <x:c r="D156" s="28" t="str">
        <x:v>Цитрусовые</x:v>
      </x:c>
      <x:c r="E156" s="28" t="str">
        <x:v>общие ароматические молекулы, перекрытие ароматических семейств, вкусовой баланс, тройничное восприятие</x:v>
      </x:c>
      <x:c r="F156" s="28" t="str">
        <x:v>Лимон формирует профиль «цитрусовый, свежий, цветочный, древесный»; характерные маркеры: цитраль (гераниаль + нераль), лимонен, гамма-терпинен, бета-пинен. Сок лайма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Лаймовые цитрусы дают более зелёный и камфорный профиль, чем сладкий апельсин.</x:v>
      </x:c>
      <x:c r="G15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56" s="28" t="str">
        <x:v>Избыток кислоты делает вкус плоско-резким; белая часть кожуры даёт лишнюю горечь.</x:v>
      </x:c>
      <x:c r="I156" s="28" t="str">
        <x:v>цитрусовый кордиал, мармелад, сорбет, салат или купаж соков</x:v>
      </x:c>
      <x:c r="J156" s="28" t="str">
        <x:v>Средняя</x:v>
      </x:c>
      <x:c r="K156" s="28" t="str">
        <x:v>The Art &amp; Science of Foodpairing.pdf</x:v>
      </x:c>
      <x:c r="L156" s="28" t="str">
        <x:v>The Art &amp; Science of Foodpairing.pdf: 87</x:v>
      </x:c>
    </x:row>
    <x:row r="157" ht="62" customHeight="1">
      <x:c r="A157" s="28" t="str">
        <x:v>CIT-0477</x:v>
      </x:c>
      <x:c r="B157" s="28" t="str">
        <x:v>лимон</x:v>
      </x:c>
      <x:c r="C157" s="28" t="str">
        <x:v>фисташка</x:v>
      </x:c>
      <x:c r="D157" s="28" t="str">
        <x:v>Орехи и семена</x:v>
      </x:c>
      <x:c r="E157" s="28" t="str">
        <x:v>вкусовой баланс, влияние матрицы/растворимости</x:v>
      </x:c>
      <x:c r="F157" s="28" t="str">
        <x:v>Лимон формирует профиль «цитрусовый, свежий, цветочный, древесный»; характерные маркеры: цитраль (гераниаль + нераль), лимонен, гамма-терпинен, бета-пинен. Фисташка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G15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57" s="28" t="str">
        <x:v>Избыток кислоты делает вкус плоско-резким; белая часть кожуры даёт лишнюю горечь.</x:v>
      </x:c>
      <x:c r="I157" s="28" t="str">
        <x:v>пралине, крем, выпечка, салат или ореховый соус</x:v>
      </x:c>
      <x:c r="J157" s="28" t="str">
        <x:v>Гипотеза / практическая</x:v>
      </x:c>
      <x:c r="K157" s="28" t="str">
        <x:v>Таблица сочетания(1).pdf</x:v>
      </x:c>
      <x:c r="L157" s="28" t="str">
        <x:v>Таблица сочетания(1).pdf: 11</x:v>
      </x:c>
    </x:row>
    <x:row r="158" ht="62" customHeight="1">
      <x:c r="A158" s="28" t="str">
        <x:v>CIT-0479</x:v>
      </x:c>
      <x:c r="B158" s="28" t="str">
        <x:v>лимон</x:v>
      </x:c>
      <x:c r="C158" s="28" t="str">
        <x:v>фундук</x:v>
      </x:c>
      <x:c r="D158" s="28" t="str">
        <x:v>Орехи и семена</x:v>
      </x:c>
      <x:c r="E158" s="28" t="str">
        <x:v>вкусовой баланс, влияние матрицы/растворимости</x:v>
      </x:c>
      <x:c r="F158" s="28" t="str">
        <x:v>Лимон формирует профиль «цитрусовый, свежий, цветочный, древесный»; характерные маркеры: цитраль (гераниаль + нераль), лимонен, гамма-терпинен, бета-пинен. Фундук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Кислота режет жирность, а цедра связывается с обжаренными и цветочными нотами.</x:v>
      </x:c>
      <x:c r="G15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58" s="28" t="str">
        <x:v>Избыток кислоты делает вкус плоско-резким; белая часть кожуры даёт лишнюю горечь.</x:v>
      </x:c>
      <x:c r="I158" s="28" t="str">
        <x:v>пралине, крем, выпечка, салат или ореховый соус</x:v>
      </x:c>
      <x:c r="J158" s="28" t="str">
        <x:v>Гипотеза / практическая</x:v>
      </x:c>
      <x:c r="K158" s="28" t="str">
        <x:v>Таблица сочетания(1).pdf</x:v>
      </x:c>
      <x:c r="L158" s="28" t="str">
        <x:v>Таблица сочетания(1).pdf: 11</x:v>
      </x:c>
    </x:row>
    <x:row r="159" ht="62" customHeight="1">
      <x:c r="A159" s="28" t="str">
        <x:v>CIT-0486</x:v>
      </x:c>
      <x:c r="B159" s="28" t="str">
        <x:v>лимон</x:v>
      </x:c>
      <x:c r="C159" s="28" t="str">
        <x:v>черника</x:v>
      </x:c>
      <x:c r="D159" s="28" t="str">
        <x:v>Ягоды/косточковые</x:v>
      </x:c>
      <x:c r="E159" s="28" t="str">
        <x:v>перекрытие ароматических семейств, вкусовой баланс</x:v>
      </x:c>
      <x:c r="F159" s="28" t="str">
        <x:v>Лимон формирует профиль «цитрусовый, свежий, цветочный, древесный»; характерные маркеры: цитраль (гераниаль + нераль), лимонен, гамма-терпинен, бета-пинен. Черника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5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59" s="28" t="str">
        <x:v>Избыток кислоты делает вкус плоско-резким; белая часть кожуры даёт лишнюю горечь.</x:v>
      </x:c>
      <x:c r="I159" s="28" t="str">
        <x:v>джем, сорбет, коктейль или соус</x:v>
      </x:c>
      <x:c r="J159" s="28" t="str">
        <x:v>Высокая</x:v>
      </x:c>
      <x:c r="K159" s="28" t="str">
        <x:v>Тезариус вкусов (Ники Сегнит)(1).pdf</x:v>
      </x:c>
      <x:c r="L159" s="28" t="str">
        <x:v>Тезариус вкусов (Ники Сегнит)(1).pdf: 810, 905</x:v>
      </x:c>
    </x:row>
    <x:row r="160" ht="62" customHeight="1">
      <x:c r="A160" s="28" t="str">
        <x:v>CIT-0487</x:v>
      </x:c>
      <x:c r="B160" s="28" t="str">
        <x:v>лимон</x:v>
      </x:c>
      <x:c r="C160" s="28" t="str">
        <x:v>чернослив</x:v>
      </x:c>
      <x:c r="D160" s="28" t="str">
        <x:v>Косточковые фрукты</x:v>
      </x:c>
      <x:c r="E160" s="28" t="str">
        <x:v>перекрытие ароматических семейств, вкусовой баланс</x:v>
      </x:c>
      <x:c r="F160" s="28" t="str">
        <x:v>Лимон формирует профиль «цитрусовый, свежий, цветочный, древесный»; характерные маркеры: цитраль (гераниаль + нераль), лимонен, гамма-терпинен, бета-пинен. Чернослив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G16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60" s="28" t="str">
        <x:v>Избыток кислоты делает вкус плоско-резким; белая часть кожуры даёт лишнюю горечь.</x:v>
      </x:c>
      <x:c r="I160" s="28" t="str">
        <x:v>тарт, сорбет, джем или фруктовый соус</x:v>
      </x:c>
      <x:c r="J160" s="28" t="str">
        <x:v>Гипотеза / практическая</x:v>
      </x:c>
      <x:c r="K160" s="28" t="str">
        <x:v>Таблица сочетания(1).pdf</x:v>
      </x:c>
      <x:c r="L160" s="28" t="str">
        <x:v>Таблица сочетания(1).pdf: 18</x:v>
      </x:c>
    </x:row>
    <x:row r="161" ht="62" customHeight="1">
      <x:c r="A161" s="28" t="str">
        <x:v>CIT-0493</x:v>
      </x:c>
      <x:c r="B161" s="28" t="str">
        <x:v>лимон</x:v>
      </x:c>
      <x:c r="C161" s="28" t="str">
        <x:v>шоколад</x:v>
      </x:c>
      <x:c r="D161" s="28" t="str">
        <x:v>Шоколад/обжаренное</x:v>
      </x:c>
      <x:c r="E161" s="28" t="str">
        <x:v>вкусовой баланс</x:v>
      </x:c>
      <x:c r="F161" s="28" t="str">
        <x:v>Лимон формирует профиль «цитрусовый, свежий, цветочный, древесный»; характерные маркеры: цитраль (гераниаль + нераль), лимонен, гамма-терпинен, бета-пинен.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Сок определяется цитралем и кислотностью, цедра — лимоненом и терпенами. Цитрус даёт высокую свежую ноту на фоне тёмных жареных соединений.</x:v>
      </x:c>
      <x:c r="G16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61" s="28" t="str">
        <x:v>Избыток кислоты делает вкус плоско-резким; белая часть кожуры даёт лишнюю горечь.</x:v>
      </x:c>
      <x:c r="I161" s="28" t="str">
        <x:v>ганаш, тарт, конфеты, кофейный напиток или биттер</x:v>
      </x:c>
      <x:c r="J161" s="28" t="str">
        <x:v>Высокая</x:v>
      </x:c>
      <x:c r="K161" s="28" t="str">
        <x:v>Тезариус вкусов (Ники Сегнит)(1).pdf</x:v>
      </x:c>
      <x:c r="L161" s="28" t="str">
        <x:v>Тезариус вкусов (Ники Сегнит)(1).pdf: 33, 811</x:v>
      </x:c>
    </x:row>
    <x:row r="162" ht="62" customHeight="1">
      <x:c r="A162" s="28" t="str">
        <x:v>CIT-0494</x:v>
      </x:c>
      <x:c r="B162" s="28" t="str">
        <x:v>лимон</x:v>
      </x:c>
      <x:c r="C162" s="28" t="str">
        <x:v>юдзу</x:v>
      </x:c>
      <x:c r="D162" s="28" t="str">
        <x:v>Цитрусовые</x:v>
      </x:c>
      <x:c r="E162" s="28" t="str">
        <x:v>общие ароматические молекулы, перекрытие ароматических семейств, вкусовой баланс, тройничное восприятие</x:v>
      </x:c>
      <x:c r="F162" s="28" t="str">
        <x:v>Лимон формирует профиль «цитрусовый, свежий, цветочный, древесный»; характерные маркеры: цитраль (гераниаль + нераль), лимонен, гамма-терпинен, бета-пинен. Юдзу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Лаймовые цитрусы дают более зелёный и камфорный профиль, чем сладкий апельсин.</x:v>
      </x:c>
      <x:c r="G16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62" s="28" t="str">
        <x:v>Избыток кислоты делает вкус плоско-резким; белая часть кожуры даёт лишнюю горечь.</x:v>
      </x:c>
      <x:c r="I162" s="28" t="str">
        <x:v>цитрусовый кордиал, мармелад, сорбет, салат или купаж соков</x:v>
      </x:c>
      <x:c r="J162" s="28" t="str">
        <x:v>Средняя</x:v>
      </x:c>
      <x:c r="K162" s="28" t="str">
        <x:v>Таблица сочетания(1).pdf</x:v>
      </x:c>
      <x:c r="L162" s="28" t="str">
        <x:v>Таблица сочетания(1).pdf: 22</x:v>
      </x:c>
    </x:row>
    <x:row r="163" ht="62" customHeight="1">
      <x:c r="A163" s="28" t="str">
        <x:v>CIT-0495</x:v>
      </x:c>
      <x:c r="B163" s="28" t="str">
        <x:v>лимон</x:v>
      </x:c>
      <x:c r="C163" s="28" t="str">
        <x:v>яблоко</x:v>
      </x:c>
      <x:c r="D163" s="28" t="str">
        <x:v>Фрукты</x:v>
      </x:c>
      <x:c r="E163" s="28" t="str">
        <x:v>перекрытие ароматических семейств, вкусовой баланс</x:v>
      </x:c>
      <x:c r="F163" s="28" t="str">
        <x:v>Лимон формирует профиль «цитрусовый, свежий, цветочный, древесный»; характерные маркеры: цитраль (гераниаль + нераль), лимонен, гамма-терпинен, бета-пинен.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Яблочные эфиры и зелёные альдегиды хорошо поддерживают свежий цитрус.</x:v>
      </x:c>
      <x:c r="G16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63" s="28" t="str">
        <x:v>Избыток кислоты делает вкус плоско-резким; белая часть кожуры даёт лишнюю горечь.</x:v>
      </x:c>
      <x:c r="I163" s="28" t="str">
        <x:v>лимонад, сорбет, компот, салат или фруктовый кордиал</x:v>
      </x:c>
      <x:c r="J163" s="28" t="str">
        <x:v>Гипотеза / практическая</x:v>
      </x:c>
      <x:c r="K163" s="28" t="str">
        <x:v>Таблица сочетания(1).pdf</x:v>
      </x:c>
      <x:c r="L163" s="28" t="str">
        <x:v>Таблица сочетания(1).pdf: 11</x:v>
      </x:c>
    </x:row>
    <x:row r="164" ht="62" customHeight="1">
      <x:c r="A164" s="28" t="str">
        <x:v>CIT-0496</x:v>
      </x:c>
      <x:c r="B164" s="28" t="str">
        <x:v>лимон</x:v>
      </x:c>
      <x:c r="C164" s="28" t="str">
        <x:v>ягоды</x:v>
      </x:c>
      <x:c r="D164" s="28" t="str">
        <x:v>Ягоды/косточковые</x:v>
      </x:c>
      <x:c r="E164" s="28" t="str">
        <x:v>перекрытие ароматических семейств, вкусовой баланс</x:v>
      </x:c>
      <x:c r="F164" s="28" t="str">
        <x:v>Лимон формирует профиль «цитрусовый, свежий, цветочный, древесный»; характерные маркеры: цитраль (гераниаль + нераль), лимонен, гамма-терпинен, бета-пинен. Ягоды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6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64" s="28" t="str">
        <x:v>Избыток кислоты делает вкус плоско-резким; белая часть кожуры даёт лишнюю горечь.</x:v>
      </x:c>
      <x:c r="I164" s="28" t="str">
        <x:v>джем, сорбет, коктейль или соус</x:v>
      </x:c>
      <x:c r="J164" s="28" t="str">
        <x:v>Гипотеза / практическая</x:v>
      </x:c>
      <x:c r="K164" s="28" t="str">
        <x:v>Таблица сочетания(1).pdf</x:v>
      </x:c>
      <x:c r="L164" s="28" t="str">
        <x:v>Таблица сочетания(1).pdf: 11</x:v>
      </x:c>
    </x:row>
    <x:row r="165" ht="62" customHeight="1">
      <x:c r="A165" s="28" t="str">
        <x:v>CIT-0497</x:v>
      </x:c>
      <x:c r="B165" s="28" t="str">
        <x:v>лимон</x:v>
      </x:c>
      <x:c r="C165" s="28" t="str">
        <x:v>ягоды можжевельника</x:v>
      </x:c>
      <x:c r="D165" s="28" t="str">
        <x:v>Ягоды/косточковые</x:v>
      </x:c>
      <x:c r="E165" s="28" t="str">
        <x:v>перекрытие ароматических семейств, вкусовой баланс</x:v>
      </x:c>
      <x:c r="F165" s="28" t="str">
        <x:v>Лимон формирует профиль «цитрусовый, свежий, цветочный, древесный»; характерные маркеры: цитраль (гераниаль + нераль), лимонен, гамма-терпинен, бета-пинен. Ягоды можжевельника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6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65" s="28" t="str">
        <x:v>Избыток кислоты делает вкус плоско-резким; белая часть кожуры даёт лишнюю горечь.</x:v>
      </x:c>
      <x:c r="I165" s="28" t="str">
        <x:v>джем, сорбет, коктейль или соус</x:v>
      </x:c>
      <x:c r="J165" s="28" t="str">
        <x:v>Гипотеза / практическая</x:v>
      </x:c>
      <x:c r="K165" s="28" t="str">
        <x:v>Таблица сочетания(1).pdf</x:v>
      </x:c>
      <x:c r="L165" s="28" t="str">
        <x:v>Таблица сочетания(1).pdf: 10</x:v>
      </x:c>
    </x:row>
    <x:row r="166" ht="62" customHeight="1">
      <x:c r="A166" s="28" t="str">
        <x:v>CIT-0498</x:v>
      </x:c>
      <x:c r="B166" s="28" t="str">
        <x:v>лимон</x:v>
      </x:c>
      <x:c r="C166" s="28" t="str">
        <x:v>яйца</x:v>
      </x:c>
      <x:c r="D166" s="28" t="str">
        <x:v>Молочные продукты</x:v>
      </x:c>
      <x:c r="E166" s="28" t="str">
        <x:v>вкусовой баланс, влияние матрицы/растворимости</x:v>
      </x:c>
      <x:c r="F166" s="28" t="str">
        <x:v>Лимон формирует профиль «цитрусовый, свежий, цветочный, древесный»; характерные маркеры: цитраль (гераниаль + нераль), лимонен, гамма-терпинен, бета-пинен. Яйца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G166"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66" s="28" t="str">
        <x:v>Избыток кислоты делает вкус плоско-резким; белая часть кожуры даёт лишнюю горечь; возможна коагуляция белка.</x:v>
      </x:c>
      <x:c r="I166" s="28" t="str">
        <x:v>чизкейк, крем, мороженое, соус или салат</x:v>
      </x:c>
      <x:c r="J166" s="28" t="str">
        <x:v>Высокая</x:v>
      </x:c>
      <x:c r="K166" s="28" t="str">
        <x:v>Тезариус вкусов (Ники Сегнит)(1).pdf</x:v>
      </x:c>
      <x:c r="L166" s="28" t="str">
        <x:v>Тезариус вкусов (Ники Сегнит)(1).pdf: 354, 811</x:v>
      </x:c>
    </x:row>
    <x:row r="167" ht="62" customHeight="1">
      <x:c r="A167" s="28" t="str">
        <x:v>CIT-0499</x:v>
      </x:c>
      <x:c r="B167" s="28" t="str">
        <x:v>лимонная вербена</x:v>
      </x:c>
      <x:c r="C167" s="28" t="str">
        <x:v>цедра танжерина</x:v>
      </x:c>
      <x:c r="D167" s="28" t="str">
        <x:v>Цитрусовые</x:v>
      </x:c>
      <x:c r="E167" s="28" t="str">
        <x:v>общие ароматические молекулы, перекрытие ароматических семейств, вкусовой баланс</x:v>
      </x:c>
      <x:c r="F167" s="28" t="str">
        <x:v>Лимонная вербена формирует профиль «цитрусовый, свежий, цветочный, древесный»; характерные маркеры: цитраль (гераниаль + нераль), лимонен, гамма-терпинен, бета-пинен. Цедра танжерина относится к группе «цитрусовые» и даёт ноты «цитрусовый, фруктовый, цветочный, пряный».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Мандариновая группа мягче по кислотности и выраженнее по сладко-цветочным нотам.</x:v>
      </x:c>
      <x:c r="G16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67" s="28" t="str">
        <x:v>Избыток кислоты делает вкус плоско-резким; белая часть кожуры даёт лишнюю горечь.</x:v>
      </x:c>
      <x:c r="I167" s="28" t="str">
        <x:v>цитрусовый кордиал, мармелад, сорбет, салат или купаж соков</x:v>
      </x:c>
      <x:c r="J167" s="28" t="str">
        <x:v>Средняя</x:v>
      </x:c>
      <x:c r="K167" s="28" t="str">
        <x:v>The Art &amp; Science of Foodpairing.pdf</x:v>
      </x:c>
      <x:c r="L167" s="28" t="str">
        <x:v>The Art &amp; Science of Foodpairing.pdf: 228</x:v>
      </x:c>
    </x:row>
    <x:row r="168" ht="62" customHeight="1">
      <x:c r="A168" s="28" t="str">
        <x:v>CIT-0500</x:v>
      </x:c>
      <x:c r="B168" s="28" t="str">
        <x:v>лимонная водка</x:v>
      </x:c>
      <x:c r="C168" s="28" t="str">
        <x:v>пальчиковый лайм</x:v>
      </x:c>
      <x:c r="D168" s="28" t="str">
        <x:v>Цитрусовые</x:v>
      </x:c>
      <x:c r="E168" s="28" t="str">
        <x:v>общие ароматические молекулы, перекрытие ароматических семейств, вкусовой баланс, тройничное восприятие</x:v>
      </x:c>
      <x:c r="F168" s="28" t="str">
        <x:v>Лимонная водка формирует профиль «цитрусовый, свежий, цветочный, древесный»; характерные маркеры: цитраль (гераниаль + нераль), лимонен, гамма-терпинен, бета-пинен. Пальчиковый лайм относится к группе «цитрусовые» и даёт ноты «цитрусовый, зелёный, травяной, камфорный». Наиболее правдоподобный молекулярный мост — бета-пинен, гамма-терпинен, лимонен, цитраль; дополнительно совпадают ароматические семейства: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Лаймовые цитрусы дают более зелёный и камфорный профиль, чем сладкий апельсин.</x:v>
      </x:c>
      <x:c r="G16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68" s="28" t="str">
        <x:v>Избыток кислоты делает вкус плоско-резким; белая часть кожуры даёт лишнюю горечь.</x:v>
      </x:c>
      <x:c r="I168" s="28" t="str">
        <x:v>цитрусовый кордиал, мармелад, сорбет, салат или купаж соков</x:v>
      </x:c>
      <x:c r="J168" s="28" t="str">
        <x:v>Средняя</x:v>
      </x:c>
      <x:c r="K168" s="28" t="str">
        <x:v>The Art &amp; Science of Foodpairing.pdf</x:v>
      </x:c>
      <x:c r="L168" s="28" t="str">
        <x:v>The Art &amp; Science of Foodpairing.pdf: 332</x:v>
      </x:c>
    </x:row>
    <x:row r="169" ht="62" customHeight="1">
      <x:c r="A169" s="28" t="str">
        <x:v>CIT-0501</x:v>
      </x:c>
      <x:c r="B169" s="28" t="str">
        <x:v>лимонная водка</x:v>
      </x:c>
      <x:c r="C169" s="28" t="str">
        <x:v>цукаты из апельсиновой кожуры</x:v>
      </x:c>
      <x:c r="D169" s="28" t="str">
        <x:v>Цитрусовые</x:v>
      </x:c>
      <x:c r="E169" s="28" t="str">
        <x:v>общие ароматические молекулы, перекрытие ароматических семейств, вкусовой баланс</x:v>
      </x:c>
      <x:c r="F169" s="28" t="str">
        <x:v>Лимонная водка формирует профиль «цитрусовый, свежий, цветочный, древесный»; характерные маркеры: цитраль (гераниаль + нераль), лимонен, гамма-терпинен, бета-пинен. Цукаты из апельсиновой кожуры относится к группе «цитрусовые» и даёт ноты «цитрусовый, сладко-фруктовый, цветочный, восковой». Наиболее правдоподобный молекулярный мост —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Сок определяется цитралем и кислотностью, цедра — лимоненом и терпенами. Апельсиновый профиль строится на лимонене и альдегидах с восково-сладкой нотой.</x:v>
      </x:c>
      <x:c r="G16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69" s="28" t="str">
        <x:v>Избыток кислоты делает вкус плоско-резким; белая часть кожуры даёт лишнюю горечь.</x:v>
      </x:c>
      <x:c r="I169" s="28" t="str">
        <x:v>цитрусовый кордиал, мармелад, сорбет, салат или купаж соков</x:v>
      </x:c>
      <x:c r="J169" s="28" t="str">
        <x:v>Средняя</x:v>
      </x:c>
      <x:c r="K169" s="28" t="str">
        <x:v>The Art &amp; Science of Foodpairing.pdf</x:v>
      </x:c>
      <x:c r="L169" s="28" t="str">
        <x:v>The Art &amp; Science of Foodpairing.pdf: 267</x:v>
      </x:c>
    </x:row>
    <x:row r="170" ht="62" customHeight="1">
      <x:c r="A170" s="28" t="str">
        <x:v>CIT-0504</x:v>
      </x:c>
      <x:c r="B170" s="28" t="str">
        <x:v>лимонная цедра</x:v>
      </x:c>
      <x:c r="C170" s="28" t="str">
        <x:v>оливковое масло Пикуаль extra virgin</x:v>
      </x:c>
      <x:c r="D170" s="28" t="str">
        <x:v>Молочные продукты</x:v>
      </x:c>
      <x:c r="E170" s="28" t="str">
        <x:v>вкусовой баланс, влияние матрицы/растворимости</x:v>
      </x:c>
      <x:c r="F170"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Оливковое масло пикуаль extra virgin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G170"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70" s="28" t="str">
        <x:v>Избыток кислоты делает вкус плоско-резким; белая часть кожуры даёт лишнюю горечь; возможна коагуляция белка.</x:v>
      </x:c>
      <x:c r="I170" s="28" t="str">
        <x:v>чизкейк, крем, мороженое, соус или салат</x:v>
      </x:c>
      <x:c r="J170" s="28" t="str">
        <x:v>Средняя</x:v>
      </x:c>
      <x:c r="K170" s="28" t="str">
        <x:v>The Art &amp; Science of Foodpairing.pdf</x:v>
      </x:c>
      <x:c r="L170" s="28" t="str">
        <x:v>The Art &amp; Science of Foodpairing.pdf: 320</x:v>
      </x:c>
    </x:row>
    <x:row r="171" ht="62" customHeight="1">
      <x:c r="A171" s="28" t="str">
        <x:v>CIT-0507</x:v>
      </x:c>
      <x:c r="B171" s="28" t="str">
        <x:v>лимонная цедра</x:v>
      </x:c>
      <x:c r="C171" s="28" t="str">
        <x:v>чернослив Ажен</x:v>
      </x:c>
      <x:c r="D171" s="28" t="str">
        <x:v>Косточковые фрукты</x:v>
      </x:c>
      <x:c r="E171" s="28" t="str">
        <x:v>перекрытие ароматических семейств, вкусовой баланс</x:v>
      </x:c>
      <x:c r="F171"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Чернослив ажен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G17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71" s="28" t="str">
        <x:v>Избыток кислоты делает вкус плоско-резким; белая часть кожуры даёт лишнюю горечь.</x:v>
      </x:c>
      <x:c r="I171" s="28" t="str">
        <x:v>тарт, сорбет, джем или фруктовый соус</x:v>
      </x:c>
      <x:c r="J171" s="28" t="str">
        <x:v>Средняя</x:v>
      </x:c>
      <x:c r="K171" s="28" t="str">
        <x:v>The Art &amp; Science of Foodpairing.pdf</x:v>
      </x:c>
      <x:c r="L171" s="28" t="str">
        <x:v>The Art &amp; Science of Foodpairing.pdf: 336</x:v>
      </x:c>
    </x:row>
    <x:row r="172" ht="62" customHeight="1">
      <x:c r="A172" s="28" t="str">
        <x:v>CIT-0508</x:v>
      </x:c>
      <x:c r="B172" s="28" t="str">
        <x:v>лимонный сок</x:v>
      </x:c>
      <x:c r="C172" s="28" t="str">
        <x:v>ананас</x:v>
      </x:c>
      <x:c r="D172" s="28" t="str">
        <x:v>Тропические фрукты</x:v>
      </x:c>
      <x:c r="E172" s="28" t="str">
        <x:v>перекрытие ароматических семейств, вкусовой баланс</x:v>
      </x:c>
      <x:c r="F172"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Ананас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17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72" s="28" t="str">
        <x:v>Избыток кислоты делает вкус плоско-резким; белая часть кожуры даёт лишнюю горечь.</x:v>
      </x:c>
      <x:c r="I172" s="28" t="str">
        <x:v>смузи, кордиал, сорбет, чатни или коктейль</x:v>
      </x:c>
      <x:c r="J172" s="28" t="str">
        <x:v>Средняя</x:v>
      </x:c>
      <x:c r="K172" s="28" t="str">
        <x:v>The Art &amp; Science of Foodpairing.pdf</x:v>
      </x:c>
      <x:c r="L172" s="28" t="str">
        <x:v>The Art &amp; Science of Foodpairing.pdf: 370</x:v>
      </x:c>
    </x:row>
    <x:row r="173" ht="62" customHeight="1">
      <x:c r="A173" s="28" t="str">
        <x:v>CIT-0510</x:v>
      </x:c>
      <x:c r="B173" s="28" t="str">
        <x:v>лимонный сок</x:v>
      </x:c>
      <x:c r="C173" s="28" t="str">
        <x:v>белый шоколад</x:v>
      </x:c>
      <x:c r="D173" s="28" t="str">
        <x:v>Шоколад/обжаренное</x:v>
      </x:c>
      <x:c r="E173" s="28" t="str">
        <x:v>вкусовой баланс</x:v>
      </x:c>
      <x:c r="F173"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Белый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Сок определяется цитралем и кислотностью, цедра — лимоненом и терпенами. Цитрус даёт высокую свежую ноту на фоне тёмных жареных соединений.</x:v>
      </x:c>
      <x:c r="G17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73" s="28" t="str">
        <x:v>Избыток кислоты делает вкус плоско-резким; белая часть кожуры даёт лишнюю горечь.</x:v>
      </x:c>
      <x:c r="I173" s="28" t="str">
        <x:v>ганаш, тарт, конфеты, кофейный напиток или биттер</x:v>
      </x:c>
      <x:c r="J173" s="28" t="str">
        <x:v>Средняя</x:v>
      </x:c>
      <x:c r="K173" s="28" t="str">
        <x:v>The Art &amp; Science of Foodpairing.pdf</x:v>
      </x:c>
      <x:c r="L173" s="28" t="str">
        <x:v>The Art &amp; Science of Foodpairing.pdf: 370</x:v>
      </x:c>
    </x:row>
    <x:row r="174" ht="62" customHeight="1">
      <x:c r="A174" s="28" t="str">
        <x:v>CIT-0518</x:v>
      </x:c>
      <x:c r="B174" s="28" t="str">
        <x:v>лимонный тарт</x:v>
      </x:c>
      <x:c r="C174" s="28" t="str">
        <x:v>бойзенова ягода</x:v>
      </x:c>
      <x:c r="D174" s="28" t="str">
        <x:v>Ягоды/косточковые</x:v>
      </x:c>
      <x:c r="E174" s="28" t="str">
        <x:v>перекрытие ароматических семейств, вкусовой баланс</x:v>
      </x:c>
      <x:c r="F174" s="28" t="str">
        <x:v>Лимонный тарт формирует профиль «цитрусовый, свежий, цветочный, древесный»; характерные маркеры: цитраль (гераниаль + нераль), лимонен, гамма-терпинен, бета-пинен. Бойзенова ягода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7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74" s="28" t="str">
        <x:v>Избыток кислоты делает вкус плоско-резким; белая часть кожуры даёт лишнюю горечь.</x:v>
      </x:c>
      <x:c r="I174" s="28" t="str">
        <x:v>джем, сорбет, коктейль или соус</x:v>
      </x:c>
      <x:c r="J174" s="28" t="str">
        <x:v>Средняя</x:v>
      </x:c>
      <x:c r="K174" s="28" t="str">
        <x:v>The Art &amp; Science of Foodpairing.pdf</x:v>
      </x:c>
      <x:c r="L174" s="28" t="str">
        <x:v>The Art &amp; Science of Foodpairing.pdf: 74</x:v>
      </x:c>
    </x:row>
    <x:row r="175" ht="62" customHeight="1">
      <x:c r="A175" s="28" t="str">
        <x:v>CIT-0521</x:v>
      </x:c>
      <x:c r="B175" s="28" t="str">
        <x:v>лимончелло</x:v>
      </x:c>
      <x:c r="C175" s="28" t="str">
        <x:v>бойзенова ягода</x:v>
      </x:c>
      <x:c r="D175" s="28" t="str">
        <x:v>Ягоды/косточковые</x:v>
      </x:c>
      <x:c r="E175" s="28" t="str">
        <x:v>перекрытие ароматических семейств, вкусовой баланс</x:v>
      </x:c>
      <x:c r="F175"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Бойзенова ягода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17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75" s="28" t="str">
        <x:v>Избыток кислоты делает вкус плоско-резким; белая часть кожуры даёт лишнюю горечь.</x:v>
      </x:c>
      <x:c r="I175" s="28" t="str">
        <x:v>джем, сорбет, коктейль или соус</x:v>
      </x:c>
      <x:c r="J175" s="28" t="str">
        <x:v>Средняя</x:v>
      </x:c>
      <x:c r="K175" s="28" t="str">
        <x:v>The Art &amp; Science of Foodpairing.pdf</x:v>
      </x:c>
      <x:c r="L175" s="28" t="str">
        <x:v>The Art &amp; Science of Foodpairing.pdf: 74</x:v>
      </x:c>
    </x:row>
    <x:row r="176" ht="62" customHeight="1">
      <x:c r="A176" s="28" t="str">
        <x:v>CIT-0522</x:v>
      </x:c>
      <x:c r="B176" s="28" t="str">
        <x:v>лимончелло</x:v>
      </x:c>
      <x:c r="C176" s="28" t="str">
        <x:v>вересковый мёд</x:v>
      </x:c>
      <x:c r="D176" s="28" t="str">
        <x:v>Подсластители</x:v>
      </x:c>
      <x:c r="E176" s="28" t="str">
        <x:v>перекрытие ароматических семейств, вкусовой баланс</x:v>
      </x:c>
      <x:c r="F176"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Вересковый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Сок определяется цитралем и кислотностью, цедра — лимоненом и терпенами. Сладость балансирует кислоту и горечь кожуры; цветочные компоненты могут поддерживать цитрус.</x:v>
      </x:c>
      <x:c r="G17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6" s="28" t="str">
        <x:v>Избыток кислоты делает вкус плоско-резким; белая часть кожуры даёт лишнюю горечь.</x:v>
      </x:c>
      <x:c r="I176" s="28" t="str">
        <x:v>сироп, мармелад, крем, глазурь или лимонад</x:v>
      </x:c>
      <x:c r="J176" s="28" t="str">
        <x:v>Средняя</x:v>
      </x:c>
      <x:c r="K176" s="28" t="str">
        <x:v>The Art &amp; Science of Foodpairing.pdf</x:v>
      </x:c>
      <x:c r="L176" s="28" t="str">
        <x:v>The Art &amp; Science of Foodpairing.pdf: 370</x:v>
      </x:c>
    </x:row>
    <x:row r="177" ht="62" customHeight="1">
      <x:c r="A177" s="28" t="str">
        <x:v>CIT-0529</x:v>
      </x:c>
      <x:c r="B177" s="28" t="str">
        <x:v>лимончелло</x:v>
      </x:c>
      <x:c r="C177" s="28" t="str">
        <x:v>сыровяленая ветчина Цзиньхуа</x:v>
      </x:c>
      <x:c r="D177" s="28" t="str">
        <x:v>Молочные продукты</x:v>
      </x:c>
      <x:c r="E177" s="28" t="str">
        <x:v>вкусовой баланс, влияние матрицы/растворимости</x:v>
      </x:c>
      <x:c r="F177"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Сыровяленая ветчина цзиньхуа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режет жирность и освежает, а молочная матрица смягчает кислотность.</x:v>
      </x:c>
      <x:c r="G177"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77" s="28" t="str">
        <x:v>Избыток кислоты делает вкус плоско-резким; белая часть кожуры даёт лишнюю горечь; возможна коагуляция белка.</x:v>
      </x:c>
      <x:c r="I177" s="28" t="str">
        <x:v>чизкейк, крем, мороженое, соус или салат</x:v>
      </x:c>
      <x:c r="J177" s="28" t="str">
        <x:v>Средняя</x:v>
      </x:c>
      <x:c r="K177" s="28" t="str">
        <x:v>The Art &amp; Science of Foodpairing.pdf</x:v>
      </x:c>
      <x:c r="L177" s="28" t="str">
        <x:v>The Art &amp; Science of Foodpairing.pdf: 370</x:v>
      </x:c>
    </x:row>
    <x:row r="178" ht="62" customHeight="1">
      <x:c r="A178" s="28" t="str">
        <x:v>CIT-0530</x:v>
      </x:c>
      <x:c r="B178" s="28" t="str">
        <x:v>лимончелло</x:v>
      </x:c>
      <x:c r="C178" s="28" t="str">
        <x:v>тёмный шоколад</x:v>
      </x:c>
      <x:c r="D178" s="28" t="str">
        <x:v>Шоколад/обжаренное</x:v>
      </x:c>
      <x:c r="E178" s="28" t="str">
        <x:v>вкусовой баланс</x:v>
      </x:c>
      <x:c r="F178"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Тёмный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Сок определяется цитралем и кислотностью, цедра — лимоненом и терпенами. Цитрус даёт высокую свежую ноту на фоне тёмных жареных соединений.</x:v>
      </x:c>
      <x:c r="G17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78" s="28" t="str">
        <x:v>Избыток кислоты делает вкус плоско-резким; белая часть кожуры даёт лишнюю горечь.</x:v>
      </x:c>
      <x:c r="I178" s="28" t="str">
        <x:v>ганаш, тарт, конфеты, кофейный напиток или биттер</x:v>
      </x:c>
      <x:c r="J178" s="28" t="str">
        <x:v>Средняя</x:v>
      </x:c>
      <x:c r="K178" s="28" t="str">
        <x:v>The Art &amp; Science of Foodpairing.pdf</x:v>
      </x:c>
      <x:c r="L178" s="28" t="str">
        <x:v>The Art &amp; Science of Foodpairing.pdf: 370</x:v>
      </x:c>
    </x:row>
    <x:row r="179" ht="62" customHeight="1">
      <x:c r="A179" s="28" t="str">
        <x:v>CIT-0534</x:v>
      </x:c>
      <x:c r="B179" s="28" t="str">
        <x:v>лист лайма</x:v>
      </x:c>
      <x:c r="C179" s="28" t="str">
        <x:v>мускатный орех</x:v>
      </x:c>
      <x:c r="D179" s="28" t="str">
        <x:v>Орехи и семена</x:v>
      </x:c>
      <x:c r="E179" s="28" t="str">
        <x:v>перекрытие ароматических семейств, вкусовой баланс, влияние матрицы/растворимости</x:v>
      </x:c>
      <x:c r="F179" s="28" t="str">
        <x:v>Лист лайма формирует профиль «цитрусовый, зелёный, травяной, камфорный»; характерные маркеры: лимонен, гамма-терпинен, цитраль, бета-пинен, линалол. Мускатный орех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G179"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79" s="28" t="str">
        <x:v>Избыток кислоты делает вкус плоско-резким; белая часть кожуры даёт лишнюю горечь.</x:v>
      </x:c>
      <x:c r="I179" s="28" t="str">
        <x:v>пралине, крем, выпечка, салат или ореховый соус</x:v>
      </x:c>
      <x:c r="J179" s="28" t="str">
        <x:v>Гипотеза / практическая</x:v>
      </x:c>
      <x:c r="K179" s="28" t="str">
        <x:v>Таблица сочетания(1).pdf</x:v>
      </x:c>
      <x:c r="L179" s="28" t="str">
        <x:v>Таблица сочетания(1).pdf: 14</x:v>
      </x:c>
    </x:row>
    <x:row r="180" ht="62" customHeight="1">
      <x:c r="A180" s="28" t="str">
        <x:v>CIT-0535</x:v>
      </x:c>
      <x:c r="B180" s="28" t="str">
        <x:v>лист макрут-лайма</x:v>
      </x:c>
      <x:c r="C180" s="28" t="str">
        <x:v>арахис</x:v>
      </x:c>
      <x:c r="D180" s="28" t="str">
        <x:v>Орехи и семена</x:v>
      </x:c>
      <x:c r="E180" s="28" t="str">
        <x:v>перекрытие ароматических семейств, вкусовой баланс, влияние матрицы/растворимости</x:v>
      </x:c>
      <x:c r="F180" s="28" t="str">
        <x:v>Лист макрут-лайма формирует профиль «цитрусовый, зелёный, травяной, камфорный»; характерные маркеры: лимонен, гамма-терпинен, цитраль, бета-пинен, линалол. Арахис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G180"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80" s="28" t="str">
        <x:v>Избыток кислоты делает вкус плоско-резким; белая часть кожуры даёт лишнюю горечь.</x:v>
      </x:c>
      <x:c r="I180" s="28" t="str">
        <x:v>пралине, крем, выпечка, салат или ореховый соус</x:v>
      </x:c>
      <x:c r="J180" s="28" t="str">
        <x:v>Средняя</x:v>
      </x:c>
      <x:c r="K180" s="28" t="str">
        <x:v>The Art &amp; Science of Foodpairing.pdf</x:v>
      </x:c>
      <x:c r="L180" s="28" t="str">
        <x:v>The Art &amp; Science of Foodpairing.pdf: 62</x:v>
      </x:c>
    </x:row>
    <x:row r="181" ht="62" customHeight="1">
      <x:c r="A181" s="28" t="str">
        <x:v>CIT-0538</x:v>
      </x:c>
      <x:c r="B181" s="28" t="str">
        <x:v>лист макрут-лайма</x:v>
      </x:c>
      <x:c r="C181" s="28" t="str">
        <x:v>масло фундука</x:v>
      </x:c>
      <x:c r="D181" s="28" t="str">
        <x:v>Орехи и семена</x:v>
      </x:c>
      <x:c r="E181" s="28" t="str">
        <x:v>перекрытие ароматических семейств, вкусовой баланс, влияние матрицы/растворимости</x:v>
      </x:c>
      <x:c r="F181" s="28" t="str">
        <x:v>Лист макрут-лайма формирует профиль «цитрусовый, зелёный, травяной, камфорный»; характерные маркеры: лимонен, гамма-терпинен, цитраль, бета-пинен, линалол. Масло фундука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G18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81" s="28" t="str">
        <x:v>Избыток кислоты делает вкус плоско-резким; белая часть кожуры даёт лишнюю горечь.</x:v>
      </x:c>
      <x:c r="I181" s="28" t="str">
        <x:v>пралине, крем, выпечка, салат или ореховый соус</x:v>
      </x:c>
      <x:c r="J181" s="28" t="str">
        <x:v>Средняя</x:v>
      </x:c>
      <x:c r="K181" s="28" t="str">
        <x:v>The Art &amp; Science of Foodpairing.pdf</x:v>
      </x:c>
      <x:c r="L181" s="28" t="str">
        <x:v>The Art &amp; Science of Foodpairing.pdf: 152</x:v>
      </x:c>
    </x:row>
    <x:row r="182" ht="62" customHeight="1">
      <x:c r="A182" s="28" t="str">
        <x:v>CIT-0542</x:v>
      </x:c>
      <x:c r="B182" s="28" t="str">
        <x:v>листья кафир-лайма</x:v>
      </x:c>
      <x:c r="C182" s="28" t="str">
        <x:v>гуава</x:v>
      </x:c>
      <x:c r="D182" s="28" t="str">
        <x:v>Тропические фрукты</x:v>
      </x:c>
      <x:c r="E182" s="28" t="str">
        <x:v>вкусовой баланс</x:v>
      </x:c>
      <x:c r="F182" s="28" t="str">
        <x:v>Листья кафир-лайма формирует профиль «цитрусовый, зелёный, травяной, камфорный»; характерные маркеры: лимонен, гамма-терпинен, цитраль, бета-пинен, линалол. Гуава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18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82" s="28" t="str">
        <x:v>Избыток кислоты делает вкус плоско-резким; белая часть кожуры даёт лишнюю горечь.</x:v>
      </x:c>
      <x:c r="I182" s="28" t="str">
        <x:v>смузи, кордиал, сорбет, чатни или коктейль</x:v>
      </x:c>
      <x:c r="J182" s="28" t="str">
        <x:v>Гипотеза / практическая</x:v>
      </x:c>
      <x:c r="K182" s="28" t="str">
        <x:v>Таблица сочетания(1).pdf</x:v>
      </x:c>
      <x:c r="L182" s="28" t="str">
        <x:v>Таблица сочетания(1).pdf: 9</x:v>
      </x:c>
    </x:row>
    <x:row r="183" ht="62" customHeight="1">
      <x:c r="A183" s="28" t="str">
        <x:v>CIT-0543</x:v>
      </x:c>
      <x:c r="B183" s="28" t="str">
        <x:v>листья кафир-лайма</x:v>
      </x:c>
      <x:c r="C183" s="28" t="str">
        <x:v>кокос</x:v>
      </x:c>
      <x:c r="D183" s="28" t="str">
        <x:v>Тропические плоды</x:v>
      </x:c>
      <x:c r="E183" s="28" t="str">
        <x:v>вкусовой баланс</x:v>
      </x:c>
      <x:c r="F183" s="28" t="str">
        <x:v>Листья кафир-лайма формирует профиль «цитрусовый, зелёный, травяной, камфорный»; характерные маркеры: лимонен, гамма-терпинен, цитраль, бета-пинен, линалол. Кокос относится к группе «тропические плоды» и даёт ноты «сливочный, кокосовый, восковой, ореховый».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Кокос округляет кислотность и продлевает цитрусовый аромат.</x:v>
      </x:c>
      <x:c r="G18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83" s="28" t="str">
        <x:v>Избыток кислоты делает вкус плоско-резким; белая часть кожуры даёт лишнюю горечь.</x:v>
      </x:c>
      <x:c r="I183" s="28" t="str">
        <x:v>коктейль, крем, сорбет или соус</x:v>
      </x:c>
      <x:c r="J183" s="28" t="str">
        <x:v>Гипотеза / практическая</x:v>
      </x:c>
      <x:c r="K183" s="28" t="str">
        <x:v>Таблица сочетания(1).pdf</x:v>
      </x:c>
      <x:c r="L183" s="28" t="str">
        <x:v>Таблица сочетания(1).pdf: 5</x:v>
      </x:c>
    </x:row>
    <x:row r="184" ht="62" customHeight="1">
      <x:c r="A184" s="28" t="str">
        <x:v>CIT-0544</x:v>
      </x:c>
      <x:c r="B184" s="28" t="str">
        <x:v>макрут-лайм</x:v>
      </x:c>
      <x:c r="C184" s="28" t="str">
        <x:v>приготовленный фрике</x:v>
      </x:c>
      <x:c r="D184" s="28" t="str">
        <x:v>Злаки и хлеб</x:v>
      </x:c>
      <x:c r="E184" s="28" t="str">
        <x:v>вкусовой баланс</x:v>
      </x:c>
      <x:c r="F184" s="28" t="str">
        <x:v>Макрут-лайм формирует профиль «цитрусовый, зелёный, травяной, камфорный»; характерные маркеры: лимонен, гамма-терпинен, цитраль, бета-пинен, линалол. Приготовленный фрике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освежает зерновой профиль и создаёт контраст с обжаренными нотами.</x:v>
      </x:c>
      <x:c r="G18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4" s="28" t="str">
        <x:v>Избыток кислоты делает вкус плоско-резким; белая часть кожуры даёт лишнюю горечь.</x:v>
      </x:c>
      <x:c r="I184" s="28" t="str">
        <x:v>кекс, каша, хлеб, крамбл или салат</x:v>
      </x:c>
      <x:c r="J184" s="28" t="str">
        <x:v>Средняя</x:v>
      </x:c>
      <x:c r="K184" s="28" t="str">
        <x:v>The Art &amp; Science of Foodpairing.pdf</x:v>
      </x:c>
      <x:c r="L184" s="28" t="str">
        <x:v>The Art &amp; Science of Foodpairing.pdf: 78</x:v>
      </x:c>
    </x:row>
    <x:row r="185" ht="62" customHeight="1">
      <x:c r="A185" s="28" t="str">
        <x:v>CIT-0550</x:v>
      </x:c>
      <x:c r="B185" s="28" t="str">
        <x:v>мандарин</x:v>
      </x:c>
      <x:c r="C185" s="28" t="str">
        <x:v>вишня</x:v>
      </x:c>
      <x:c r="D185" s="28" t="str">
        <x:v>Ягоды/косточковые</x:v>
      </x:c>
      <x:c r="E185" s="28" t="str">
        <x:v>перекрытие ароматических семейств, вкусовой баланс</x:v>
      </x:c>
      <x:c r="F185" s="28" t="str">
        <x:v>Мандарин формирует профиль «цитрусовый, фруктовый, цветочный, пряный»; характерные маркеры: лимонен, гамма-терпинен, метил-N-метилантранилат, линалол.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18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85" s="28" t="str">
        <x:v>Избыток кислоты делает вкус плоско-резким; белая часть кожуры даёт лишнюю горечь.</x:v>
      </x:c>
      <x:c r="I185" s="28" t="str">
        <x:v>джем, сорбет, коктейль или соус</x:v>
      </x:c>
      <x:c r="J185" s="28" t="str">
        <x:v>Гипотеза / практическая</x:v>
      </x:c>
      <x:c r="K185" s="28" t="str">
        <x:v>Таблица сочетания(1).pdf</x:v>
      </x:c>
      <x:c r="L185" s="28" t="str">
        <x:v>Таблица сочетания(1).pdf: 12</x:v>
      </x:c>
    </x:row>
    <x:row r="186" ht="62" customHeight="1">
      <x:c r="A186" s="28" t="str">
        <x:v>CIT-0557</x:v>
      </x:c>
      <x:c r="B186" s="28" t="str">
        <x:v>мандарин</x:v>
      </x:c>
      <x:c r="C186" s="28" t="str">
        <x:v>карамель</x:v>
      </x:c>
      <x:c r="D186" s="28" t="str">
        <x:v>Подсластители</x:v>
      </x:c>
      <x:c r="E186" s="28" t="str">
        <x:v>перекрытие ароматических семейств, вкусовой баланс</x:v>
      </x:c>
      <x:c r="F186" s="28" t="str">
        <x:v>Мандарин формирует профиль «цитрусовый, фруктовый, цветочный, пряный»; характерные маркеры: лимонен, гамма-терпинен, метил-N-метилантранилат, линалол. Карамель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G18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6" s="28" t="str">
        <x:v>Избыток кислоты делает вкус плоско-резким; белая часть кожуры даёт лишнюю горечь.</x:v>
      </x:c>
      <x:c r="I186" s="28" t="str">
        <x:v>сироп, мармелад, крем, глазурь или лимонад</x:v>
      </x:c>
      <x:c r="J186" s="28" t="str">
        <x:v>Гипотеза / практическая</x:v>
      </x:c>
      <x:c r="K186" s="28" t="str">
        <x:v>Таблица сочетания(1).pdf</x:v>
      </x:c>
      <x:c r="L186" s="28" t="str">
        <x:v>Таблица сочетания(1).pdf: 3</x:v>
      </x:c>
    </x:row>
    <x:row r="187" ht="62" customHeight="1">
      <x:c r="A187" s="28" t="str">
        <x:v>CIT-0562</x:v>
      </x:c>
      <x:c r="B187" s="28" t="str">
        <x:v>мандарин</x:v>
      </x:c>
      <x:c r="C187" s="28" t="str">
        <x:v>кофе</x:v>
      </x:c>
      <x:c r="D187" s="28" t="str">
        <x:v>Кофе/обжаренное</x:v>
      </x:c>
      <x:c r="E187" s="28" t="str">
        <x:v>вкусовой баланс</x:v>
      </x:c>
      <x:c r="F187" s="28" t="str">
        <x:v>Мандарин формирует профиль «цитрусовый, фруктовый, цветочный, пряный»; характерные маркеры: лимонен, гамма-терпинен, метил-N-метилантранилат, линалол. Кофе относится к группе «кофе/обжаренное» и даёт ноты «обжаренный, карамельный, ореховый,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может подчеркнуть естественную кислотность и связаться с фруктовыми нотами кофе.</x:v>
      </x:c>
      <x:c r="G18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87" s="28" t="str">
        <x:v>Избыток кислоты делает вкус плоско-резким; белая часть кожуры даёт лишнюю горечь.</x:v>
      </x:c>
      <x:c r="I187" s="28" t="str">
        <x:v>кофейный напиток, тирамису, ликёр или десертный соус</x:v>
      </x:c>
      <x:c r="J187" s="28" t="str">
        <x:v>Гипотеза / практическая</x:v>
      </x:c>
      <x:c r="K187" s="28" t="str">
        <x:v>Таблица сочетания(1).pdf</x:v>
      </x:c>
      <x:c r="L187" s="28" t="str">
        <x:v>Таблица сочетания(1).pdf: 12</x:v>
      </x:c>
    </x:row>
    <x:row r="188" ht="62" customHeight="1">
      <x:c r="A188" s="28" t="str">
        <x:v>CIT-0564</x:v>
      </x:c>
      <x:c r="B188" s="28" t="str">
        <x:v>мандарин</x:v>
      </x:c>
      <x:c r="C188" s="28" t="str">
        <x:v>макадамия</x:v>
      </x:c>
      <x:c r="D188" s="28" t="str">
        <x:v>Орехи и семена</x:v>
      </x:c>
      <x:c r="E188" s="28" t="str">
        <x:v>вкусовой баланс, влияние матрицы/растворимости</x:v>
      </x:c>
      <x:c r="F188" s="28" t="str">
        <x:v>Мандарин формирует профиль «цитрусовый, фруктовый, цветочный, пряный»; характерные маркеры: лимонен, гамма-терпинен, метил-N-метилантранилат, линалол. Макадамия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G18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88" s="28" t="str">
        <x:v>Избыток кислоты делает вкус плоско-резким; белая часть кожуры даёт лишнюю горечь.</x:v>
      </x:c>
      <x:c r="I188" s="28" t="str">
        <x:v>пралине, крем, выпечка, салат или ореховый соус</x:v>
      </x:c>
      <x:c r="J188" s="28" t="str">
        <x:v>Средняя</x:v>
      </x:c>
      <x:c r="K188" s="28" t="str">
        <x:v>The Art &amp; Science of Foodpairing.pdf</x:v>
      </x:c>
      <x:c r="L188" s="28" t="str">
        <x:v>The Art &amp; Science of Foodpairing.pdf: 188</x:v>
      </x:c>
    </x:row>
    <x:row r="189" ht="62" customHeight="1">
      <x:c r="A189" s="28" t="str">
        <x:v>CIT-0565</x:v>
      </x:c>
      <x:c r="B189" s="28" t="str">
        <x:v>мандарин</x:v>
      </x:c>
      <x:c r="C189" s="28" t="str">
        <x:v>манго</x:v>
      </x:c>
      <x:c r="D189" s="28" t="str">
        <x:v>Тропические фрукты</x:v>
      </x:c>
      <x:c r="E189" s="28" t="str">
        <x:v>перекрытие ароматических семейств, вкусовой баланс</x:v>
      </x:c>
      <x:c r="F189" s="28" t="str">
        <x:v>Мандарин формирует профиль «цитрусовый, фруктовый, цветочный, пряный»; характерные маркеры: лимонен, гамма-терпинен, метил-N-метилантранилат, линалол. Манго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18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189" s="28" t="str">
        <x:v>Избыток кислоты делает вкус плоско-резким; белая часть кожуры даёт лишнюю горечь.</x:v>
      </x:c>
      <x:c r="I189" s="28" t="str">
        <x:v>смузи, кордиал, сорбет, чатни или коктейль</x:v>
      </x:c>
      <x:c r="J189" s="28" t="str">
        <x:v>Гипотеза / практическая</x:v>
      </x:c>
      <x:c r="K189" s="28" t="str">
        <x:v>Таблица сочетания(1).pdf</x:v>
      </x:c>
      <x:c r="L189" s="28" t="str">
        <x:v>Таблица сочетания(1).pdf: 13</x:v>
      </x:c>
    </x:row>
    <x:row r="190" ht="62" customHeight="1">
      <x:c r="A190" s="28" t="str">
        <x:v>CIT-0566</x:v>
      </x:c>
      <x:c r="B190" s="28" t="str">
        <x:v>мандарин</x:v>
      </x:c>
      <x:c r="C190" s="28" t="str">
        <x:v>мёд</x:v>
      </x:c>
      <x:c r="D190" s="28" t="str">
        <x:v>Подсластители</x:v>
      </x:c>
      <x:c r="E190" s="28" t="str">
        <x:v>перекрытие ароматических семейств, вкусовой баланс</x:v>
      </x:c>
      <x:c r="F190" s="28" t="str">
        <x:v>Мандарин формирует профиль «цитрусовый, фруктовый, цветочный, пряный»; характерные маркеры: лимонен, гамма-терпинен, метил-N-метилантранилат, линалол.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G19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0" s="28" t="str">
        <x:v>Избыток кислоты делает вкус плоско-резким; белая часть кожуры даёт лишнюю горечь.</x:v>
      </x:c>
      <x:c r="I190" s="28" t="str">
        <x:v>сироп, мармелад, крем, глазурь или лимонад</x:v>
      </x:c>
      <x:c r="J190" s="28" t="str">
        <x:v>Гипотеза / практическая</x:v>
      </x:c>
      <x:c r="K190" s="28" t="str">
        <x:v>Таблица сочетания(1).pdf</x:v>
      </x:c>
      <x:c r="L190" s="28" t="str">
        <x:v>Таблица сочетания(1).pdf: 12</x:v>
      </x:c>
    </x:row>
    <x:row r="191" ht="62" customHeight="1">
      <x:c r="A191" s="28" t="str">
        <x:v>CIT-0567</x:v>
      </x:c>
      <x:c r="B191" s="28" t="str">
        <x:v>мандарин</x:v>
      </x:c>
      <x:c r="C191" s="28" t="str">
        <x:v>мускатный орех</x:v>
      </x:c>
      <x:c r="D191" s="28" t="str">
        <x:v>Орехи и семена</x:v>
      </x:c>
      <x:c r="E191" s="28" t="str">
        <x:v>вкусовой баланс, влияние матрицы/растворимости</x:v>
      </x:c>
      <x:c r="F191" s="28" t="str">
        <x:v>Мандарин формирует профиль «цитрусовый, фруктовый, цветочный, пряный»; характерные маркеры: лимонен, гамма-терпинен, метил-N-метилантранилат, линалол. Мускатный орех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G191"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91" s="28" t="str">
        <x:v>Избыток кислоты делает вкус плоско-резким; белая часть кожуры даёт лишнюю горечь.</x:v>
      </x:c>
      <x:c r="I191" s="28" t="str">
        <x:v>пралине, крем, выпечка, салат или ореховый соус</x:v>
      </x:c>
      <x:c r="J191" s="28" t="str">
        <x:v>Гипотеза / практическая</x:v>
      </x:c>
      <x:c r="K191" s="28" t="str">
        <x:v>Таблица сочетания(1).pdf</x:v>
      </x:c>
      <x:c r="L191" s="28" t="str">
        <x:v>Таблица сочетания(1).pdf: 12</x:v>
      </x:c>
    </x:row>
    <x:row r="192" ht="62" customHeight="1">
      <x:c r="A192" s="28" t="str">
        <x:v>CIT-0571</x:v>
      </x:c>
      <x:c r="B192" s="28" t="str">
        <x:v>мандарин</x:v>
      </x:c>
      <x:c r="C192" s="28" t="str">
        <x:v>приготовленный чёрный рис</x:v>
      </x:c>
      <x:c r="D192" s="28" t="str">
        <x:v>Злаки и хлеб</x:v>
      </x:c>
      <x:c r="E192" s="28" t="str">
        <x:v>вкусовой баланс</x:v>
      </x:c>
      <x:c r="F192" s="28" t="str">
        <x:v>Мандарин формирует профиль «цитрусовый, фруктовый, цветочный, пряный»; характерные маркеры: лимонен, гамма-терпинен, метил-N-метилантранилат, линалол. Приготовленный чёрный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G19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2" s="28" t="str">
        <x:v>Избыток кислоты делает вкус плоско-резким; белая часть кожуры даёт лишнюю горечь.</x:v>
      </x:c>
      <x:c r="I192" s="28" t="str">
        <x:v>кекс, каша, хлеб, крамбл или салат</x:v>
      </x:c>
      <x:c r="J192" s="28" t="str">
        <x:v>Средняя</x:v>
      </x:c>
      <x:c r="K192" s="28" t="str">
        <x:v>The Art &amp; Science of Foodpairing.pdf</x:v>
      </x:c>
      <x:c r="L192" s="28" t="str">
        <x:v>The Art &amp; Science of Foodpairing.pdf: 273</x:v>
      </x:c>
    </x:row>
    <x:row r="193" ht="62" customHeight="1">
      <x:c r="A193" s="28" t="str">
        <x:v>CIT-0572</x:v>
      </x:c>
      <x:c r="B193" s="28" t="str">
        <x:v>мандарин</x:v>
      </x:c>
      <x:c r="C193" s="28" t="str">
        <x:v>рапсовое масло</x:v>
      </x:c>
      <x:c r="D193" s="28" t="str">
        <x:v>Молочные продукты</x:v>
      </x:c>
      <x:c r="E193" s="28" t="str">
        <x:v>вкусовой баланс, влияние матрицы/растворимости</x:v>
      </x:c>
      <x:c r="F193" s="28" t="str">
        <x:v>Мандарин формирует профиль «цитрусовый, фруктовый, цветочный, пряный»; характерные маркеры: лимонен, гамма-терпинен, метил-N-метилантранилат, линалол. Рапсовое масло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режет жирность и освежает, а молочная матрица смягчает кислотность.</x:v>
      </x:c>
      <x:c r="G193"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93" s="28" t="str">
        <x:v>Избыток кислоты делает вкус плоско-резким; белая часть кожуры даёт лишнюю горечь; возможна коагуляция белка.</x:v>
      </x:c>
      <x:c r="I193" s="28" t="str">
        <x:v>чизкейк, крем, мороженое, соус или салат</x:v>
      </x:c>
      <x:c r="J193" s="28" t="str">
        <x:v>Средняя</x:v>
      </x:c>
      <x:c r="K193" s="28" t="str">
        <x:v>The Art &amp; Science of Foodpairing.pdf</x:v>
      </x:c>
      <x:c r="L193" s="28" t="str">
        <x:v>The Art &amp; Science of Foodpairing.pdf: 273</x:v>
      </x:c>
    </x:row>
    <x:row r="194" ht="62" customHeight="1">
      <x:c r="A194" s="28" t="str">
        <x:v>CIT-0582</x:v>
      </x:c>
      <x:c r="B194" s="28" t="str">
        <x:v>мандарин</x:v>
      </x:c>
      <x:c r="C194" s="28" t="str">
        <x:v>шоколад</x:v>
      </x:c>
      <x:c r="D194" s="28" t="str">
        <x:v>Шоколад/обжаренное</x:v>
      </x:c>
      <x:c r="E194" s="28" t="str">
        <x:v>вкусовой баланс</x:v>
      </x:c>
      <x:c r="F194" s="28" t="str">
        <x:v>Мандарин формирует профиль «цитрусовый, фруктовый, цветочный, пряный»; характерные маркеры: лимонен, гамма-терпинен, метил-N-метилантранилат, линалол.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даёт высокую свежую ноту на фоне тёмных жареных соединений.</x:v>
      </x:c>
      <x:c r="G19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94" s="28" t="str">
        <x:v>Избыток кислоты делает вкус плоско-резким; белая часть кожуры даёт лишнюю горечь.</x:v>
      </x:c>
      <x:c r="I194" s="28" t="str">
        <x:v>ганаш, тарт, конфеты, кофейный напиток или биттер</x:v>
      </x:c>
      <x:c r="J194" s="28" t="str">
        <x:v>Гипотеза / практическая</x:v>
      </x:c>
      <x:c r="K194" s="28" t="str">
        <x:v>Таблица сочетания(1).pdf</x:v>
      </x:c>
      <x:c r="L194" s="28" t="str">
        <x:v>Таблица сочетания(1).pdf: 12</x:v>
      </x:c>
    </x:row>
    <x:row r="195" ht="62" customHeight="1">
      <x:c r="A195" s="28" t="str">
        <x:v>CIT-0584</x:v>
      </x:c>
      <x:c r="B195" s="28" t="str">
        <x:v>нацумкан</x:v>
      </x:c>
      <x:c r="C195" s="28" t="str">
        <x:v>приготовленный бурый рис</x:v>
      </x:c>
      <x:c r="D195" s="28" t="str">
        <x:v>Злаки и хлеб</x:v>
      </x:c>
      <x:c r="E195" s="28" t="str">
        <x:v>вкусовой баланс</x:v>
      </x:c>
      <x:c r="F195" s="28" t="str">
        <x:v>Нацумкан формирует профиль «нейтральный/специфический»; характерные маркеры: . Приготовленный бурый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Для точного молекулярного вывода нужен профиль конкретного ингредиента и способа обработки. Цитрус освежает зерновой профиль и создаёт контраст с обжаренными нотами.</x:v>
      </x:c>
      <x:c r="G19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5" s="28" t="str">
        <x:v>Избыток кислоты делает вкус плоско-резким; белая часть кожуры даёт лишнюю горечь.</x:v>
      </x:c>
      <x:c r="I195" s="28" t="str">
        <x:v>кекс, каша, хлеб, крамбл или салат</x:v>
      </x:c>
      <x:c r="J195" s="28" t="str">
        <x:v>Средняя</x:v>
      </x:c>
      <x:c r="K195" s="28" t="str">
        <x:v>The Art &amp; Science of Foodpairing.pdf</x:v>
      </x:c>
      <x:c r="L195" s="28" t="str">
        <x:v>The Art &amp; Science of Foodpairing.pdf: 108</x:v>
      </x:c>
    </x:row>
    <x:row r="196" ht="62" customHeight="1">
      <x:c r="A196" s="28" t="str">
        <x:v>CIT-0588</x:v>
      </x:c>
      <x:c r="B196" s="28" t="str">
        <x:v>пальчиковый лайм</x:v>
      </x:c>
      <x:c r="C196" s="28" t="str">
        <x:v>моцарелла из буйволиного молока</x:v>
      </x:c>
      <x:c r="D196" s="28" t="str">
        <x:v>Молочные продукты</x:v>
      </x:c>
      <x:c r="E196" s="28" t="str">
        <x:v>вкусовой баланс, влияние матрицы/растворимости</x:v>
      </x:c>
      <x:c r="F196"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Моцарелла из буйволиного молока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режет жирность и освежает, а молочная матрица смягчает кислотность.</x:v>
      </x:c>
      <x:c r="G196"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196" s="28" t="str">
        <x:v>Избыток кислоты делает вкус плоско-резким; белая часть кожуры даёт лишнюю горечь; возможна коагуляция белка.</x:v>
      </x:c>
      <x:c r="I196" s="28" t="str">
        <x:v>чизкейк, крем, мороженое, соус или салат</x:v>
      </x:c>
      <x:c r="J196" s="28" t="str">
        <x:v>Средняя</x:v>
      </x:c>
      <x:c r="K196" s="28" t="str">
        <x:v>The Art &amp; Science of Foodpairing.pdf</x:v>
      </x:c>
      <x:c r="L196" s="28" t="str">
        <x:v>The Art &amp; Science of Foodpairing.pdf: 332</x:v>
      </x:c>
    </x:row>
    <x:row r="197" ht="62" customHeight="1">
      <x:c r="A197" s="28" t="str">
        <x:v>CIT-0589</x:v>
      </x:c>
      <x:c r="B197" s="28" t="str">
        <x:v>пальчиковый лайм</x:v>
      </x:c>
      <x:c r="C197" s="28" t="str">
        <x:v>мускатный орех</x:v>
      </x:c>
      <x:c r="D197" s="28" t="str">
        <x:v>Орехи и семена</x:v>
      </x:c>
      <x:c r="E197" s="28" t="str">
        <x:v>перекрытие ароматических семейств, вкусовой баланс, влияние матрицы/растворимости</x:v>
      </x:c>
      <x:c r="F197"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Мускатный орех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G19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97" s="28" t="str">
        <x:v>Избыток кислоты делает вкус плоско-резким; белая часть кожуры даёт лишнюю горечь.</x:v>
      </x:c>
      <x:c r="I197" s="28" t="str">
        <x:v>пралине, крем, выпечка, салат или ореховый соус</x:v>
      </x:c>
      <x:c r="J197" s="28" t="str">
        <x:v>Средняя</x:v>
      </x:c>
      <x:c r="K197" s="28" t="str">
        <x:v>The Art &amp; Science of Foodpairing.pdf</x:v>
      </x:c>
      <x:c r="L197" s="28" t="str">
        <x:v>The Art &amp; Science of Foodpairing.pdf: 332</x:v>
      </x:c>
    </x:row>
    <x:row r="198" ht="62" customHeight="1">
      <x:c r="A198" s="28" t="str">
        <x:v>CIT-0593</x:v>
      </x:c>
      <x:c r="B198" s="28" t="str">
        <x:v>пальчиковый лайм</x:v>
      </x:c>
      <x:c r="C198" s="28" t="str">
        <x:v>тёмный шоколад</x:v>
      </x:c>
      <x:c r="D198" s="28" t="str">
        <x:v>Шоколад/обжаренное</x:v>
      </x:c>
      <x:c r="E198" s="28" t="str">
        <x:v>вкусовой баланс</x:v>
      </x:c>
      <x:c r="F198" s="28" t="str">
        <x:v>Пальчиковый лайм формирует профиль «цитрусовый, зелёный, травяной, камфорный»; характерные маркеры: лимонен, гамма-терпинен, цитраль, бета-пинен, линалол. Тёмный шоколад относится к группе «шоколад/обжаренное» и даёт ноты «обжаренный, какао, ореховый,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даёт высокую свежую ноту на фоне тёмных жареных соединений.</x:v>
      </x:c>
      <x:c r="G198"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98" s="28" t="str">
        <x:v>Избыток кислоты делает вкус плоско-резким; белая часть кожуры даёт лишнюю горечь.</x:v>
      </x:c>
      <x:c r="I198" s="28" t="str">
        <x:v>ганаш, тарт, конфеты, кофейный напиток или биттер</x:v>
      </x:c>
      <x:c r="J198" s="28" t="str">
        <x:v>Средняя</x:v>
      </x:c>
      <x:c r="K198" s="28" t="str">
        <x:v>The Art &amp; Science of Foodpairing.pdf</x:v>
      </x:c>
      <x:c r="L198" s="28" t="str">
        <x:v>The Art &amp; Science of Foodpairing.pdf: 332</x:v>
      </x:c>
    </x:row>
    <x:row r="199" ht="62" customHeight="1">
      <x:c r="A199" s="28" t="str">
        <x:v>CIT-0594</x:v>
      </x:c>
      <x:c r="B199" s="28" t="str">
        <x:v>пальчиковый лайм</x:v>
      </x:c>
      <x:c r="C199" s="28" t="str">
        <x:v>фундук</x:v>
      </x:c>
      <x:c r="D199" s="28" t="str">
        <x:v>Орехи и семена</x:v>
      </x:c>
      <x:c r="E199" s="28" t="str">
        <x:v>перекрытие ароматических семейств, вкусовой баланс, влияние матрицы/растворимости</x:v>
      </x:c>
      <x:c r="F199" s="28" t="str">
        <x:v>Пальчиковый лайм формирует профиль «цитрусовый, зелёный, травяной, камфорный»; характерные маркеры: лимонен, гамма-терпинен, цитраль, бета-пинен, линалол. Фундук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G199"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199" s="28" t="str">
        <x:v>Избыток кислоты делает вкус плоско-резким; белая часть кожуры даёт лишнюю горечь.</x:v>
      </x:c>
      <x:c r="I199" s="28" t="str">
        <x:v>пралине, крем, выпечка, салат или ореховый соус</x:v>
      </x:c>
      <x:c r="J199" s="28" t="str">
        <x:v>Средняя</x:v>
      </x:c>
      <x:c r="K199" s="28" t="str">
        <x:v>The Art &amp; Science of Foodpairing.pdf</x:v>
      </x:c>
      <x:c r="L199" s="28" t="str">
        <x:v>The Art &amp; Science of Foodpairing.pdf: 332</x:v>
      </x:c>
    </x:row>
    <x:row r="200" ht="62" customHeight="1">
      <x:c r="A200" s="28" t="str">
        <x:v>CIT-0597</x:v>
      </x:c>
      <x:c r="B200" s="28" t="str">
        <x:v>помело</x:v>
      </x:c>
      <x:c r="C200" s="28" t="str">
        <x:v>груша</x:v>
      </x:c>
      <x:c r="D200" s="28" t="str">
        <x:v>Фрукты</x:v>
      </x:c>
      <x:c r="E200" s="28" t="str">
        <x:v>вкусовой баланс</x:v>
      </x:c>
      <x:c r="F200" s="28" t="str">
        <x:v>Помело формирует профиль «цитрусовый, горький, свежий, сернистый»; характерные маркеры: лимонен, нооткатон, грейпфрутовые тиолы, нарингин. Груша относится к группе «фрукты» и даёт ноты «фруктовый, цветочный, восковой».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Груша мягкая и сладкая, поэтому цитрус добавляет ей контур и свежесть.</x:v>
      </x:c>
      <x:c r="G20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0" s="28" t="str">
        <x:v>Избыток кислоты делает вкус плоско-резким; белая часть кожуры даёт лишнюю горечь.</x:v>
      </x:c>
      <x:c r="I200" s="28" t="str">
        <x:v>лимонад, сорбет, компот, салат или фруктовый кордиал</x:v>
      </x:c>
      <x:c r="J200" s="28" t="str">
        <x:v>Средняя</x:v>
      </x:c>
      <x:c r="K200" s="28" t="str">
        <x:v>The Art &amp; Science of Foodpairing.pdf</x:v>
      </x:c>
      <x:c r="L200" s="28" t="str">
        <x:v>The Art &amp; Science of Foodpairing.pdf: 350</x:v>
      </x:c>
    </x:row>
    <x:row r="201" ht="62" customHeight="1">
      <x:c r="A201" s="28" t="str">
        <x:v>CIT-0598</x:v>
      </x:c>
      <x:c r="B201" s="28" t="str">
        <x:v>помело</x:v>
      </x:c>
      <x:c r="C201" s="28" t="str">
        <x:v>груша Вильямс</x:v>
      </x:c>
      <x:c r="D201" s="28" t="str">
        <x:v>Фрукты</x:v>
      </x:c>
      <x:c r="E201" s="28" t="str">
        <x:v>вкусовой баланс</x:v>
      </x:c>
      <x:c r="F201" s="28" t="str">
        <x:v>Помело формирует профиль «цитрусовый, горький, свежий, сернистый»; характерные маркеры: лимонен, нооткатон, грейпфрутовые тиолы, нарингин. Груша вильямс относится к группе «фрукты» и даёт ноты «фруктовый, цветочный, восковой».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Груша мягкая и сладкая, поэтому цитрус добавляет ей контур и свежесть.</x:v>
      </x:c>
      <x:c r="G20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1" s="28" t="str">
        <x:v>Избыток кислоты делает вкус плоско-резким; белая часть кожуры даёт лишнюю горечь.</x:v>
      </x:c>
      <x:c r="I201" s="28" t="str">
        <x:v>лимонад, сорбет, компот, салат или фруктовый кордиал</x:v>
      </x:c>
      <x:c r="J201" s="28" t="str">
        <x:v>Средняя</x:v>
      </x:c>
      <x:c r="K201" s="28" t="str">
        <x:v>The Art &amp; Science of Foodpairing.pdf</x:v>
      </x:c>
      <x:c r="L201" s="28" t="str">
        <x:v>The Art &amp; Science of Foodpairing.pdf: 347</x:v>
      </x:c>
    </x:row>
    <x:row r="202" ht="62" customHeight="1">
      <x:c r="A202" s="28" t="str">
        <x:v>CIT-0599</x:v>
      </x:c>
      <x:c r="B202" s="28" t="str">
        <x:v>помело</x:v>
      </x:c>
      <x:c r="C202" s="28" t="str">
        <x:v>груша Вильямс (Бартлетт)</x:v>
      </x:c>
      <x:c r="D202" s="28" t="str">
        <x:v>Фрукты</x:v>
      </x:c>
      <x:c r="E202" s="28" t="str">
        <x:v>вкусовой баланс</x:v>
      </x:c>
      <x:c r="F202" s="28" t="str">
        <x:v>Помело формирует профиль «цитрусовый, горький, свежий, сернистый»; характерные маркеры: лимонен, нооткатон, грейпфрутовые тиолы, нарингин. Груша вильямс (бартлетт) относится к группе «фрукты» и даёт ноты «фруктовый, цветочный, восковой».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Груша мягкая и сладкая, поэтому цитрус добавляет ей контур и свежесть.</x:v>
      </x:c>
      <x:c r="G20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2" s="28" t="str">
        <x:v>Избыток кислоты делает вкус плоско-резким; белая часть кожуры даёт лишнюю горечь.</x:v>
      </x:c>
      <x:c r="I202" s="28" t="str">
        <x:v>лимонад, сорбет, компот, салат или фруктовый кордиал</x:v>
      </x:c>
      <x:c r="J202" s="28" t="str">
        <x:v>Средняя</x:v>
      </x:c>
      <x:c r="K202" s="28" t="str">
        <x:v>The Art &amp; Science of Foodpairing.pdf</x:v>
      </x:c>
      <x:c r="L202" s="28" t="str">
        <x:v>The Art &amp; Science of Foodpairing.pdf: 350</x:v>
      </x:c>
    </x:row>
    <x:row r="203" ht="62" customHeight="1">
      <x:c r="A203" s="28" t="str">
        <x:v>CIT-0604</x:v>
      </x:c>
      <x:c r="B203" s="28" t="str">
        <x:v>помело</x:v>
      </x:c>
      <x:c r="C203" s="28" t="str">
        <x:v>манго Кейтт</x:v>
      </x:c>
      <x:c r="D203" s="28" t="str">
        <x:v>Тропические фрукты</x:v>
      </x:c>
      <x:c r="E203" s="28" t="str">
        <x:v>вкусовой баланс</x:v>
      </x:c>
      <x:c r="F203" s="28" t="str">
        <x:v>Помело формирует профиль «цитрусовый, горький, свежий, сернистый»; характерные маркеры: лимонен, нооткатон, грейпфрутовые тиолы, нарингин. Манго кейтт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Горечь задают флавоноиды, аромат кожуры — терпены и следовые тиолы. Цитрус снижает ощущение приторности и усиливает летучие фруктовые эфиры.</x:v>
      </x:c>
      <x:c r="G20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3" s="28" t="str">
        <x:v>Избыток кислоты делает вкус плоско-резким; белая часть кожуры даёт лишнюю горечь.</x:v>
      </x:c>
      <x:c r="I203" s="28" t="str">
        <x:v>смузи, кордиал, сорбет, чатни или коктейль</x:v>
      </x:c>
      <x:c r="J203" s="28" t="str">
        <x:v>Средняя</x:v>
      </x:c>
      <x:c r="K203" s="28" t="str">
        <x:v>The Art &amp; Science of Foodpairing.pdf</x:v>
      </x:c>
      <x:c r="L203" s="28" t="str">
        <x:v>The Art &amp; Science of Foodpairing.pdf: 228</x:v>
      </x:c>
    </x:row>
    <x:row r="204" ht="62" customHeight="1">
      <x:c r="A204" s="28" t="str">
        <x:v>CIT-0610</x:v>
      </x:c>
      <x:c r="B204" s="28" t="str">
        <x:v>помело</x:v>
      </x:c>
      <x:c r="C204" s="28" t="str">
        <x:v>сушёные семена сельдерея</x:v>
      </x:c>
      <x:c r="D204" s="28" t="str">
        <x:v>Орехи и семена</x:v>
      </x:c>
      <x:c r="E204" s="28" t="str">
        <x:v>вкусовой баланс, влияние матрицы/растворимости</x:v>
      </x:c>
      <x:c r="F204" s="28" t="str">
        <x:v>Помело формирует профиль «цитрусовый, горький, свежий, сернистый»; характерные маркеры: лимонен, нооткатон, грейпфрутовые тиолы, нарингин. Сушёные семена сельдерея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Кислота режет жирность, а цедра связывается с обжаренными и цветочными нотами.</x:v>
      </x:c>
      <x:c r="G20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04" s="28" t="str">
        <x:v>Избыток кислоты делает вкус плоско-резким; белая часть кожуры даёт лишнюю горечь.</x:v>
      </x:c>
      <x:c r="I204" s="28" t="str">
        <x:v>пралине, крем, выпечка, салат или ореховый соус</x:v>
      </x:c>
      <x:c r="J204" s="28" t="str">
        <x:v>Средняя</x:v>
      </x:c>
      <x:c r="K204" s="28" t="str">
        <x:v>The Art &amp; Science of Foodpairing.pdf</x:v>
      </x:c>
      <x:c r="L204" s="28" t="str">
        <x:v>The Art &amp; Science of Foodpairing.pdf: 350</x:v>
      </x:c>
    </x:row>
    <x:row r="205" ht="62" customHeight="1">
      <x:c r="A205" s="28" t="str">
        <x:v>CIT-0615</x:v>
      </x:c>
      <x:c r="B205" s="28" t="str">
        <x:v>сок лайма</x:v>
      </x:c>
      <x:c r="C205" s="28" t="str">
        <x:v>дуриан Мон Тонг</x:v>
      </x:c>
      <x:c r="D205" s="28" t="str">
        <x:v>Тропические фрукты</x:v>
      </x:c>
      <x:c r="E205" s="28" t="str">
        <x:v>вкусовой баланс</x:v>
      </x:c>
      <x:c r="F205" s="28" t="str">
        <x:v>Сок лайма формирует профиль «цитрусовый, зелёный, травяной, камфорный»; характерные маркеры: лимонен, гамма-терпинен, цитраль, бета-пинен, линалол. Дуриан мон тонг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20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5" s="28" t="str">
        <x:v>Избыток кислоты делает вкус плоско-резким; белая часть кожуры даёт лишнюю горечь.</x:v>
      </x:c>
      <x:c r="I205" s="28" t="str">
        <x:v>смузи, кордиал, сорбет, чатни или коктейль</x:v>
      </x:c>
      <x:c r="J205" s="28" t="str">
        <x:v>Средняя</x:v>
      </x:c>
      <x:c r="K205" s="28" t="str">
        <x:v>The Art &amp; Science of Foodpairing.pdf</x:v>
      </x:c>
      <x:c r="L205" s="28" t="str">
        <x:v>The Art &amp; Science of Foodpairing.pdf: 87</x:v>
      </x:c>
    </x:row>
    <x:row r="206" ht="62" customHeight="1">
      <x:c r="A206" s="28" t="str">
        <x:v>CIT-0618</x:v>
      </x:c>
      <x:c r="B206" s="28" t="str">
        <x:v>сок лайма</x:v>
      </x:c>
      <x:c r="C206" s="28" t="str">
        <x:v>манго Альфонсо</x:v>
      </x:c>
      <x:c r="D206" s="28" t="str">
        <x:v>Тропические фрукты</x:v>
      </x:c>
      <x:c r="E206" s="28" t="str">
        <x:v>вкусовой баланс</x:v>
      </x:c>
      <x:c r="F206" s="28" t="str">
        <x:v>Сок лайма формирует профиль «цитрусовый, зелёный, травяной, камфорный»; характерные маркеры: лимонен, гамма-терпинен, цитраль, бета-пинен, линалол. Манго альфонсо относится к группе «тропические фрукты» и даёт ноты «фруктовый, тропический, цветочный, сливочный».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Цитрус снижает ощущение приторности и усиливает летучие фруктовые эфиры.</x:v>
      </x:c>
      <x:c r="G20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06" s="28" t="str">
        <x:v>Избыток кислоты делает вкус плоско-резким; белая часть кожуры даёт лишнюю горечь.</x:v>
      </x:c>
      <x:c r="I206" s="28" t="str">
        <x:v>смузи, кордиал, сорбет, чатни или коктейль</x:v>
      </x:c>
      <x:c r="J206" s="28" t="str">
        <x:v>Средняя</x:v>
      </x:c>
      <x:c r="K206" s="28" t="str">
        <x:v>The Art &amp; Science of Foodpairing.pdf</x:v>
      </x:c>
      <x:c r="L206" s="28" t="str">
        <x:v>The Art &amp; Science of Foodpairing.pdf: 87</x:v>
      </x:c>
    </x:row>
    <x:row r="207" ht="62" customHeight="1">
      <x:c r="A207" s="28" t="str">
        <x:v>CIT-0619</x:v>
      </x:c>
      <x:c r="B207" s="28" t="str">
        <x:v>сок лайма</x:v>
      </x:c>
      <x:c r="C207" s="28" t="str">
        <x:v>мускатный орех</x:v>
      </x:c>
      <x:c r="D207" s="28" t="str">
        <x:v>Орехи и семена</x:v>
      </x:c>
      <x:c r="E207" s="28" t="str">
        <x:v>перекрытие ароматических семейств, вкусовой баланс, влияние матрицы/растворимости</x:v>
      </x:c>
      <x:c r="F207" s="28" t="str">
        <x:v>Сок лайма формирует профиль «цитрусовый, зелёный, травяной, камфорный»; характерные маркеры: лимонен, гамма-терпинен, цитраль, бета-пинен, линалол. Мускатный орех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G20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07" s="28" t="str">
        <x:v>Избыток кислоты делает вкус плоско-резким; белая часть кожуры даёт лишнюю горечь.</x:v>
      </x:c>
      <x:c r="I207" s="28" t="str">
        <x:v>пралине, крем, выпечка, салат или ореховый соус</x:v>
      </x:c>
      <x:c r="J207" s="28" t="str">
        <x:v>Средняя</x:v>
      </x:c>
      <x:c r="K207" s="28" t="str">
        <x:v>The Art &amp; Science of Foodpairing.pdf</x:v>
      </x:c>
      <x:c r="L207" s="28" t="str">
        <x:v>The Art &amp; Science of Foodpairing.pdf: 87</x:v>
      </x:c>
    </x:row>
    <x:row r="208" ht="62" customHeight="1">
      <x:c r="A208" s="28" t="str">
        <x:v>CIT-0622</x:v>
      </x:c>
      <x:c r="B208" s="28" t="str">
        <x:v>сок лайма</x:v>
      </x:c>
      <x:c r="C208" s="28" t="str">
        <x:v>приготовленный бурый рис</x:v>
      </x:c>
      <x:c r="D208" s="28" t="str">
        <x:v>Злаки и хлеб</x:v>
      </x:c>
      <x:c r="E208" s="28" t="str">
        <x:v>вкусовой баланс</x:v>
      </x:c>
      <x:c r="F208" s="28" t="str">
        <x:v>Сок лайма формирует профиль «цитрусовый, зелёный, травяной, камфорный»; характерные маркеры: лимонен, гамма-терпинен, цитраль, бета-пинен, линалол. Приготовленный бурый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освежает зерновой профиль и создаёт контраст с обжаренными нотами.</x:v>
      </x:c>
      <x:c r="G20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8" s="28" t="str">
        <x:v>Избыток кислоты делает вкус плоско-резким; белая часть кожуры даёт лишнюю горечь.</x:v>
      </x:c>
      <x:c r="I208" s="28" t="str">
        <x:v>кекс, каша, хлеб, крамбл или салат</x:v>
      </x:c>
      <x:c r="J208" s="28" t="str">
        <x:v>Средняя</x:v>
      </x:c>
      <x:c r="K208" s="28" t="str">
        <x:v>The Art &amp; Science of Foodpairing.pdf</x:v>
      </x:c>
      <x:c r="L208" s="28" t="str">
        <x:v>The Art &amp; Science of Foodpairing.pdf: 108</x:v>
      </x:c>
    </x:row>
    <x:row r="209" ht="62" customHeight="1">
      <x:c r="A209" s="28" t="str">
        <x:v>CIT-0624</x:v>
      </x:c>
      <x:c r="B209" s="28" t="str">
        <x:v>сок лайма</x:v>
      </x:c>
      <x:c r="C209" s="28" t="str">
        <x:v>чеддер</x:v>
      </x:c>
      <x:c r="D209" s="28" t="str">
        <x:v>Молочные продукты</x:v>
      </x:c>
      <x:c r="E209" s="28" t="str">
        <x:v>вкусовой баланс, влияние матрицы/растворимости</x:v>
      </x:c>
      <x:c r="F209" s="28" t="str">
        <x:v>Сок лайма формирует профиль «цитрусовый, зелёный, травяной, камфорный»; характерные маркеры: лимонен, гамма-терпинен, цитраль, бета-пинен, линалол. Чеддер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режет жирность и освежает, а молочная матрица смягчает кислотность.</x:v>
      </x:c>
      <x:c r="G209"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209" s="28" t="str">
        <x:v>Избыток кислоты делает вкус плоско-резким; белая часть кожуры даёт лишнюю горечь; возможна коагуляция белка.</x:v>
      </x:c>
      <x:c r="I209" s="28" t="str">
        <x:v>чизкейк, крем, мороженое, соус или салат</x:v>
      </x:c>
      <x:c r="J209" s="28" t="str">
        <x:v>Средняя</x:v>
      </x:c>
      <x:c r="K209" s="28" t="str">
        <x:v>The Art &amp; Science of Foodpairing.pdf</x:v>
      </x:c>
      <x:c r="L209" s="28" t="str">
        <x:v>The Art &amp; Science of Foodpairing.pdf: 87</x:v>
      </x:c>
    </x:row>
    <x:row r="210" ht="62" customHeight="1">
      <x:c r="A210" s="28" t="str">
        <x:v>CIT-0626</x:v>
      </x:c>
      <x:c r="B210" s="28" t="str">
        <x:v>танжерин</x:v>
      </x:c>
      <x:c r="C210" s="28" t="str">
        <x:v>гуава Кеттли</x:v>
      </x:c>
      <x:c r="D210" s="28" t="str">
        <x:v>Тропические фрукты</x:v>
      </x:c>
      <x:c r="E210" s="28" t="str">
        <x:v>перекрытие ароматических семейств, вкусовой баланс</x:v>
      </x:c>
      <x:c r="F210" s="28" t="str">
        <x:v>Танжерин формирует профиль «цитрусовый, фруктовый, цветочный, пряный»; характерные маркеры: лимонен, гамма-терпинен, метил-N-метилантранилат, линалол. Гуава кеттли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21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10" s="28" t="str">
        <x:v>Избыток кислоты делает вкус плоско-резким; белая часть кожуры даёт лишнюю горечь.</x:v>
      </x:c>
      <x:c r="I210" s="28" t="str">
        <x:v>смузи, кордиал, сорбет, чатни или коктейль</x:v>
      </x:c>
      <x:c r="J210" s="28" t="str">
        <x:v>Средняя</x:v>
      </x:c>
      <x:c r="K210" s="28" t="str">
        <x:v>The Art &amp; Science of Foodpairing.pdf</x:v>
      </x:c>
      <x:c r="L210" s="28" t="str">
        <x:v>The Art &amp; Science of Foodpairing.pdf: 215</x:v>
      </x:c>
    </x:row>
    <x:row r="211" ht="62" customHeight="1">
      <x:c r="A211" s="28" t="str">
        <x:v>CIT-0631</x:v>
      </x:c>
      <x:c r="B211" s="28" t="str">
        <x:v>танжерин</x:v>
      </x:c>
      <x:c r="C211" s="28" t="str">
        <x:v>лонган</x:v>
      </x:c>
      <x:c r="D211" s="28" t="str">
        <x:v>Тропические фрукты</x:v>
      </x:c>
      <x:c r="E211" s="28" t="str">
        <x:v>перекрытие ароматических семейств, вкусовой баланс</x:v>
      </x:c>
      <x:c r="F211" s="28" t="str">
        <x:v>Танжерин формирует профиль «цитрусовый, фруктовый, цветочный, пряный»; характерные маркеры: лимонен, гамма-терпинен, метил-N-метилантранилат, линалол. Лонган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21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11" s="28" t="str">
        <x:v>Избыток кислоты делает вкус плоско-резким; белая часть кожуры даёт лишнюю горечь.</x:v>
      </x:c>
      <x:c r="I211" s="28" t="str">
        <x:v>смузи, кордиал, сорбет, чатни или коктейль</x:v>
      </x:c>
      <x:c r="J211" s="28" t="str">
        <x:v>Средняя</x:v>
      </x:c>
      <x:c r="K211" s="28" t="str">
        <x:v>The Art &amp; Science of Foodpairing.pdf</x:v>
      </x:c>
      <x:c r="L211" s="28" t="str">
        <x:v>The Art &amp; Science of Foodpairing.pdf: 74</x:v>
      </x:c>
    </x:row>
    <x:row r="212" ht="62" customHeight="1">
      <x:c r="A212" s="28" t="str">
        <x:v>CIT-0634</x:v>
      </x:c>
      <x:c r="B212" s="28" t="str">
        <x:v>танжерин</x:v>
      </x:c>
      <x:c r="C212" s="28" t="str">
        <x:v>молодой чеддер</x:v>
      </x:c>
      <x:c r="D212" s="28" t="str">
        <x:v>Молочные продукты</x:v>
      </x:c>
      <x:c r="E212" s="28" t="str">
        <x:v>вкусовой баланс, влияние матрицы/растворимости</x:v>
      </x:c>
      <x:c r="F212" s="28" t="str">
        <x:v>Танжерин формирует профиль «цитрусовый, фруктовый, цветочный, пряный»; характерные маркеры: лимонен, гамма-терпинен, метил-N-метилантранилат, линалол. Молодой чеддер относится к группе «молочные продукты» и даёт ноты «сливочный, молочный, масляный, иногда животный».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режет жирность и освежает, а молочная матрица смягчает кислотность.</x:v>
      </x:c>
      <x:c r="G212" s="28" t="str">
        <x:v>Для максимальной свежести сок лучше вводить ближе к концу, а цедру или эфирное масло — дозировать отдельно. Кислый сок может свернуть молочный белок: для гладкой текстуры используйте цедру, стабилизированную эмульсию или контролируемое подкисление.</x:v>
      </x:c>
      <x:c r="H212" s="28" t="str">
        <x:v>Избыток кислоты делает вкус плоско-резким; белая часть кожуры даёт лишнюю горечь; возможна коагуляция белка.</x:v>
      </x:c>
      <x:c r="I212" s="28" t="str">
        <x:v>чизкейк, крем, мороженое, соус или салат</x:v>
      </x:c>
      <x:c r="J212" s="28" t="str">
        <x:v>Средняя</x:v>
      </x:c>
      <x:c r="K212" s="28" t="str">
        <x:v>The Art &amp; Science of Foodpairing.pdf</x:v>
      </x:c>
      <x:c r="L212" s="28" t="str">
        <x:v>The Art &amp; Science of Foodpairing.pdf: 52</x:v>
      </x:c>
    </x:row>
    <x:row r="213" ht="62" customHeight="1">
      <x:c r="A213" s="28" t="str">
        <x:v>CIT-0640</x:v>
      </x:c>
      <x:c r="B213" s="28" t="str">
        <x:v>танжерин</x:v>
      </x:c>
      <x:c r="C213" s="28" t="str">
        <x:v>семена льна</x:v>
      </x:c>
      <x:c r="D213" s="28" t="str">
        <x:v>Орехи и семена</x:v>
      </x:c>
      <x:c r="E213" s="28" t="str">
        <x:v>вкусовой баланс, влияние матрицы/растворимости</x:v>
      </x:c>
      <x:c r="F213" s="28" t="str">
        <x:v>Танжерин формирует профиль «цитрусовый, фруктовый, цветочный, пряный»; характерные маркеры: лимонен, гамма-терпинен, метил-N-метилантранилат, линалол. Семена льна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G213"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13" s="28" t="str">
        <x:v>Избыток кислоты делает вкус плоско-резким; белая часть кожуры даёт лишнюю горечь.</x:v>
      </x:c>
      <x:c r="I213" s="28" t="str">
        <x:v>пралине, крем, выпечка, салат или ореховый соус</x:v>
      </x:c>
      <x:c r="J213" s="28" t="str">
        <x:v>Средняя</x:v>
      </x:c>
      <x:c r="K213" s="28" t="str">
        <x:v>The Art &amp; Science of Foodpairing.pdf</x:v>
      </x:c>
      <x:c r="L213" s="28" t="str">
        <x:v>The Art &amp; Science of Foodpairing.pdf: 123</x:v>
      </x:c>
    </x:row>
    <x:row r="214" ht="62" customHeight="1">
      <x:c r="A214" s="28" t="str">
        <x:v>CIT-0641</x:v>
      </x:c>
      <x:c r="B214" s="28" t="str">
        <x:v>танжерин</x:v>
      </x:c>
      <x:c r="C214" s="28" t="str">
        <x:v>семена чёрного тмина</x:v>
      </x:c>
      <x:c r="D214" s="28" t="str">
        <x:v>Орехи и семена</x:v>
      </x:c>
      <x:c r="E214" s="28" t="str">
        <x:v>вкусовой баланс, влияние матрицы/растворимости</x:v>
      </x:c>
      <x:c r="F214" s="28" t="str">
        <x:v>Танжерин формирует профиль «цитрусовый, фруктовый, цветочный, пряный»; характерные маркеры: лимонен, гамма-терпинен, метил-N-метилантранилат, линалол. Семена чёрного тмина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G214"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14" s="28" t="str">
        <x:v>Избыток кислоты делает вкус плоско-резким; белая часть кожуры даёт лишнюю горечь.</x:v>
      </x:c>
      <x:c r="I214" s="28" t="str">
        <x:v>пралине, крем, выпечка, салат или ореховый соус</x:v>
      </x:c>
      <x:c r="J214" s="28" t="str">
        <x:v>Средняя</x:v>
      </x:c>
      <x:c r="K214" s="28" t="str">
        <x:v>The Art &amp; Science of Foodpairing.pdf</x:v>
      </x:c>
      <x:c r="L214" s="28" t="str">
        <x:v>The Art &amp; Science of Foodpairing.pdf: 236</x:v>
      </x:c>
    </x:row>
    <x:row r="215" ht="62" customHeight="1">
      <x:c r="A215" s="28" t="str">
        <x:v>CIT-0643</x:v>
      </x:c>
      <x:c r="B215" s="28" t="str">
        <x:v>танжерин</x:v>
      </x:c>
      <x:c r="C215" s="28" t="str">
        <x:v>сушёный барбарис</x:v>
      </x:c>
      <x:c r="D215" s="28" t="str">
        <x:v>Злаки и хлеб</x:v>
      </x:c>
      <x:c r="E215" s="28" t="str">
        <x:v>вкусовой баланс</x:v>
      </x:c>
      <x:c r="F215" s="28" t="str">
        <x:v>Танжерин формирует профиль «цитрусовый, фруктовый, цветочный, пряный»; характерные маркеры: лимонен, гамма-терпинен, метил-N-метилантранилат, линалол. Сушёный барбарис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G21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15" s="28" t="str">
        <x:v>Избыток кислоты делает вкус плоско-резким; белая часть кожуры даёт лишнюю горечь.</x:v>
      </x:c>
      <x:c r="I215" s="28" t="str">
        <x:v>кекс, каша, хлеб, крамбл или салат</x:v>
      </x:c>
      <x:c r="J215" s="28" t="str">
        <x:v>Средняя</x:v>
      </x:c>
      <x:c r="K215" s="28" t="str">
        <x:v>The Art &amp; Science of Foodpairing.pdf</x:v>
      </x:c>
      <x:c r="L215" s="28" t="str">
        <x:v>The Art &amp; Science of Foodpairing.pdf: 123</x:v>
      </x:c>
    </x:row>
    <x:row r="216" ht="62" customHeight="1">
      <x:c r="A216" s="28" t="str">
        <x:v>CIT-0651</x:v>
      </x:c>
      <x:c r="B216" s="28" t="str">
        <x:v>танжерин (tangerine)</x:v>
      </x:c>
      <x:c r="C216" s="28" t="str">
        <x:v>мёд</x:v>
      </x:c>
      <x:c r="D216" s="28" t="str">
        <x:v>Подсластители</x:v>
      </x:c>
      <x:c r="E216" s="28" t="str">
        <x:v>перекрытие ароматических семейств, вкусовой баланс</x:v>
      </x:c>
      <x:c r="F216"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Мёд относится к группе «подсластители» и даёт ноты «медовый,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Сладость подавляет воспринимаемую кислотность и горечь кожуры, а кислота не даёт сочетанию стать приторным. Мандариновая группа мягче по кислотности и выраженнее по сладко-цветочным нотам. Сладость балансирует кислоту и горечь кожуры; цветочные компоненты могут поддерживать цитрус.</x:v>
      </x:c>
      <x:c r="G21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16" s="28" t="str">
        <x:v>Избыток кислоты делает вкус плоско-резким; белая часть кожуры даёт лишнюю горечь.</x:v>
      </x:c>
      <x:c r="I216" s="28" t="str">
        <x:v>сироп, мармелад, крем, глазурь или лимонад</x:v>
      </x:c>
      <x:c r="J216" s="28" t="str">
        <x:v>Гипотеза / практическая</x:v>
      </x:c>
      <x:c r="K216" s="28" t="str">
        <x:v>Таблица сочетания(1).pdf</x:v>
      </x:c>
      <x:c r="L216" s="28" t="str">
        <x:v>Таблица сочетания(1).pdf: 21</x:v>
      </x:c>
    </x:row>
    <x:row r="217" ht="62" customHeight="1">
      <x:c r="A217" s="28" t="str">
        <x:v>CIT-0653</x:v>
      </x:c>
      <x:c r="B217" s="28" t="str">
        <x:v>танжерин (tangerine)</x:v>
      </x:c>
      <x:c r="C217" s="28" t="str">
        <x:v>цитрусовые</x:v>
      </x:c>
      <x:c r="D217" s="28" t="str">
        <x:v>Цитрусовые</x:v>
      </x:c>
      <x:c r="E217" s="28" t="str">
        <x:v>общие ароматические молекулы, перекрытие ароматических семейств, вкусовой баланс, тройничное восприятие</x:v>
      </x:c>
      <x:c r="F217"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Цитрусовые относится к группе «цитрусовые» и даёт ноты «цитрусовый, свежий, цветочный, древесный». Наиболее правдоподобный молекулярный мост — гамма-терпинен, лимонен; дополнительно совпадают ароматические семейства: цветочный, цитрусовый. Сочетание строится на близком терпеновом профиле; различия в кислотности, горечи и цветочно-зелёных оттенках создают объём. Мандариновая группа мягче по кислотности и выраженнее по сладко-цветочным нотам. Сок определяется цитралем и кислотностью, цедра — лимоненом и терпенами.</x:v>
      </x:c>
      <x:c r="G21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17" s="28" t="str">
        <x:v>Избыток кислоты делает вкус плоско-резким; белая часть кожуры даёт лишнюю горечь.</x:v>
      </x:c>
      <x:c r="I217" s="28" t="str">
        <x:v>цитрусовый кордиал, мармелад, сорбет, салат или купаж соков</x:v>
      </x:c>
      <x:c r="J217" s="28" t="str">
        <x:v>Средняя</x:v>
      </x:c>
      <x:c r="K217" s="28" t="str">
        <x:v>Таблица сочетания(1).pdf</x:v>
      </x:c>
      <x:c r="L217" s="28" t="str">
        <x:v>Таблица сочетания(1).pdf: 21</x:v>
      </x:c>
    </x:row>
    <x:row r="218" ht="62" customHeight="1">
      <x:c r="A218" s="28" t="str">
        <x:v>CIT-0654</x:v>
      </x:c>
      <x:c r="B218" s="28" t="str">
        <x:v>танжерин (tangerine)</x:v>
      </x:c>
      <x:c r="C218" s="28" t="str">
        <x:v>яблоко</x:v>
      </x:c>
      <x:c r="D218" s="28" t="str">
        <x:v>Фрукты</x:v>
      </x:c>
      <x:c r="E218" s="28" t="str">
        <x:v>перекрытие ароматических семейств, вкусовой баланс</x:v>
      </x:c>
      <x:c r="F218"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Яблочные эфиры и зелёные альдегиды хорошо поддерживают свежий цитрус.</x:v>
      </x:c>
      <x:c r="G21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18" s="28" t="str">
        <x:v>Избыток кислоты делает вкус плоско-резким; белая часть кожуры даёт лишнюю горечь.</x:v>
      </x:c>
      <x:c r="I218" s="28" t="str">
        <x:v>лимонад, сорбет, компот, салат или фруктовый кордиал</x:v>
      </x:c>
      <x:c r="J218" s="28" t="str">
        <x:v>Гипотеза / практическая</x:v>
      </x:c>
      <x:c r="K218" s="28" t="str">
        <x:v>Таблица сочетания(1).pdf</x:v>
      </x:c>
      <x:c r="L218" s="28" t="str">
        <x:v>Таблица сочетания(1).pdf: 21</x:v>
      </x:c>
    </x:row>
    <x:row r="219" ht="62" customHeight="1">
      <x:c r="A219" s="28" t="str">
        <x:v>CIT-0656</x:v>
      </x:c>
      <x:c r="B219" s="28" t="str">
        <x:v>трипл-сек</x:v>
      </x:c>
      <x:c r="C219" s="28" t="str">
        <x:v>груша Вильямс</x:v>
      </x:c>
      <x:c r="D219" s="28" t="str">
        <x:v>Фрукты</x:v>
      </x:c>
      <x:c r="E219" s="28" t="str">
        <x:v>перекрытие ароматических семейств, вкусовой баланс</x:v>
      </x:c>
      <x:c r="F219" s="28" t="str">
        <x:v>Трипл-сек формирует профиль «цитрусовый, сладко-фруктовый, цветочный, восковой»; характерные маркеры: лимонен, линалол, деканаль, октаналь, мирцен. Груша вильямс относится к группе «фрукты» и даёт ноты «фруктовый, цветочный, восковой». Прямой общий ключевой одорант из доступных профилей не фиксируется, однако продукты пересекаются на уровне семейств: восковой,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Груша мягкая и сладкая, поэтому цитрус добавляет ей контур и свежесть.</x:v>
      </x:c>
      <x:c r="G21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19" s="28" t="str">
        <x:v>Избыток кислоты делает вкус плоско-резким; белая часть кожуры даёт лишнюю горечь.</x:v>
      </x:c>
      <x:c r="I219" s="28" t="str">
        <x:v>лимонад, сорбет, компот, салат или фруктовый кордиал</x:v>
      </x:c>
      <x:c r="J219" s="28" t="str">
        <x:v>Средняя</x:v>
      </x:c>
      <x:c r="K219" s="28" t="str">
        <x:v>The Art &amp; Science of Foodpairing.pdf</x:v>
      </x:c>
      <x:c r="L219" s="28" t="str">
        <x:v>The Art &amp; Science of Foodpairing.pdf: 347</x:v>
      </x:c>
    </x:row>
    <x:row r="220" ht="62" customHeight="1">
      <x:c r="A220" s="28" t="str">
        <x:v>CIT-0660</x:v>
      </x:c>
      <x:c r="B220" s="28" t="str">
        <x:v>цедра танжерина</x:v>
      </x:c>
      <x:c r="C220" s="28" t="str">
        <x:v>манго Кейтт</x:v>
      </x:c>
      <x:c r="D220" s="28" t="str">
        <x:v>Тропические фрукты</x:v>
      </x:c>
      <x:c r="E220" s="28" t="str">
        <x:v>перекрытие ароматических семейств, вкусовой баланс</x:v>
      </x:c>
      <x:c r="F220"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Манго кейтт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снижает ощущение приторности и усиливает летучие фруктовые эфиры.</x:v>
      </x:c>
      <x:c r="G22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20" s="28" t="str">
        <x:v>Избыток кислоты делает вкус плоско-резким; белая часть кожуры даёт лишнюю горечь.</x:v>
      </x:c>
      <x:c r="I220" s="28" t="str">
        <x:v>смузи, кордиал, сорбет, чатни или коктейль</x:v>
      </x:c>
      <x:c r="J220" s="28" t="str">
        <x:v>Средняя</x:v>
      </x:c>
      <x:c r="K220" s="28" t="str">
        <x:v>The Art &amp; Science of Foodpairing.pdf</x:v>
      </x:c>
      <x:c r="L220" s="28" t="str">
        <x:v>The Art &amp; Science of Foodpairing.pdf: 228</x:v>
      </x:c>
    </x:row>
    <x:row r="221" ht="62" customHeight="1">
      <x:c r="A221" s="28" t="str">
        <x:v>CIT-0663</x:v>
      </x:c>
      <x:c r="B221" s="28" t="str">
        <x:v>цедра танжерина</x:v>
      </x:c>
      <x:c r="C221" s="28" t="str">
        <x:v>приготовленный бурый рис</x:v>
      </x:c>
      <x:c r="D221" s="28" t="str">
        <x:v>Злаки и хлеб</x:v>
      </x:c>
      <x:c r="E221" s="28" t="str">
        <x:v>вкусовой баланс</x:v>
      </x:c>
      <x:c r="F221"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Приготовленный бурый рис относится к группе «злаки и хлеб» и даёт ноты «зерновой, обжаренный, ореховый, дрожжевой».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Мандариновая группа мягче по кислотности и выраженнее по сладко-цветочным нотам. Цитрус освежает зерновой профиль и создаёт контраст с обжаренными нотами.</x:v>
      </x:c>
      <x:c r="G22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21" s="28" t="str">
        <x:v>Избыток кислоты делает вкус плоско-резким; белая часть кожуры даёт лишнюю горечь.</x:v>
      </x:c>
      <x:c r="I221" s="28" t="str">
        <x:v>кекс, каша, хлеб, крамбл или салат</x:v>
      </x:c>
      <x:c r="J221" s="28" t="str">
        <x:v>Средняя</x:v>
      </x:c>
      <x:c r="K221" s="28" t="str">
        <x:v>The Art &amp; Science of Foodpairing.pdf</x:v>
      </x:c>
      <x:c r="L221" s="28" t="str">
        <x:v>The Art &amp; Science of Foodpairing.pdf: 108</x:v>
      </x:c>
    </x:row>
    <x:row r="222" ht="62" customHeight="1">
      <x:c r="A222" s="28" t="str">
        <x:v>CIT-0664</x:v>
      </x:c>
      <x:c r="B222" s="28" t="str">
        <x:v>цедра танжерина</x:v>
      </x:c>
      <x:c r="C222" s="28" t="str">
        <x:v>семена зиры</x:v>
      </x:c>
      <x:c r="D222" s="28" t="str">
        <x:v>Орехи и семена</x:v>
      </x:c>
      <x:c r="E222" s="28" t="str">
        <x:v>вкусовой баланс, влияние матрицы/растворимости</x:v>
      </x:c>
      <x:c r="F222"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Семена зиры относится к группе «орехи и семена» и даёт ноты «ореховый, обжаренный, жирный, зелёный».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Кислота режет жирность, а цедра связывается с обжаренными и цветочными нотами.</x:v>
      </x:c>
      <x:c r="G222"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22" s="28" t="str">
        <x:v>Избыток кислоты делает вкус плоско-резким; белая часть кожуры даёт лишнюю горечь.</x:v>
      </x:c>
      <x:c r="I222" s="28" t="str">
        <x:v>пралине, крем, выпечка, салат или ореховый соус</x:v>
      </x:c>
      <x:c r="J222" s="28" t="str">
        <x:v>Средняя</x:v>
      </x:c>
      <x:c r="K222" s="28" t="str">
        <x:v>The Art &amp; Science of Foodpairing.pdf</x:v>
      </x:c>
      <x:c r="L222" s="28" t="str">
        <x:v>The Art &amp; Science of Foodpairing.pdf: 228</x:v>
      </x:c>
    </x:row>
    <x:row r="223" ht="62" customHeight="1">
      <x:c r="A223" s="28" t="str">
        <x:v>CIT-0665</x:v>
      </x:c>
      <x:c r="B223" s="28" t="str">
        <x:v>цедра танжерина</x:v>
      </x:c>
      <x:c r="C223" s="28" t="str">
        <x:v>сушёные ягоды можжевельника</x:v>
      </x:c>
      <x:c r="D223" s="28" t="str">
        <x:v>Ягоды/косточковые</x:v>
      </x:c>
      <x:c r="E223" s="28" t="str">
        <x:v>перекрытие ароматических семейств, вкусовой баланс</x:v>
      </x:c>
      <x:c r="F223"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Сушёные ягоды можжевельника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фруктовый,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Мандариновая группа мягче по кислотности и выраженнее по сладко-цветочным нотам. Цитрус усиливает кислотный контур, а цветочные терпены поддерживают ягодный аромат.</x:v>
      </x:c>
      <x:c r="G22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23" s="28" t="str">
        <x:v>Избыток кислоты делает вкус плоско-резким; белая часть кожуры даёт лишнюю горечь.</x:v>
      </x:c>
      <x:c r="I223" s="28" t="str">
        <x:v>джем, сорбет, коктейль или соус</x:v>
      </x:c>
      <x:c r="J223" s="28" t="str">
        <x:v>Средняя</x:v>
      </x:c>
      <x:c r="K223" s="28" t="str">
        <x:v>The Art &amp; Science of Foodpairing.pdf</x:v>
      </x:c>
      <x:c r="L223" s="28" t="str">
        <x:v>The Art &amp; Science of Foodpairing.pdf: 228</x:v>
      </x:c>
    </x:row>
    <x:row r="224" ht="62" customHeight="1">
      <x:c r="A224" s="28" t="str">
        <x:v>CIT-0670</x:v>
      </x:c>
      <x:c r="B224" s="28" t="str">
        <x:v>цитрусовые</x:v>
      </x:c>
      <x:c r="C224" s="28" t="str">
        <x:v>вишня</x:v>
      </x:c>
      <x:c r="D224" s="28" t="str">
        <x:v>Ягоды/косточковые</x:v>
      </x:c>
      <x:c r="E224" s="28" t="str">
        <x:v>перекрытие ароматических семейств, вкусовой баланс</x:v>
      </x:c>
      <x:c r="F224"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Вишня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22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24" s="28" t="str">
        <x:v>Избыток кислоты делает вкус плоско-резким; белая часть кожуры даёт лишнюю горечь.</x:v>
      </x:c>
      <x:c r="I224" s="28" t="str">
        <x:v>джем, сорбет, коктейль или соус</x:v>
      </x:c>
      <x:c r="J224" s="28" t="str">
        <x:v>Гипотеза / практическая</x:v>
      </x:c>
      <x:c r="K224" s="28" t="str">
        <x:v>Таблица сочетания(1).pdf</x:v>
      </x:c>
      <x:c r="L224" s="28" t="str">
        <x:v>Таблица сочетания(1).pdf: 4</x:v>
      </x:c>
    </x:row>
    <x:row r="225" ht="62" customHeight="1">
      <x:c r="A225" s="28" t="str">
        <x:v>CIT-0672</x:v>
      </x:c>
      <x:c r="B225" s="28" t="str">
        <x:v>цитрусовые</x:v>
      </x:c>
      <x:c r="C225" s="28" t="str">
        <x:v>груша</x:v>
      </x:c>
      <x:c r="D225" s="28" t="str">
        <x:v>Фрукты</x:v>
      </x:c>
      <x:c r="E225" s="28" t="str">
        <x:v>перекрытие ароматических семейств, вкусовой баланс</x:v>
      </x:c>
      <x:c r="F225"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Груша относится к группе «фрукты» и даёт ноты «фруктовый, цветочный, восковой».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Груша мягкая и сладкая, поэтому цитрус добавляет ей контур и свежесть.</x:v>
      </x:c>
      <x:c r="G225"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25" s="28" t="str">
        <x:v>Избыток кислоты делает вкус плоско-резким; белая часть кожуры даёт лишнюю горечь.</x:v>
      </x:c>
      <x:c r="I225" s="28" t="str">
        <x:v>лимонад, сорбет, компот, салат или фруктовый кордиал</x:v>
      </x:c>
      <x:c r="J225" s="28" t="str">
        <x:v>Гипотеза / практическая</x:v>
      </x:c>
      <x:c r="K225" s="28" t="str">
        <x:v>Таблица сочетания(1).pdf</x:v>
      </x:c>
      <x:c r="L225" s="28" t="str">
        <x:v>Таблица сочетания(1).pdf: 16</x:v>
      </x:c>
    </x:row>
    <x:row r="226" ht="62" customHeight="1">
      <x:c r="A226" s="28" t="str">
        <x:v>CIT-0673</x:v>
      </x:c>
      <x:c r="B226" s="28" t="str">
        <x:v>цитрусовые</x:v>
      </x:c>
      <x:c r="C226" s="28" t="str">
        <x:v>ежевика</x:v>
      </x:c>
      <x:c r="D226" s="28" t="str">
        <x:v>Ягоды/косточковые</x:v>
      </x:c>
      <x:c r="E226" s="28" t="str">
        <x:v>перекрытие ароматических семейств, вкусовой баланс</x:v>
      </x:c>
      <x:c r="F226"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Ежевика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226"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26" s="28" t="str">
        <x:v>Избыток кислоты делает вкус плоско-резким; белая часть кожуры даёт лишнюю горечь.</x:v>
      </x:c>
      <x:c r="I226" s="28" t="str">
        <x:v>джем, сорбет, коктейль или соус</x:v>
      </x:c>
      <x:c r="J226" s="28" t="str">
        <x:v>Гипотеза / практическая</x:v>
      </x:c>
      <x:c r="K226" s="28" t="str">
        <x:v>Таблица сочетания(1).pdf</x:v>
      </x:c>
      <x:c r="L226" s="28" t="str">
        <x:v>Таблица сочетания(1).pdf: 2</x:v>
      </x:c>
    </x:row>
    <x:row r="227" ht="62" customHeight="1">
      <x:c r="A227" s="28" t="str">
        <x:v>CIT-0674</x:v>
      </x:c>
      <x:c r="B227" s="28" t="str">
        <x:v>цитрусовые</x:v>
      </x:c>
      <x:c r="C227" s="28" t="str">
        <x:v>клубника</x:v>
      </x:c>
      <x:c r="D227" s="28" t="str">
        <x:v>Ягоды</x:v>
      </x:c>
      <x:c r="E227" s="28" t="str">
        <x:v>перекрытие ароматических семейств, вкусовой баланс</x:v>
      </x:c>
      <x:c r="F227"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Клубника относится к группе «ягоды» и даёт ноты «фруктовый, цветочный, карамельный».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Фуранеол даёт карамельно-ананасовый оттенок, цитрус подчёркивает свежие эфиры.</x:v>
      </x:c>
      <x:c r="G227"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27" s="28" t="str">
        <x:v>Избыток кислоты делает вкус плоско-резким; белая часть кожуры даёт лишнюю горечь.</x:v>
      </x:c>
      <x:c r="I227" s="28" t="str">
        <x:v>морс, кордиал, джем, сорбет или коктейль</x:v>
      </x:c>
      <x:c r="J227" s="28" t="str">
        <x:v>Гипотеза / практическая</x:v>
      </x:c>
      <x:c r="K227" s="28" t="str">
        <x:v>Таблица сочетания(1).pdf</x:v>
      </x:c>
      <x:c r="L227" s="28" t="str">
        <x:v>Таблица сочетания(1).pdf: 20</x:v>
      </x:c>
    </x:row>
    <x:row r="228" ht="62" customHeight="1">
      <x:c r="A228" s="28" t="str">
        <x:v>CIT-0675</x:v>
      </x:c>
      <x:c r="B228" s="28" t="str">
        <x:v>цитрусовые</x:v>
      </x:c>
      <x:c r="C228" s="28" t="str">
        <x:v>личи</x:v>
      </x:c>
      <x:c r="D228" s="28" t="str">
        <x:v>Тропические фрукты</x:v>
      </x:c>
      <x:c r="E228" s="28" t="str">
        <x:v>перекрытие ароматических семейств, вкусовой баланс</x:v>
      </x:c>
      <x:c r="F228"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Личи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22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28" s="28" t="str">
        <x:v>Избыток кислоты делает вкус плоско-резким; белая часть кожуры даёт лишнюю горечь.</x:v>
      </x:c>
      <x:c r="I228" s="28" t="str">
        <x:v>смузи, кордиал, сорбет, чатни или коктейль</x:v>
      </x:c>
      <x:c r="J228" s="28" t="str">
        <x:v>Гипотеза / практическая</x:v>
      </x:c>
      <x:c r="K228" s="28" t="str">
        <x:v>Таблица сочетания(1).pdf</x:v>
      </x:c>
      <x:c r="L228" s="28" t="str">
        <x:v>Таблица сочетания(1).pdf: 12</x:v>
      </x:c>
    </x:row>
    <x:row r="229" ht="62" customHeight="1">
      <x:c r="A229" s="28" t="str">
        <x:v>CIT-0676</x:v>
      </x:c>
      <x:c r="B229" s="28" t="str">
        <x:v>цитрусовые</x:v>
      </x:c>
      <x:c r="C229" s="28" t="str">
        <x:v>малина</x:v>
      </x:c>
      <x:c r="D229" s="28" t="str">
        <x:v>Ягоды/косточковые</x:v>
      </x:c>
      <x:c r="E229" s="28" t="str">
        <x:v>перекрытие ароматических семейств, вкусовой баланс</x:v>
      </x:c>
      <x:c r="F229"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Малина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усиливает кислотный контур, а цветочные терпены поддерживают ягодный аромат.</x:v>
      </x:c>
      <x:c r="G229"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29" s="28" t="str">
        <x:v>Избыток кислоты делает вкус плоско-резким; белая часть кожуры даёт лишнюю горечь.</x:v>
      </x:c>
      <x:c r="I229" s="28" t="str">
        <x:v>джем, сорбет, коктейль или соус</x:v>
      </x:c>
      <x:c r="J229" s="28" t="str">
        <x:v>Гипотеза / практическая</x:v>
      </x:c>
      <x:c r="K229" s="28" t="str">
        <x:v>Таблица сочетания(1).pdf</x:v>
      </x:c>
      <x:c r="L229" s="28" t="str">
        <x:v>Таблица сочетания(1).pdf: 19</x:v>
      </x:c>
    </x:row>
    <x:row r="230" ht="62" customHeight="1">
      <x:c r="A230" s="28" t="str">
        <x:v>CIT-0677</x:v>
      </x:c>
      <x:c r="B230" s="28" t="str">
        <x:v>цитрусовые</x:v>
      </x:c>
      <x:c r="C230" s="28" t="str">
        <x:v>маракуйя</x:v>
      </x:c>
      <x:c r="D230" s="28" t="str">
        <x:v>Тропические фрукты</x:v>
      </x:c>
      <x:c r="E230" s="28" t="str">
        <x:v>перекрытие ароматических семейств, вкусовой баланс</x:v>
      </x:c>
      <x:c r="F230"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Маракуйя относится к группе «тропические фрукты» и даёт ноты «фруктовый, тропический, цветочный, сливочный».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снижает ощущение приторности и усиливает летучие фруктовые эфиры.</x:v>
      </x:c>
      <x:c r="G230"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0" s="28" t="str">
        <x:v>Избыток кислоты делает вкус плоско-резким; белая часть кожуры даёт лишнюю горечь.</x:v>
      </x:c>
      <x:c r="I230" s="28" t="str">
        <x:v>смузи, кордиал, сорбет, чатни или коктейль</x:v>
      </x:c>
      <x:c r="J230" s="28" t="str">
        <x:v>Гипотеза / практическая</x:v>
      </x:c>
      <x:c r="K230" s="28" t="str">
        <x:v>Таблица сочетания(1).pdf</x:v>
      </x:c>
      <x:c r="L230" s="28" t="str">
        <x:v>Таблица сочетания(1).pdf: 15</x:v>
      </x:c>
    </x:row>
    <x:row r="231" ht="62" customHeight="1">
      <x:c r="A231" s="28" t="str">
        <x:v>CIT-0681</x:v>
      </x:c>
      <x:c r="B231" s="28" t="str">
        <x:v>цитрусовые</x:v>
      </x:c>
      <x:c r="C231" s="28" t="str">
        <x:v>персик</x:v>
      </x:c>
      <x:c r="D231" s="28" t="str">
        <x:v>Косточковые фрукты</x:v>
      </x:c>
      <x:c r="E231" s="28" t="str">
        <x:v>перекрытие ароматических семейств, вкусовой баланс</x:v>
      </x:c>
      <x:c r="F231"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Персик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Цитрус добавляет кислотность, а лактоны смягчают его резкость.</x:v>
      </x:c>
      <x:c r="G231"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1" s="28" t="str">
        <x:v>Избыток кислоты делает вкус плоско-резким; белая часть кожуры даёт лишнюю горечь.</x:v>
      </x:c>
      <x:c r="I231" s="28" t="str">
        <x:v>тарт, сорбет, джем или фруктовый соус</x:v>
      </x:c>
      <x:c r="J231" s="28" t="str">
        <x:v>Гипотеза / практическая</x:v>
      </x:c>
      <x:c r="K231" s="28" t="str">
        <x:v>Таблица сочетания(1).pdf</x:v>
      </x:c>
      <x:c r="L231" s="28" t="str">
        <x:v>Таблица сочетания(1).pdf: 15</x:v>
      </x:c>
    </x:row>
    <x:row r="232" ht="62" customHeight="1">
      <x:c r="A232" s="28" t="str">
        <x:v>CIT-0684</x:v>
      </x:c>
      <x:c r="B232" s="28" t="str">
        <x:v>цитрусовые</x:v>
      </x:c>
      <x:c r="C232" s="28" t="str">
        <x:v>яблоко</x:v>
      </x:c>
      <x:c r="D232" s="28" t="str">
        <x:v>Фрукты</x:v>
      </x:c>
      <x:c r="E232" s="28" t="str">
        <x:v>перекрытие ароматических семейств, вкусовой баланс</x:v>
      </x:c>
      <x:c r="F232"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Сок определяется цитралем и кислотностью, цедра — лимоненом и терпенами. Яблочные эфиры и зелёные альдегиды хорошо поддерживают свежий цитрус.</x:v>
      </x:c>
      <x:c r="G232"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2" s="28" t="str">
        <x:v>Избыток кислоты делает вкус плоско-резким; белая часть кожуры даёт лишнюю горечь.</x:v>
      </x:c>
      <x:c r="I232" s="28" t="str">
        <x:v>лимонад, сорбет, компот, салат или фруктовый кордиал</x:v>
      </x:c>
      <x:c r="J232" s="28" t="str">
        <x:v>Гипотеза / практическая</x:v>
      </x:c>
      <x:c r="K232" s="28" t="str">
        <x:v>Таблица сочетания(1).pdf</x:v>
      </x:c>
      <x:c r="L232" s="28" t="str">
        <x:v>Таблица сочетания(1).pdf: 1</x:v>
      </x:c>
    </x:row>
    <x:row r="233" ht="62" customHeight="1">
      <x:c r="A233" s="28" t="str">
        <x:v>CIT-0685</x:v>
      </x:c>
      <x:c r="B233" s="28" t="str">
        <x:v>цукаты из апельсиновой кожуры</x:v>
      </x:c>
      <x:c r="C233" s="28" t="str">
        <x:v>вишня Морелло</x:v>
      </x:c>
      <x:c r="D233" s="28" t="str">
        <x:v>Ягоды/косточковые</x:v>
      </x:c>
      <x:c r="E233" s="28" t="str">
        <x:v>перекрытие ароматических семейств, вкусовой баланс</x:v>
      </x:c>
      <x:c r="F233"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Вишня морелло относится к группе «ягоды/косточковые» и даёт ноты «фруктовый, цветочный, зелёный, винный».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усиливает кислотный контур, а цветочные терпены поддерживают ягодный аромат.</x:v>
      </x:c>
      <x:c r="G233"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3" s="28" t="str">
        <x:v>Избыток кислоты делает вкус плоско-резким; белая часть кожуры даёт лишнюю горечь.</x:v>
      </x:c>
      <x:c r="I233" s="28" t="str">
        <x:v>джем, сорбет, коктейль или соус</x:v>
      </x:c>
      <x:c r="J233" s="28" t="str">
        <x:v>Средняя</x:v>
      </x:c>
      <x:c r="K233" s="28" t="str">
        <x:v>The Art &amp; Science of Foodpairing.pdf</x:v>
      </x:c>
      <x:c r="L233" s="28" t="str">
        <x:v>The Art &amp; Science of Foodpairing.pdf: 267</x:v>
      </x:c>
    </x:row>
    <x:row r="234" ht="62" customHeight="1">
      <x:c r="A234" s="28" t="str">
        <x:v>CIT-0689</x:v>
      </x:c>
      <x:c r="B234" s="28" t="str">
        <x:v>цукаты из апельсиновой кожуры</x:v>
      </x:c>
      <x:c r="C234" s="28" t="str">
        <x:v>персик</x:v>
      </x:c>
      <x:c r="D234" s="28" t="str">
        <x:v>Косточковые фрукты</x:v>
      </x:c>
      <x:c r="E234" s="28" t="str">
        <x:v>перекрытие ароматических семейств, вкусовой баланс</x:v>
      </x:c>
      <x:c r="F234"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Персик относится к группе «косточковые фрукты» и даёт ноты «фруктовый, цветочный, сливочный, миндальный».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Апельсиновый профиль строится на лимонене и альдегидах с восково-сладкой нотой. Цитрус добавляет кислотность, а лактоны смягчают его резкость.</x:v>
      </x:c>
      <x:c r="G234"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4" s="28" t="str">
        <x:v>Избыток кислоты делает вкус плоско-резким; белая часть кожуры даёт лишнюю горечь.</x:v>
      </x:c>
      <x:c r="I234" s="28" t="str">
        <x:v>тарт, сорбет, джем или фруктовый соус</x:v>
      </x:c>
      <x:c r="J234" s="28" t="str">
        <x:v>Средняя</x:v>
      </x:c>
      <x:c r="K234" s="28" t="str">
        <x:v>The Art &amp; Science of Foodpairing.pdf</x:v>
      </x:c>
      <x:c r="L234" s="28" t="str">
        <x:v>The Art &amp; Science of Foodpairing.pdf: 267</x:v>
      </x:c>
    </x:row>
    <x:row r="235" ht="62" customHeight="1">
      <x:c r="A235" s="28" t="str">
        <x:v>CIT-0710</x:v>
      </x:c>
      <x:c r="B235" s="28" t="str">
        <x:v>юдзу</x:v>
      </x:c>
      <x:c r="C235" s="28" t="str">
        <x:v>кофе</x:v>
      </x:c>
      <x:c r="D235" s="28" t="str">
        <x:v>Кофе/обжаренное</x:v>
      </x:c>
      <x:c r="E235" s="28" t="str">
        <x:v>вкусовой баланс</x:v>
      </x:c>
      <x:c r="F235" s="28" t="str">
        <x:v>Юдзу формирует профиль «цитрусовый, зелёный, травяной, камфорный»; характерные маркеры: лимонен, гамма-терпинен, цитраль, бета-пинен, линалол. Кофе относится к группе «кофе/обжаренное» и даёт ноты «обжаренный, карамельный, ореховый,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Высокая кисло-ароматическая нота контрастирует с жареными, горькими и карамельными оттенками; сахар или жир связывает два регистра. Лаймовые цитрусы дают более зелёный и камфорный профиль, чем сладкий апельсин. Цитрус может подчеркнуть естественную кислотность и связаться с фруктовыми нотами кофе.</x:v>
      </x:c>
      <x:c r="G235"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35" s="28" t="str">
        <x:v>Избыток кислоты делает вкус плоско-резким; белая часть кожуры даёт лишнюю горечь.</x:v>
      </x:c>
      <x:c r="I235" s="28" t="str">
        <x:v>кофейный напиток, тирамису, ликёр или десертный соус</x:v>
      </x:c>
      <x:c r="J235" s="28" t="str">
        <x:v>Гипотеза / практическая</x:v>
      </x:c>
      <x:c r="K235" s="28" t="str">
        <x:v>Таблица сочетания(1).pdf</x:v>
      </x:c>
      <x:c r="L235" s="28" t="str">
        <x:v>Таблица сочетания(1).pdf: 22</x:v>
      </x:c>
    </x:row>
    <x:row r="236" ht="62" customHeight="1">
      <x:c r="A236" s="28" t="str">
        <x:v>CIT-0712</x:v>
      </x:c>
      <x:c r="B236" s="28" t="str">
        <x:v>юдзу</x:v>
      </x:c>
      <x:c r="C236" s="28" t="str">
        <x:v>мёд</x:v>
      </x:c>
      <x:c r="D236" s="28" t="str">
        <x:v>Подсластители</x:v>
      </x:c>
      <x:c r="E236" s="28" t="str">
        <x:v>вкусовой баланс</x:v>
      </x:c>
      <x:c r="F236" s="28" t="str">
        <x:v>Юдзу формирует профиль «цитрусовый, зелёный, травяной, камфорный»; характерные маркеры: лимонен, гамма-терпинен, цитраль, бета-пинен, линалол. Мёд относится к группе «подсластители» и даёт ноты «медовый, цветочный, карамельный».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Сладость подавляет воспринимаемую кислотность и горечь кожуры, а кислота не даёт сочетанию стать приторным. Лаймовые цитрусы дают более зелёный и камфорный профиль, чем сладкий апельсин. Сладость балансирует кислоту и горечь кожуры; цветочные компоненты могут поддерживать цитрус.</x:v>
      </x:c>
      <x:c r="G23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36" s="28" t="str">
        <x:v>Избыток кислоты делает вкус плоско-резким; белая часть кожуры даёт лишнюю горечь.</x:v>
      </x:c>
      <x:c r="I236" s="28" t="str">
        <x:v>сироп, мармелад, крем, глазурь или лимонад</x:v>
      </x:c>
      <x:c r="J236" s="28" t="str">
        <x:v>Гипотеза / практическая</x:v>
      </x:c>
      <x:c r="K236" s="28" t="str">
        <x:v>Таблица сочетания(1).pdf</x:v>
      </x:c>
      <x:c r="L236" s="28" t="str">
        <x:v>Таблица сочетания(1).pdf: 22</x:v>
      </x:c>
    </x:row>
    <x:row r="237" ht="62" customHeight="1">
      <x:c r="A237" s="28" t="str">
        <x:v>CIT-0713</x:v>
      </x:c>
      <x:c r="B237" s="28" t="str">
        <x:v>юдзу</x:v>
      </x:c>
      <x:c r="C237" s="28" t="str">
        <x:v>миндаль</x:v>
      </x:c>
      <x:c r="D237" s="28" t="str">
        <x:v>Орехи и семена</x:v>
      </x:c>
      <x:c r="E237" s="28" t="str">
        <x:v>перекрытие ароматических семейств, вкусовой баланс, влияние матрицы/растворимости</x:v>
      </x:c>
      <x:c r="F237" s="28" t="str">
        <x:v>Юдзу формирует профиль «цитрусовый, зелёный, травяной, камфорный»; характерные маркеры: лимонен, гамма-терпинен, цитраль, бета-пинен, линалол. Миндаль относится к группе «орехи и семена» и даёт ноты «ореховый, обжаренный, жирный, зелёный».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Кислота режет жирность, а цедра связывается с обжаренными и цветочными нотами.</x:v>
      </x:c>
      <x:c r="G237" s="28" t="str">
        <x:v>Для максимальной свежести сок лучше вводить ближе к концу, а цедру или эфирное масло — дозировать отдельно. Жир хорошо удерживает терпеновые масла, поэтому цедра работает стабильнее с кремом, шоколадом, ореховой пастой или маслом.</x:v>
      </x:c>
      <x:c r="H237" s="28" t="str">
        <x:v>Избыток кислоты делает вкус плоско-резким; белая часть кожуры даёт лишнюю горечь.</x:v>
      </x:c>
      <x:c r="I237" s="28" t="str">
        <x:v>пралине, крем, выпечка, салат или ореховый соус</x:v>
      </x:c>
      <x:c r="J237" s="28" t="str">
        <x:v>Гипотеза / практическая</x:v>
      </x:c>
      <x:c r="K237" s="28" t="str">
        <x:v>Таблица сочетания(1).pdf</x:v>
      </x:c>
      <x:c r="L237" s="28" t="str">
        <x:v>Таблица сочетания(1).pdf: 22</x:v>
      </x:c>
    </x:row>
    <x:row r="238" ht="62" customHeight="1">
      <x:c r="A238" s="28" t="str">
        <x:v>CIT-0719</x:v>
      </x:c>
      <x:c r="B238" s="28" t="str">
        <x:v>юдзу</x:v>
      </x:c>
      <x:c r="C238" s="28" t="str">
        <x:v>яблоко</x:v>
      </x:c>
      <x:c r="D238" s="28" t="str">
        <x:v>Фрукты</x:v>
      </x:c>
      <x:c r="E238" s="28" t="str">
        <x:v>перекрытие ароматических семейств, вкусовой баланс</x:v>
      </x:c>
      <x:c r="F238" s="28" t="str">
        <x:v>Юдзу формирует профиль «цитрусовый, зелёный, травяной, камфорный»; характерные маркеры: лимонен, гамма-терпинен, цитраль, бета-пинен, линалол. Яблоко относится к группе «фрукты» и даёт ноты «фруктовый, зелёный, цветочный».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Общая фруктовая сладость и летучие эфиры создают непрерывный ароматический профиль, а цитрусовая кислота повышает контраст и свежесть. Лаймовые цитрусы дают более зелёный и камфорный профиль, чем сладкий апельсин. Яблочные эфиры и зелёные альдегиды хорошо поддерживают свежий цитрус.</x:v>
      </x:c>
      <x:c r="G238" s="28" t="str">
        <x:v>Для максимальной свежести сок лучше вводить ближе к концу, а цедру или эфирное масло — дозировать отдельно. Холодная обработка сохраняет эфиры фруктов; при нагреве часть цитрала и цветочных летучих соединений теряется.</x:v>
      </x:c>
      <x:c r="H238" s="28" t="str">
        <x:v>Избыток кислоты делает вкус плоско-резким; белая часть кожуры даёт лишнюю горечь.</x:v>
      </x:c>
      <x:c r="I238" s="28" t="str">
        <x:v>лимонад, сорбет, компот, салат или фруктовый кордиал</x:v>
      </x:c>
      <x:c r="J238" s="28" t="str">
        <x:v>Гипотеза / практическая</x:v>
      </x:c>
      <x:c r="K238" s="28" t="str">
        <x:v>Таблица сочетания(1).pdf</x:v>
      </x:c>
      <x:c r="L238" s="28" t="str">
        <x:v>Таблица сочетания(1).pdf: 22</x:v>
      </x:c>
    </x:row>
  </x:sheetData>
  <x:conditionalFormatting sqref="J2:J238">
    <x:cfRule type="expression" dxfId="9" priority="1">
      <x:formula>J2="Высокая"</x:formula>
    </x:cfRule>
    <x:cfRule type="expression" dxfId="10" priority="2">
      <x:formula>J2="Средняя"</x:formula>
    </x:cfRule>
    <x:cfRule type="expression" dxfId="11" priority="3">
      <x:formula>J2="Гипотеза / практическая"</x:formula>
    </x:cfRule>
  </x:conditionalFormatting>
  <x:pageMargins left="0.7" right="0.7" top="0.75" bottom="0.75" header="0.3" footer="0.3"/>
  <x:tableParts count="1">
    <x:tablePart xmlns:r="http://schemas.openxmlformats.org/officeDocument/2006/relationships" r:id="R8c89f7ca50414edc"/>
  </x:tableParts>
</x:worksheet>
</file>

<file path=xl/worksheets/sheet6.xml><?xml version="1.0" encoding="utf-8"?>
<x:worksheet xmlns:x="http://schemas.openxmlformats.org/spreadsheetml/2006/main">
  <x:sheetFormatPr defaultRowHeight="15"/>
  <x:cols>
    <x:col min="1" max="1" width="13" hidden="0" customWidth="1"/>
    <x:col min="2" max="2" width="25" hidden="0" customWidth="1"/>
    <x:col min="3" max="3" width="29" hidden="0" customWidth="1"/>
    <x:col min="4" max="4" width="23" hidden="0" customWidth="1"/>
    <x:col min="5" max="5" width="34" hidden="0" customWidth="1"/>
    <x:col min="6" max="6" width="80" hidden="0" customWidth="1"/>
    <x:col min="7" max="7" width="55" hidden="0" customWidth="1"/>
    <x:col min="8" max="8" width="48" hidden="0" customWidth="1"/>
    <x:col min="9" max="9" width="45" hidden="0" customWidth="1"/>
    <x:col min="10" max="10" width="22" hidden="0" customWidth="1"/>
    <x:col min="11" max="11" width="36" hidden="0" customWidth="1"/>
    <x:col min="12" max="12" width="42" hidden="0" customWidth="1"/>
  </x:cols>
  <x:sheetData>
    <x:row r="1">
      <x:c r="A1" s="20" t="str">
        <x:v>ID</x:v>
      </x:c>
      <x:c r="B1" s="20" t="str">
        <x:v>Ингредиент 1</x:v>
      </x:c>
      <x:c r="C1" s="20" t="str">
        <x:v>Ингредиент 2</x:v>
      </x:c>
      <x:c r="D1" s="20" t="str">
        <x:v>Группа партнёра</x:v>
      </x:c>
      <x:c r="E1" s="20" t="str">
        <x:v>Тип механизма</x:v>
      </x:c>
      <x:c r="F1" s="20" t="str">
        <x:v>Подробное научное объяснение</x:v>
      </x:c>
      <x:c r="G1" s="20" t="str">
        <x:v>Обработка</x:v>
      </x:c>
      <x:c r="H1" s="20" t="str">
        <x:v>Критические точки</x:v>
      </x:c>
      <x:c r="I1" s="20" t="str">
        <x:v>Практическое применение</x:v>
      </x:c>
      <x:c r="J1" s="20" t="str">
        <x:v>Уверенность</x:v>
      </x:c>
      <x:c r="K1" s="20" t="str">
        <x:v>Источники</x:v>
      </x:c>
      <x:c r="L1" s="20" t="str">
        <x:v>Страницы</x:v>
      </x:c>
    </x:row>
    <x:row r="2" ht="62" customHeight="1">
      <x:c r="A2" s="28" t="str">
        <x:v>CIT-0007</x:v>
      </x:c>
      <x:c r="B2" s="28" t="str">
        <x:v>апельсин</x:v>
      </x:c>
      <x:c r="C2" s="28" t="str">
        <x:v>базилик</x:v>
      </x:c>
      <x:c r="D2" s="28" t="str">
        <x:v>Травы</x:v>
      </x:c>
      <x:c r="E2" s="28" t="str">
        <x:v>общие ароматические молекулы, перекрытие ароматических семейств, вкусовой баланс</x:v>
      </x:c>
      <x:c r="F2" s="28" t="str">
        <x:v>Апельсин формирует профиль «цитрусовый, сладко-фруктовый, цветочный, восковой»; характерные маркеры: лимонен, линалол, деканаль, октаналь, мирцен.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цветочный.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Базилик и эстрагон могут связать цитрус с фруктами, томатом и сливочными матрицами.</x:v>
      </x:c>
      <x:c r="G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 s="28" t="str">
        <x:v>Избыток кислоты делает вкус плоско-резким; белая часть кожуры даёт лишнюю горечь; цитрус легко подавляет деликатный аромат партнёра.</x:v>
      </x:c>
      <x:c r="I2" s="28" t="str">
        <x:v>лимонад, кордиал, салатная заправка или зелёный соус</x:v>
      </x:c>
      <x:c r="J2" s="28" t="str">
        <x:v>Средняя</x:v>
      </x:c>
      <x:c r="K2" s="28" t="str">
        <x:v>Таблица сочетания(1).pdf</x:v>
      </x:c>
      <x:c r="L2" s="28" t="str">
        <x:v>Таблица сочетания(1).pdf: 14</x:v>
      </x:c>
    </x:row>
    <x:row r="3" ht="62" customHeight="1">
      <x:c r="A3" s="28" t="str">
        <x:v>CIT-0008</x:v>
      </x:c>
      <x:c r="B3" s="28" t="str">
        <x:v>апельсин</x:v>
      </x:c>
      <x:c r="C3" s="28" t="str">
        <x:v>баклажан</x:v>
      </x:c>
      <x:c r="D3" s="28" t="str">
        <x:v>Овощи</x:v>
      </x:c>
      <x:c r="E3" s="28" t="str">
        <x:v>вкусовой баланс</x:v>
      </x:c>
      <x:c r="F3" s="28" t="str">
        <x:v>Апельсин формирует профиль «цитрусовый, сладко-фруктовый, цветочный, восковой»; характерные маркеры: лимонен, линалол, деканаль, октаналь, мирцен. Баклажан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3" s="28" t="str">
        <x:v>Избыток кислоты делает вкус плоско-резким; белая часть кожуры даёт лишнюю горечь.</x:v>
      </x:c>
      <x:c r="I3" s="28" t="str">
        <x:v>винегрет, салат, пюре, запечённое блюдо или овощной соус</x:v>
      </x:c>
      <x:c r="J3" s="28" t="str">
        <x:v>Средняя</x:v>
      </x:c>
      <x:c r="K3" s="28" t="str">
        <x:v>The Art &amp; Science of Foodpairing.pdf</x:v>
      </x:c>
      <x:c r="L3" s="28" t="str">
        <x:v>The Art &amp; Science of Foodpairing.pdf: 308</x:v>
      </x:c>
    </x:row>
    <x:row r="4" ht="62" customHeight="1">
      <x:c r="A4" s="28" t="str">
        <x:v>CIT-0010</x:v>
      </x:c>
      <x:c r="B4" s="28" t="str">
        <x:v>апельсин</x:v>
      </x:c>
      <x:c r="C4" s="28" t="str">
        <x:v>бекон</x:v>
      </x:c>
      <x:c r="D4" s="28" t="str">
        <x:v>Мясо и птица</x:v>
      </x:c>
      <x:c r="E4" s="28" t="str">
        <x:v>вкусовой баланс, влияние матрицы/растворимости</x:v>
      </x:c>
      <x:c r="F4" s="28" t="str">
        <x:v>Апельсин формирует профиль «цитрусовый, сладко-фруктовый, цветочный, восковой»; характерные маркеры: лимонен, линалол, деканаль, октаналь, мирцен. Бекон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G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4" s="28" t="str">
        <x:v>Избыток кислоты делает вкус плоско-резким; белая часть кожуры даёт лишнюю горечь; слишком долгая маринация ухудшает текстуру.</x:v>
      </x:c>
      <x:c r="I4" s="28" t="str">
        <x:v>маринад, глазурь, соус, жаркое или салат</x:v>
      </x:c>
      <x:c r="J4" s="28" t="str">
        <x:v>Высокая</x:v>
      </x:c>
      <x:c r="K4" s="28" t="str">
        <x:v>Тезариус вкусов (Ники Сегнит)(1).pdf</x:v>
      </x:c>
      <x:c r="L4" s="28" t="str">
        <x:v>Тезариус вкусов (Ники Сегнит)(1).pdf: 442, 773</x:v>
      </x:c>
    </x:row>
    <x:row r="5" ht="62" customHeight="1">
      <x:c r="A5" s="28" t="str">
        <x:v>CIT-0011</x:v>
      </x:c>
      <x:c r="B5" s="28" t="str">
        <x:v>апельсин</x:v>
      </x:c>
      <x:c r="C5" s="28" t="str">
        <x:v>белая рыба</x:v>
      </x:c>
      <x:c r="D5" s="28" t="str">
        <x:v>Рыба и морепродукты</x:v>
      </x:c>
      <x:c r="E5" s="28" t="str">
        <x:v>вкусовой баланс, влияние матрицы/растворимости</x:v>
      </x:c>
      <x:c r="F5" s="28" t="str">
        <x:v>Апельсин формирует профиль «цитрусовый, сладко-фруктовый, цветочный, восковой»; характерные маркеры: лимонен, линалол, деканаль, октаналь, мирцен. Белая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5" s="28" t="str">
        <x:v>Избыток кислоты делает вкус плоско-резким; белая часть кожуры даёт лишнюю горечь; слишком долгая маринация ухудшает текстуру.</x:v>
      </x:c>
      <x:c r="I5" s="28" t="str">
        <x:v>севиче, маринад, beurre blanc, тартар или салат</x:v>
      </x:c>
      <x:c r="J5" s="28" t="str">
        <x:v>Высокая</x:v>
      </x:c>
      <x:c r="K5" s="28" t="str">
        <x:v>Тезариус вкусов (Ники Сегнит)(1).pdf</x:v>
      </x:c>
      <x:c r="L5" s="28" t="str">
        <x:v>Тезариус вкусов (Ники Сегнит)(1).pdf: 383, 773</x:v>
      </x:c>
    </x:row>
    <x:row r="6" ht="62" customHeight="1">
      <x:c r="A6" s="28" t="str">
        <x:v>CIT-0014</x:v>
      </x:c>
      <x:c r="B6" s="28" t="str">
        <x:v>апельсин</x:v>
      </x:c>
      <x:c r="C6" s="28" t="str">
        <x:v>ваниль</x:v>
      </x:c>
      <x:c r="D6" s="28" t="str">
        <x:v>Пряности</x:v>
      </x:c>
      <x:c r="E6" s="28" t="str">
        <x:v>вкусовой баланс</x:v>
      </x:c>
      <x:c r="F6" s="28" t="str">
        <x:v>Апельсин формирует профиль «цитрусовый, сладко-фруктовый, цветочный, восковой»; характерные маркеры: лимонен, линалол, деканаль, октаналь, мирцен.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Ваниль округляет кислотность и связывает цитрус с десертными и молочными нотами.</x:v>
      </x:c>
      <x:c r="G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 s="28" t="str">
        <x:v>Избыток кислоты делает вкус плоско-резким; белая часть кожуры даёт лишнюю горечь.</x:v>
      </x:c>
      <x:c r="I6" s="28" t="str">
        <x:v>сироп, кордиал, чатни, маринад или пряный десерт</x:v>
      </x:c>
      <x:c r="J6" s="28" t="str">
        <x:v>Высокая</x:v>
      </x:c>
      <x:c r="K6" s="28" t="str">
        <x:v>Таблица сочетания(1).pdf | Тезариус вкусов (Ники Сегнит)(1).pdf</x:v>
      </x:c>
      <x:c r="L6" s="28" t="str">
        <x:v>Таблица сочетания(1).pdf: 14, 21 | Тезариус вкусов (Ники Сегнит)(1).pdf: 774, 914</x:v>
      </x:c>
    </x:row>
    <x:row r="7" ht="62" customHeight="1">
      <x:c r="A7" s="28" t="str">
        <x:v>CIT-0019</x:v>
      </x:c>
      <x:c r="B7" s="28" t="str">
        <x:v>апельсин</x:v>
      </x:c>
      <x:c r="C7" s="28" t="str">
        <x:v>гвоздика</x:v>
      </x:c>
      <x:c r="D7" s="28" t="str">
        <x:v>Пряности</x:v>
      </x:c>
      <x:c r="E7" s="28" t="str">
        <x:v>вкусовой баланс, тройничное восприятие</x:v>
      </x:c>
      <x:c r="F7" s="28" t="str">
        <x:v>Апельсин формирует профиль «цитрусовый, сладко-фруктовый, цветочный, восковой»; характерные маркеры: лимонен, линалол, деканаль, октаналь, мирцен.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Гвоздика очень интенсивна и легко доминирует.</x:v>
      </x:c>
      <x:c r="G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 s="28" t="str">
        <x:v>Избыток кислоты делает вкус плоско-резким; белая часть кожуры даёт лишнюю горечь.</x:v>
      </x:c>
      <x:c r="I7" s="28" t="str">
        <x:v>сироп, кордиал, чатни, маринад или пряный десерт</x:v>
      </x:c>
      <x:c r="J7" s="28" t="str">
        <x:v>Высокая</x:v>
      </x:c>
      <x:c r="K7" s="28" t="str">
        <x:v>Таблица сочетания(1).pdf | Тезариус вкусов (Ники Сегнит)(1).pdf</x:v>
      </x:c>
      <x:c r="L7" s="28" t="str">
        <x:v>Таблица сочетания(1).pdf: 5, 14 | Тезариус вкусов (Ники Сегнит)(1).pdf: 582, 774</x:v>
      </x:c>
    </x:row>
    <x:row r="8" ht="62" customHeight="1">
      <x:c r="A8" s="28" t="str">
        <x:v>CIT-0020</x:v>
      </x:c>
      <x:c r="B8" s="28" t="str">
        <x:v>апельсин</x:v>
      </x:c>
      <x:c r="C8" s="28" t="str">
        <x:v>говядина</x:v>
      </x:c>
      <x:c r="D8" s="28" t="str">
        <x:v>Мясо и птица</x:v>
      </x:c>
      <x:c r="E8" s="28" t="str">
        <x:v>вкусовой баланс, влияние матрицы/растворимости</x:v>
      </x:c>
      <x:c r="F8" s="28" t="str">
        <x:v>Апельсин формирует профиль «цитрусовый, сладко-фруктовый, цветочный, восковой»; характерные маркеры: лимонен, линалол, деканаль, октаналь, мирцен. Говядина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G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8" s="28" t="str">
        <x:v>Избыток кислоты делает вкус плоско-резким; белая часть кожуры даёт лишнюю горечь; слишком долгая маринация ухудшает текстуру.</x:v>
      </x:c>
      <x:c r="I8" s="28" t="str">
        <x:v>маринад, глазурь, соус, жаркое или салат</x:v>
      </x:c>
      <x:c r="J8" s="28" t="str">
        <x:v>Высокая</x:v>
      </x:c>
      <x:c r="K8" s="28" t="str">
        <x:v>Тезариус вкусов (Ники Сегнит)(1).pdf</x:v>
      </x:c>
      <x:c r="L8" s="28" t="str">
        <x:v>Тезариус вкусов (Ники Сегнит)(1).pdf: 105, 774</x:v>
      </x:c>
    </x:row>
    <x:row r="9" ht="62" customHeight="1">
      <x:c r="A9" s="28" t="str">
        <x:v>CIT-0027</x:v>
      </x:c>
      <x:c r="B9" s="28" t="str">
        <x:v>апельсин</x:v>
      </x:c>
      <x:c r="C9" s="28" t="str">
        <x:v>имбирь</x:v>
      </x:c>
      <x:c r="D9" s="28" t="str">
        <x:v>Пряности</x:v>
      </x:c>
      <x:c r="E9" s="28" t="str">
        <x:v>перекрытие ароматических семейств, вкусовой баланс, тройничное восприятие</x:v>
      </x:c>
      <x:c r="F9" s="28" t="str">
        <x:v>Апельсин формирует профиль «цитрусовый, сладко-фруктовый, цветочный, восковой»; характерные маркеры: лимонен, линалол, деканаль, октаналь, мирцен.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Свежий имбирь более цитрусовый, нагретый и сушёный — более тёплый и жгучий.</x:v>
      </x:c>
      <x:c r="G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 s="28" t="str">
        <x:v>Избыток кислоты делает вкус плоско-резким; белая часть кожуры даёт лишнюю горечь.</x:v>
      </x:c>
      <x:c r="I9" s="28" t="str">
        <x:v>сироп, кордиал, чатни, маринад или пряный десерт</x:v>
      </x:c>
      <x:c r="J9" s="28" t="str">
        <x:v>Высокая</x:v>
      </x:c>
      <x:c r="K9" s="28" t="str">
        <x:v>Таблица сочетания(1).pdf | Тезариус вкусов (Ники Сегнит)(1).pdf</x:v>
      </x:c>
      <x:c r="L9" s="28" t="str">
        <x:v>Таблица сочетания(1).pdf: 14 | Тезариус вкусов (Ники Сегнит)(1).pdf: 775, 812</x:v>
      </x:c>
    </x:row>
    <x:row r="10" ht="62" customHeight="1">
      <x:c r="A10" s="28" t="str">
        <x:v>CIT-0031</x:v>
      </x:c>
      <x:c r="B10" s="28" t="str">
        <x:v>апельсин</x:v>
      </x:c>
      <x:c r="C10" s="28" t="str">
        <x:v>кардамон</x:v>
      </x:c>
      <x:c r="D10" s="28" t="str">
        <x:v>Пряности</x:v>
      </x:c>
      <x:c r="E10" s="28" t="str">
        <x:v>общие ароматические молекулы, перекрытие ароматических семейств, вкусовой баланс, тройничное восприятие</x:v>
      </x:c>
      <x:c r="F10" s="28" t="str">
        <x:v>Апельсин формирует профиль «цитрусовый, сладко-фруктовый, цветочный, восковой»; характерные маркеры: лимонен, линалол, деканаль, октаналь, мирцен.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Кардамон часто служит мостом между цитрусом, цветами и древесными нотами.</x:v>
      </x:c>
      <x:c r="G1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 s="28" t="str">
        <x:v>Избыток кислоты делает вкус плоско-резким; белая часть кожуры даёт лишнюю горечь.</x:v>
      </x:c>
      <x:c r="I10" s="28" t="str">
        <x:v>сироп, кордиал, чатни, маринад или пряный десерт</x:v>
      </x:c>
      <x:c r="J10" s="28" t="str">
        <x:v>Средняя</x:v>
      </x:c>
      <x:c r="K10" s="28" t="str">
        <x:v>Таблица сочетания(1).pdf</x:v>
      </x:c>
      <x:c r="L10" s="28" t="str">
        <x:v>Таблица сочетания(1).pdf: 3, 14</x:v>
      </x:c>
    </x:row>
    <x:row r="11" ht="62" customHeight="1">
      <x:c r="A11" s="28" t="str">
        <x:v>CIT-0037</x:v>
      </x:c>
      <x:c r="B11" s="28" t="str">
        <x:v>апельсин</x:v>
      </x:c>
      <x:c r="C11" s="28" t="str">
        <x:v>корица</x:v>
      </x:c>
      <x:c r="D11" s="28" t="str">
        <x:v>Пряности</x:v>
      </x:c>
      <x:c r="E11" s="28" t="str">
        <x:v>вкусовой баланс, тройничное восприятие</x:v>
      </x:c>
      <x:c r="F11" s="28" t="str">
        <x:v>Апельсин формирует профиль «цитрусовый, сладко-фруктовый, цветочный, восковой»; характерные маркеры: лимонен, линалол, деканаль, октаналь, мирцен.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Корица добавляет тёплый низкий регистр и усиливает впечатление сладости.</x:v>
      </x:c>
      <x:c r="G1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 s="28" t="str">
        <x:v>Избыток кислоты делает вкус плоско-резким; белая часть кожуры даёт лишнюю горечь.</x:v>
      </x:c>
      <x:c r="I11" s="28" t="str">
        <x:v>сироп, кордиал, чатни, маринад или пряный десерт</x:v>
      </x:c>
      <x:c r="J11" s="28" t="str">
        <x:v>Высокая</x:v>
      </x:c>
      <x:c r="K11" s="28" t="str">
        <x:v>Таблица сочетания(1).pdf | Тезариус вкусов (Ники Сегнит)(1).pdf</x:v>
      </x:c>
      <x:c r="L11" s="28" t="str">
        <x:v>Таблица сочетания(1).pdf: 14 | Тезариус вкусов (Ники Сегнит)(1).pdf: 573, 776</x:v>
      </x:c>
    </x:row>
    <x:row r="12" ht="62" customHeight="1">
      <x:c r="A12" s="28" t="str">
        <x:v>CIT-0045</x:v>
      </x:c>
      <x:c r="B12" s="28" t="str">
        <x:v>апельсин</x:v>
      </x:c>
      <x:c r="C12" s="28" t="str">
        <x:v>лимонный тимьян</x:v>
      </x:c>
      <x:c r="D12" s="28" t="str">
        <x:v>Травы</x:v>
      </x:c>
      <x:c r="E12" s="28" t="str">
        <x:v>вкусовой баланс, тройничное восприятие</x:v>
      </x:c>
      <x:c r="F12" s="28" t="str">
        <x:v>Апельсин формирует профиль «цитрусовый, сладко-фруктовый, цветочный, восковой»; характерные маркеры: лимонен, линалол, деканаль, октаналь, мирцен.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1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 s="28" t="str">
        <x:v>Избыток кислоты делает вкус плоско-резким; белая часть кожуры даёт лишнюю горечь; цитрус легко подавляет деликатный аромат партнёра.</x:v>
      </x:c>
      <x:c r="I12" s="28" t="str">
        <x:v>лимонад, кордиал, салатная заправка или зелёный соус</x:v>
      </x:c>
      <x:c r="J12" s="28" t="str">
        <x:v>Гипотеза / практическая</x:v>
      </x:c>
      <x:c r="K12" s="28" t="str">
        <x:v>Таблица сочетания(1).pdf</x:v>
      </x:c>
      <x:c r="L12" s="28" t="str">
        <x:v>Таблица сочетания(1).pdf: 11</x:v>
      </x:c>
    </x:row>
    <x:row r="13" ht="62" customHeight="1">
      <x:c r="A13" s="28" t="str">
        <x:v>CIT-0046</x:v>
      </x:c>
      <x:c r="B13" s="28" t="str">
        <x:v>апельсин</x:v>
      </x:c>
      <x:c r="C13" s="28" t="str">
        <x:v>листья кориандра</x:v>
      </x:c>
      <x:c r="D13" s="28" t="str">
        <x:v>Травы/пряности</x:v>
      </x:c>
      <x:c r="E13" s="28" t="str">
        <x:v>общие ароматические молекулы, перекрытие ароматических семейств, вкусовой баланс</x:v>
      </x:c>
      <x:c r="F13" s="28" t="str">
        <x:v>Апельсин формирует профиль «цитрусовый, сладко-фруктовый, цветочный, восковой»; характерные маркеры: лимонен, линалол, деканаль, октаналь, мирцен. Листья кориандра относится к группе «травы/пряности» и даёт ноты «цитрусовый, зелёный, цветочный». Наиболее правдоподобный молекулярный мост — деканаль,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Линалоол создаёт прямой ароматический мост с цитрусами.</x:v>
      </x:c>
      <x:c r="G1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 s="28" t="str">
        <x:v>Избыток кислоты делает вкус плоско-резким; белая часть кожуры даёт лишнюю горечь; цитрус легко подавляет деликатный аромат партнёра.</x:v>
      </x:c>
      <x:c r="I13" s="28" t="str">
        <x:v>лимонад, кордиал, маринад или пряный соус</x:v>
      </x:c>
      <x:c r="J13" s="28" t="str">
        <x:v>Высокая</x:v>
      </x:c>
      <x:c r="K13" s="28" t="str">
        <x:v>Тезариус вкусов (Ники Сегнит)(1).pdf</x:v>
      </x:c>
      <x:c r="L13" s="28" t="str">
        <x:v>Тезариус вкусов (Ники Сегнит)(1).pdf: 515, 776</x:v>
      </x:c>
    </x:row>
    <x:row r="14" ht="62" customHeight="1">
      <x:c r="A14" s="28" t="str">
        <x:v>CIT-0051</x:v>
      </x:c>
      <x:c r="B14" s="28" t="str">
        <x:v>апельсин</x:v>
      </x:c>
      <x:c r="C14" s="28" t="str">
        <x:v>маринованный огурец</x:v>
      </x:c>
      <x:c r="D14" s="28" t="str">
        <x:v>Овощи</x:v>
      </x:c>
      <x:c r="E14" s="28" t="str">
        <x:v>вкусовой баланс</x:v>
      </x:c>
      <x:c r="F14" s="28" t="str">
        <x:v>Апельсин формирует профиль «цитрусовый, сладко-фруктовый, цветочный, восковой»; характерные маркеры: лимонен, линалол, деканаль, октаналь, мирцен. Маринованный огурец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1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4" s="28" t="str">
        <x:v>Избыток кислоты делает вкус плоско-резким; белая часть кожуры даёт лишнюю горечь.</x:v>
      </x:c>
      <x:c r="I14" s="28" t="str">
        <x:v>винегрет, салат, пюре, запечённое блюдо или овощной соус</x:v>
      </x:c>
      <x:c r="J14" s="28" t="str">
        <x:v>Средняя</x:v>
      </x:c>
      <x:c r="K14" s="28" t="str">
        <x:v>The Art &amp; Science of Foodpairing.pdf</x:v>
      </x:c>
      <x:c r="L14" s="28" t="str">
        <x:v>The Art &amp; Science of Foodpairing.pdf: 268</x:v>
      </x:c>
    </x:row>
    <x:row r="15" ht="62" customHeight="1">
      <x:c r="A15" s="28" t="str">
        <x:v>CIT-0055</x:v>
      </x:c>
      <x:c r="B15" s="28" t="str">
        <x:v>апельсин</x:v>
      </x:c>
      <x:c r="C15" s="28" t="str">
        <x:v>морковь</x:v>
      </x:c>
      <x:c r="D15" s="28" t="str">
        <x:v>Овощи</x:v>
      </x:c>
      <x:c r="E15" s="28" t="str">
        <x:v>вкусовой баланс</x:v>
      </x:c>
      <x:c r="F15" s="28" t="str">
        <x:v>Апельсин формирует профиль «цитрусовый, сладко-фруктовый, цветочный, восковой»; характерные маркеры: лимонен, линалол, деканаль, октаналь, мирцен. Морковь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1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5" s="28" t="str">
        <x:v>Избыток кислоты делает вкус плоско-резким; белая часть кожуры даёт лишнюю горечь.</x:v>
      </x:c>
      <x:c r="I15" s="28" t="str">
        <x:v>винегрет, салат, пюре, запечённое блюдо или овощной соус</x:v>
      </x:c>
      <x:c r="J15" s="28" t="str">
        <x:v>Высокая</x:v>
      </x:c>
      <x:c r="K15" s="28" t="str">
        <x:v>Таблица сочетания(1).pdf | Тезариус вкусов (Ники Сегнит)(1).pdf</x:v>
      </x:c>
      <x:c r="L15" s="28" t="str">
        <x:v>Таблица сочетания(1).pdf: 4 | Тезариус вкусов (Ники Сегнит)(1).pdf: 602, 778</x:v>
      </x:c>
    </x:row>
    <x:row r="16" ht="62" customHeight="1">
      <x:c r="A16" s="28" t="str">
        <x:v>CIT-0059</x:v>
      </x:c>
      <x:c r="B16" s="28" t="str">
        <x:v>апельсин</x:v>
      </x:c>
      <x:c r="C16" s="28" t="str">
        <x:v>мята</x:v>
      </x:c>
      <x:c r="D16" s="28" t="str">
        <x:v>Травы</x:v>
      </x:c>
      <x:c r="E16" s="28" t="str">
        <x:v>вкусовой баланс, тройничное восприятие</x:v>
      </x:c>
      <x:c r="F16" s="28" t="str">
        <x:v>Апельсин формирует профиль «цитрусовый, сладко-фруктовый, цветочный, восковой»; характерные маркеры: лимонен, линалол, деканаль, октаналь, мирцен.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Мята усиливает воспринимаемую прохладу и кислотную свежесть.</x:v>
      </x:c>
      <x:c r="G1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 s="28" t="str">
        <x:v>Избыток кислоты делает вкус плоско-резким; белая часть кожуры даёт лишнюю горечь; цитрус легко подавляет деликатный аромат партнёра.</x:v>
      </x:c>
      <x:c r="I16" s="28" t="str">
        <x:v>лимонад, кордиал, салатная заправка или зелёный соус</x:v>
      </x:c>
      <x:c r="J16" s="28" t="str">
        <x:v>Высокая</x:v>
      </x:c>
      <x:c r="K16" s="28" t="str">
        <x:v>Таблица сочетания(1).pdf | Тезариус вкусов (Ники Сегнит)(1).pdf</x:v>
      </x:c>
      <x:c r="L16" s="28" t="str">
        <x:v>Таблица сочетания(1).pdf: 14 | Тезариус вкусов (Ники Сегнит)(1).pdf: 778, 864</x:v>
      </x:c>
    </x:row>
    <x:row r="17" ht="62" customHeight="1">
      <x:c r="A17" s="28" t="str">
        <x:v>CIT-0062</x:v>
      </x:c>
      <x:c r="B17" s="28" t="str">
        <x:v>апельсин</x:v>
      </x:c>
      <x:c r="C17" s="28" t="str">
        <x:v>огурец</x:v>
      </x:c>
      <x:c r="D17" s="28" t="str">
        <x:v>Овощи</x:v>
      </x:c>
      <x:c r="E17" s="28" t="str">
        <x:v>вкусовой баланс</x:v>
      </x:c>
      <x:c r="F17" s="28" t="str">
        <x:v>Апельсин формирует профиль «цитрусовый, сладко-фруктовый, цветочный, восковой»; характерные маркеры: лимонен, линалол, деканаль, октаналь, мирцен. Огурец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1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 s="28" t="str">
        <x:v>Избыток кислоты делает вкус плоско-резким; белая часть кожуры даёт лишнюю горечь.</x:v>
      </x:c>
      <x:c r="I17" s="28" t="str">
        <x:v>винегрет, салат, пюре, запечённое блюдо или овощной соус</x:v>
      </x:c>
      <x:c r="J17" s="28" t="str">
        <x:v>Гипотеза / практическая</x:v>
      </x:c>
      <x:c r="K17" s="28" t="str">
        <x:v>Таблица сочетания(1).pdf</x:v>
      </x:c>
      <x:c r="L17" s="28" t="str">
        <x:v>Таблица сочетания(1).pdf: 6</x:v>
      </x:c>
    </x:row>
    <x:row r="18" ht="62" customHeight="1">
      <x:c r="A18" s="28" t="str">
        <x:v>CIT-0066</x:v>
      </x:c>
      <x:c r="B18" s="28" t="str">
        <x:v>апельсин</x:v>
      </x:c>
      <x:c r="C18" s="28" t="str">
        <x:v>отварной кабачок</x:v>
      </x:c>
      <x:c r="D18" s="28" t="str">
        <x:v>Овощи</x:v>
      </x:c>
      <x:c r="E18" s="28" t="str">
        <x:v>вкусовой баланс</x:v>
      </x:c>
      <x:c r="F18" s="28" t="str">
        <x:v>Апельсин формирует профиль «цитрусовый, сладко-фруктовый, цветочный, восковой»; характерные маркеры: лимонен, линалол, деканаль, октаналь, мирцен. Отварной кабачок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1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 s="28" t="str">
        <x:v>Избыток кислоты делает вкус плоско-резким; белая часть кожуры даёт лишнюю горечь.</x:v>
      </x:c>
      <x:c r="I18" s="28" t="str">
        <x:v>винегрет, салат, пюре, запечённое блюдо или овощной соус</x:v>
      </x:c>
      <x:c r="J18" s="28" t="str">
        <x:v>Средняя</x:v>
      </x:c>
      <x:c r="K18" s="28" t="str">
        <x:v>The Art &amp; Science of Foodpairing.pdf</x:v>
      </x:c>
      <x:c r="L18" s="28" t="str">
        <x:v>The Art &amp; Science of Foodpairing.pdf: 332</x:v>
      </x:c>
    </x:row>
    <x:row r="19" ht="62" customHeight="1">
      <x:c r="A19" s="28" t="str">
        <x:v>CIT-0072</x:v>
      </x:c>
      <x:c r="B19" s="28" t="str">
        <x:v>апельсин</x:v>
      </x:c>
      <x:c r="C19" s="28" t="str">
        <x:v>розмарин</x:v>
      </x:c>
      <x:c r="D19" s="28" t="str">
        <x:v>Травы</x:v>
      </x:c>
      <x:c r="E19" s="28" t="str">
        <x:v>вкусовой баланс, тройничное восприятие</x:v>
      </x:c>
      <x:c r="F19" s="28" t="str">
        <x:v>Апельсин формирует профиль «цитрусовый, сладко-фруктовый, цветочный, восковой»; характерные маркеры: лимонен, линалол, деканаль, октаналь, мирцен.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1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 s="28" t="str">
        <x:v>Избыток кислоты делает вкус плоско-резким; белая часть кожуры даёт лишнюю горечь; цитрус легко подавляет деликатный аромат партнёра.</x:v>
      </x:c>
      <x:c r="I19" s="28" t="str">
        <x:v>лимонад, кордиал, салатная заправка или зелёный соус</x:v>
      </x:c>
      <x:c r="J19" s="28" t="str">
        <x:v>Высокая</x:v>
      </x:c>
      <x:c r="K19" s="28" t="str">
        <x:v>Таблица сочетания(1).pdf | Тезариус вкусов (Ники Сегнит)(1).pdf</x:v>
      </x:c>
      <x:c r="L19" s="28" t="str">
        <x:v>Таблица сочетания(1).pdf: 14, 19 | Тезариус вкусов (Ники Сегнит)(1).pdf: 780, 834</x:v>
      </x:c>
    </x:row>
    <x:row r="20" ht="62" customHeight="1">
      <x:c r="A20" s="28" t="str">
        <x:v>CIT-0075</x:v>
      </x:c>
      <x:c r="B20" s="28" t="str">
        <x:v>апельсин</x:v>
      </x:c>
      <x:c r="C20" s="28" t="str">
        <x:v>свекла</x:v>
      </x:c>
      <x:c r="D20" s="28" t="str">
        <x:v>Овощи</x:v>
      </x:c>
      <x:c r="E20" s="28" t="str">
        <x:v>вкусовой баланс</x:v>
      </x:c>
      <x:c r="F20" s="28" t="str">
        <x:v>Апельсин формирует профиль «цитрусовый, сладко-фруктовый, цветочный, восковой»; характерные маркеры: лимонен, линалол, деканаль, октаналь, мирцен. Свекла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2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 s="28" t="str">
        <x:v>Избыток кислоты делает вкус плоско-резким; белая часть кожуры даёт лишнюю горечь.</x:v>
      </x:c>
      <x:c r="I20" s="28" t="str">
        <x:v>винегрет, салат, пюре, запечённое блюдо или овощной соус</x:v>
      </x:c>
      <x:c r="J20" s="28" t="str">
        <x:v>Высокая</x:v>
      </x:c>
      <x:c r="K20" s="28" t="str">
        <x:v>Тезариус вкусов (Ники Сегнит)(1).pdf</x:v>
      </x:c>
      <x:c r="L20" s="28" t="str">
        <x:v>Тезариус вкусов (Ники Сегнит)(1).pdf: 223, 780</x:v>
      </x:c>
    </x:row>
    <x:row r="21" ht="62" customHeight="1">
      <x:c r="A21" s="28" t="str">
        <x:v>CIT-0076</x:v>
      </x:c>
      <x:c r="B21" s="28" t="str">
        <x:v>апельсин</x:v>
      </x:c>
      <x:c r="C21" s="28" t="str">
        <x:v>семена кориандра</x:v>
      </x:c>
      <x:c r="D21" s="28" t="str">
        <x:v>Травы/пряности</x:v>
      </x:c>
      <x:c r="E21" s="28" t="str">
        <x:v>общие ароматические молекулы, перекрытие ароматических семейств, вкусовой баланс</x:v>
      </x:c>
      <x:c r="F21" s="28" t="str">
        <x:v>Апельсин формирует профиль «цитрусовый, сладко-фруктовый, цветочный, восковой»; характерные маркеры: лимонен, линалол, деканаль, октаналь, мирцен. Семена кориандра относится к группе «травы/пряности» и даёт ноты «цитрусовый, зелёный, цветочный». Наиболее правдоподобный молекулярный мост — деканаль,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Линалоол создаёт прямой ароматический мост с цитрусами.</x:v>
      </x:c>
      <x:c r="G2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1" s="28" t="str">
        <x:v>Избыток кислоты делает вкус плоско-резким; белая часть кожуры даёт лишнюю горечь; цитрус легко подавляет деликатный аромат партнёра.</x:v>
      </x:c>
      <x:c r="I21" s="28" t="str">
        <x:v>лимонад, кордиал, маринад или пряный соус</x:v>
      </x:c>
      <x:c r="J21" s="28" t="str">
        <x:v>Высокая</x:v>
      </x:c>
      <x:c r="K21" s="28" t="str">
        <x:v>Тезариус вкусов (Ники Сегнит)(1).pdf</x:v>
      </x:c>
      <x:c r="L21" s="28" t="str">
        <x:v>Тезариус вкусов (Ники Сегнит)(1).pdf: 780, 906</x:v>
      </x:c>
    </x:row>
    <x:row r="22" ht="62" customHeight="1">
      <x:c r="A22" s="28" t="str">
        <x:v>CIT-0078</x:v>
      </x:c>
      <x:c r="B22" s="28" t="str">
        <x:v>апельсин</x:v>
      </x:c>
      <x:c r="C22" s="28" t="str">
        <x:v>спаржа</x:v>
      </x:c>
      <x:c r="D22" s="28" t="str">
        <x:v>Овощи</x:v>
      </x:c>
      <x:c r="E22" s="28" t="str">
        <x:v>вкусовой баланс</x:v>
      </x:c>
      <x:c r="F22" s="28" t="str">
        <x:v>Апельсин формирует профиль «цитрусовый, сладко-фруктовый, цветочный, восковой»; характерные маркеры: лимонен, линалол, деканаль, октаналь, мирцен. Спаржа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2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2" s="28" t="str">
        <x:v>Избыток кислоты делает вкус плоско-резким; белая часть кожуры даёт лишнюю горечь.</x:v>
      </x:c>
      <x:c r="I22" s="28" t="str">
        <x:v>винегрет, салат, пюре, запечённое блюдо или овощной соус</x:v>
      </x:c>
      <x:c r="J22" s="28" t="str">
        <x:v>Высокая</x:v>
      </x:c>
      <x:c r="K22" s="28" t="str">
        <x:v>Тезариус вкусов (Ники Сегнит)(1).pdf</x:v>
      </x:c>
      <x:c r="L22" s="28" t="str">
        <x:v>Тезариус вкусов (Ники Сегнит)(1).pdf: 345, 781</x:v>
      </x:c>
    </x:row>
    <x:row r="23" ht="62" customHeight="1">
      <x:c r="A23" s="28" t="str">
        <x:v>CIT-0082</x:v>
      </x:c>
      <x:c r="B23" s="28" t="str">
        <x:v>апельсин</x:v>
      </x:c>
      <x:c r="C23" s="28" t="str">
        <x:v>тимьян</x:v>
      </x:c>
      <x:c r="D23" s="28" t="str">
        <x:v>Травы</x:v>
      </x:c>
      <x:c r="E23" s="28" t="str">
        <x:v>вкусовой баланс, тройничное восприятие</x:v>
      </x:c>
      <x:c r="F23" s="28" t="str">
        <x:v>Апельсин формирует профиль «цитрусовый, сладко-фруктовый, цветочный, восковой»; характерные маркеры: лимонен, линалол, деканаль, октаналь, мирцен.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2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3" s="28" t="str">
        <x:v>Избыток кислоты делает вкус плоско-резким; белая часть кожуры даёт лишнюю горечь; цитрус легко подавляет деликатный аромат партнёра.</x:v>
      </x:c>
      <x:c r="I23" s="28" t="str">
        <x:v>лимонад, кордиал, салатная заправка или зелёный соус</x:v>
      </x:c>
      <x:c r="J23" s="28" t="str">
        <x:v>Высокая</x:v>
      </x:c>
      <x:c r="K23" s="28" t="str">
        <x:v>Таблица сочетания(1).pdf | Тезариус вкусов (Ники Сегнит)(1).pdf</x:v>
      </x:c>
      <x:c r="L23" s="28" t="str">
        <x:v>Таблица сочетания(1).pdf: 14, 21 | Тезариус вкусов (Ники Сегнит)(1).pdf: 782, 855</x:v>
      </x:c>
    </x:row>
    <x:row r="24" ht="62" customHeight="1">
      <x:c r="A24" s="28" t="str">
        <x:v>CIT-0090</x:v>
      </x:c>
      <x:c r="B24" s="28" t="str">
        <x:v>апельсин</x:v>
      </x:c>
      <x:c r="C24" s="28" t="str">
        <x:v>чили</x:v>
      </x:c>
      <x:c r="D24" s="28" t="str">
        <x:v>Пряности</x:v>
      </x:c>
      <x:c r="E24" s="28" t="str">
        <x:v>вкусовой баланс, тройничное восприятие</x:v>
      </x:c>
      <x:c r="F24" s="28" t="str">
        <x:v>Апельсин формирует профиль «цитрусовый, сладко-фруктовый, цветочный, восковой»; характерные маркеры: лимонен, линалол, деканаль, октаналь, мирцен.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Фруктовые чили могут поддерживать цитрусовые эфиры, но острота требует баланса.</x:v>
      </x:c>
      <x:c r="G2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4"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24" s="28" t="str">
        <x:v>сироп, кордиал, чатни, маринад или пряный десерт</x:v>
      </x:c>
      <x:c r="J24" s="28" t="str">
        <x:v>Высокая</x:v>
      </x:c>
      <x:c r="K24" s="28" t="str">
        <x:v>Тезариус вкусов (Ники Сегнит)(1).pdf</x:v>
      </x:c>
      <x:c r="L24" s="28" t="str">
        <x:v>Тезариус вкусов (Ники Сегнит)(1).pdf: 551, 782</x:v>
      </x:c>
    </x:row>
    <x:row r="25" ht="62" customHeight="1">
      <x:c r="A25" s="28" t="str">
        <x:v>CIT-0091</x:v>
      </x:c>
      <x:c r="B25" s="28" t="str">
        <x:v>апельсин</x:v>
      </x:c>
      <x:c r="C25" s="28" t="str">
        <x:v>чили (перцы)</x:v>
      </x:c>
      <x:c r="D25" s="28" t="str">
        <x:v>Пряности</x:v>
      </x:c>
      <x:c r="E25" s="28" t="str">
        <x:v>вкусовой баланс, тройничное восприятие</x:v>
      </x:c>
      <x:c r="F25" s="28" t="str">
        <x:v>Апельсин формирует профиль «цитрусовый, сладко-фруктовый, цветочный, восковой»; характерные маркеры: лимонен, линалол, деканаль, октаналь, мирцен. Чили (перцы)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Фруктовые чили могут поддерживать цитрусовые эфиры, но острота требует баланса.</x:v>
      </x:c>
      <x:c r="G2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5"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25" s="28" t="str">
        <x:v>сироп, кордиал, чатни, маринад или пряный десерт</x:v>
      </x:c>
      <x:c r="J25" s="28" t="str">
        <x:v>Гипотеза / практическая</x:v>
      </x:c>
      <x:c r="K25" s="28" t="str">
        <x:v>Таблица сочетания(1).pdf</x:v>
      </x:c>
      <x:c r="L25" s="28" t="str">
        <x:v>Таблица сочетания(1).pdf: 5</x:v>
      </x:c>
    </x:row>
    <x:row r="26" ht="62" customHeight="1">
      <x:c r="A26" s="28" t="str">
        <x:v>CIT-0092</x:v>
      </x:c>
      <x:c r="B26" s="28" t="str">
        <x:v>апельсин</x:v>
      </x:c>
      <x:c r="C26" s="28" t="str">
        <x:v>шафран</x:v>
      </x:c>
      <x:c r="D26" s="28" t="str">
        <x:v>Пряности</x:v>
      </x:c>
      <x:c r="E26" s="28" t="str">
        <x:v>перекрытие ароматических семейств, вкусовой баланс</x:v>
      </x:c>
      <x:c r="F26" s="28" t="str">
        <x:v>Апельсин формирует профиль «цитрусовый, сладко-фруктовый, цветочный, восковой»; характерные маркеры: лимонен, линалол, деканаль, октаналь, мирцен. Шафран относится к группе «пряности» и даёт ноты «медовый, сенной, цветочный, кожистый».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Шафран даёт сухую цветочно-медовую глубину.</x:v>
      </x:c>
      <x:c r="G2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6" s="28" t="str">
        <x:v>Избыток кислоты делает вкус плоско-резким; белая часть кожуры даёт лишнюю горечь.</x:v>
      </x:c>
      <x:c r="I26" s="28" t="str">
        <x:v>сироп, кордиал, чатни, маринад или пряный десерт</x:v>
      </x:c>
      <x:c r="J26" s="28" t="str">
        <x:v>Высокая</x:v>
      </x:c>
      <x:c r="K26" s="28" t="str">
        <x:v>Тезариус вкусов (Ники Сегнит)(1).pdf</x:v>
      </x:c>
      <x:c r="L26" s="28" t="str">
        <x:v>Тезариус вкусов (Ники Сегнит)(1).pdf: 474, 783</x:v>
      </x:c>
    </x:row>
    <x:row r="27" ht="62" customHeight="1">
      <x:c r="A27" s="28" t="str">
        <x:v>CIT-0100</x:v>
      </x:c>
      <x:c r="B27" s="28" t="str">
        <x:v>апельсиновая кожура</x:v>
      </x:c>
      <x:c r="C27" s="28" t="str">
        <x:v>жареный кабан</x:v>
      </x:c>
      <x:c r="D27" s="28" t="str">
        <x:v>Мясо и птица</x:v>
      </x:c>
      <x:c r="E27" s="28" t="str">
        <x:v>вкусовой баланс, влияние матрицы/растворимости</x:v>
      </x:c>
      <x:c r="F27" s="28" t="str">
        <x:v>Апельсиновая кожура формирует профиль «цитрусовый, сладко-фруктовый, цветочный, восковой»; характерные маркеры: лимонен, линалол, деканаль, октаналь, мирцен. Жареный кабан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G2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7" s="28" t="str">
        <x:v>Избыток кислоты делает вкус плоско-резким; белая часть кожуры даёт лишнюю горечь; слишком долгая маринация ухудшает текстуру.</x:v>
      </x:c>
      <x:c r="I27" s="28" t="str">
        <x:v>маринад, глазурь, соус, жаркое или салат</x:v>
      </x:c>
      <x:c r="J27" s="28" t="str">
        <x:v>Средняя</x:v>
      </x:c>
      <x:c r="K27" s="28" t="str">
        <x:v>The Art &amp; Science of Foodpairing.pdf</x:v>
      </x:c>
      <x:c r="L27" s="28" t="str">
        <x:v>The Art &amp; Science of Foodpairing.pdf: 242</x:v>
      </x:c>
    </x:row>
    <x:row r="28" ht="62" customHeight="1">
      <x:c r="A28" s="28" t="str">
        <x:v>CIT-0105</x:v>
      </x:c>
      <x:c r="B28" s="28" t="str">
        <x:v>апельсиновый сок</x:v>
      </x:c>
      <x:c r="C28" s="28" t="str">
        <x:v>варёная ветчина</x:v>
      </x:c>
      <x:c r="D28" s="28" t="str">
        <x:v>Мясо и птица</x:v>
      </x:c>
      <x:c r="E28" s="28" t="str">
        <x:v>вкусовой баланс, влияние матрицы/растворимости</x:v>
      </x:c>
      <x:c r="F28"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Варёная ветчина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G2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8" s="28" t="str">
        <x:v>Избыток кислоты делает вкус плоско-резким; белая часть кожуры даёт лишнюю горечь; слишком долгая маринация ухудшает текстуру.</x:v>
      </x:c>
      <x:c r="I28" s="28" t="str">
        <x:v>маринад, глазурь, соус, жаркое или салат</x:v>
      </x:c>
      <x:c r="J28" s="28" t="str">
        <x:v>Средняя</x:v>
      </x:c>
      <x:c r="K28" s="28" t="str">
        <x:v>The Art &amp; Science of Foodpairing.pdf</x:v>
      </x:c>
      <x:c r="L28" s="28" t="str">
        <x:v>The Art &amp; Science of Foodpairing.pdf: 232</x:v>
      </x:c>
    </x:row>
    <x:row r="29" ht="62" customHeight="1">
      <x:c r="A29" s="28" t="str">
        <x:v>CIT-0107</x:v>
      </x:c>
      <x:c r="B29" s="28" t="str">
        <x:v>апельсиновый сок</x:v>
      </x:c>
      <x:c r="C29" s="28" t="str">
        <x:v>припущенное филе атлантического лосося</x:v>
      </x:c>
      <x:c r="D29" s="28" t="str">
        <x:v>Рыба и морепродукты</x:v>
      </x:c>
      <x:c r="E29" s="28" t="str">
        <x:v>вкусовой баланс, влияние матрицы/растворимости</x:v>
      </x:c>
      <x:c r="F29" s="28" t="str">
        <x:v>Апельсиновый сок формирует профиль «цитрусовый, сладко-фруктовый, цветочный, восковой»; характерные маркеры: лимонен, линалол, деканаль, октаналь, мирцен. Припущенное филе атлантического лосося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2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9" s="28" t="str">
        <x:v>Избыток кислоты делает вкус плоско-резким; белая часть кожуры даёт лишнюю горечь; слишком долгая маринация ухудшает текстуру.</x:v>
      </x:c>
      <x:c r="I29" s="28" t="str">
        <x:v>севиче, маринад, beurre blanc, тартар или салат</x:v>
      </x:c>
      <x:c r="J29" s="28" t="str">
        <x:v>Средняя</x:v>
      </x:c>
      <x:c r="K29" s="28" t="str">
        <x:v>The Art &amp; Science of Foodpairing.pdf</x:v>
      </x:c>
      <x:c r="L29" s="28" t="str">
        <x:v>The Art &amp; Science of Foodpairing.pdf: 142</x:v>
      </x:c>
    </x:row>
    <x:row r="30" ht="62" customHeight="1">
      <x:c r="A30" s="28" t="str">
        <x:v>CIT-0115</x:v>
      </x:c>
      <x:c r="B30" s="28" t="str">
        <x:v>бергамот</x:v>
      </x:c>
      <x:c r="C30" s="28" t="str">
        <x:v>коричневый телячий бульон</x:v>
      </x:c>
      <x:c r="D30" s="28" t="str">
        <x:v>Мясо и птица</x:v>
      </x:c>
      <x:c r="E30" s="28" t="str">
        <x:v>вкусовой баланс, влияние матрицы/растворимости</x:v>
      </x:c>
      <x:c r="F30" s="28" t="str">
        <x:v>Бергамот формирует профиль «цитрусовый, цветочный, травяной, хвойный»; характерные маркеры: лимонен, линалол, линалил ацетат, гамма-терпинен. Коричневый телячий бульон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Цитрус создаёт контраст с реакциями Майяра и освежает мясную матрицу.</x:v>
      </x:c>
      <x:c r="G3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30" s="28" t="str">
        <x:v>Избыток кислоты делает вкус плоско-резким; белая часть кожуры даёт лишнюю горечь; слишком долгая маринация ухудшает текстуру.</x:v>
      </x:c>
      <x:c r="I30" s="28" t="str">
        <x:v>маринад, глазурь, соус, жаркое или салат</x:v>
      </x:c>
      <x:c r="J30" s="28" t="str">
        <x:v>Средняя</x:v>
      </x:c>
      <x:c r="K30" s="28" t="str">
        <x:v>The Art &amp; Science of Foodpairing.pdf</x:v>
      </x:c>
      <x:c r="L30" s="28" t="str">
        <x:v>The Art &amp; Science of Foodpairing.pdf: 364</x:v>
      </x:c>
    </x:row>
    <x:row r="31" ht="62" customHeight="1">
      <x:c r="A31" s="28" t="str">
        <x:v>CIT-0116</x:v>
      </x:c>
      <x:c r="B31" s="28" t="str">
        <x:v>бергамот</x:v>
      </x:c>
      <x:c r="C31" s="28" t="str">
        <x:v>королевская креветка</x:v>
      </x:c>
      <x:c r="D31" s="28" t="str">
        <x:v>Рыба и морепродукты</x:v>
      </x:c>
      <x:c r="E31" s="28" t="str">
        <x:v>вкусовой баланс, влияние матрицы/растворимости</x:v>
      </x:c>
      <x:c r="F31" s="28" t="str">
        <x:v>Бергамот формирует профиль «цитрусовый, цветочный, травяной, хвойный»; характерные маркеры: лимонен, линалол, линалил ацетат, гамма-терпинен. Королевская креветка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Цитрус уменьшает восприятие жирности и рыбных нот, усиливая свежесть и слюноотделение.</x:v>
      </x:c>
      <x:c r="G3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31" s="28" t="str">
        <x:v>Избыток кислоты делает вкус плоско-резким; белая часть кожуры даёт лишнюю горечь; слишком долгая маринация ухудшает текстуру.</x:v>
      </x:c>
      <x:c r="I31" s="28" t="str">
        <x:v>севиче, маринад, beurre blanc, тартар или салат</x:v>
      </x:c>
      <x:c r="J31" s="28" t="str">
        <x:v>Средняя</x:v>
      </x:c>
      <x:c r="K31" s="28" t="str">
        <x:v>The Art &amp; Science of Foodpairing.pdf</x:v>
      </x:c>
      <x:c r="L31" s="28" t="str">
        <x:v>The Art &amp; Science of Foodpairing.pdf: 267</x:v>
      </x:c>
    </x:row>
    <x:row r="32" ht="62" customHeight="1">
      <x:c r="A32" s="28" t="str">
        <x:v>CIT-0121</x:v>
      </x:c>
      <x:c r="B32" s="28" t="str">
        <x:v>бергамот</x:v>
      </x:c>
      <x:c r="C32" s="28" t="str">
        <x:v>припущенное филе атлантического лосося</x:v>
      </x:c>
      <x:c r="D32" s="28" t="str">
        <x:v>Рыба и морепродукты</x:v>
      </x:c>
      <x:c r="E32" s="28" t="str">
        <x:v>вкусовой баланс, влияние матрицы/растворимости</x:v>
      </x:c>
      <x:c r="F32" s="28" t="str">
        <x:v>Бергамот формирует профиль «цитрусовый, цветочный, травяной, хвойный»; характерные маркеры: лимонен, линалол, линалил ацетат, гамма-терпинен. Припущенное филе атлантического лосося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Бергамот отличается высоким вкладом линалоола и линалилацетата. Цитрус уменьшает восприятие жирности и рыбных нот, усиливая свежесть и слюноотделение.</x:v>
      </x:c>
      <x:c r="G3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32" s="28" t="str">
        <x:v>Избыток кислоты делает вкус плоско-резким; белая часть кожуры даёт лишнюю горечь; слишком долгая маринация ухудшает текстуру.</x:v>
      </x:c>
      <x:c r="I32" s="28" t="str">
        <x:v>севиче, маринад, beurre blanc, тартар или салат</x:v>
      </x:c>
      <x:c r="J32" s="28" t="str">
        <x:v>Средняя</x:v>
      </x:c>
      <x:c r="K32" s="28" t="str">
        <x:v>The Art &amp; Science of Foodpairing.pdf</x:v>
      </x:c>
      <x:c r="L32" s="28" t="str">
        <x:v>The Art &amp; Science of Foodpairing.pdf: 142</x:v>
      </x:c>
    </x:row>
    <x:row r="33" ht="62" customHeight="1">
      <x:c r="A33" s="28" t="str">
        <x:v>CIT-0123</x:v>
      </x:c>
      <x:c r="B33" s="28" t="str">
        <x:v>бергамот</x:v>
      </x:c>
      <x:c r="C33" s="28" t="str">
        <x:v>соус чили</x:v>
      </x:c>
      <x:c r="D33" s="28" t="str">
        <x:v>Пряности</x:v>
      </x:c>
      <x:c r="E33" s="28" t="str">
        <x:v>вкусовой баланс, тройничное восприятие</x:v>
      </x:c>
      <x:c r="F33" s="28" t="str">
        <x:v>Бергамот формирует профиль «цитрусовый, цветочный, травяной, хвойный»; характерные маркеры: лимонен, линалол, линалил ацетат, гамма-терпинен. Соус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Бергамот отличается высоким вкладом линалоола и линалилацетата. Фруктовые чили могут поддерживать цитрусовые эфиры, но острота требует баланса.</x:v>
      </x:c>
      <x:c r="G3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3"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33" s="28" t="str">
        <x:v>сироп, кордиал, чатни, маринад или пряный десерт</x:v>
      </x:c>
      <x:c r="J33" s="28" t="str">
        <x:v>Средняя</x:v>
      </x:c>
      <x:c r="K33" s="28" t="str">
        <x:v>The Art &amp; Science of Foodpairing.pdf</x:v>
      </x:c>
      <x:c r="L33" s="28" t="str">
        <x:v>The Art &amp; Science of Foodpairing.pdf: 161</x:v>
      </x:c>
    </x:row>
    <x:row r="34" ht="62" customHeight="1">
      <x:c r="A34" s="28" t="str">
        <x:v>CIT-0131</x:v>
      </x:c>
      <x:c r="B34" s="28" t="str">
        <x:v>грейпфрут</x:v>
      </x:c>
      <x:c r="C34" s="28" t="str">
        <x:v>базилик</x:v>
      </x:c>
      <x:c r="D34" s="28" t="str">
        <x:v>Травы</x:v>
      </x:c>
      <x:c r="E34" s="28" t="str">
        <x:v>вкусовой баланс</x:v>
      </x:c>
      <x:c r="F34" s="28" t="str">
        <x:v>Грейпфрут формирует профиль «цитрусовый, горький, свежий, сернистый»; характерные маркеры: лимонен, нооткатон, грейпфрутовые тиолы, нарингин. Базилик относится к группе «травы» и даёт ноты «зелёный, анисовый, цветочный,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Базилик и эстрагон могут связать цитрус с фруктами, томатом и сливочными матрицами.</x:v>
      </x:c>
      <x:c r="G3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4"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34" s="28" t="str">
        <x:v>лимонад, кордиал, салатная заправка или зелёный соус</x:v>
      </x:c>
      <x:c r="J34" s="28" t="str">
        <x:v>Гипотеза / практическая</x:v>
      </x:c>
      <x:c r="K34" s="28" t="str">
        <x:v>Таблица сочетания(1).pdf</x:v>
      </x:c>
      <x:c r="L34" s="28" t="str">
        <x:v>Таблица сочетания(1).pdf: 9</x:v>
      </x:c>
    </x:row>
    <x:row r="35" ht="62" customHeight="1">
      <x:c r="A35" s="28" t="str">
        <x:v>CIT-0134</x:v>
      </x:c>
      <x:c r="B35" s="28" t="str">
        <x:v>грейпфрут</x:v>
      </x:c>
      <x:c r="C35" s="28" t="str">
        <x:v>ваниль</x:v>
      </x:c>
      <x:c r="D35" s="28" t="str">
        <x:v>Пряности</x:v>
      </x:c>
      <x:c r="E35" s="28" t="str">
        <x:v>вкусовой баланс</x:v>
      </x:c>
      <x:c r="F35" s="28" t="str">
        <x:v>Грейпфрут формирует профиль «цитрусовый, горький, свежий, сернистый»; характерные маркеры: лимонен, нооткатон, грейпфрутовые тиолы, нарингин.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Ваниль округляет кислотность и связывает цитрус с десертными и молочными нотами.</x:v>
      </x:c>
      <x:c r="G3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5"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35" s="28" t="str">
        <x:v>сироп, кордиал, чатни, маринад или пряный десерт</x:v>
      </x:c>
      <x:c r="J35" s="28" t="str">
        <x:v>Гипотеза / практическая</x:v>
      </x:c>
      <x:c r="K35" s="28" t="str">
        <x:v>Таблица сочетания(1).pdf</x:v>
      </x:c>
      <x:c r="L35" s="28" t="str">
        <x:v>Таблица сочетания(1).pdf: 9</x:v>
      </x:c>
    </x:row>
    <x:row r="36" ht="62" customHeight="1">
      <x:c r="A36" s="28" t="str">
        <x:v>CIT-0139</x:v>
      </x:c>
      <x:c r="B36" s="28" t="str">
        <x:v>грейпфрут</x:v>
      </x:c>
      <x:c r="C36" s="28" t="str">
        <x:v>имбирь</x:v>
      </x:c>
      <x:c r="D36" s="28" t="str">
        <x:v>Пряности</x:v>
      </x:c>
      <x:c r="E36" s="28" t="str">
        <x:v>перекрытие ароматических семейств, вкусовой баланс, тройничное восприятие</x:v>
      </x:c>
      <x:c r="F36" s="28" t="str">
        <x:v>Грейпфрут формирует профиль «цитрусовый, горький, свежий, сернистый»; характерные маркеры: лимонен, нооткатон, грейпфрутовые тиолы, нарингин.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Свежий имбирь более цитрусовый, нагретый и сушёный — более тёплый и жгучий.</x:v>
      </x:c>
      <x:c r="G3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6"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36" s="28" t="str">
        <x:v>сироп, кордиал, чатни, маринад или пряный десерт</x:v>
      </x:c>
      <x:c r="J36" s="28" t="str">
        <x:v>Гипотеза / практическая</x:v>
      </x:c>
      <x:c r="K36" s="28" t="str">
        <x:v>Таблица сочетания(1).pdf</x:v>
      </x:c>
      <x:c r="L36" s="28" t="str">
        <x:v>Таблица сочетания(1).pdf: 8, 9</x:v>
      </x:c>
    </x:row>
    <x:row r="37" ht="62" customHeight="1">
      <x:c r="A37" s="28" t="str">
        <x:v>CIT-0140</x:v>
      </x:c>
      <x:c r="B37" s="28" t="str">
        <x:v>грейпфрут</x:v>
      </x:c>
      <x:c r="C37" s="28" t="str">
        <x:v>кардамон</x:v>
      </x:c>
      <x:c r="D37" s="28" t="str">
        <x:v>Пряности</x:v>
      </x:c>
      <x:c r="E37" s="28" t="str">
        <x:v>общие ароматические молекулы, перекрытие ароматических семейств, вкусовой баланс, тройничное восприятие</x:v>
      </x:c>
      <x:c r="F37" s="28" t="str">
        <x:v>Грейпфрут формирует профиль «цитрусовый, горький, свежий, сернистый»; характерные маркеры: лимонен, нооткатон, грейпфрутовые тиолы, нарингин. Кардамон относится к группе «пряности» и даёт ноты «цитрусовый, камфорный, цветочный, эвкалиптовый».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Кардамон часто служит мостом между цитрусом, цветами и древесными нотами.</x:v>
      </x:c>
      <x:c r="G3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7"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37" s="28" t="str">
        <x:v>сироп, кордиал, чатни, маринад или пряный десерт</x:v>
      </x:c>
      <x:c r="J37" s="28" t="str">
        <x:v>Средняя</x:v>
      </x:c>
      <x:c r="K37" s="28" t="str">
        <x:v>Таблица сочетания(1).pdf</x:v>
      </x:c>
      <x:c r="L37" s="28" t="str">
        <x:v>Таблица сочетания(1).pdf: 4, 9</x:v>
      </x:c>
    </x:row>
    <x:row r="38" ht="62" customHeight="1">
      <x:c r="A38" s="28" t="str">
        <x:v>CIT-0142</x:v>
      </x:c>
      <x:c r="B38" s="28" t="str">
        <x:v>грейпфрут</x:v>
      </x:c>
      <x:c r="C38" s="28" t="str">
        <x:v>корица</x:v>
      </x:c>
      <x:c r="D38" s="28" t="str">
        <x:v>Пряности</x:v>
      </x:c>
      <x:c r="E38" s="28" t="str">
        <x:v>вкусовой баланс, тройничное восприятие</x:v>
      </x:c>
      <x:c r="F38" s="28" t="str">
        <x:v>Грейпфрут формирует профиль «цитрусовый, горький, свежий, сернистый»; характерные маркеры: лимонен, нооткатон, грейпфрутовые тиолы, нарингин.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Корица добавляет тёплый низкий регистр и усиливает впечатление сладости.</x:v>
      </x:c>
      <x:c r="G3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8"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38" s="28" t="str">
        <x:v>сироп, кордиал, чатни, маринад или пряный десерт</x:v>
      </x:c>
      <x:c r="J38" s="28" t="str">
        <x:v>Высокая</x:v>
      </x:c>
      <x:c r="K38" s="28" t="str">
        <x:v>Таблица сочетания(1).pdf | Тезариус вкусов (Ники Сегнит)(1).pdf</x:v>
      </x:c>
      <x:c r="L38" s="28" t="str">
        <x:v>Таблица сочетания(1).pdf: 5 | Тезариус вкусов (Ники Сегнит)(1).pdf: 576, 787</x:v>
      </x:c>
    </x:row>
    <x:row r="39" ht="62" customHeight="1">
      <x:c r="A39" s="28" t="str">
        <x:v>CIT-0147</x:v>
      </x:c>
      <x:c r="B39" s="28" t="str">
        <x:v>грейпфрут</x:v>
      </x:c>
      <x:c r="C39" s="28" t="str">
        <x:v>лимонный тимьян</x:v>
      </x:c>
      <x:c r="D39" s="28" t="str">
        <x:v>Травы</x:v>
      </x:c>
      <x:c r="E39" s="28" t="str">
        <x:v>вкусовой баланс, тройничное восприятие</x:v>
      </x:c>
      <x:c r="F39" s="28" t="str">
        <x:v>Грейпфрут формирует профиль «цитрусовый, горький, свежий, сернистый»; характерные маркеры: лимонен, нооткатон, грейпфрутовые тиолы, нарингин.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3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39"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39" s="28" t="str">
        <x:v>лимонад, кордиал, салатная заправка или зелёный соус</x:v>
      </x:c>
      <x:c r="J39" s="28" t="str">
        <x:v>Гипотеза / практическая</x:v>
      </x:c>
      <x:c r="K39" s="28" t="str">
        <x:v>Таблица сочетания(1).pdf</x:v>
      </x:c>
      <x:c r="L39" s="28" t="str">
        <x:v>Таблица сочетания(1).pdf: 9</x:v>
      </x:c>
    </x:row>
    <x:row r="40" ht="62" customHeight="1">
      <x:c r="A40" s="28" t="str">
        <x:v>CIT-0153</x:v>
      </x:c>
      <x:c r="B40" s="28" t="str">
        <x:v>грейпфрут</x:v>
      </x:c>
      <x:c r="C40" s="28" t="str">
        <x:v>мята</x:v>
      </x:c>
      <x:c r="D40" s="28" t="str">
        <x:v>Травы</x:v>
      </x:c>
      <x:c r="E40" s="28" t="str">
        <x:v>перекрытие ароматических семейств, вкусовой баланс, тройничное восприятие</x:v>
      </x:c>
      <x:c r="F40" s="28" t="str">
        <x:v>Грейпфрут формирует профиль «цитрусовый, горький, свежий, сернистый»; характерные маркеры: лимонен, нооткатон, грейпфрутовые тиолы, нарингин.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Мята усиливает воспринимаемую прохладу и кислотную свежесть.</x:v>
      </x:c>
      <x:c r="G4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0"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40" s="28" t="str">
        <x:v>лимонад, кордиал, салатная заправка или зелёный соус</x:v>
      </x:c>
      <x:c r="J40" s="28" t="str">
        <x:v>Гипотеза / практическая</x:v>
      </x:c>
      <x:c r="K40" s="28" t="str">
        <x:v>Таблица сочетания(1).pdf</x:v>
      </x:c>
      <x:c r="L40" s="28" t="str">
        <x:v>Таблица сочетания(1).pdf: 9</x:v>
      </x:c>
    </x:row>
    <x:row r="41" ht="62" customHeight="1">
      <x:c r="A41" s="28" t="str">
        <x:v>CIT-0161</x:v>
      </x:c>
      <x:c r="B41" s="28" t="str">
        <x:v>грейпфрут</x:v>
      </x:c>
      <x:c r="C41" s="28" t="str">
        <x:v>розмарин</x:v>
      </x:c>
      <x:c r="D41" s="28" t="str">
        <x:v>Травы</x:v>
      </x:c>
      <x:c r="E41" s="28" t="str">
        <x:v>вкусовой баланс, тройничное восприятие</x:v>
      </x:c>
      <x:c r="F41" s="28" t="str">
        <x:v>Грейпфрут формирует профиль «цитрусовый, горький, свежий, сернистый»; характерные маркеры: лимонен, нооткатон, грейпфрутовые тиолы, нарингин.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4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1"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41" s="28" t="str">
        <x:v>лимонад, кордиал, салатная заправка или зелёный соус</x:v>
      </x:c>
      <x:c r="J41" s="28" t="str">
        <x:v>Гипотеза / практическая</x:v>
      </x:c>
      <x:c r="K41" s="28" t="str">
        <x:v>Таблица сочетания(1).pdf</x:v>
      </x:c>
      <x:c r="L41" s="28" t="str">
        <x:v>Таблица сочетания(1).pdf: 9</x:v>
      </x:c>
    </x:row>
    <x:row r="42" ht="62" customHeight="1">
      <x:c r="A42" s="28" t="str">
        <x:v>CIT-0164</x:v>
      </x:c>
      <x:c r="B42" s="28" t="str">
        <x:v>грейпфрут</x:v>
      </x:c>
      <x:c r="C42" s="28" t="str">
        <x:v>свинина</x:v>
      </x:c>
      <x:c r="D42" s="28" t="str">
        <x:v>Мясо и птица</x:v>
      </x:c>
      <x:c r="E42" s="28" t="str">
        <x:v>перекрытие ароматических семейств, вкусовой баланс, влияние матрицы/растворимости</x:v>
      </x:c>
      <x:c r="F42" s="28" t="str">
        <x:v>Грейпфрут формирует профиль «цитрусовый, горький, свежий, сернистый»; характерные маркеры: лимонен, нооткатон, грейпфрутовые тиолы, нарингин. Свинина относится к группе «мясо и птица» и даёт ноты «жареный, мясной, сернистый, жирный». Прямой общий ключевой одорант из доступных профилей не фиксируется, однако продукты пересекаются на уровне семейств: сернистый.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создаёт контраст с реакциями Майяра и освежает мясную матрицу.</x:v>
      </x:c>
      <x:c r="G4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42" s="28" t="str">
        <x:v>Избыток кислоты делает вкус плоско-резким; белая часть кожуры даёт лишнюю горечь; слишком долгая маринация ухудшает текстуру; горечь нооткатона и нарингина требует контроля сахара и соли.</x:v>
      </x:c>
      <x:c r="I42" s="28" t="str">
        <x:v>маринад, глазурь, соус, жаркое или салат</x:v>
      </x:c>
      <x:c r="J42" s="28" t="str">
        <x:v>Высокая</x:v>
      </x:c>
      <x:c r="K42" s="28" t="str">
        <x:v>Тезариус вкусов (Ники Сегнит)(1).pdf</x:v>
      </x:c>
      <x:c r="L42" s="28" t="str">
        <x:v>Тезариус вкусов (Ники Сегнит)(1).pdf: 82, 789</x:v>
      </x:c>
    </x:row>
    <x:row r="43" ht="62" customHeight="1">
      <x:c r="A43" s="28" t="str">
        <x:v>CIT-0169</x:v>
      </x:c>
      <x:c r="B43" s="28" t="str">
        <x:v>грейпфрут</x:v>
      </x:c>
      <x:c r="C43" s="28" t="str">
        <x:v>тимьян</x:v>
      </x:c>
      <x:c r="D43" s="28" t="str">
        <x:v>Травы</x:v>
      </x:c>
      <x:c r="E43" s="28" t="str">
        <x:v>вкусовой баланс, тройничное восприятие</x:v>
      </x:c>
      <x:c r="F43" s="28" t="str">
        <x:v>Грейпфрут формирует профиль «цитрусовый, горький, свежий, сернистый»; характерные маркеры: лимонен, нооткатон, грейпфрутовые тиолы, нарингин.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4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3"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43" s="28" t="str">
        <x:v>лимонад, кордиал, салатная заправка или зелёный соус</x:v>
      </x:c>
      <x:c r="J43" s="28" t="str">
        <x:v>Гипотеза / практическая</x:v>
      </x:c>
      <x:c r="K43" s="28" t="str">
        <x:v>Таблица сочетания(1).pdf</x:v>
      </x:c>
      <x:c r="L43" s="28" t="str">
        <x:v>Таблица сочетания(1).pdf: 21</x:v>
      </x:c>
    </x:row>
    <x:row r="44" ht="62" customHeight="1">
      <x:c r="A44" s="28" t="str">
        <x:v>CIT-0175</x:v>
      </x:c>
      <x:c r="B44" s="28" t="str">
        <x:v>грейпфрут</x:v>
      </x:c>
      <x:c r="C44" s="28" t="str">
        <x:v>чили (перцы)</x:v>
      </x:c>
      <x:c r="D44" s="28" t="str">
        <x:v>Пряности</x:v>
      </x:c>
      <x:c r="E44" s="28" t="str">
        <x:v>вкусовой баланс, тройничное восприятие</x:v>
      </x:c>
      <x:c r="F44" s="28" t="str">
        <x:v>Грейпфрут формирует профиль «цитрусовый, горький, свежий, сернистый»; характерные маркеры: лимонен, нооткатон, грейпфрутовые тиолы, нарингин. Чили (перцы)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Фруктовые чили могут поддерживать цитрусовые эфиры, но острота требует баланса.</x:v>
      </x:c>
      <x:c r="G4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4"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 горечь нооткатона и нарингина требует контроля сахара и соли.</x:v>
      </x:c>
      <x:c r="I44" s="28" t="str">
        <x:v>сироп, кордиал, чатни, маринад или пряный десерт</x:v>
      </x:c>
      <x:c r="J44" s="28" t="str">
        <x:v>Гипотеза / практическая</x:v>
      </x:c>
      <x:c r="K44" s="28" t="str">
        <x:v>Таблица сочетания(1).pdf</x:v>
      </x:c>
      <x:c r="L44" s="28" t="str">
        <x:v>Таблица сочетания(1).pdf: 5</x:v>
      </x:c>
    </x:row>
    <x:row r="45" ht="62" customHeight="1">
      <x:c r="A45" s="28" t="str">
        <x:v>CIT-0176</x:v>
      </x:c>
      <x:c r="B45" s="28" t="str">
        <x:v>грейпфрут</x:v>
      </x:c>
      <x:c r="C45" s="28" t="str">
        <x:v>чили ахи мирасоль</x:v>
      </x:c>
      <x:c r="D45" s="28" t="str">
        <x:v>Пряности</x:v>
      </x:c>
      <x:c r="E45" s="28" t="str">
        <x:v>вкусовой баланс, тройничное восприятие</x:v>
      </x:c>
      <x:c r="F45" s="28" t="str">
        <x:v>Грейпфрут формирует профиль «цитрусовый, горький, свежий, сернистый»; характерные маркеры: лимонен, нооткатон, грейпфрутовые тиолы, нарингин. Чили ахи мирасоль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Фруктовые чили могут поддерживать цитрусовые эфиры, но острота требует баланса.</x:v>
      </x:c>
      <x:c r="G4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5"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 горечь нооткатона и нарингина требует контроля сахара и соли.</x:v>
      </x:c>
      <x:c r="I45" s="28" t="str">
        <x:v>сироп, кордиал, чатни, маринад или пряный десерт</x:v>
      </x:c>
      <x:c r="J45" s="28" t="str">
        <x:v>Средняя</x:v>
      </x:c>
      <x:c r="K45" s="28" t="str">
        <x:v>The Art &amp; Science of Foodpairing.pdf</x:v>
      </x:c>
      <x:c r="L45" s="28" t="str">
        <x:v>The Art &amp; Science of Foodpairing.pdf: 358</x:v>
      </x:c>
    </x:row>
    <x:row r="46" ht="62" customHeight="1">
      <x:c r="A46" s="28" t="str">
        <x:v>CIT-0177</x:v>
      </x:c>
      <x:c r="B46" s="28" t="str">
        <x:v>грейпфрут</x:v>
      </x:c>
      <x:c r="C46" s="28" t="str">
        <x:v>шалфей</x:v>
      </x:c>
      <x:c r="D46" s="28" t="str">
        <x:v>Травы</x:v>
      </x:c>
      <x:c r="E46" s="28" t="str">
        <x:v>вкусовой баланс, тройничное восприятие</x:v>
      </x:c>
      <x:c r="F46" s="28" t="str">
        <x:v>Грейпфрут формирует профиль «цитрусовый, горький, свежий, сернистый»; характерные маркеры: лимонен, нооткатон, грейпфрутовые тиолы, нарингин. Шалфей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Горечь задают флавоноиды, аромат кожуры — терпены и следовые тиолы. Хвойно-терпеновый профиль способен продолжить цитрусовую цедру.</x:v>
      </x:c>
      <x:c r="G4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6" s="28" t="str">
        <x:v>Избыток кислоты делает вкус плоско-резким; белая часть кожуры даёт лишнюю горечь; цитрус легко подавляет деликатный аромат партнёра; горечь нооткатона и нарингина требует контроля сахара и соли.</x:v>
      </x:c>
      <x:c r="I46" s="28" t="str">
        <x:v>лимонад, кордиал, салатная заправка или зелёный соус</x:v>
      </x:c>
      <x:c r="J46" s="28" t="str">
        <x:v>Средняя</x:v>
      </x:c>
      <x:c r="K46" s="28" t="str">
        <x:v>The Art &amp; Science of Foodpairing.pdf</x:v>
      </x:c>
      <x:c r="L46" s="28" t="str">
        <x:v>The Art &amp; Science of Foodpairing.pdf: 278</x:v>
      </x:c>
    </x:row>
    <x:row r="47" ht="62" customHeight="1">
      <x:c r="A47" s="28" t="str">
        <x:v>CIT-0182</x:v>
      </x:c>
      <x:c r="B47" s="28" t="str">
        <x:v>грейпфрутовый сок</x:v>
      </x:c>
      <x:c r="C47" s="28" t="str">
        <x:v>красный щавель</x:v>
      </x:c>
      <x:c r="D47" s="28" t="str">
        <x:v>Овощи</x:v>
      </x:c>
      <x:c r="E47" s="28" t="str">
        <x:v>вкусовой баланс</x:v>
      </x:c>
      <x:c r="F47" s="28" t="str">
        <x:v>Грейпфрутовый сок формирует профиль «цитрусовый, горький, свежий, сернистый»; характерные маркеры: лимонен, нооткатон, грейпфрутовые тиолы, нарингин. Красный щавель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Горечь задают флавоноиды, аромат кожуры — терпены и следовые тиолы. Кислота подчёркивает сладость овощей и сокращает землистое или сернистое послевкусие.</x:v>
      </x:c>
      <x:c r="G4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47" s="28" t="str">
        <x:v>Избыток кислоты делает вкус плоско-резким; белая часть кожуры даёт лишнюю горечь; горечь нооткатона и нарингина требует контроля сахара и соли.</x:v>
      </x:c>
      <x:c r="I47" s="28" t="str">
        <x:v>винегрет, салат, пюре, запечённое блюдо или овощной соус</x:v>
      </x:c>
      <x:c r="J47" s="28" t="str">
        <x:v>Средняя</x:v>
      </x:c>
      <x:c r="K47" s="28" t="str">
        <x:v>The Art &amp; Science of Foodpairing.pdf</x:v>
      </x:c>
      <x:c r="L47" s="28" t="str">
        <x:v>The Art &amp; Science of Foodpairing.pdf: 305</x:v>
      </x:c>
    </x:row>
    <x:row r="48" ht="62" customHeight="1">
      <x:c r="A48" s="28" t="str">
        <x:v>CIT-0184</x:v>
      </x:c>
      <x:c r="B48" s="28" t="str">
        <x:v>кабосу</x:v>
      </x:c>
      <x:c r="C48" s="28" t="str">
        <x:v>базилик</x:v>
      </x:c>
      <x:c r="D48" s="28" t="str">
        <x:v>Травы</x:v>
      </x:c>
      <x:c r="E48" s="28" t="str">
        <x:v>вкусовой баланс</x:v>
      </x:c>
      <x:c r="F48" s="28" t="str">
        <x:v>Кабосу формирует профиль «нейтральный/специфический»; характерные маркеры: . Базилик относится к группе «травы» и даёт ноты «зелёный, анисовый, цветочный,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Для точного молекулярного вывода нужен профиль конкретного ингредиента и способа обработки. Базилик и эстрагон могут связать цитрус с фруктами, томатом и сливочными матрицами.</x:v>
      </x:c>
      <x:c r="G4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48" s="28" t="str">
        <x:v>Избыток кислоты делает вкус плоско-резким; белая часть кожуры даёт лишнюю горечь; цитрус легко подавляет деликатный аромат партнёра.</x:v>
      </x:c>
      <x:c r="I48" s="28" t="str">
        <x:v>лимонад, кордиал, салатная заправка или зелёный соус</x:v>
      </x:c>
      <x:c r="J48" s="28" t="str">
        <x:v>Средняя</x:v>
      </x:c>
      <x:c r="K48" s="28" t="str">
        <x:v>The Art &amp; Science of Foodpairing.pdf</x:v>
      </x:c>
      <x:c r="L48" s="28" t="str">
        <x:v>The Art &amp; Science of Foodpairing.pdf: 177</x:v>
      </x:c>
    </x:row>
    <x:row r="49" ht="62" customHeight="1">
      <x:c r="A49" s="28" t="str">
        <x:v>CIT-0191</x:v>
      </x:c>
      <x:c r="B49" s="28" t="str">
        <x:v>кабосу</x:v>
      </x:c>
      <x:c r="C49" s="28" t="str">
        <x:v>тыква</x:v>
      </x:c>
      <x:c r="D49" s="28" t="str">
        <x:v>Овощи</x:v>
      </x:c>
      <x:c r="E49" s="28" t="str">
        <x:v>вкусовой баланс</x:v>
      </x:c>
      <x:c r="F49" s="28" t="str">
        <x:v>Кабосу формирует профиль «нейтральный/специфический»; характерные маркеры: .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Для точного молекулярного вывода нужен профиль конкретного ингредиента и способа обработки. Кислота подчёркивает сладость овощей и сокращает землистое или сернистое послевкусие.</x:v>
      </x:c>
      <x:c r="G4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49" s="28" t="str">
        <x:v>Избыток кислоты делает вкус плоско-резким; белая часть кожуры даёт лишнюю горечь.</x:v>
      </x:c>
      <x:c r="I49" s="28" t="str">
        <x:v>винегрет, салат, пюре, запечённое блюдо или овощной соус</x:v>
      </x:c>
      <x:c r="J49" s="28" t="str">
        <x:v>Средняя</x:v>
      </x:c>
      <x:c r="K49" s="28" t="str">
        <x:v>The Art &amp; Science of Foodpairing.pdf</x:v>
      </x:c>
      <x:c r="L49" s="28" t="str">
        <x:v>The Art &amp; Science of Foodpairing.pdf: 177</x:v>
      </x:c>
    </x:row>
    <x:row r="50" ht="62" customHeight="1">
      <x:c r="A50" s="28" t="str">
        <x:v>CIT-0197</x:v>
      </x:c>
      <x:c r="B50" s="28" t="str">
        <x:v>каламонси</x:v>
      </x:c>
      <x:c r="C50" s="28" t="str">
        <x:v>запечённый морской гребешок</x:v>
      </x:c>
      <x:c r="D50" s="28" t="str">
        <x:v>Рыба и морепродукты</x:v>
      </x:c>
      <x:c r="E50" s="28" t="str">
        <x:v>перекрытие ароматических семейств, вкусовой баланс, влияние матрицы/растворимости</x:v>
      </x:c>
      <x:c r="F50" s="28" t="str">
        <x:v>Каламонси формирует профиль «цитрусовый, зелёный, травяной, камфорный»; характерные маркеры: лимонен, гамма-терпинен, цитраль, бета-пинен, линалол. Запечённый морской гребешок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G5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50" s="28" t="str">
        <x:v>Избыток кислоты делает вкус плоско-резким; белая часть кожуры даёт лишнюю горечь; слишком долгая маринация ухудшает текстуру.</x:v>
      </x:c>
      <x:c r="I50" s="28" t="str">
        <x:v>севиче, маринад, beurre blanc, тартар или салат</x:v>
      </x:c>
      <x:c r="J50" s="28" t="str">
        <x:v>Средняя</x:v>
      </x:c>
      <x:c r="K50" s="28" t="str">
        <x:v>The Art &amp; Science of Foodpairing.pdf</x:v>
      </x:c>
      <x:c r="L50" s="28" t="str">
        <x:v>The Art &amp; Science of Foodpairing.pdf: 142</x:v>
      </x:c>
    </x:row>
    <x:row r="51" ht="62" customHeight="1">
      <x:c r="A51" s="28" t="str">
        <x:v>CIT-0198</x:v>
      </x:c>
      <x:c r="B51" s="28" t="str">
        <x:v>каламонси</x:v>
      </x:c>
      <x:c r="C51" s="28" t="str">
        <x:v>имбирь</x:v>
      </x:c>
      <x:c r="D51" s="28" t="str">
        <x:v>Пряности</x:v>
      </x:c>
      <x:c r="E51" s="28" t="str">
        <x:v>общие ароматические молекулы, перекрытие ароматических семейств, вкусовой баланс, тройничное восприятие</x:v>
      </x:c>
      <x:c r="F51" s="28" t="str">
        <x:v>Каламонси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5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1" s="28" t="str">
        <x:v>Избыток кислоты делает вкус плоско-резким; белая часть кожуры даёт лишнюю горечь.</x:v>
      </x:c>
      <x:c r="I51" s="28" t="str">
        <x:v>сироп, кордиал, чатни, маринад или пряный десерт</x:v>
      </x:c>
      <x:c r="J51" s="28" t="str">
        <x:v>Средняя</x:v>
      </x:c>
      <x:c r="K51" s="28" t="str">
        <x:v>The Art &amp; Science of Foodpairing.pdf</x:v>
      </x:c>
      <x:c r="L51" s="28" t="str">
        <x:v>The Art &amp; Science of Foodpairing.pdf: 142</x:v>
      </x:c>
    </x:row>
    <x:row r="52" ht="62" customHeight="1">
      <x:c r="A52" s="28" t="str">
        <x:v>CIT-0200</x:v>
      </x:c>
      <x:c r="B52" s="28" t="str">
        <x:v>каламонси</x:v>
      </x:c>
      <x:c r="C52" s="28" t="str">
        <x:v>колбаса</x:v>
      </x:c>
      <x:c r="D52" s="28" t="str">
        <x:v>Мясо и птица</x:v>
      </x:c>
      <x:c r="E52" s="28" t="str">
        <x:v>вкусовой баланс, влияние матрицы/растворимости</x:v>
      </x:c>
      <x:c r="F52" s="28" t="str">
        <x:v>Каламонси формирует профиль «цитрусовый, зелёный, травяной, камфорный»; характерные маркеры: лимонен, гамма-терпинен, цитраль, бета-пинен, линалол. Колбаса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G5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52" s="28" t="str">
        <x:v>Избыток кислоты делает вкус плоско-резким; белая часть кожуры даёт лишнюю горечь; слишком долгая маринация ухудшает текстуру.</x:v>
      </x:c>
      <x:c r="I52" s="28" t="str">
        <x:v>маринад, глазурь, соус, жаркое или салат</x:v>
      </x:c>
      <x:c r="J52" s="28" t="str">
        <x:v>Средняя</x:v>
      </x:c>
      <x:c r="K52" s="28" t="str">
        <x:v>The Art &amp; Science of Foodpairing.pdf</x:v>
      </x:c>
      <x:c r="L52" s="28" t="str">
        <x:v>The Art &amp; Science of Foodpairing.pdf: 108</x:v>
      </x:c>
    </x:row>
    <x:row r="53" ht="62" customHeight="1">
      <x:c r="A53" s="28" t="str">
        <x:v>CIT-0202</x:v>
      </x:c>
      <x:c r="B53" s="28" t="str">
        <x:v>каламонси</x:v>
      </x:c>
      <x:c r="C53" s="28" t="str">
        <x:v>листья кинзы</x:v>
      </x:c>
      <x:c r="D53" s="28" t="str">
        <x:v>Травы/пряности</x:v>
      </x:c>
      <x:c r="E53" s="28" t="str">
        <x:v>общие ароматические молекулы, перекрытие ароматических семейств, вкусовой баланс</x:v>
      </x:c>
      <x:c r="F53" s="28" t="str">
        <x:v>Каламонси формирует профиль «цитрусовый, зелёный, травяной, камфорный»; характерные маркеры: лимонен, гамма-терпинен, цитраль, бета-пинен, линалол. Листья кинзы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G5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3" s="28" t="str">
        <x:v>Избыток кислоты делает вкус плоско-резким; белая часть кожуры даёт лишнюю горечь; цитрус легко подавляет деликатный аромат партнёра.</x:v>
      </x:c>
      <x:c r="I53" s="28" t="str">
        <x:v>лимонад, кордиал, маринад или пряный соус</x:v>
      </x:c>
      <x:c r="J53" s="28" t="str">
        <x:v>Средняя</x:v>
      </x:c>
      <x:c r="K53" s="28" t="str">
        <x:v>The Art &amp; Science of Foodpairing.pdf</x:v>
      </x:c>
      <x:c r="L53" s="28" t="str">
        <x:v>The Art &amp; Science of Foodpairing.pdf: 142</x:v>
      </x:c>
    </x:row>
    <x:row r="54" ht="62" customHeight="1">
      <x:c r="A54" s="28" t="str">
        <x:v>CIT-0203</x:v>
      </x:c>
      <x:c r="B54" s="28" t="str">
        <x:v>каламонси</x:v>
      </x:c>
      <x:c r="C54" s="28" t="str">
        <x:v>обжаренные телячьи железы</x:v>
      </x:c>
      <x:c r="D54" s="28" t="str">
        <x:v>Мясо и птица</x:v>
      </x:c>
      <x:c r="E54" s="28" t="str">
        <x:v>вкусовой баланс, влияние матрицы/растворимости</x:v>
      </x:c>
      <x:c r="F54" s="28" t="str">
        <x:v>Каламонси формирует профиль «цитрусовый, зелёный, травяной, камфорный»; характерные маркеры: лимонен, гамма-терпинен, цитраль, бета-пинен, линалол. Обжаренные телячьи железы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G5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54" s="28" t="str">
        <x:v>Избыток кислоты делает вкус плоско-резким; белая часть кожуры даёт лишнюю горечь; слишком долгая маринация ухудшает текстуру.</x:v>
      </x:c>
      <x:c r="I54" s="28" t="str">
        <x:v>маринад, глазурь, соус, жаркое или салат</x:v>
      </x:c>
      <x:c r="J54" s="28" t="str">
        <x:v>Средняя</x:v>
      </x:c>
      <x:c r="K54" s="28" t="str">
        <x:v>The Art &amp; Science of Foodpairing.pdf</x:v>
      </x:c>
      <x:c r="L54" s="28" t="str">
        <x:v>The Art &amp; Science of Foodpairing.pdf: 142</x:v>
      </x:c>
    </x:row>
    <x:row r="55" ht="62" customHeight="1">
      <x:c r="A55" s="28" t="str">
        <x:v>CIT-0204</x:v>
      </x:c>
      <x:c r="B55" s="28" t="str">
        <x:v>каламонси</x:v>
      </x:c>
      <x:c r="C55" s="28" t="str">
        <x:v>обжаренный страус</x:v>
      </x:c>
      <x:c r="D55" s="28" t="str">
        <x:v>Мясо и птица</x:v>
      </x:c>
      <x:c r="E55" s="28" t="str">
        <x:v>вкусовой баланс, влияние матрицы/растворимости</x:v>
      </x:c>
      <x:c r="F55" s="28" t="str">
        <x:v>Каламонси формирует профиль «цитрусовый, зелёный, травяной, камфорный»; характерные маркеры: лимонен, гамма-терпинен, цитраль, бета-пинен, линалол. Обжаренный страус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G5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55" s="28" t="str">
        <x:v>Избыток кислоты делает вкус плоско-резким; белая часть кожуры даёт лишнюю горечь; слишком долгая маринация ухудшает текстуру.</x:v>
      </x:c>
      <x:c r="I55" s="28" t="str">
        <x:v>маринад, глазурь, соус, жаркое или салат</x:v>
      </x:c>
      <x:c r="J55" s="28" t="str">
        <x:v>Средняя</x:v>
      </x:c>
      <x:c r="K55" s="28" t="str">
        <x:v>The Art &amp; Science of Foodpairing.pdf</x:v>
      </x:c>
      <x:c r="L55" s="28" t="str">
        <x:v>The Art &amp; Science of Foodpairing.pdf: 142</x:v>
      </x:c>
    </x:row>
    <x:row r="56" ht="62" customHeight="1">
      <x:c r="A56" s="28" t="str">
        <x:v>CIT-0207</x:v>
      </x:c>
      <x:c r="B56" s="28" t="str">
        <x:v>каламонси</x:v>
      </x:c>
      <x:c r="C56" s="28" t="str">
        <x:v>розмарин</x:v>
      </x:c>
      <x:c r="D56" s="28" t="str">
        <x:v>Травы</x:v>
      </x:c>
      <x:c r="E56" s="28" t="str">
        <x:v>перекрытие ароматических семейств, вкусовой баланс, тройничное восприятие</x:v>
      </x:c>
      <x:c r="F56" s="28" t="str">
        <x:v>Каламонси формирует профиль «цитрусовый, зелёный, травяной, камфорный»; характерные маркеры: лимонен, гамма-терпинен, цитраль, бета-пинен, линалол.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5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6" s="28" t="str">
        <x:v>Избыток кислоты делает вкус плоско-резким; белая часть кожуры даёт лишнюю горечь; цитрус легко подавляет деликатный аромат партнёра.</x:v>
      </x:c>
      <x:c r="I56" s="28" t="str">
        <x:v>лимонад, кордиал, салатная заправка или зелёный соус</x:v>
      </x:c>
      <x:c r="J56" s="28" t="str">
        <x:v>Средняя</x:v>
      </x:c>
      <x:c r="K56" s="28" t="str">
        <x:v>The Art &amp; Science of Foodpairing.pdf</x:v>
      </x:c>
      <x:c r="L56" s="28" t="str">
        <x:v>The Art &amp; Science of Foodpairing.pdf: 142</x:v>
      </x:c>
    </x:row>
    <x:row r="57" ht="62" customHeight="1">
      <x:c r="A57" s="28" t="str">
        <x:v>CIT-0208</x:v>
      </x:c>
      <x:c r="B57" s="28" t="str">
        <x:v>каламонси</x:v>
      </x:c>
      <x:c r="C57" s="28" t="str">
        <x:v>свежий корень имбиря</x:v>
      </x:c>
      <x:c r="D57" s="28" t="str">
        <x:v>Пряности</x:v>
      </x:c>
      <x:c r="E57" s="28" t="str">
        <x:v>общие ароматические молекулы, перекрытие ароматических семейств, вкусовой баланс, тройничное восприятие</x:v>
      </x:c>
      <x:c r="F57" s="28" t="str">
        <x:v>Каламонси формирует профиль «цитрусовый, зелёный, травяной, камфорный»; характерные маркеры: лимонен, гамма-терпинен, цитраль, бета-пинен, линалол. Свежий корень имбиря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5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57" s="28" t="str">
        <x:v>Избыток кислоты делает вкус плоско-резким; белая часть кожуры даёт лишнюю горечь.</x:v>
      </x:c>
      <x:c r="I57" s="28" t="str">
        <x:v>сироп, кордиал, чатни, маринад или пряный десерт</x:v>
      </x:c>
      <x:c r="J57" s="28" t="str">
        <x:v>Средняя</x:v>
      </x:c>
      <x:c r="K57" s="28" t="str">
        <x:v>The Art &amp; Science of Foodpairing.pdf</x:v>
      </x:c>
      <x:c r="L57" s="28" t="str">
        <x:v>The Art &amp; Science of Foodpairing.pdf: 142</x:v>
      </x:c>
    </x:row>
    <x:row r="58" ht="62" customHeight="1">
      <x:c r="A58" s="28" t="str">
        <x:v>CIT-0209</x:v>
      </x:c>
      <x:c r="B58" s="28" t="str">
        <x:v>каламонси</x:v>
      </x:c>
      <x:c r="C58" s="28" t="str">
        <x:v>тайская красная паста карри</x:v>
      </x:c>
      <x:c r="D58" s="28" t="str">
        <x:v>Соусы и ферментированные продукты</x:v>
      </x:c>
      <x:c r="E58" s="28" t="str">
        <x:v>вкусовой баланс, тройничное восприятие</x:v>
      </x:c>
      <x:c r="F58" s="28" t="str">
        <x:v>Каламонси формирует профиль «цитрусовый, зелёный, травяной, камфорный»; характерные маркеры: лимонен, гамма-терпинен, цитраль, бета-пинен, линалол. Тайская красная паста карри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Лаймовые цитрусы дают более зелёный и камфорный профиль, чем сладкий апельсин. Цитрус добавляет верхние ноты и может заменить часть уксуса, но избыток кислоты нарушит баланс.</x:v>
      </x:c>
      <x:c r="G5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8" s="28" t="str">
        <x:v>Избыток кислоты делает вкус плоско-резким; белая часть кожуры даёт лишнюю горечь.</x:v>
      </x:c>
      <x:c r="I58" s="28" t="str">
        <x:v>дрессинг, глазурь, чатни, маринад или ферментированный соус</x:v>
      </x:c>
      <x:c r="J58" s="28" t="str">
        <x:v>Средняя</x:v>
      </x:c>
      <x:c r="K58" s="28" t="str">
        <x:v>The Art &amp; Science of Foodpairing.pdf</x:v>
      </x:c>
      <x:c r="L58" s="28" t="str">
        <x:v>The Art &amp; Science of Foodpairing.pdf: 142</x:v>
      </x:c>
    </x:row>
    <x:row r="59" ht="62" customHeight="1">
      <x:c r="A59" s="28" t="str">
        <x:v>CIT-0211</x:v>
      </x:c>
      <x:c r="B59" s="28" t="str">
        <x:v>кожура горького апельсина</x:v>
      </x:c>
      <x:c r="C59" s="28" t="str">
        <x:v>томат</x:v>
      </x:c>
      <x:c r="D59" s="28" t="str">
        <x:v>Овощи</x:v>
      </x:c>
      <x:c r="E59" s="28" t="str">
        <x:v>вкусовой баланс</x:v>
      </x:c>
      <x:c r="F59" s="28" t="str">
        <x:v>Кожура горького апельсина формирует профиль «цитрусовый, сладко-фруктовый, цветочный, восковой»; характерные маркеры: лимонен, линалол, деканаль, октаналь, мирцен. Томат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5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59" s="28" t="str">
        <x:v>Избыток кислоты делает вкус плоско-резким; белая часть кожуры даёт лишнюю горечь.</x:v>
      </x:c>
      <x:c r="I59" s="28" t="str">
        <x:v>винегрет, салат, пюре, запечённое блюдо или овощной соус</x:v>
      </x:c>
      <x:c r="J59" s="28" t="str">
        <x:v>Средняя</x:v>
      </x:c>
      <x:c r="K59" s="28" t="str">
        <x:v>The Art &amp; Science of Foodpairing.pdf</x:v>
      </x:c>
      <x:c r="L59" s="28" t="str">
        <x:v>The Art &amp; Science of Foodpairing.pdf: 70</x:v>
      </x:c>
    </x:row>
    <x:row r="60" ht="62" customHeight="1">
      <x:c r="A60" s="28" t="str">
        <x:v>CIT-0217</x:v>
      </x:c>
      <x:c r="B60" s="28" t="str">
        <x:v>кожура мандарина</x:v>
      </x:c>
      <x:c r="C60" s="28" t="str">
        <x:v>доджанг</x:v>
      </x:c>
      <x:c r="D60" s="28" t="str">
        <x:v>Соусы и ферментированные продукты</x:v>
      </x:c>
      <x:c r="E60" s="28" t="str">
        <x:v>перекрытие ароматических семейств, вкусовой баланс, тройничное восприятие</x:v>
      </x:c>
      <x:c r="F60"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Доджанг относится к группе «соусы и ферментированные продукты» и даёт ноты «кислый, умами, ферментированный, пряный». Прямой общий ключевой одорант из доступных профилей не фиксируется, однако продукты пересекаются на уровне семейств: пряный. Поэтому связь лучше описывать как сочетание близких ароматических направлений, а не как действие единственной доказанной молекулы. Цитрусовая кислота и аромат усиливают солёность и умами, но общий уровень кислоты необходимо контролировать. Мандариновая группа мягче по кислотности и выраженнее по сладко-цветочным нотам. Цитрус добавляет верхние ноты и может заменить часть уксуса, но избыток кислоты нарушит баланс.</x:v>
      </x:c>
      <x:c r="G6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0" s="28" t="str">
        <x:v>Избыток кислоты делает вкус плоско-резким; белая часть кожуры даёт лишнюю горечь.</x:v>
      </x:c>
      <x:c r="I60" s="28" t="str">
        <x:v>дрессинг, глазурь, чатни, маринад или ферментированный соус</x:v>
      </x:c>
      <x:c r="J60" s="28" t="str">
        <x:v>Средняя</x:v>
      </x:c>
      <x:c r="K60" s="28" t="str">
        <x:v>The Art &amp; Science of Foodpairing.pdf</x:v>
      </x:c>
      <x:c r="L60" s="28" t="str">
        <x:v>The Art &amp; Science of Foodpairing.pdf: 366</x:v>
      </x:c>
    </x:row>
    <x:row r="61" ht="62" customHeight="1">
      <x:c r="A61" s="28" t="str">
        <x:v>CIT-0218</x:v>
      </x:c>
      <x:c r="B61" s="28" t="str">
        <x:v>кожура мандарина</x:v>
      </x:c>
      <x:c r="C61" s="28" t="str">
        <x:v>дорадо</x:v>
      </x:c>
      <x:c r="D61" s="28" t="str">
        <x:v>Рыба и морепродукты</x:v>
      </x:c>
      <x:c r="E61" s="28" t="str">
        <x:v>вкусовой баланс, влияние матрицы/растворимости</x:v>
      </x:c>
      <x:c r="F61"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Дорадо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уменьшает восприятие жирности и рыбных нот, усиливая свежесть и слюноотделение.</x:v>
      </x:c>
      <x:c r="G61"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61" s="28" t="str">
        <x:v>Избыток кислоты делает вкус плоско-резким; белая часть кожуры даёт лишнюю горечь; слишком долгая маринация ухудшает текстуру.</x:v>
      </x:c>
      <x:c r="I61" s="28" t="str">
        <x:v>севиче, маринад, beurre blanc, тартар или салат</x:v>
      </x:c>
      <x:c r="J61" s="28" t="str">
        <x:v>Средняя</x:v>
      </x:c>
      <x:c r="K61" s="28" t="str">
        <x:v>The Art &amp; Science of Foodpairing.pdf</x:v>
      </x:c>
      <x:c r="L61" s="28" t="str">
        <x:v>The Art &amp; Science of Foodpairing.pdf: 366</x:v>
      </x:c>
    </x:row>
    <x:row r="62" ht="62" customHeight="1">
      <x:c r="A62" s="28" t="str">
        <x:v>CIT-0220</x:v>
      </x:c>
      <x:c r="B62" s="28" t="str">
        <x:v>кожура мандарина</x:v>
      </x:c>
      <x:c r="C62" s="28" t="str">
        <x:v>квашеная капуста</x:v>
      </x:c>
      <x:c r="D62" s="28" t="str">
        <x:v>Овощи</x:v>
      </x:c>
      <x:c r="E62" s="28" t="str">
        <x:v>вкусовой баланс</x:v>
      </x:c>
      <x:c r="F62"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Квашеная капуста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6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2" s="28" t="str">
        <x:v>Избыток кислоты делает вкус плоско-резким; белая часть кожуры даёт лишнюю горечь.</x:v>
      </x:c>
      <x:c r="I62" s="28" t="str">
        <x:v>винегрет, салат, пюре, запечённое блюдо или овощной соус</x:v>
      </x:c>
      <x:c r="J62" s="28" t="str">
        <x:v>Средняя</x:v>
      </x:c>
      <x:c r="K62" s="28" t="str">
        <x:v>The Art &amp; Science of Foodpairing.pdf</x:v>
      </x:c>
      <x:c r="L62" s="28" t="str">
        <x:v>The Art &amp; Science of Foodpairing.pdf: 186</x:v>
      </x:c>
    </x:row>
    <x:row r="63" ht="62" customHeight="1">
      <x:c r="A63" s="28" t="str">
        <x:v>CIT-0222</x:v>
      </x:c>
      <x:c r="B63" s="28" t="str">
        <x:v>кожура мандарина</x:v>
      </x:c>
      <x:c r="C63" s="28" t="str">
        <x:v>отварной пастернак</x:v>
      </x:c>
      <x:c r="D63" s="28" t="str">
        <x:v>Овощи</x:v>
      </x:c>
      <x:c r="E63" s="28" t="str">
        <x:v>вкусовой баланс</x:v>
      </x:c>
      <x:c r="F63"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Отварной пастернак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6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3" s="28" t="str">
        <x:v>Избыток кислоты делает вкус плоско-резким; белая часть кожуры даёт лишнюю горечь.</x:v>
      </x:c>
      <x:c r="I63" s="28" t="str">
        <x:v>винегрет, салат, пюре, запечённое блюдо или овощной соус</x:v>
      </x:c>
      <x:c r="J63" s="28" t="str">
        <x:v>Средняя</x:v>
      </x:c>
      <x:c r="K63" s="28" t="str">
        <x:v>The Art &amp; Science of Foodpairing.pdf</x:v>
      </x:c>
      <x:c r="L63" s="28" t="str">
        <x:v>The Art &amp; Science of Foodpairing.pdf: 366</x:v>
      </x:c>
    </x:row>
    <x:row r="64" ht="62" customHeight="1">
      <x:c r="A64" s="28" t="str">
        <x:v>CIT-0225</x:v>
      </x:c>
      <x:c r="B64" s="28" t="str">
        <x:v>кожура мандарина</x:v>
      </x:c>
      <x:c r="C64" s="28" t="str">
        <x:v>припущенное филе трески</x:v>
      </x:c>
      <x:c r="D64" s="28" t="str">
        <x:v>Рыба и морепродукты</x:v>
      </x:c>
      <x:c r="E64" s="28" t="str">
        <x:v>вкусовой баланс, влияние матрицы/растворимости</x:v>
      </x:c>
      <x:c r="F64"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Припущенное филе трески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уменьшает восприятие жирности и рыбных нот, усиливая свежесть и слюноотделение.</x:v>
      </x:c>
      <x:c r="G6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64" s="28" t="str">
        <x:v>Избыток кислоты делает вкус плоско-резким; белая часть кожуры даёт лишнюю горечь; слишком долгая маринация ухудшает текстуру.</x:v>
      </x:c>
      <x:c r="I64" s="28" t="str">
        <x:v>севиче, маринад, beurre blanc, тартар или салат</x:v>
      </x:c>
      <x:c r="J64" s="28" t="str">
        <x:v>Средняя</x:v>
      </x:c>
      <x:c r="K64" s="28" t="str">
        <x:v>The Art &amp; Science of Foodpairing.pdf</x:v>
      </x:c>
      <x:c r="L64" s="28" t="str">
        <x:v>The Art &amp; Science of Foodpairing.pdf: 366</x:v>
      </x:c>
    </x:row>
    <x:row r="65" ht="62" customHeight="1">
      <x:c r="A65" s="28" t="str">
        <x:v>CIT-0226</x:v>
      </x:c>
      <x:c r="B65" s="28" t="str">
        <x:v>кожура мандарина</x:v>
      </x:c>
      <x:c r="C65" s="28" t="str">
        <x:v>розмарин</x:v>
      </x:c>
      <x:c r="D65" s="28" t="str">
        <x:v>Травы</x:v>
      </x:c>
      <x:c r="E65" s="28" t="str">
        <x:v>вкусовой баланс, тройничное восприятие</x:v>
      </x:c>
      <x:c r="F65"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6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5" s="28" t="str">
        <x:v>Избыток кислоты делает вкус плоско-резким; белая часть кожуры даёт лишнюю горечь; цитрус легко подавляет деликатный аромат партнёра.</x:v>
      </x:c>
      <x:c r="I65" s="28" t="str">
        <x:v>лимонад, кордиал, салатная заправка или зелёный соус</x:v>
      </x:c>
      <x:c r="J65" s="28" t="str">
        <x:v>Средняя</x:v>
      </x:c>
      <x:c r="K65" s="28" t="str">
        <x:v>The Art &amp; Science of Foodpairing.pdf</x:v>
      </x:c>
      <x:c r="L65" s="28" t="str">
        <x:v>The Art &amp; Science of Foodpairing.pdf: 113</x:v>
      </x:c>
    </x:row>
    <x:row r="66" ht="62" customHeight="1">
      <x:c r="A66" s="28" t="str">
        <x:v>CIT-0229</x:v>
      </x:c>
      <x:c r="B66" s="28" t="str">
        <x:v>кожура мандарина</x:v>
      </x:c>
      <x:c r="C66" s="28" t="str">
        <x:v>томатильо</x:v>
      </x:c>
      <x:c r="D66" s="28" t="str">
        <x:v>Овощи</x:v>
      </x:c>
      <x:c r="E66" s="28" t="str">
        <x:v>вкусовой баланс</x:v>
      </x:c>
      <x:c r="F66"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Томатильо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6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6" s="28" t="str">
        <x:v>Избыток кислоты делает вкус плоско-резким; белая часть кожуры даёт лишнюю горечь.</x:v>
      </x:c>
      <x:c r="I66" s="28" t="str">
        <x:v>винегрет, салат, пюре, запечённое блюдо или овощной соус</x:v>
      </x:c>
      <x:c r="J66" s="28" t="str">
        <x:v>Средняя</x:v>
      </x:c>
      <x:c r="K66" s="28" t="str">
        <x:v>The Art &amp; Science of Foodpairing.pdf</x:v>
      </x:c>
      <x:c r="L66" s="28" t="str">
        <x:v>The Art &amp; Science of Foodpairing.pdf: 366</x:v>
      </x:c>
    </x:row>
    <x:row r="67" ht="62" customHeight="1">
      <x:c r="A67" s="28" t="str">
        <x:v>CIT-0231</x:v>
      </x:c>
      <x:c r="B67" s="28" t="str">
        <x:v>кожура мандарина</x:v>
      </x:c>
      <x:c r="C67" s="28" t="str">
        <x:v>чили ахи мирасоль</x:v>
      </x:c>
      <x:c r="D67" s="28" t="str">
        <x:v>Пряности</x:v>
      </x:c>
      <x:c r="E67" s="28" t="str">
        <x:v>перекрытие ароматических семейств, вкусовой баланс, тройничное восприятие</x:v>
      </x:c>
      <x:c r="F67"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Чили ахи мирасоль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пряный, фруктовый.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Фруктовые чили могут поддерживать цитрусовые эфиры, но острота требует баланса.</x:v>
      </x:c>
      <x:c r="G6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7"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67" s="28" t="str">
        <x:v>сироп, кордиал, чатни, маринад или пряный десерт</x:v>
      </x:c>
      <x:c r="J67" s="28" t="str">
        <x:v>Средняя</x:v>
      </x:c>
      <x:c r="K67" s="28" t="str">
        <x:v>The Art &amp; Science of Foodpairing.pdf</x:v>
      </x:c>
      <x:c r="L67" s="28" t="str">
        <x:v>The Art &amp; Science of Foodpairing.pdf: 358</x:v>
      </x:c>
    </x:row>
    <x:row r="68" ht="62" customHeight="1">
      <x:c r="A68" s="28" t="str">
        <x:v>CIT-0232</x:v>
      </x:c>
      <x:c r="B68" s="28" t="str">
        <x:v>кожура мандарина</x:v>
      </x:c>
      <x:c r="C68" s="28" t="str">
        <x:v>чипсы из свёклы</x:v>
      </x:c>
      <x:c r="D68" s="28" t="str">
        <x:v>Овощи</x:v>
      </x:c>
      <x:c r="E68" s="28" t="str">
        <x:v>вкусовой баланс</x:v>
      </x:c>
      <x:c r="F68" s="28" t="str">
        <x:v>Кожура мандарина формирует профиль «цитрусовый, фруктовый, цветочный, пряный»; характерные маркеры: лимонен, гамма-терпинен, метил-N-метилантранилат, линалол. Чипсы из свёклы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6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68" s="28" t="str">
        <x:v>Избыток кислоты делает вкус плоско-резким; белая часть кожуры даёт лишнюю горечь.</x:v>
      </x:c>
      <x:c r="I68" s="28" t="str">
        <x:v>винегрет, салат, пюре, запечённое блюдо или овощной соус</x:v>
      </x:c>
      <x:c r="J68" s="28" t="str">
        <x:v>Средняя</x:v>
      </x:c>
      <x:c r="K68" s="28" t="str">
        <x:v>The Art &amp; Science of Foodpairing.pdf</x:v>
      </x:c>
      <x:c r="L68" s="28" t="str">
        <x:v>The Art &amp; Science of Foodpairing.pdf: 366</x:v>
      </x:c>
    </x:row>
    <x:row r="69" ht="62" customHeight="1">
      <x:c r="A69" s="28" t="str">
        <x:v>CIT-0235</x:v>
      </x:c>
      <x:c r="B69" s="28" t="str">
        <x:v>красный апельсин</x:v>
      </x:c>
      <x:c r="C69" s="28" t="str">
        <x:v>гвоздика</x:v>
      </x:c>
      <x:c r="D69" s="28" t="str">
        <x:v>Пряности</x:v>
      </x:c>
      <x:c r="E69" s="28" t="str">
        <x:v>вкусовой баланс, тройничное восприятие</x:v>
      </x:c>
      <x:c r="F69"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Гвоздика очень интенсивна и легко доминирует.</x:v>
      </x:c>
      <x:c r="G6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69" s="28" t="str">
        <x:v>Избыток кислоты делает вкус плоско-резким; белая часть кожуры даёт лишнюю горечь.</x:v>
      </x:c>
      <x:c r="I69" s="28" t="str">
        <x:v>сироп, кордиал, чатни, маринад или пряный десерт</x:v>
      </x:c>
      <x:c r="J69" s="28" t="str">
        <x:v>Гипотеза / практическая</x:v>
      </x:c>
      <x:c r="K69" s="28" t="str">
        <x:v>Таблица сочетания(1).pdf</x:v>
      </x:c>
      <x:c r="L69" s="28" t="str">
        <x:v>Таблица сочетания(1).pdf: 3</x:v>
      </x:c>
    </x:row>
    <x:row r="70" ht="62" customHeight="1">
      <x:c r="A70" s="28" t="str">
        <x:v>CIT-0236</x:v>
      </x:c>
      <x:c r="B70" s="28" t="str">
        <x:v>красный апельсин</x:v>
      </x:c>
      <x:c r="C70" s="28" t="str">
        <x:v>имбирь</x:v>
      </x:c>
      <x:c r="D70" s="28" t="str">
        <x:v>Пряности</x:v>
      </x:c>
      <x:c r="E70" s="28" t="str">
        <x:v>перекрытие ароматических семейств, вкусовой баланс, тройничное восприятие</x:v>
      </x:c>
      <x:c r="F70"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Свежий имбирь более цитрусовый, нагретый и сушёный — более тёплый и жгучий.</x:v>
      </x:c>
      <x:c r="G7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0" s="28" t="str">
        <x:v>Избыток кислоты делает вкус плоско-резким; белая часть кожуры даёт лишнюю горечь.</x:v>
      </x:c>
      <x:c r="I70" s="28" t="str">
        <x:v>сироп, кордиал, чатни, маринад или пряный десерт</x:v>
      </x:c>
      <x:c r="J70" s="28" t="str">
        <x:v>Гипотеза / практическая</x:v>
      </x:c>
      <x:c r="K70" s="28" t="str">
        <x:v>Таблица сочетания(1).pdf</x:v>
      </x:c>
      <x:c r="L70" s="28" t="str">
        <x:v>Таблица сочетания(1).pdf: 3</x:v>
      </x:c>
    </x:row>
    <x:row r="71" ht="62" customHeight="1">
      <x:c r="A71" s="28" t="str">
        <x:v>CIT-0238</x:v>
      </x:c>
      <x:c r="B71" s="28" t="str">
        <x:v>красный апельсин</x:v>
      </x:c>
      <x:c r="C71" s="28" t="str">
        <x:v>кардамон</x:v>
      </x:c>
      <x:c r="D71" s="28" t="str">
        <x:v>Пряности</x:v>
      </x:c>
      <x:c r="E71" s="28" t="str">
        <x:v>общие ароматические молекулы, перекрытие ароматических семейств, вкусовой баланс, тройничное восприятие</x:v>
      </x:c>
      <x:c r="F71"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Кардамон часто служит мостом между цитрусом, цветами и древесными нотами.</x:v>
      </x:c>
      <x:c r="G7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1" s="28" t="str">
        <x:v>Избыток кислоты делает вкус плоско-резким; белая часть кожуры даёт лишнюю горечь.</x:v>
      </x:c>
      <x:c r="I71" s="28" t="str">
        <x:v>сироп, кордиал, чатни, маринад или пряный десерт</x:v>
      </x:c>
      <x:c r="J71" s="28" t="str">
        <x:v>Средняя</x:v>
      </x:c>
      <x:c r="K71" s="28" t="str">
        <x:v>Таблица сочетания(1).pdf</x:v>
      </x:c>
      <x:c r="L71" s="28" t="str">
        <x:v>Таблица сочетания(1).pdf: 3</x:v>
      </x:c>
    </x:row>
    <x:row r="72" ht="62" customHeight="1">
      <x:c r="A72" s="28" t="str">
        <x:v>CIT-0239</x:v>
      </x:c>
      <x:c r="B72" s="28" t="str">
        <x:v>красный апельсин</x:v>
      </x:c>
      <x:c r="C72" s="28" t="str">
        <x:v>корица</x:v>
      </x:c>
      <x:c r="D72" s="28" t="str">
        <x:v>Пряности</x:v>
      </x:c>
      <x:c r="E72" s="28" t="str">
        <x:v>вкусовой баланс, тройничное восприятие</x:v>
      </x:c>
      <x:c r="F72"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Корица добавляет тёплый низкий регистр и усиливает впечатление сладости.</x:v>
      </x:c>
      <x:c r="G7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2" s="28" t="str">
        <x:v>Избыток кислоты делает вкус плоско-резким; белая часть кожуры даёт лишнюю горечь.</x:v>
      </x:c>
      <x:c r="I72" s="28" t="str">
        <x:v>сироп, кордиал, чатни, маринад или пряный десерт</x:v>
      </x:c>
      <x:c r="J72" s="28" t="str">
        <x:v>Гипотеза / практическая</x:v>
      </x:c>
      <x:c r="K72" s="28" t="str">
        <x:v>Таблица сочетания(1).pdf</x:v>
      </x:c>
      <x:c r="L72" s="28" t="str">
        <x:v>Таблица сочетания(1).pdf: 3</x:v>
      </x:c>
    </x:row>
    <x:row r="73" ht="62" customHeight="1">
      <x:c r="A73" s="28" t="str">
        <x:v>CIT-0243</x:v>
      </x:c>
      <x:c r="B73" s="28" t="str">
        <x:v>красный апельсин</x:v>
      </x:c>
      <x:c r="C73" s="28" t="str">
        <x:v>мята</x:v>
      </x:c>
      <x:c r="D73" s="28" t="str">
        <x:v>Травы</x:v>
      </x:c>
      <x:c r="E73" s="28" t="str">
        <x:v>вкусовой баланс, тройничное восприятие</x:v>
      </x:c>
      <x:c r="F73"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Мята усиливает воспринимаемую прохладу и кислотную свежесть.</x:v>
      </x:c>
      <x:c r="G7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3" s="28" t="str">
        <x:v>Избыток кислоты делает вкус плоско-резким; белая часть кожуры даёт лишнюю горечь; цитрус легко подавляет деликатный аромат партнёра.</x:v>
      </x:c>
      <x:c r="I73" s="28" t="str">
        <x:v>лимонад, кордиал, салатная заправка или зелёный соус</x:v>
      </x:c>
      <x:c r="J73" s="28" t="str">
        <x:v>Гипотеза / практическая</x:v>
      </x:c>
      <x:c r="K73" s="28" t="str">
        <x:v>Таблица сочетания(1).pdf</x:v>
      </x:c>
      <x:c r="L73" s="28" t="str">
        <x:v>Таблица сочетания(1).pdf: 3</x:v>
      </x:c>
    </x:row>
    <x:row r="74" ht="62" customHeight="1">
      <x:c r="A74" s="28" t="str">
        <x:v>CIT-0244</x:v>
      </x:c>
      <x:c r="B74" s="28" t="str">
        <x:v>красный апельсин</x:v>
      </x:c>
      <x:c r="C74" s="28" t="str">
        <x:v>розмарин</x:v>
      </x:c>
      <x:c r="D74" s="28" t="str">
        <x:v>Травы</x:v>
      </x:c>
      <x:c r="E74" s="28" t="str">
        <x:v>вкусовой баланс, тройничное восприятие</x:v>
      </x:c>
      <x:c r="F74" s="28" t="str">
        <x:v>Красный апельсин формирует профиль «цитрусовый, сладко-фруктовый, цветочный, восковой»; характерные маркеры: лимонен, линалол, деканаль, октаналь, мирцен.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Апельсиновый профиль строится на лимонене и альдегидах с восково-сладкой нотой. Хвойно-терпеновый профиль способен продолжить цитрусовую цедру.</x:v>
      </x:c>
      <x:c r="G7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74" s="28" t="str">
        <x:v>Избыток кислоты делает вкус плоско-резким; белая часть кожуры даёт лишнюю горечь; цитрус легко подавляет деликатный аромат партнёра.</x:v>
      </x:c>
      <x:c r="I74" s="28" t="str">
        <x:v>лимонад, кордиал, салатная заправка или зелёный соус</x:v>
      </x:c>
      <x:c r="J74" s="28" t="str">
        <x:v>Гипотеза / практическая</x:v>
      </x:c>
      <x:c r="K74" s="28" t="str">
        <x:v>Таблица сочетания(1).pdf</x:v>
      </x:c>
      <x:c r="L74" s="28" t="str">
        <x:v>Таблица сочетания(1).pdf: 3</x:v>
      </x:c>
    </x:row>
    <x:row r="75" ht="62" customHeight="1">
      <x:c r="A75" s="28" t="str">
        <x:v>CIT-0248</x:v>
      </x:c>
      <x:c r="B75" s="28" t="str">
        <x:v>красный апельсин Моро</x:v>
      </x:c>
      <x:c r="C75" s="28" t="str">
        <x:v>жареная индейка</x:v>
      </x:c>
      <x:c r="D75" s="28" t="str">
        <x:v>Мясо и птица</x:v>
      </x:c>
      <x:c r="E75" s="28" t="str">
        <x:v>вкусовой баланс, влияние матрицы/растворимости</x:v>
      </x:c>
      <x:c r="F75"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Жареная индейка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создаёт контраст с реакциями Майяра и освежает мясную матрицу.</x:v>
      </x:c>
      <x:c r="G7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75" s="28" t="str">
        <x:v>Избыток кислоты делает вкус плоско-резким; белая часть кожуры даёт лишнюю горечь; слишком долгая маринация ухудшает текстуру.</x:v>
      </x:c>
      <x:c r="I75" s="28" t="str">
        <x:v>маринад, глазурь, соус, жаркое или салат</x:v>
      </x:c>
      <x:c r="J75" s="28" t="str">
        <x:v>Средняя</x:v>
      </x:c>
      <x:c r="K75" s="28" t="str">
        <x:v>The Art &amp; Science of Foodpairing.pdf</x:v>
      </x:c>
      <x:c r="L75" s="28" t="str">
        <x:v>The Art &amp; Science of Foodpairing.pdf: 67</x:v>
      </x:c>
    </x:row>
    <x:row r="76" ht="62" customHeight="1">
      <x:c r="A76" s="28" t="str">
        <x:v>CIT-0249</x:v>
      </x:c>
      <x:c r="B76" s="28" t="str">
        <x:v>красный апельсин Моро</x:v>
      </x:c>
      <x:c r="C76" s="28" t="str">
        <x:v>запечённая барабулька</x:v>
      </x:c>
      <x:c r="D76" s="28" t="str">
        <x:v>Рыба и морепродукты</x:v>
      </x:c>
      <x:c r="E76" s="28" t="str">
        <x:v>вкусовой баланс, влияние матрицы/растворимости</x:v>
      </x:c>
      <x:c r="F76"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Запечённая барабулька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7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76" s="28" t="str">
        <x:v>Избыток кислоты делает вкус плоско-резким; белая часть кожуры даёт лишнюю горечь; слишком долгая маринация ухудшает текстуру.</x:v>
      </x:c>
      <x:c r="I76" s="28" t="str">
        <x:v>севиче, маринад, beurre blanc, тартар или салат</x:v>
      </x:c>
      <x:c r="J76" s="28" t="str">
        <x:v>Средняя</x:v>
      </x:c>
      <x:c r="K76" s="28" t="str">
        <x:v>The Art &amp; Science of Foodpairing.pdf</x:v>
      </x:c>
      <x:c r="L76" s="28" t="str">
        <x:v>The Art &amp; Science of Foodpairing.pdf: 242</x:v>
      </x:c>
    </x:row>
    <x:row r="77" ht="62" customHeight="1">
      <x:c r="A77" s="28" t="str">
        <x:v>CIT-0257</x:v>
      </x:c>
      <x:c r="B77" s="28" t="str">
        <x:v>красный апельсин Моро</x:v>
      </x:c>
      <x:c r="C77" s="28" t="str">
        <x:v>филе скумбрии</x:v>
      </x:c>
      <x:c r="D77" s="28" t="str">
        <x:v>Рыба и морепродукты</x:v>
      </x:c>
      <x:c r="E77" s="28" t="str">
        <x:v>вкусовой баланс, влияние матрицы/растворимости</x:v>
      </x:c>
      <x:c r="F77"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Филе скумбрии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7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77" s="28" t="str">
        <x:v>Избыток кислоты делает вкус плоско-резким; белая часть кожуры даёт лишнюю горечь; слишком долгая маринация ухудшает текстуру.</x:v>
      </x:c>
      <x:c r="I77" s="28" t="str">
        <x:v>севиче, маринад, beurre blanc, тартар или салат</x:v>
      </x:c>
      <x:c r="J77" s="28" t="str">
        <x:v>Средняя</x:v>
      </x:c>
      <x:c r="K77" s="28" t="str">
        <x:v>The Art &amp; Science of Foodpairing.pdf</x:v>
      </x:c>
      <x:c r="L77" s="28" t="str">
        <x:v>The Art &amp; Science of Foodpairing.pdf: 67</x:v>
      </x:c>
    </x:row>
    <x:row r="78" ht="62" customHeight="1">
      <x:c r="A78" s="28" t="str">
        <x:v>CIT-0258</x:v>
      </x:c>
      <x:c r="B78" s="28" t="str">
        <x:v>красный апельсин Моро</x:v>
      </x:c>
      <x:c r="C78" s="28" t="str">
        <x:v>цветная капуста</x:v>
      </x:c>
      <x:c r="D78" s="28" t="str">
        <x:v>Овощи</x:v>
      </x:c>
      <x:c r="E78" s="28" t="str">
        <x:v>вкусовой баланс</x:v>
      </x:c>
      <x:c r="F78" s="28" t="str">
        <x:v>Красный апельсин моро формирует профиль «цитрусовый, сладко-фруктовый, цветочный, восковой»; характерные маркеры: лимонен, линалол, деканаль, октаналь, мирцен. Цветная капуста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7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8" s="28" t="str">
        <x:v>Избыток кислоты делает вкус плоско-резким; белая часть кожуры даёт лишнюю горечь.</x:v>
      </x:c>
      <x:c r="I78" s="28" t="str">
        <x:v>винегрет, салат, пюре, запечённое блюдо или овощной соус</x:v>
      </x:c>
      <x:c r="J78" s="28" t="str">
        <x:v>Средняя</x:v>
      </x:c>
      <x:c r="K78" s="28" t="str">
        <x:v>The Art &amp; Science of Foodpairing.pdf</x:v>
      </x:c>
      <x:c r="L78" s="28" t="str">
        <x:v>The Art &amp; Science of Foodpairing.pdf: 67</x:v>
      </x:c>
    </x:row>
    <x:row r="79" ht="62" customHeight="1">
      <x:c r="A79" s="28" t="str">
        <x:v>CIT-0265</x:v>
      </x:c>
      <x:c r="B79" s="28" t="str">
        <x:v>красный апельсин Тарокко</x:v>
      </x:c>
      <x:c r="C79" s="28" t="str">
        <x:v>зелёная спаржа</x:v>
      </x:c>
      <x:c r="D79" s="28" t="str">
        <x:v>Овощи</x:v>
      </x:c>
      <x:c r="E79" s="28" t="str">
        <x:v>вкусовой баланс</x:v>
      </x:c>
      <x:c r="F79"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Зелёная спаржа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7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79" s="28" t="str">
        <x:v>Избыток кислоты делает вкус плоско-резким; белая часть кожуры даёт лишнюю горечь.</x:v>
      </x:c>
      <x:c r="I79" s="28" t="str">
        <x:v>винегрет, салат, пюре, запечённое блюдо или овощной соус</x:v>
      </x:c>
      <x:c r="J79" s="28" t="str">
        <x:v>Средняя</x:v>
      </x:c>
      <x:c r="K79" s="28" t="str">
        <x:v>The Art &amp; Science of Foodpairing.pdf</x:v>
      </x:c>
      <x:c r="L79" s="28" t="str">
        <x:v>The Art &amp; Science of Foodpairing.pdf: 292</x:v>
      </x:c>
    </x:row>
    <x:row r="80" ht="62" customHeight="1">
      <x:c r="A80" s="28" t="str">
        <x:v>CIT-0276</x:v>
      </x:c>
      <x:c r="B80" s="28" t="str">
        <x:v>красный апельсин Тарокко</x:v>
      </x:c>
      <x:c r="C80" s="28" t="str">
        <x:v>томатный кетчуп</x:v>
      </x:c>
      <x:c r="D80" s="28" t="str">
        <x:v>Овощи</x:v>
      </x:c>
      <x:c r="E80" s="28" t="str">
        <x:v>вкусовой баланс</x:v>
      </x:c>
      <x:c r="F80" s="28" t="str">
        <x:v>Красный апельсин тарокко формирует профиль «цитрусовый, сладко-фруктовый, цветочный, восковой»; характерные маркеры: лимонен, линалол, деканаль, октаналь, мирцен. Томатный кетчуп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8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80" s="28" t="str">
        <x:v>Избыток кислоты делает вкус плоско-резким; белая часть кожуры даёт лишнюю горечь.</x:v>
      </x:c>
      <x:c r="I80" s="28" t="str">
        <x:v>винегрет, салат, пюре, запечённое блюдо или овощной соус</x:v>
      </x:c>
      <x:c r="J80" s="28" t="str">
        <x:v>Средняя</x:v>
      </x:c>
      <x:c r="K80" s="28" t="str">
        <x:v>The Art &amp; Science of Foodpairing.pdf</x:v>
      </x:c>
      <x:c r="L80" s="28" t="str">
        <x:v>The Art &amp; Science of Foodpairing.pdf: 292</x:v>
      </x:c>
    </x:row>
    <x:row r="81" ht="62" customHeight="1">
      <x:c r="A81" s="28" t="str">
        <x:v>CIT-0281</x:v>
      </x:c>
      <x:c r="B81" s="28" t="str">
        <x:v>кумкват</x:v>
      </x:c>
      <x:c r="C81" s="28" t="str">
        <x:v>базилик</x:v>
      </x:c>
      <x:c r="D81" s="28" t="str">
        <x:v>Травы</x:v>
      </x:c>
      <x:c r="E81" s="28" t="str">
        <x:v>общие ароматические молекулы, перекрытие ароматических семейств, вкусовой баланс</x:v>
      </x:c>
      <x:c r="F81" s="28" t="str">
        <x:v>Кумкват формирует профиль «цитрусовый, фруктовый, цветочный, пряный»; характерные маркеры: лимонен, гамма-терпинен, метил-N-метилантранилат,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пряный, цветочный.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Базилик и эстрагон могут связать цитрус с фруктами, томатом и сливочными матрицами.</x:v>
      </x:c>
      <x:c r="G8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1" s="28" t="str">
        <x:v>Избыток кислоты делает вкус плоско-резким; белая часть кожуры даёт лишнюю горечь; цитрус легко подавляет деликатный аромат партнёра.</x:v>
      </x:c>
      <x:c r="I81" s="28" t="str">
        <x:v>лимонад, кордиал, салатная заправка или зелёный соус</x:v>
      </x:c>
      <x:c r="J81" s="28" t="str">
        <x:v>Средняя</x:v>
      </x:c>
      <x:c r="K81" s="28" t="str">
        <x:v>Таблица сочетания(1).pdf</x:v>
      </x:c>
      <x:c r="L81" s="28" t="str">
        <x:v>Таблица сочетания(1).pdf: 10</x:v>
      </x:c>
    </x:row>
    <x:row r="82" ht="62" customHeight="1">
      <x:c r="A82" s="28" t="str">
        <x:v>CIT-0283</x:v>
      </x:c>
      <x:c r="B82" s="28" t="str">
        <x:v>кумкват</x:v>
      </x:c>
      <x:c r="C82" s="28" t="str">
        <x:v>ваниль</x:v>
      </x:c>
      <x:c r="D82" s="28" t="str">
        <x:v>Пряности</x:v>
      </x:c>
      <x:c r="E82" s="28" t="str">
        <x:v>вкусовой баланс</x:v>
      </x:c>
      <x:c r="F82" s="28" t="str">
        <x:v>Кумкват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G8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2" s="28" t="str">
        <x:v>Избыток кислоты делает вкус плоско-резким; белая часть кожуры даёт лишнюю горечь.</x:v>
      </x:c>
      <x:c r="I82" s="28" t="str">
        <x:v>сироп, кордиал, чатни, маринад или пряный десерт</x:v>
      </x:c>
      <x:c r="J82" s="28" t="str">
        <x:v>Гипотеза / практическая</x:v>
      </x:c>
      <x:c r="K82" s="28" t="str">
        <x:v>Таблица сочетания(1).pdf</x:v>
      </x:c>
      <x:c r="L82" s="28" t="str">
        <x:v>Таблица сочетания(1).pdf: 10</x:v>
      </x:c>
    </x:row>
    <x:row r="83" ht="62" customHeight="1">
      <x:c r="A83" s="28" t="str">
        <x:v>CIT-0288</x:v>
      </x:c>
      <x:c r="B83" s="28" t="str">
        <x:v>кумкват</x:v>
      </x:c>
      <x:c r="C83" s="28" t="str">
        <x:v>зелёная чечевица</x:v>
      </x:c>
      <x:c r="D83" s="28" t="str">
        <x:v>Овощи</x:v>
      </x:c>
      <x:c r="E83" s="28" t="str">
        <x:v>вкусовой баланс</x:v>
      </x:c>
      <x:c r="F83" s="28" t="str">
        <x:v>Кумкват формирует профиль «цитрусовый, фруктовый, цветочный, пряный»; характерные маркеры: лимонен, гамма-терпинен, метил-N-метилантранилат, линалол. Зелёная чечевица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8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83" s="28" t="str">
        <x:v>Избыток кислоты делает вкус плоско-резким; белая часть кожуры даёт лишнюю горечь.</x:v>
      </x:c>
      <x:c r="I83" s="28" t="str">
        <x:v>винегрет, салат, пюре, запечённое блюдо или овощной соус</x:v>
      </x:c>
      <x:c r="J83" s="28" t="str">
        <x:v>Средняя</x:v>
      </x:c>
      <x:c r="K83" s="28" t="str">
        <x:v>The Art &amp; Science of Foodpairing.pdf</x:v>
      </x:c>
      <x:c r="L83" s="28" t="str">
        <x:v>The Art &amp; Science of Foodpairing.pdf: 215</x:v>
      </x:c>
    </x:row>
    <x:row r="84" ht="62" customHeight="1">
      <x:c r="A84" s="28" t="str">
        <x:v>CIT-0289</x:v>
      </x:c>
      <x:c r="B84" s="28" t="str">
        <x:v>кумкват</x:v>
      </x:c>
      <x:c r="C84" s="28" t="str">
        <x:v>имбирь</x:v>
      </x:c>
      <x:c r="D84" s="28" t="str">
        <x:v>Пряности</x:v>
      </x:c>
      <x:c r="E84" s="28" t="str">
        <x:v>перекрытие ароматических семейств, вкусовой баланс, тройничное восприятие</x:v>
      </x:c>
      <x:c r="F84" s="28" t="str">
        <x:v>Кумкват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8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4" s="28" t="str">
        <x:v>Избыток кислоты делает вкус плоско-резким; белая часть кожуры даёт лишнюю горечь.</x:v>
      </x:c>
      <x:c r="I84" s="28" t="str">
        <x:v>сироп, кордиал, чатни, маринад или пряный десерт</x:v>
      </x:c>
      <x:c r="J84" s="28" t="str">
        <x:v>Гипотеза / практическая</x:v>
      </x:c>
      <x:c r="K84" s="28" t="str">
        <x:v>Таблица сочетания(1).pdf</x:v>
      </x:c>
      <x:c r="L84" s="28" t="str">
        <x:v>Таблица сочетания(1).pdf: 10</x:v>
      </x:c>
    </x:row>
    <x:row r="85" ht="62" customHeight="1">
      <x:c r="A85" s="28" t="str">
        <x:v>CIT-0291</x:v>
      </x:c>
      <x:c r="B85" s="28" t="str">
        <x:v>кумкват</x:v>
      </x:c>
      <x:c r="C85" s="28" t="str">
        <x:v>корица</x:v>
      </x:c>
      <x:c r="D85" s="28" t="str">
        <x:v>Пряности</x:v>
      </x:c>
      <x:c r="E85" s="28" t="str">
        <x:v>вкусовой баланс, тройничное восприятие</x:v>
      </x:c>
      <x:c r="F85" s="28" t="str">
        <x:v>Кумкват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G8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5" s="28" t="str">
        <x:v>Избыток кислоты делает вкус плоско-резким; белая часть кожуры даёт лишнюю горечь.</x:v>
      </x:c>
      <x:c r="I85" s="28" t="str">
        <x:v>сироп, кордиал, чатни, маринад или пряный десерт</x:v>
      </x:c>
      <x:c r="J85" s="28" t="str">
        <x:v>Гипотеза / практическая</x:v>
      </x:c>
      <x:c r="K85" s="28" t="str">
        <x:v>Таблица сочетания(1).pdf</x:v>
      </x:c>
      <x:c r="L85" s="28" t="str">
        <x:v>Таблица сочетания(1).pdf: 10</x:v>
      </x:c>
    </x:row>
    <x:row r="86" ht="62" customHeight="1">
      <x:c r="A86" s="28" t="str">
        <x:v>CIT-0298</x:v>
      </x:c>
      <x:c r="B86" s="28" t="str">
        <x:v>кумкват</x:v>
      </x:c>
      <x:c r="C86" s="28" t="str">
        <x:v>мята</x:v>
      </x:c>
      <x:c r="D86" s="28" t="str">
        <x:v>Травы</x:v>
      </x:c>
      <x:c r="E86" s="28" t="str">
        <x:v>вкусовой баланс, тройничное восприятие</x:v>
      </x:c>
      <x:c r="F86" s="28" t="str">
        <x:v>Кумкват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G8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6" s="28" t="str">
        <x:v>Избыток кислоты делает вкус плоско-резким; белая часть кожуры даёт лишнюю горечь; цитрус легко подавляет деликатный аромат партнёра.</x:v>
      </x:c>
      <x:c r="I86" s="28" t="str">
        <x:v>лимонад, кордиал, салатная заправка или зелёный соус</x:v>
      </x:c>
      <x:c r="J86" s="28" t="str">
        <x:v>Гипотеза / практическая</x:v>
      </x:c>
      <x:c r="K86" s="28" t="str">
        <x:v>Таблица сочетания(1).pdf</x:v>
      </x:c>
      <x:c r="L86" s="28" t="str">
        <x:v>Таблица сочетания(1).pdf: 10</x:v>
      </x:c>
    </x:row>
    <x:row r="87" ht="62" customHeight="1">
      <x:c r="A87" s="28" t="str">
        <x:v>CIT-0301</x:v>
      </x:c>
      <x:c r="B87" s="28" t="str">
        <x:v>кумкват</x:v>
      </x:c>
      <x:c r="C87" s="28" t="str">
        <x:v>розмарин</x:v>
      </x:c>
      <x:c r="D87" s="28" t="str">
        <x:v>Травы</x:v>
      </x:c>
      <x:c r="E87" s="28" t="str">
        <x:v>вкусовой баланс, тройничное восприятие</x:v>
      </x:c>
      <x:c r="F87" s="28" t="str">
        <x:v>Кумкват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8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7" s="28" t="str">
        <x:v>Избыток кислоты делает вкус плоско-резким; белая часть кожуры даёт лишнюю горечь; цитрус легко подавляет деликатный аромат партнёра.</x:v>
      </x:c>
      <x:c r="I87" s="28" t="str">
        <x:v>лимонад, кордиал, салатная заправка или зелёный соус</x:v>
      </x:c>
      <x:c r="J87" s="28" t="str">
        <x:v>Средняя</x:v>
      </x:c>
      <x:c r="K87" s="28" t="str">
        <x:v>The Art &amp; Science of Foodpairing.pdf</x:v>
      </x:c>
      <x:c r="L87" s="28" t="str">
        <x:v>The Art &amp; Science of Foodpairing.pdf: 113</x:v>
      </x:c>
    </x:row>
    <x:row r="88" ht="62" customHeight="1">
      <x:c r="A88" s="28" t="str">
        <x:v>CIT-0302</x:v>
      </x:c>
      <x:c r="B88" s="28" t="str">
        <x:v>кумкват</x:v>
      </x:c>
      <x:c r="C88" s="28" t="str">
        <x:v>свежий корень имбиря</x:v>
      </x:c>
      <x:c r="D88" s="28" t="str">
        <x:v>Пряности</x:v>
      </x:c>
      <x:c r="E88" s="28" t="str">
        <x:v>перекрытие ароматических семейств, вкусовой баланс, тройничное восприятие</x:v>
      </x:c>
      <x:c r="F88" s="28" t="str">
        <x:v>Кумкват формирует профиль «цитрусовый, фруктовый, цветочный, пряный»; характерные маркеры: лимонен, гамма-терпинен, метил-N-метилантранилат, линалол. Свежий корень имбиря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8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8" s="28" t="str">
        <x:v>Избыток кислоты делает вкус плоско-резким; белая часть кожуры даёт лишнюю горечь.</x:v>
      </x:c>
      <x:c r="I88" s="28" t="str">
        <x:v>сироп, кордиал, чатни, маринад или пряный десерт</x:v>
      </x:c>
      <x:c r="J88" s="28" t="str">
        <x:v>Средняя</x:v>
      </x:c>
      <x:c r="K88" s="28" t="str">
        <x:v>The Art &amp; Science of Foodpairing.pdf</x:v>
      </x:c>
      <x:c r="L88" s="28" t="str">
        <x:v>The Art &amp; Science of Foodpairing.pdf: 215</x:v>
      </x:c>
    </x:row>
    <x:row r="89" ht="62" customHeight="1">
      <x:c r="A89" s="28" t="str">
        <x:v>CIT-0303</x:v>
      </x:c>
      <x:c r="B89" s="28" t="str">
        <x:v>кумкват</x:v>
      </x:c>
      <x:c r="C89" s="28" t="str">
        <x:v>семена кардамона</x:v>
      </x:c>
      <x:c r="D89" s="28" t="str">
        <x:v>Пряности</x:v>
      </x:c>
      <x:c r="E89" s="28" t="str">
        <x:v>общие ароматические молекулы, перекрытие ароматических семейств, вкусовой баланс, тройничное восприятие</x:v>
      </x:c>
      <x:c r="F89" s="28" t="str">
        <x:v>Кумкват формирует профиль «цитрусовый, фруктовый, цветочный, пряный»; характерные маркеры: лимонен, гамма-терпинен, метил-N-метилантранилат, линалол. Семена кардамона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Кардамон часто служит мостом между цитрусом, цветами и древесными нотами.</x:v>
      </x:c>
      <x:c r="G8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89" s="28" t="str">
        <x:v>Избыток кислоты делает вкус плоско-резким; белая часть кожуры даёт лишнюю горечь.</x:v>
      </x:c>
      <x:c r="I89" s="28" t="str">
        <x:v>сироп, кордиал, чатни, маринад или пряный десерт</x:v>
      </x:c>
      <x:c r="J89" s="28" t="str">
        <x:v>Средняя</x:v>
      </x:c>
      <x:c r="K89" s="28" t="str">
        <x:v>The Art &amp; Science of Foodpairing.pdf</x:v>
      </x:c>
      <x:c r="L89" s="28" t="str">
        <x:v>The Art &amp; Science of Foodpairing.pdf: 215</x:v>
      </x:c>
    </x:row>
    <x:row r="90" ht="62" customHeight="1">
      <x:c r="A90" s="28" t="str">
        <x:v>CIT-0307</x:v>
      </x:c>
      <x:c r="B90" s="28" t="str">
        <x:v>кумкват</x:v>
      </x:c>
      <x:c r="C90" s="28" t="str">
        <x:v>тыква</x:v>
      </x:c>
      <x:c r="D90" s="28" t="str">
        <x:v>Овощи</x:v>
      </x:c>
      <x:c r="E90" s="28" t="str">
        <x:v>вкусовой баланс</x:v>
      </x:c>
      <x:c r="F90" s="28" t="str">
        <x:v>Кумкват формирует профиль «цитрусовый, фруктовый, цветочный, пряный»; характерные маркеры: лимонен, гамма-терпинен, метил-N-метилантранилат, линалол.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9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90" s="28" t="str">
        <x:v>Избыток кислоты делает вкус плоско-резким; белая часть кожуры даёт лишнюю горечь.</x:v>
      </x:c>
      <x:c r="I90" s="28" t="str">
        <x:v>винегрет, салат, пюре, запечённое блюдо или овощной соус</x:v>
      </x:c>
      <x:c r="J90" s="28" t="str">
        <x:v>Гипотеза / практическая</x:v>
      </x:c>
      <x:c r="K90" s="28" t="str">
        <x:v>Таблица сочетания(1).pdf</x:v>
      </x:c>
      <x:c r="L90" s="28" t="str">
        <x:v>Таблица сочетания(1).pdf: 11</x:v>
      </x:c>
    </x:row>
    <x:row r="91" ht="62" customHeight="1">
      <x:c r="A91" s="28" t="str">
        <x:v>CIT-0310</x:v>
      </x:c>
      <x:c r="B91" s="28" t="str">
        <x:v>кумкват</x:v>
      </x:c>
      <x:c r="C91" s="28" t="str">
        <x:v>чёрный перец</x:v>
      </x:c>
      <x:c r="D91" s="28" t="str">
        <x:v>Пряности</x:v>
      </x:c>
      <x:c r="E91" s="28" t="str">
        <x:v>общие ароматические молекулы, перекрытие ароматических семейств, вкусовой баланс, тройничное восприятие</x:v>
      </x:c>
      <x:c r="F91" s="28" t="str">
        <x:v>Кумкват формирует профиль «цитрусовый, фруктовый, цветочный, пряный»; характерные маркеры: лимонен, гамма-терпинен, метил-N-метилантранилат, линалол.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G9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1" s="28" t="str">
        <x:v>Избыток кислоты делает вкус плоско-резким; белая часть кожуры даёт лишнюю горечь.</x:v>
      </x:c>
      <x:c r="I91" s="28" t="str">
        <x:v>сироп, кордиал, чатни, маринад или пряный десерт</x:v>
      </x:c>
      <x:c r="J91" s="28" t="str">
        <x:v>Средняя</x:v>
      </x:c>
      <x:c r="K91" s="28" t="str">
        <x:v>The Art &amp; Science of Foodpairing.pdf</x:v>
      </x:c>
      <x:c r="L91" s="28" t="str">
        <x:v>The Art &amp; Science of Foodpairing.pdf: 215</x:v>
      </x:c>
    </x:row>
    <x:row r="92" ht="62" customHeight="1">
      <x:c r="A92" s="28" t="str">
        <x:v>CIT-0324</x:v>
      </x:c>
      <x:c r="B92" s="28" t="str">
        <x:v>лайм</x:v>
      </x:c>
      <x:c r="C92" s="28" t="str">
        <x:v>базилик</x:v>
      </x:c>
      <x:c r="D92" s="28" t="str">
        <x:v>Травы</x:v>
      </x:c>
      <x:c r="E92" s="28" t="str">
        <x:v>общие ароматические молекулы, перекрытие ароматических семейств, вкусовой баланс</x:v>
      </x:c>
      <x:c r="F92" s="28" t="str">
        <x:v>Лайм формирует профиль «цитрусовый, зелёный, травяной, камфорный»; характерные маркеры: лимонен, гамма-терпинен, цитраль, бета-пинен,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зелёный.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Базилик и эстрагон могут связать цитрус с фруктами, томатом и сливочными матрицами.</x:v>
      </x:c>
      <x:c r="G9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2" s="28" t="str">
        <x:v>Избыток кислоты делает вкус плоско-резким; белая часть кожуры даёт лишнюю горечь; цитрус легко подавляет деликатный аромат партнёра.</x:v>
      </x:c>
      <x:c r="I92" s="28" t="str">
        <x:v>лимонад, кордиал, салатная заправка или зелёный соус</x:v>
      </x:c>
      <x:c r="J92" s="28" t="str">
        <x:v>Высокая</x:v>
      </x:c>
      <x:c r="K92" s="28" t="str">
        <x:v>Тезариус вкусов (Ники Сегнит)(1).pdf</x:v>
      </x:c>
      <x:c r="L92" s="28" t="str">
        <x:v>Тезариус вкусов (Ники Сегнит)(1).pdf: 567, 792</x:v>
      </x:c>
    </x:row>
    <x:row r="93" ht="62" customHeight="1">
      <x:c r="A93" s="28" t="str">
        <x:v>CIT-0327</x:v>
      </x:c>
      <x:c r="B93" s="28" t="str">
        <x:v>лайм</x:v>
      </x:c>
      <x:c r="C93" s="28" t="str">
        <x:v>белая рыба</x:v>
      </x:c>
      <x:c r="D93" s="28" t="str">
        <x:v>Рыба и морепродукты</x:v>
      </x:c>
      <x:c r="E93" s="28" t="str">
        <x:v>перекрытие ароматических семейств, вкусовой баланс, влияние матрицы/растворимости</x:v>
      </x:c>
      <x:c r="F93" s="28" t="str">
        <x:v>Лайм формирует профиль «цитрусовый, зелёный, травяной, камфорный»; характерные маркеры: лимонен, гамма-терпинен, цитраль, бета-пинен, линалол. Белая рыба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G93"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93" s="28" t="str">
        <x:v>Избыток кислоты делает вкус плоско-резким; белая часть кожуры даёт лишнюю горечь; слишком долгая маринация ухудшает текстуру.</x:v>
      </x:c>
      <x:c r="I93" s="28" t="str">
        <x:v>севиче, маринад, beurre blanc, тартар или салат</x:v>
      </x:c>
      <x:c r="J93" s="28" t="str">
        <x:v>Высокая</x:v>
      </x:c>
      <x:c r="K93" s="28" t="str">
        <x:v>Тезариус вкусов (Ники Сегнит)(1).pdf</x:v>
      </x:c>
      <x:c r="L93" s="28" t="str">
        <x:v>Тезариус вкусов (Ники Сегнит)(1).pdf: 386, 792</x:v>
      </x:c>
    </x:row>
    <x:row r="94" ht="62" customHeight="1">
      <x:c r="A94" s="28" t="str">
        <x:v>CIT-0328</x:v>
      </x:c>
      <x:c r="B94" s="28" t="str">
        <x:v>лайм</x:v>
      </x:c>
      <x:c r="C94" s="28" t="str">
        <x:v>галангал</x:v>
      </x:c>
      <x:c r="D94" s="28" t="str">
        <x:v>Пряности</x:v>
      </x:c>
      <x:c r="E94" s="28" t="str">
        <x:v>общие ароматические молекулы, перекрытие ароматических семейств, вкусовой баланс, тройничное восприятие</x:v>
      </x:c>
      <x:c r="F94" s="28" t="str">
        <x:v>Лайм формирует профиль «цитрусовый, зелёный, травяной, камфорный»; характерные маркеры: лимонен, гамма-терпинен, цитраль, бета-пинен, линалол.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9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4" s="28" t="str">
        <x:v>Избыток кислоты делает вкус плоско-резким; белая часть кожуры даёт лишнюю горечь.</x:v>
      </x:c>
      <x:c r="I94" s="28" t="str">
        <x:v>сироп, кордиал, чатни, маринад или пряный десерт</x:v>
      </x:c>
      <x:c r="J94" s="28" t="str">
        <x:v>Средняя</x:v>
      </x:c>
      <x:c r="K94" s="28" t="str">
        <x:v>The Art &amp; Science of Foodpairing.pdf</x:v>
      </x:c>
      <x:c r="L94" s="28" t="str">
        <x:v>The Art &amp; Science of Foodpairing.pdf: 87</x:v>
      </x:c>
    </x:row>
    <x:row r="95" ht="62" customHeight="1">
      <x:c r="A95" s="28" t="str">
        <x:v>CIT-0329</x:v>
      </x:c>
      <x:c r="B95" s="28" t="str">
        <x:v>лайм</x:v>
      </x:c>
      <x:c r="C95" s="28" t="str">
        <x:v>гвоздика</x:v>
      </x:c>
      <x:c r="D95" s="28" t="str">
        <x:v>Пряности</x:v>
      </x:c>
      <x:c r="E95" s="28" t="str">
        <x:v>вкусовой баланс, тройничное восприятие</x:v>
      </x:c>
      <x:c r="F95" s="28" t="str">
        <x:v>Лайм формирует профиль «цитрусовый, зелёный, травяной, камфорный»; характерные маркеры: лимонен, гамма-терпинен, цитраль, бета-пинен, линалол. Гвоздика относится к группе «пряности» и даёт ноты «пряный, фенольный,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Гвоздика очень интенсивна и легко доминирует.</x:v>
      </x:c>
      <x:c r="G9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5" s="28" t="str">
        <x:v>Избыток кислоты делает вкус плоско-резким; белая часть кожуры даёт лишнюю горечь.</x:v>
      </x:c>
      <x:c r="I95" s="28" t="str">
        <x:v>сироп, кордиал, чатни, маринад или пряный десерт</x:v>
      </x:c>
      <x:c r="J95" s="28" t="str">
        <x:v>Гипотеза / практическая</x:v>
      </x:c>
      <x:c r="K95" s="28" t="str">
        <x:v>Таблица сочетания(1).pdf</x:v>
      </x:c>
      <x:c r="L95" s="28" t="str">
        <x:v>Таблица сочетания(1).pdf: 5</x:v>
      </x:c>
    </x:row>
    <x:row r="96" ht="62" customHeight="1">
      <x:c r="A96" s="28" t="str">
        <x:v>CIT-0330</x:v>
      </x:c>
      <x:c r="B96" s="28" t="str">
        <x:v>лайм</x:v>
      </x:c>
      <x:c r="C96" s="28" t="str">
        <x:v>говядина</x:v>
      </x:c>
      <x:c r="D96" s="28" t="str">
        <x:v>Мясо и птица</x:v>
      </x:c>
      <x:c r="E96" s="28" t="str">
        <x:v>вкусовой баланс, влияние матрицы/растворимости</x:v>
      </x:c>
      <x:c r="F96" s="28" t="str">
        <x:v>Лайм формирует профиль «цитрусовый, зелёный, травяной, камфорный»; характерные маркеры: лимонен, гамма-терпинен, цитраль, бета-пинен, линалол. Говядина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G9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96" s="28" t="str">
        <x:v>Избыток кислоты делает вкус плоско-резким; белая часть кожуры даёт лишнюю горечь; слишком долгая маринация ухудшает текстуру.</x:v>
      </x:c>
      <x:c r="I96" s="28" t="str">
        <x:v>маринад, глазурь, соус, жаркое или салат</x:v>
      </x:c>
      <x:c r="J96" s="28" t="str">
        <x:v>Высокая</x:v>
      </x:c>
      <x:c r="K96" s="28" t="str">
        <x:v>Тезариус вкусов (Ники Сегнит)(1).pdf</x:v>
      </x:c>
      <x:c r="L96" s="28" t="str">
        <x:v>Тезариус вкусов (Ники Сегнит)(1).pdf: 113, 793</x:v>
      </x:c>
    </x:row>
    <x:row r="97" ht="62" customHeight="1">
      <x:c r="A97" s="28" t="str">
        <x:v>CIT-0334</x:v>
      </x:c>
      <x:c r="B97" s="28" t="str">
        <x:v>лайм</x:v>
      </x:c>
      <x:c r="C97" s="28" t="str">
        <x:v>жирная рыба</x:v>
      </x:c>
      <x:c r="D97" s="28" t="str">
        <x:v>Рыба и морепродукты</x:v>
      </x:c>
      <x:c r="E97" s="28" t="str">
        <x:v>перекрытие ароматических семейств, вкусовой баланс, влияние матрицы/растворимости</x:v>
      </x:c>
      <x:c r="F97" s="28" t="str">
        <x:v>Лайм формирует профиль «цитрусовый, зелёный, травяной, камфорный»; характерные маркеры: лимонен, гамма-терпинен, цитраль, бета-пинен, линалол. Жирная рыба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G9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97" s="28" t="str">
        <x:v>Избыток кислоты делает вкус плоско-резким; белая часть кожуры даёт лишнюю горечь; слишком долгая маринация ухудшает текстуру.</x:v>
      </x:c>
      <x:c r="I97" s="28" t="str">
        <x:v>севиче, маринад, beurre blanc, тартар или салат</x:v>
      </x:c>
      <x:c r="J97" s="28" t="str">
        <x:v>Высокая</x:v>
      </x:c>
      <x:c r="K97" s="28" t="str">
        <x:v>Тезариус вкусов (Ники Сегнит)(1).pdf</x:v>
      </x:c>
      <x:c r="L97" s="28" t="str">
        <x:v>Тезариус вкусов (Ники Сегнит)(1).pdf: 413, 794</x:v>
      </x:c>
    </x:row>
    <x:row r="98" ht="62" customHeight="1">
      <x:c r="A98" s="28" t="str">
        <x:v>CIT-0336</x:v>
      </x:c>
      <x:c r="B98" s="28" t="str">
        <x:v>лайм</x:v>
      </x:c>
      <x:c r="C98" s="28" t="str">
        <x:v>имбирь</x:v>
      </x:c>
      <x:c r="D98" s="28" t="str">
        <x:v>Пряности</x:v>
      </x:c>
      <x:c r="E98" s="28" t="str">
        <x:v>общие ароматические молекулы, перекрытие ароматических семейств, вкусовой баланс, тройничное восприятие</x:v>
      </x:c>
      <x:c r="F98" s="28" t="str">
        <x:v>Лайм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9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8" s="28" t="str">
        <x:v>Избыток кислоты делает вкус плоско-резким; белая часть кожуры даёт лишнюю горечь.</x:v>
      </x:c>
      <x:c r="I98" s="28" t="str">
        <x:v>сироп, кордиал, чатни, маринад или пряный десерт</x:v>
      </x:c>
      <x:c r="J98" s="28" t="str">
        <x:v>Высокая</x:v>
      </x:c>
      <x:c r="K98" s="28" t="str">
        <x:v>Таблица сочетания(1).pdf | Тезариус вкусов (Ники Сегнит)(1).pdf</x:v>
      </x:c>
      <x:c r="L98" s="28" t="str">
        <x:v>Таблица сочетания(1).pdf: 8, 11 | Тезариус вкусов (Ники Сегнит)(1).pdf: 794, 817</x:v>
      </x:c>
    </x:row>
    <x:row r="99" ht="62" customHeight="1">
      <x:c r="A99" s="28" t="str">
        <x:v>CIT-0340</x:v>
      </x:c>
      <x:c r="B99" s="28" t="str">
        <x:v>лайм</x:v>
      </x:c>
      <x:c r="C99" s="28" t="str">
        <x:v>кардамон</x:v>
      </x:c>
      <x:c r="D99" s="28" t="str">
        <x:v>Пряности</x:v>
      </x:c>
      <x:c r="E99" s="28" t="str">
        <x:v>общие ароматические молекулы, перекрытие ароматических семейств, вкусовой баланс, тройничное восприятие</x:v>
      </x:c>
      <x:c r="F99" s="28" t="str">
        <x:v>Лайм формирует профиль «цитрусовый, зелёный, травяной, камфорный»; характерные маркеры: лимонен, гамма-терпинен, цитраль, бета-пинен, линалол.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камфорный,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Кардамон часто служит мостом между цитрусом, цветами и древесными нотами.</x:v>
      </x:c>
      <x:c r="G9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99" s="28" t="str">
        <x:v>Избыток кислоты делает вкус плоско-резким; белая часть кожуры даёт лишнюю горечь.</x:v>
      </x:c>
      <x:c r="I99" s="28" t="str">
        <x:v>сироп, кордиал, чатни, маринад или пряный десерт</x:v>
      </x:c>
      <x:c r="J99" s="28" t="str">
        <x:v>Средняя</x:v>
      </x:c>
      <x:c r="K99" s="28" t="str">
        <x:v>Таблица сочетания(1).pdf</x:v>
      </x:c>
      <x:c r="L99" s="28" t="str">
        <x:v>Таблица сочетания(1).pdf: 3, 11</x:v>
      </x:c>
    </x:row>
    <x:row r="100" ht="62" customHeight="1">
      <x:c r="A100" s="28" t="str">
        <x:v>CIT-0344</x:v>
      </x:c>
      <x:c r="B100" s="28" t="str">
        <x:v>лайм</x:v>
      </x:c>
      <x:c r="C100" s="28" t="str">
        <x:v>кориандр</x:v>
      </x:c>
      <x:c r="D100" s="28" t="str">
        <x:v>Травы/пряности</x:v>
      </x:c>
      <x:c r="E100" s="28" t="str">
        <x:v>общие ароматические молекулы, перекрытие ароматических семейств, вкусовой баланс</x:v>
      </x:c>
      <x:c r="F100" s="28" t="str">
        <x:v>Лайм формирует профиль «цитрусовый, зелёный, травяной, камфорный»; характерные маркеры: лимонен, гамма-терпинен, цитраль, бета-пинен, линалол. Кориандр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G10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0" s="28" t="str">
        <x:v>Избыток кислоты делает вкус плоско-резким; белая часть кожуры даёт лишнюю горечь; цитрус легко подавляет деликатный аромат партнёра.</x:v>
      </x:c>
      <x:c r="I100" s="28" t="str">
        <x:v>лимонад, кордиал, маринад или пряный соус</x:v>
      </x:c>
      <x:c r="J100" s="28" t="str">
        <x:v>Средняя</x:v>
      </x:c>
      <x:c r="K100" s="28" t="str">
        <x:v>Таблица сочетания(1).pdf</x:v>
      </x:c>
      <x:c r="L100" s="28" t="str">
        <x:v>Таблица сочетания(1).pdf: 6</x:v>
      </x:c>
    </x:row>
    <x:row r="101" ht="62" customHeight="1">
      <x:c r="A101" s="28" t="str">
        <x:v>CIT-0345</x:v>
      </x:c>
      <x:c r="B101" s="28" t="str">
        <x:v>лайм</x:v>
      </x:c>
      <x:c r="C101" s="28" t="str">
        <x:v>корица</x:v>
      </x:c>
      <x:c r="D101" s="28" t="str">
        <x:v>Пряности</x:v>
      </x:c>
      <x:c r="E101" s="28" t="str">
        <x:v>вкусовой баланс, тройничное восприятие</x:v>
      </x:c>
      <x:c r="F101" s="28" t="str">
        <x:v>Лайм формирует профиль «цитрусовый, зелёный, травяной, камфорный»; характерные маркеры: лимонен, гамма-терпинен, цитраль, бета-пинен,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Корица добавляет тёплый низкий регистр и усиливает впечатление сладости.</x:v>
      </x:c>
      <x:c r="G10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1" s="28" t="str">
        <x:v>Избыток кислоты делает вкус плоско-резким; белая часть кожуры даёт лишнюю горечь.</x:v>
      </x:c>
      <x:c r="I101" s="28" t="str">
        <x:v>сироп, кордиал, чатни, маринад или пряный десерт</x:v>
      </x:c>
      <x:c r="J101" s="28" t="str">
        <x:v>Высокая</x:v>
      </x:c>
      <x:c r="K101" s="28" t="str">
        <x:v>Таблица сочетания(1).pdf | Тезариус вкусов (Ники Сегнит)(1).pdf</x:v>
      </x:c>
      <x:c r="L101" s="28" t="str">
        <x:v>Таблица сочетания(1).pdf: 5, 11 | Тезариус вкусов (Ники Сегнит)(1).pdf: 577, 795</x:v>
      </x:c>
    </x:row>
    <x:row r="102" ht="62" customHeight="1">
      <x:c r="A102" s="28" t="str">
        <x:v>CIT-0350</x:v>
      </x:c>
      <x:c r="B102" s="28" t="str">
        <x:v>лайм</x:v>
      </x:c>
      <x:c r="C102" s="28" t="str">
        <x:v>листья кориандра</x:v>
      </x:c>
      <x:c r="D102" s="28" t="str">
        <x:v>Травы/пряности</x:v>
      </x:c>
      <x:c r="E102" s="28" t="str">
        <x:v>общие ароматические молекулы, перекрытие ароматических семейств, вкусовой баланс</x:v>
      </x:c>
      <x:c r="F102" s="28" t="str">
        <x:v>Лайм формирует профиль «цитрусовый, зелёный, травяной, камфорный»; характерные маркеры: лимонен, гамма-терпинен, цитраль, бета-пинен, линалол. Листья кориандра относится к группе «травы/пряности» и даёт ноты «цитрусовый, зелёный, цветочный». Наиболее правдоподобный молекулярный мост — линалол; дополнительно совпадают ароматические семейства: зелёный,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Линалоол создаёт прямой ароматический мост с цитрусами.</x:v>
      </x:c>
      <x:c r="G10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2" s="28" t="str">
        <x:v>Избыток кислоты делает вкус плоско-резким; белая часть кожуры даёт лишнюю горечь; цитрус легко подавляет деликатный аромат партнёра.</x:v>
      </x:c>
      <x:c r="I102" s="28" t="str">
        <x:v>лимонад, кордиал, маринад или пряный соус</x:v>
      </x:c>
      <x:c r="J102" s="28" t="str">
        <x:v>Высокая</x:v>
      </x:c>
      <x:c r="K102" s="28" t="str">
        <x:v>Тезариус вкусов (Ники Сегнит)(1).pdf</x:v>
      </x:c>
      <x:c r="L102" s="28" t="str">
        <x:v>Тезариус вкусов (Ники Сегнит)(1).pdf: 521, 795</x:v>
      </x:c>
    </x:row>
    <x:row r="103" ht="62" customHeight="1">
      <x:c r="A103" s="28" t="str">
        <x:v>CIT-0356</x:v>
      </x:c>
      <x:c r="B103" s="28" t="str">
        <x:v>лайм</x:v>
      </x:c>
      <x:c r="C103" s="28" t="str">
        <x:v>морковь</x:v>
      </x:c>
      <x:c r="D103" s="28" t="str">
        <x:v>Овощи</x:v>
      </x:c>
      <x:c r="E103" s="28" t="str">
        <x:v>перекрытие ароматических семейств, вкусовой баланс</x:v>
      </x:c>
      <x:c r="F103" s="28" t="str">
        <x:v>Лайм формирует профиль «цитрусовый, зелёный, травяной, камфорный»; характерные маркеры: лимонен, гамма-терпинен, цитраль, бета-пинен, линалол. Морковь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0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03" s="28" t="str">
        <x:v>Избыток кислоты делает вкус плоско-резким; белая часть кожуры даёт лишнюю горечь.</x:v>
      </x:c>
      <x:c r="I103" s="28" t="str">
        <x:v>винегрет, салат, пюре, запечённое блюдо или овощной соус</x:v>
      </x:c>
      <x:c r="J103" s="28" t="str">
        <x:v>Гипотеза / практическая</x:v>
      </x:c>
      <x:c r="K103" s="28" t="str">
        <x:v>Таблица сочетания(1).pdf</x:v>
      </x:c>
      <x:c r="L103" s="28" t="str">
        <x:v>Таблица сочетания(1).pdf: 4</x:v>
      </x:c>
    </x:row>
    <x:row r="104" ht="62" customHeight="1">
      <x:c r="A104" s="28" t="str">
        <x:v>CIT-0358</x:v>
      </x:c>
      <x:c r="B104" s="28" t="str">
        <x:v>лайм</x:v>
      </x:c>
      <x:c r="C104" s="28" t="str">
        <x:v>мята</x:v>
      </x:c>
      <x:c r="D104" s="28" t="str">
        <x:v>Травы</x:v>
      </x:c>
      <x:c r="E104" s="28" t="str">
        <x:v>перекрытие ароматических семейств, вкусовой баланс, тройничное восприятие</x:v>
      </x:c>
      <x:c r="F104" s="28" t="str">
        <x:v>Лайм формирует профиль «цитрусовый, зелёный, травяной, камфорный»; характерные маркеры: лимонен, гамма-терпинен, цитраль, бета-пинен, линалол.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Мята усиливает воспринимаемую прохладу и кислотную свежесть.</x:v>
      </x:c>
      <x:c r="G10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4" s="28" t="str">
        <x:v>Избыток кислоты делает вкус плоско-резким; белая часть кожуры даёт лишнюю горечь; цитрус легко подавляет деликатный аромат партнёра.</x:v>
      </x:c>
      <x:c r="I104" s="28" t="str">
        <x:v>лимонад, кордиал, салатная заправка или зелёный соус</x:v>
      </x:c>
      <x:c r="J104" s="28" t="str">
        <x:v>Высокая</x:v>
      </x:c>
      <x:c r="K104" s="28" t="str">
        <x:v>Таблица сочетания(1).pdf | Тезариус вкусов (Ники Сегнит)(1).pdf</x:v>
      </x:c>
      <x:c r="L104" s="28" t="str">
        <x:v>Таблица сочетания(1).pdf: 12, 13 | Тезариус вкусов (Ники Сегнит)(1).pdf: 795, 868</x:v>
      </x:c>
    </x:row>
    <x:row r="105" ht="62" customHeight="1">
      <x:c r="A105" s="28" t="str">
        <x:v>CIT-0359</x:v>
      </x:c>
      <x:c r="B105" s="28" t="str">
        <x:v>лайм</x:v>
      </x:c>
      <x:c r="C105" s="28" t="str">
        <x:v>огурец</x:v>
      </x:c>
      <x:c r="D105" s="28" t="str">
        <x:v>Овощи</x:v>
      </x:c>
      <x:c r="E105" s="28" t="str">
        <x:v>перекрытие ароматических семейств, вкусовой баланс</x:v>
      </x:c>
      <x:c r="F105" s="28" t="str">
        <x:v>Лайм формирует профиль «цитрусовый, зелёный, травяной, камфорный»; характерные маркеры: лимонен, гамма-терпинен, цитраль, бета-пинен, линалол. Огурец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0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05" s="28" t="str">
        <x:v>Избыток кислоты делает вкус плоско-резким; белая часть кожуры даёт лишнюю горечь.</x:v>
      </x:c>
      <x:c r="I105" s="28" t="str">
        <x:v>винегрет, салат, пюре, запечённое блюдо или овощной соус</x:v>
      </x:c>
      <x:c r="J105" s="28" t="str">
        <x:v>Гипотеза / практическая</x:v>
      </x:c>
      <x:c r="K105" s="28" t="str">
        <x:v>Таблица сочетания(1).pdf</x:v>
      </x:c>
      <x:c r="L105" s="28" t="str">
        <x:v>Таблица сочетания(1).pdf: 11</x:v>
      </x:c>
    </x:row>
    <x:row r="106" ht="62" customHeight="1">
      <x:c r="A106" s="28" t="str">
        <x:v>CIT-0361</x:v>
      </x:c>
      <x:c r="B106" s="28" t="str">
        <x:v>лайм</x:v>
      </x:c>
      <x:c r="C106" s="28" t="str">
        <x:v>перец</x:v>
      </x:c>
      <x:c r="D106" s="28" t="str">
        <x:v>Пряности</x:v>
      </x:c>
      <x:c r="E106" s="28" t="str">
        <x:v>общие ароматические молекулы, перекрытие ароматических семейств, вкусовой баланс, тройничное восприятие</x:v>
      </x:c>
      <x:c r="F106" s="28" t="str">
        <x:v>Лайм формирует профиль «цитрусовый, зелёный, травяной, камфорный»; характерные маркеры: лимонен, гамма-терпинен, цитраль, бета-пинен, линалол.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Перец добавляет сухую пряность и усиливает яркость цедры.</x:v>
      </x:c>
      <x:c r="G10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6" s="28" t="str">
        <x:v>Избыток кислоты делает вкус плоско-резким; белая часть кожуры даёт лишнюю горечь.</x:v>
      </x:c>
      <x:c r="I106" s="28" t="str">
        <x:v>сироп, кордиал, чатни, маринад или пряный десерт</x:v>
      </x:c>
      <x:c r="J106" s="28" t="str">
        <x:v>Средняя</x:v>
      </x:c>
      <x:c r="K106" s="28" t="str">
        <x:v>Таблица сочетания(1).pdf</x:v>
      </x:c>
      <x:c r="L106" s="28" t="str">
        <x:v>Таблица сочетания(1).pdf: 16</x:v>
      </x:c>
    </x:row>
    <x:row r="107" ht="62" customHeight="1">
      <x:c r="A107" s="28" t="str">
        <x:v>CIT-0366</x:v>
      </x:c>
      <x:c r="B107" s="28" t="str">
        <x:v>лайм</x:v>
      </x:c>
      <x:c r="C107" s="28" t="str">
        <x:v>розмарин</x:v>
      </x:c>
      <x:c r="D107" s="28" t="str">
        <x:v>Травы</x:v>
      </x:c>
      <x:c r="E107" s="28" t="str">
        <x:v>перекрытие ароматических семейств, вкусовой баланс, тройничное восприятие</x:v>
      </x:c>
      <x:c r="F107" s="28" t="str">
        <x:v>Лайм формирует профиль «цитрусовый, зелёный, травяной, камфорный»; характерные маркеры: лимонен, гамма-терпинен, цитраль, бета-пинен, линалол.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0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7" s="28" t="str">
        <x:v>Избыток кислоты делает вкус плоско-резким; белая часть кожуры даёт лишнюю горечь; цитрус легко подавляет деликатный аромат партнёра.</x:v>
      </x:c>
      <x:c r="I107" s="28" t="str">
        <x:v>лимонад, кордиал, салатная заправка или зелёный соус</x:v>
      </x:c>
      <x:c r="J107" s="28" t="str">
        <x:v>Гипотеза / практическая</x:v>
      </x:c>
      <x:c r="K107" s="28" t="str">
        <x:v>Таблица сочетания(1).pdf</x:v>
      </x:c>
      <x:c r="L107" s="28" t="str">
        <x:v>Таблица сочетания(1).pdf: 12, 19</x:v>
      </x:c>
    </x:row>
    <x:row r="108" ht="62" customHeight="1">
      <x:c r="A108" s="28" t="str">
        <x:v>CIT-0369</x:v>
      </x:c>
      <x:c r="B108" s="28" t="str">
        <x:v>лайм</x:v>
      </x:c>
      <x:c r="C108" s="28" t="str">
        <x:v>сушёный орегано</x:v>
      </x:c>
      <x:c r="D108" s="28" t="str">
        <x:v>Травы</x:v>
      </x:c>
      <x:c r="E108" s="28" t="str">
        <x:v>перекрытие ароматических семейств, вкусовой баланс, тройничное восприятие</x:v>
      </x:c>
      <x:c r="F108" s="28" t="str">
        <x:v>Лайм формирует профиль «цитрусовый, зелёный, травяной, камфорный»; характерные маркеры: лимонен, гамма-терпинен, цитраль, бета-пинен, линалол.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0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8" s="28" t="str">
        <x:v>Избыток кислоты делает вкус плоско-резким; белая часть кожуры даёт лишнюю горечь; цитрус легко подавляет деликатный аромат партнёра.</x:v>
      </x:c>
      <x:c r="I108" s="28" t="str">
        <x:v>лимонад, кордиал, салатная заправка или зелёный соус</x:v>
      </x:c>
      <x:c r="J108" s="28" t="str">
        <x:v>Средняя</x:v>
      </x:c>
      <x:c r="K108" s="28" t="str">
        <x:v>The Art &amp; Science of Foodpairing.pdf</x:v>
      </x:c>
      <x:c r="L108" s="28" t="str">
        <x:v>The Art &amp; Science of Foodpairing.pdf: 87</x:v>
      </x:c>
    </x:row>
    <x:row r="109" ht="62" customHeight="1">
      <x:c r="A109" s="28" t="str">
        <x:v>CIT-0371</x:v>
      </x:c>
      <x:c r="B109" s="28" t="str">
        <x:v>лайм</x:v>
      </x:c>
      <x:c r="C109" s="28" t="str">
        <x:v>тимьян</x:v>
      </x:c>
      <x:c r="D109" s="28" t="str">
        <x:v>Травы</x:v>
      </x:c>
      <x:c r="E109" s="28" t="str">
        <x:v>перекрытие ароматических семейств, вкусовой баланс, тройничное восприятие</x:v>
      </x:c>
      <x:c r="F109" s="28" t="str">
        <x:v>Лайм формирует профиль «цитрусовый, зелёный, травяной, камфорный»; характерные маркеры: лимонен, гамма-терпинен, цитраль, бета-пинен, линалол.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0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09" s="28" t="str">
        <x:v>Избыток кислоты делает вкус плоско-резким; белая часть кожуры даёт лишнюю горечь; цитрус легко подавляет деликатный аромат партнёра.</x:v>
      </x:c>
      <x:c r="I109" s="28" t="str">
        <x:v>лимонад, кордиал, салатная заправка или зелёный соус</x:v>
      </x:c>
      <x:c r="J109" s="28" t="str">
        <x:v>Гипотеза / практическая</x:v>
      </x:c>
      <x:c r="K109" s="28" t="str">
        <x:v>Таблица сочетания(1).pdf</x:v>
      </x:c>
      <x:c r="L109" s="28" t="str">
        <x:v>Таблица сочетания(1).pdf: 12</x:v>
      </x:c>
    </x:row>
    <x:row r="110" ht="62" customHeight="1">
      <x:c r="A110" s="28" t="str">
        <x:v>CIT-0372</x:v>
      </x:c>
      <x:c r="B110" s="28" t="str">
        <x:v>лайм</x:v>
      </x:c>
      <x:c r="C110" s="28" t="str">
        <x:v>томатильо</x:v>
      </x:c>
      <x:c r="D110" s="28" t="str">
        <x:v>Овощи</x:v>
      </x:c>
      <x:c r="E110" s="28" t="str">
        <x:v>перекрытие ароматических семейств, вкусовой баланс</x:v>
      </x:c>
      <x:c r="F110" s="28" t="str">
        <x:v>Лайм формирует профиль «цитрусовый, зелёный, травяной, камфорный»; характерные маркеры: лимонен, гамма-терпинен, цитраль, бета-пинен, линалол. Томатильо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1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10" s="28" t="str">
        <x:v>Избыток кислоты делает вкус плоско-резким; белая часть кожуры даёт лишнюю горечь.</x:v>
      </x:c>
      <x:c r="I110" s="28" t="str">
        <x:v>винегрет, салат, пюре, запечённое блюдо или овощной соус</x:v>
      </x:c>
      <x:c r="J110" s="28" t="str">
        <x:v>Средняя</x:v>
      </x:c>
      <x:c r="K110" s="28" t="str">
        <x:v>The Art &amp; Science of Foodpairing.pdf</x:v>
      </x:c>
      <x:c r="L110" s="28" t="str">
        <x:v>The Art &amp; Science of Foodpairing.pdf: 135</x:v>
      </x:c>
    </x:row>
    <x:row r="111" ht="62" customHeight="1">
      <x:c r="A111" s="28" t="str">
        <x:v>CIT-0373</x:v>
      </x:c>
      <x:c r="B111" s="28" t="str">
        <x:v>лайм</x:v>
      </x:c>
      <x:c r="C111" s="28" t="str">
        <x:v>томаты</x:v>
      </x:c>
      <x:c r="D111" s="28" t="str">
        <x:v>Овощи</x:v>
      </x:c>
      <x:c r="E111" s="28" t="str">
        <x:v>перекрытие ароматических семейств, вкусовой баланс</x:v>
      </x:c>
      <x:c r="F111" s="28" t="str">
        <x:v>Лайм формирует профиль «цитрусовый, зелёный, травяной, камфорный»; характерные маркеры: лимонен, гамма-терпинен, цитраль, бета-пинен, линалол. Томаты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1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11" s="28" t="str">
        <x:v>Избыток кислоты делает вкус плоско-резким; белая часть кожуры даёт лишнюю горечь.</x:v>
      </x:c>
      <x:c r="I111" s="28" t="str">
        <x:v>винегрет, салат, пюре, запечённое блюдо или овощной соус</x:v>
      </x:c>
      <x:c r="J111" s="28" t="str">
        <x:v>Высокая</x:v>
      </x:c>
      <x:c r="K111" s="28" t="str">
        <x:v>Тезариус вкусов (Ники Сегнит)(1).pdf</x:v>
      </x:c>
      <x:c r="L111" s="28" t="str">
        <x:v>Тезариус вкусов (Ники Сегнит)(1).pdf: 686, 796</x:v>
      </x:c>
    </x:row>
    <x:row r="112" ht="62" customHeight="1">
      <x:c r="A112" s="28" t="str">
        <x:v>CIT-0374</x:v>
      </x:c>
      <x:c r="B112" s="28" t="str">
        <x:v>лайм</x:v>
      </x:c>
      <x:c r="C112" s="28" t="str">
        <x:v>тыква баттернат</x:v>
      </x:c>
      <x:c r="D112" s="28" t="str">
        <x:v>Овощи</x:v>
      </x:c>
      <x:c r="E112" s="28" t="str">
        <x:v>перекрытие ароматических семейств, вкусовой баланс</x:v>
      </x:c>
      <x:c r="F112" s="28" t="str">
        <x:v>Лайм формирует профиль «цитрусовый, зелёный, травяной, камфорный»; характерные маркеры: лимонен, гамма-терпинен, цитраль, бета-пинен, линалол. Тыква баттернат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1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12" s="28" t="str">
        <x:v>Избыток кислоты делает вкус плоско-резким; белая часть кожуры даёт лишнюю горечь.</x:v>
      </x:c>
      <x:c r="I112" s="28" t="str">
        <x:v>винегрет, салат, пюре, запечённое блюдо или овощной соус</x:v>
      </x:c>
      <x:c r="J112" s="28" t="str">
        <x:v>Высокая</x:v>
      </x:c>
      <x:c r="K112" s="28" t="str">
        <x:v>Тезариус вкусов (Ники Сегнит)(1).pdf</x:v>
      </x:c>
      <x:c r="L112" s="28" t="str">
        <x:v>Тезариус вкусов (Ники Сегнит)(1).pdf: 611, 797</x:v>
      </x:c>
    </x:row>
    <x:row r="113" ht="62" customHeight="1">
      <x:c r="A113" s="28" t="str">
        <x:v>CIT-0380</x:v>
      </x:c>
      <x:c r="B113" s="28" t="str">
        <x:v>лайм</x:v>
      </x:c>
      <x:c r="C113" s="28" t="str">
        <x:v>чили</x:v>
      </x:c>
      <x:c r="D113" s="28" t="str">
        <x:v>Пряности</x:v>
      </x:c>
      <x:c r="E113" s="28" t="str">
        <x:v>перекрытие ароматических семейств, вкусовой баланс, тройничное восприятие</x:v>
      </x:c>
      <x:c r="F113" s="28" t="str">
        <x:v>Лайм формирует профиль «цитрусовый, зелёный, травяной, камфорный»; характерные маркеры: лимонен, гамма-терпинен, цитраль, бета-пинен, линалол. Чили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G11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3"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13" s="28" t="str">
        <x:v>сироп, кордиал, чатни, маринад или пряный десерт</x:v>
      </x:c>
      <x:c r="J113" s="28" t="str">
        <x:v>Высокая</x:v>
      </x:c>
      <x:c r="K113" s="28" t="str">
        <x:v>Таблица сочетания(1).pdf | Тезариус вкусов (Ники Сегнит)(1).pdf</x:v>
      </x:c>
      <x:c r="L113" s="28" t="str">
        <x:v>Таблица сочетания(1).pdf: 11 | Тезариус вкусов (Ники Сегнит)(1).pdf: 556</x:v>
      </x:c>
    </x:row>
    <x:row r="114" ht="62" customHeight="1">
      <x:c r="A114" s="28" t="str">
        <x:v>CIT-0381</x:v>
      </x:c>
      <x:c r="B114" s="28" t="str">
        <x:v>лайм</x:v>
      </x:c>
      <x:c r="C114" s="28" t="str">
        <x:v>чили (перцы)</x:v>
      </x:c>
      <x:c r="D114" s="28" t="str">
        <x:v>Пряности</x:v>
      </x:c>
      <x:c r="E114" s="28" t="str">
        <x:v>перекрытие ароматических семейств, вкусовой баланс, тройничное восприятие</x:v>
      </x:c>
      <x:c r="F114" s="28" t="str">
        <x:v>Лайм формирует профиль «цитрусовый, зелёный, травяной, камфорный»; характерные маркеры: лимонен, гамма-терпинен, цитраль, бета-пинен, линалол. Чили (перцы)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G11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4"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14" s="28" t="str">
        <x:v>сироп, кордиал, чатни, маринад или пряный десерт</x:v>
      </x:c>
      <x:c r="J114" s="28" t="str">
        <x:v>Гипотеза / практическая</x:v>
      </x:c>
      <x:c r="K114" s="28" t="str">
        <x:v>Таблица сочетания(1).pdf</x:v>
      </x:c>
      <x:c r="L114" s="28" t="str">
        <x:v>Таблица сочетания(1).pdf: 5</x:v>
      </x:c>
    </x:row>
    <x:row r="115" ht="62" customHeight="1">
      <x:c r="A115" s="28" t="str">
        <x:v>CIT-0382</x:v>
      </x:c>
      <x:c r="B115" s="28" t="str">
        <x:v>лайм</x:v>
      </x:c>
      <x:c r="C115" s="28" t="str">
        <x:v>чили – это Диего Ривера и Фрида Кало</x:v>
      </x:c>
      <x:c r="D115" s="28" t="str">
        <x:v>Пряности</x:v>
      </x:c>
      <x:c r="E115" s="28" t="str">
        <x:v>перекрытие ароматических семейств, вкусовой баланс, тройничное восприятие</x:v>
      </x:c>
      <x:c r="F115" s="28" t="str">
        <x:v>Лайм формирует профиль «цитрусовый, зелёный, травяной, камфорный»; характерные маркеры: лимонен, гамма-терпинен, цитраль, бета-пинен, линалол. Чили – это диего ривера и фрида кало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Фруктовые чили могут поддерживать цитрусовые эфиры, но острота требует баланса.</x:v>
      </x:c>
      <x:c r="G11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5"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15" s="28" t="str">
        <x:v>сироп, кордиал, чатни, маринад или пряный десерт</x:v>
      </x:c>
      <x:c r="J115" s="28" t="str">
        <x:v>Высокая</x:v>
      </x:c>
      <x:c r="K115" s="28" t="str">
        <x:v>Тезариус вкусов (Ники Сегнит)(1).pdf</x:v>
      </x:c>
      <x:c r="L115" s="28" t="str">
        <x:v>Тезариус вкусов (Ники Сегнит)(1).pdf: 797</x:v>
      </x:c>
    </x:row>
    <x:row r="116" ht="62" customHeight="1">
      <x:c r="A116" s="28" t="str">
        <x:v>CIT-0383</x:v>
      </x:c>
      <x:c r="B116" s="28" t="str">
        <x:v>лайм</x:v>
      </x:c>
      <x:c r="C116" s="28" t="str">
        <x:v>шалфей</x:v>
      </x:c>
      <x:c r="D116" s="28" t="str">
        <x:v>Травы</x:v>
      </x:c>
      <x:c r="E116" s="28" t="str">
        <x:v>перекрытие ароматических семейств, вкусовой баланс, тройничное восприятие</x:v>
      </x:c>
      <x:c r="F116" s="28" t="str">
        <x:v>Лайм формирует профиль «цитрусовый, зелёный, травяной, камфорный»; характерные маркеры: лимонен, гамма-терпинен, цитраль, бета-пинен, линалол. Шалфей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камфорный, травяной.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Хвойно-терпеновый профиль способен продолжить цитрусовую цедру.</x:v>
      </x:c>
      <x:c r="G11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6" s="28" t="str">
        <x:v>Избыток кислоты делает вкус плоско-резким; белая часть кожуры даёт лишнюю горечь; цитрус легко подавляет деликатный аромат партнёра.</x:v>
      </x:c>
      <x:c r="I116" s="28" t="str">
        <x:v>лимонад, кордиал, салатная заправка или зелёный соус</x:v>
      </x:c>
      <x:c r="J116" s="28" t="str">
        <x:v>Гипотеза / практическая</x:v>
      </x:c>
      <x:c r="K116" s="28" t="str">
        <x:v>Таблица сочетания(1).pdf</x:v>
      </x:c>
      <x:c r="L116" s="28" t="str">
        <x:v>Таблица сочетания(1).pdf: 12, 20</x:v>
      </x:c>
    </x:row>
    <x:row r="117" ht="62" customHeight="1">
      <x:c r="A117" s="28" t="str">
        <x:v>CIT-0395</x:v>
      </x:c>
      <x:c r="B117" s="28" t="str">
        <x:v>лимон</x:v>
      </x:c>
      <x:c r="C117" s="28" t="str">
        <x:v>артишок</x:v>
      </x:c>
      <x:c r="D117" s="28" t="str">
        <x:v>Овощи</x:v>
      </x:c>
      <x:c r="E117" s="28" t="str">
        <x:v>вкусовой баланс</x:v>
      </x:c>
      <x:c r="F117" s="28" t="str">
        <x:v>Лимон формирует профиль «цитрусовый, свежий, цветочный, древесный»; характерные маркеры: цитраль (гераниаль + нераль), лимонен, гамма-терпинен, бета-пинен. Артишок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1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17" s="28" t="str">
        <x:v>Избыток кислоты делает вкус плоско-резким; белая часть кожуры даёт лишнюю горечь.</x:v>
      </x:c>
      <x:c r="I117" s="28" t="str">
        <x:v>винегрет, салат, пюре, запечённое блюдо или овощной соус</x:v>
      </x:c>
      <x:c r="J117" s="28" t="str">
        <x:v>Высокая</x:v>
      </x:c>
      <x:c r="K117" s="28" t="str">
        <x:v>Тезариус вкусов (Ники Сегнит)(1).pdf</x:v>
      </x:c>
      <x:c r="L117" s="28" t="str">
        <x:v>Тезариус вкусов (Ники Сегнит)(1).pdf: 339, 800</x:v>
      </x:c>
    </x:row>
    <x:row r="118" ht="62" customHeight="1">
      <x:c r="A118" s="28" t="str">
        <x:v>CIT-0396</x:v>
      </x:c>
      <x:c r="B118" s="28" t="str">
        <x:v>лимон</x:v>
      </x:c>
      <x:c r="C118" s="28" t="str">
        <x:v>базилик</x:v>
      </x:c>
      <x:c r="D118" s="28" t="str">
        <x:v>Травы</x:v>
      </x:c>
      <x:c r="E118" s="28" t="str">
        <x:v>перекрытие ароматических семейств, вкусовой баланс</x:v>
      </x:c>
      <x:c r="F118"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Базилик относится к группе «травы» и даёт ноты «зелёный, анисовый, цветочный, пряный».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Базилик и эстрагон могут связать цитрус с фруктами, томатом и сливочными матрицами.</x:v>
      </x:c>
      <x:c r="G11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18" s="28" t="str">
        <x:v>Избыток кислоты делает вкус плоско-резким; белая часть кожуры даёт лишнюю горечь; цитрус легко подавляет деликатный аромат партнёра.</x:v>
      </x:c>
      <x:c r="I118" s="28" t="str">
        <x:v>лимонад, кордиал, салатная заправка или зелёный соус</x:v>
      </x:c>
      <x:c r="J118" s="28" t="str">
        <x:v>Высокая</x:v>
      </x:c>
      <x:c r="K118" s="28" t="str">
        <x:v>Таблица сочетания(1).pdf | Тезариус вкусов (Ники Сегнит)(1).pdf</x:v>
      </x:c>
      <x:c r="L118" s="28" t="str">
        <x:v>Таблица сочетания(1).pdf: 11 | Тезариус вкусов (Ники Сегнит)(1).pdf: 567, 800</x:v>
      </x:c>
    </x:row>
    <x:row r="119" ht="62" customHeight="1">
      <x:c r="A119" s="28" t="str">
        <x:v>CIT-0399</x:v>
      </x:c>
      <x:c r="B119" s="28" t="str">
        <x:v>лимон</x:v>
      </x:c>
      <x:c r="C119" s="28" t="str">
        <x:v>баранина</x:v>
      </x:c>
      <x:c r="D119" s="28" t="str">
        <x:v>Мясо и птица</x:v>
      </x:c>
      <x:c r="E119" s="28" t="str">
        <x:v>вкусовой баланс, влияние матрицы/растворимости</x:v>
      </x:c>
      <x:c r="F119" s="28" t="str">
        <x:v>Лимон формирует профиль «цитрусовый, свежий, цветочный, древесный»; характерные маркеры: цитраль (гераниаль + нераль), лимонен, гамма-терпинен, бета-пинен. Баранина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G11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19" s="28" t="str">
        <x:v>Избыток кислоты делает вкус плоско-резким; белая часть кожуры даёт лишнюю горечь; слишком долгая маринация ухудшает текстуру.</x:v>
      </x:c>
      <x:c r="I119" s="28" t="str">
        <x:v>маринад, глазурь, соус, жаркое или салат</x:v>
      </x:c>
      <x:c r="J119" s="28" t="str">
        <x:v>Высокая</x:v>
      </x:c>
      <x:c r="K119" s="28" t="str">
        <x:v>Тезариус вкусов (Ники Сегнит)(1).pdf</x:v>
      </x:c>
      <x:c r="L119" s="28" t="str">
        <x:v>Тезариус вкусов (Ники Сегнит)(1).pdf: 130, 800</x:v>
      </x:c>
    </x:row>
    <x:row r="120" ht="62" customHeight="1">
      <x:c r="A120" s="28" t="str">
        <x:v>CIT-0400</x:v>
      </x:c>
      <x:c r="B120" s="28" t="str">
        <x:v>лимон</x:v>
      </x:c>
      <x:c r="C120" s="28" t="str">
        <x:v>белая рыба</x:v>
      </x:c>
      <x:c r="D120" s="28" t="str">
        <x:v>Рыба и морепродукты</x:v>
      </x:c>
      <x:c r="E120" s="28" t="str">
        <x:v>вкусовой баланс, влияние матрицы/растворимости</x:v>
      </x:c>
      <x:c r="F120" s="28" t="str">
        <x:v>Лимон формирует профиль «цитрусовый, свежий, цветочный, древесный»; характерные маркеры: цитраль (гераниаль + нераль), лимонен, гамма-терпинен, бета-пинен. Белая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2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20" s="28" t="str">
        <x:v>Избыток кислоты делает вкус плоско-резким; белая часть кожуры даёт лишнюю горечь; слишком долгая маринация ухудшает текстуру.</x:v>
      </x:c>
      <x:c r="I120" s="28" t="str">
        <x:v>севиче, маринад, beurre blanc, тартар или салат</x:v>
      </x:c>
      <x:c r="J120" s="28" t="str">
        <x:v>Высокая</x:v>
      </x:c>
      <x:c r="K120" s="28" t="str">
        <x:v>Тезариус вкусов (Ники Сегнит)(1).pdf</x:v>
      </x:c>
      <x:c r="L120" s="28" t="str">
        <x:v>Тезариус вкусов (Ники Сегнит)(1).pdf: 386, 801</x:v>
      </x:c>
    </x:row>
    <x:row r="121" ht="62" customHeight="1">
      <x:c r="A121" s="28" t="str">
        <x:v>CIT-0406</x:v>
      </x:c>
      <x:c r="B121" s="28" t="str">
        <x:v>лимон</x:v>
      </x:c>
      <x:c r="C121" s="28" t="str">
        <x:v>галангал</x:v>
      </x:c>
      <x:c r="D121" s="28" t="str">
        <x:v>Пряности</x:v>
      </x:c>
      <x:c r="E121" s="28" t="str">
        <x:v>общие ароматические молекулы, перекрытие ароматических семейств, вкусовой баланс, тройничное восприятие</x:v>
      </x:c>
      <x:c r="F121" s="28" t="str">
        <x:v>Лимон формирует профиль «цитрусовый, свежий, цветочный, древесный»; характерные маркеры: цитраль (гераниаль + нераль), лимонен, гамма-терпинен, бета-пинен.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Свежий имбирь более цитрусовый, нагретый и сушёный — более тёплый и жгучий.</x:v>
      </x:c>
      <x:c r="G12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1" s="28" t="str">
        <x:v>Избыток кислоты делает вкус плоско-резким; белая часть кожуры даёт лишнюю горечь.</x:v>
      </x:c>
      <x:c r="I121" s="28" t="str">
        <x:v>сироп, кордиал, чатни, маринад или пряный десерт</x:v>
      </x:c>
      <x:c r="J121" s="28" t="str">
        <x:v>Средняя</x:v>
      </x:c>
      <x:c r="K121" s="28" t="str">
        <x:v>The Art &amp; Science of Foodpairing.pdf</x:v>
      </x:c>
      <x:c r="L121" s="28" t="str">
        <x:v>The Art &amp; Science of Foodpairing.pdf: 87</x:v>
      </x:c>
    </x:row>
    <x:row r="122" ht="62" customHeight="1">
      <x:c r="A122" s="28" t="str">
        <x:v>CIT-0407</x:v>
      </x:c>
      <x:c r="B122" s="28" t="str">
        <x:v>лимон</x:v>
      </x:c>
      <x:c r="C122" s="28" t="str">
        <x:v>говядина</x:v>
      </x:c>
      <x:c r="D122" s="28" t="str">
        <x:v>Мясо и птица</x:v>
      </x:c>
      <x:c r="E122" s="28" t="str">
        <x:v>вкусовой баланс, влияние матрицы/растворимости</x:v>
      </x:c>
      <x:c r="F122" s="28" t="str">
        <x:v>Лимон формирует профиль «цитрусовый, свежий, цветочный, древесный»; характерные маркеры: цитраль (гераниаль + нераль), лимонен, гамма-терпинен, бета-пинен. Говядина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G12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22" s="28" t="str">
        <x:v>Избыток кислоты делает вкус плоско-резким; белая часть кожуры даёт лишнюю горечь; слишком долгая маринация ухудшает текстуру.</x:v>
      </x:c>
      <x:c r="I122" s="28" t="str">
        <x:v>маринад, глазурь, соус, жаркое или салат</x:v>
      </x:c>
      <x:c r="J122" s="28" t="str">
        <x:v>Высокая</x:v>
      </x:c>
      <x:c r="K122" s="28" t="str">
        <x:v>Тезариус вкусов (Ники Сегнит)(1).pdf</x:v>
      </x:c>
      <x:c r="L122" s="28" t="str">
        <x:v>Тезариус вкусов (Ники Сегнит)(1).pdf: 113, 801</x:v>
      </x:c>
    </x:row>
    <x:row r="123" ht="62" customHeight="1">
      <x:c r="A123" s="28" t="str">
        <x:v>CIT-0413</x:v>
      </x:c>
      <x:c r="B123" s="28" t="str">
        <x:v>лимон</x:v>
      </x:c>
      <x:c r="C123" s="28" t="str">
        <x:v>жирная рыба</x:v>
      </x:c>
      <x:c r="D123" s="28" t="str">
        <x:v>Рыба и морепродукты</x:v>
      </x:c>
      <x:c r="E123" s="28" t="str">
        <x:v>вкусовой баланс, влияние матрицы/растворимости</x:v>
      </x:c>
      <x:c r="F123" s="28" t="str">
        <x:v>Лимон формирует профиль «цитрусовый, свежий, цветочный, древесный»; характерные маркеры: цитраль (гераниаль + нераль), лимонен, гамма-терпинен, бета-пинен. Жирная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23"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23" s="28" t="str">
        <x:v>Избыток кислоты делает вкус плоско-резким; белая часть кожуры даёт лишнюю горечь; слишком долгая маринация ухудшает текстуру.</x:v>
      </x:c>
      <x:c r="I123" s="28" t="str">
        <x:v>севиче, маринад, beurre blanc, тартар или салат</x:v>
      </x:c>
      <x:c r="J123" s="28" t="str">
        <x:v>Гипотеза / практическая</x:v>
      </x:c>
      <x:c r="K123" s="28" t="str">
        <x:v>Тезариус вкусов (Ники Сегнит)(1).pdf</x:v>
      </x:c>
      <x:c r="L123" s="28" t="str">
        <x:v>Тезариус вкусов (Ники Сегнит)(1).pdf: 802</x:v>
      </x:c>
    </x:row>
    <x:row r="124" ht="62" customHeight="1">
      <x:c r="A124" s="28" t="str">
        <x:v>CIT-0416</x:v>
      </x:c>
      <x:c r="B124" s="28" t="str">
        <x:v>лимон</x:v>
      </x:c>
      <x:c r="C124" s="28" t="str">
        <x:v>имбирь</x:v>
      </x:c>
      <x:c r="D124" s="28" t="str">
        <x:v>Пряности</x:v>
      </x:c>
      <x:c r="E124" s="28" t="str">
        <x:v>общие ароматические молекулы, перекрытие ароматических семейств, вкусовой баланс, тройничное восприятие</x:v>
      </x:c>
      <x:c r="F124" s="28" t="str">
        <x:v>Лимон формирует профиль «цитрусовый, свежий, цветочный, древесный»; характерные маркеры: цитраль (гераниаль + нераль), лимонен, гамма-терпинен, бета-пинен.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Свежий имбирь более цитрусовый, нагретый и сушёный — более тёплый и жгучий.</x:v>
      </x:c>
      <x:c r="G12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4" s="28" t="str">
        <x:v>Избыток кислоты делает вкус плоско-резким; белая часть кожуры даёт лишнюю горечь.</x:v>
      </x:c>
      <x:c r="I124" s="28" t="str">
        <x:v>сироп, кордиал, чатни, маринад или пряный десерт</x:v>
      </x:c>
      <x:c r="J124" s="28" t="str">
        <x:v>Высокая</x:v>
      </x:c>
      <x:c r="K124" s="28" t="str">
        <x:v>Таблица сочетания(1).pdf | Тезариус вкусов (Ники Сегнит)(1).pdf</x:v>
      </x:c>
      <x:c r="L124" s="28" t="str">
        <x:v>Таблица сочетания(1).pdf: 8 | Тезариус вкусов (Ники Сегнит)(1).pdf: 802, 818</x:v>
      </x:c>
    </x:row>
    <x:row r="125" ht="62" customHeight="1">
      <x:c r="A125" s="28" t="str">
        <x:v>CIT-0420</x:v>
      </x:c>
      <x:c r="B125" s="28" t="str">
        <x:v>лимон</x:v>
      </x:c>
      <x:c r="C125" s="28" t="str">
        <x:v>кардамон</x:v>
      </x:c>
      <x:c r="D125" s="28" t="str">
        <x:v>Пряности</x:v>
      </x:c>
      <x:c r="E125" s="28" t="str">
        <x:v>общие ароматические молекулы, перекрытие ароматических семейств, вкусовой баланс, тройничное восприятие</x:v>
      </x:c>
      <x:c r="F125" s="28" t="str">
        <x:v>Лимон формирует профиль «цитрусовый, свежий, цветочный, древесный»; характерные маркеры: цитраль (гераниаль + нераль), лимонен, гамма-терпинен, бета-пинен. Кардамон относится к группе «пряности» и даёт ноты «цитрусовый, камфорный, цветочный, эвкалиптовый». Наиболее правдоподобный молекулярный мост — лимонен;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Кардамон часто служит мостом между цитрусом, цветами и древесными нотами.</x:v>
      </x:c>
      <x:c r="G12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5" s="28" t="str">
        <x:v>Избыток кислоты делает вкус плоско-резким; белая часть кожуры даёт лишнюю горечь.</x:v>
      </x:c>
      <x:c r="I125" s="28" t="str">
        <x:v>сироп, кордиал, чатни, маринад или пряный десерт</x:v>
      </x:c>
      <x:c r="J125" s="28" t="str">
        <x:v>Средняя</x:v>
      </x:c>
      <x:c r="K125" s="28" t="str">
        <x:v>Таблица сочетания(1).pdf</x:v>
      </x:c>
      <x:c r="L125" s="28" t="str">
        <x:v>Таблица сочетания(1).pdf: 11</x:v>
      </x:c>
    </x:row>
    <x:row r="126" ht="62" customHeight="1">
      <x:c r="A126" s="28" t="str">
        <x:v>CIT-0429</x:v>
      </x:c>
      <x:c r="B126" s="28" t="str">
        <x:v>лимон</x:v>
      </x:c>
      <x:c r="C126" s="28" t="str">
        <x:v>копченая рыба</x:v>
      </x:c>
      <x:c r="D126" s="28" t="str">
        <x:v>Рыба и морепродукты</x:v>
      </x:c>
      <x:c r="E126" s="28" t="str">
        <x:v>вкусовой баланс, влияние матрицы/растворимости</x:v>
      </x:c>
      <x:c r="F126"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Копченая рыба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2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26" s="28" t="str">
        <x:v>Избыток кислоты делает вкус плоско-резким; белая часть кожуры даёт лишнюю горечь; слишком долгая маринация ухудшает текстуру.</x:v>
      </x:c>
      <x:c r="I126" s="28" t="str">
        <x:v>севиче, маринад, beurre blanc, тартар или салат</x:v>
      </x:c>
      <x:c r="J126" s="28" t="str">
        <x:v>Высокая</x:v>
      </x:c>
      <x:c r="K126" s="28" t="str">
        <x:v>Тезариус вкусов (Ники Сегнит)(1).pdf</x:v>
      </x:c>
      <x:c r="L126" s="28" t="str">
        <x:v>Тезариус вкусов (Ники Сегнит)(1).pdf: 436, 804</x:v>
      </x:c>
    </x:row>
    <x:row r="127" ht="62" customHeight="1">
      <x:c r="A127" s="28" t="str">
        <x:v>CIT-0430</x:v>
      </x:c>
      <x:c r="B127" s="28" t="str">
        <x:v>лимон</x:v>
      </x:c>
      <x:c r="C127" s="28" t="str">
        <x:v>кориандр</x:v>
      </x:c>
      <x:c r="D127" s="28" t="str">
        <x:v>Травы/пряности</x:v>
      </x:c>
      <x:c r="E127" s="28" t="str">
        <x:v>перекрытие ароматических семейств, вкусовой баланс</x:v>
      </x:c>
      <x:c r="F127" s="28" t="str">
        <x:v>Лимон формирует профиль «цитрусовый, свежий, цветочный, древесный»; характерные маркеры: цитраль (гераниаль + нераль), лимонен, гамма-терпинен, бета-пинен. Кориандр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G12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7" s="28" t="str">
        <x:v>Избыток кислоты делает вкус плоско-резким; белая часть кожуры даёт лишнюю горечь; цитрус легко подавляет деликатный аромат партнёра.</x:v>
      </x:c>
      <x:c r="I127" s="28" t="str">
        <x:v>лимонад, кордиал, маринад или пряный соус</x:v>
      </x:c>
      <x:c r="J127" s="28" t="str">
        <x:v>Гипотеза / практическая</x:v>
      </x:c>
      <x:c r="K127" s="28" t="str">
        <x:v>Таблица сочетания(1).pdf</x:v>
      </x:c>
      <x:c r="L127" s="28" t="str">
        <x:v>Таблица сочетания(1).pdf: 6</x:v>
      </x:c>
    </x:row>
    <x:row r="128" ht="62" customHeight="1">
      <x:c r="A128" s="28" t="str">
        <x:v>CIT-0436</x:v>
      </x:c>
      <x:c r="B128" s="28" t="str">
        <x:v>лимон</x:v>
      </x:c>
      <x:c r="C128" s="28" t="str">
        <x:v>лимонный тимьян</x:v>
      </x:c>
      <x:c r="D128" s="28" t="str">
        <x:v>Травы</x:v>
      </x:c>
      <x:c r="E128" s="28" t="str">
        <x:v>перекрытие ароматических семейств, вкусовой баланс, тройничное восприятие</x:v>
      </x:c>
      <x:c r="F128" s="28" t="str">
        <x:v>Лимон формирует профиль «цитрусовый, свежий, цветочный, древесный»; характерные маркеры: цитраль (гераниаль + нераль), лимонен, гамма-терпинен, бета-пинен. Лимонный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2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8" s="28" t="str">
        <x:v>Избыток кислоты делает вкус плоско-резким; белая часть кожуры даёт лишнюю горечь; цитрус легко подавляет деликатный аромат партнёра.</x:v>
      </x:c>
      <x:c r="I128" s="28" t="str">
        <x:v>лимонад, кордиал, салатная заправка или зелёный соус</x:v>
      </x:c>
      <x:c r="J128" s="28" t="str">
        <x:v>Гипотеза / практическая</x:v>
      </x:c>
      <x:c r="K128" s="28" t="str">
        <x:v>Таблица сочетания(1).pdf</x:v>
      </x:c>
      <x:c r="L128" s="28" t="str">
        <x:v>Таблица сочетания(1).pdf: 11</x:v>
      </x:c>
    </x:row>
    <x:row r="129" ht="62" customHeight="1">
      <x:c r="A129" s="28" t="str">
        <x:v>CIT-0437</x:v>
      </x:c>
      <x:c r="B129" s="28" t="str">
        <x:v>лимон</x:v>
      </x:c>
      <x:c r="C129" s="28" t="str">
        <x:v>листья кориандра</x:v>
      </x:c>
      <x:c r="D129" s="28" t="str">
        <x:v>Травы/пряности</x:v>
      </x:c>
      <x:c r="E129" s="28" t="str">
        <x:v>перекрытие ароматических семейств, вкусовой баланс</x:v>
      </x:c>
      <x:c r="F129" s="28" t="str">
        <x:v>Лимон формирует профиль «цитрусовый, свежий, цветочный, древесный»; характерные маркеры: цитраль (гераниаль + нераль), лимонен, гамма-терпинен, бета-пинен. Листья кориандра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G12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29" s="28" t="str">
        <x:v>Избыток кислоты делает вкус плоско-резким; белая часть кожуры даёт лишнюю горечь; цитрус легко подавляет деликатный аромат партнёра.</x:v>
      </x:c>
      <x:c r="I129" s="28" t="str">
        <x:v>лимонад, кордиал, маринад или пряный соус</x:v>
      </x:c>
      <x:c r="J129" s="28" t="str">
        <x:v>Высокая</x:v>
      </x:c>
      <x:c r="K129" s="28" t="str">
        <x:v>Тезариус вкусов (Ники Сегнит)(1).pdf</x:v>
      </x:c>
      <x:c r="L129" s="28" t="str">
        <x:v>Тезариус вкусов (Ники Сегнит)(1).pdf: 521, 805</x:v>
      </x:c>
    </x:row>
    <x:row r="130" ht="62" customHeight="1">
      <x:c r="A130" s="28" t="str">
        <x:v>CIT-0447</x:v>
      </x:c>
      <x:c r="B130" s="28" t="str">
        <x:v>лимон</x:v>
      </x:c>
      <x:c r="C130" s="28" t="str">
        <x:v>мята</x:v>
      </x:c>
      <x:c r="D130" s="28" t="str">
        <x:v>Травы</x:v>
      </x:c>
      <x:c r="E130" s="28" t="str">
        <x:v>перекрытие ароматических семейств, вкусовой баланс, тройничное восприятие</x:v>
      </x:c>
      <x:c r="F130" s="28" t="str">
        <x:v>Лимон формирует профиль «цитрусовый, свежий, цветочный, древесный»; характерные маркеры: цитраль (гераниаль + нераль), лимонен, гамма-терпинен, бета-пинен.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свежий.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Мята усиливает воспринимаемую прохладу и кислотную свежесть.</x:v>
      </x:c>
      <x:c r="G13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0" s="28" t="str">
        <x:v>Избыток кислоты делает вкус плоско-резким; белая часть кожуры даёт лишнюю горечь; цитрус легко подавляет деликатный аромат партнёра.</x:v>
      </x:c>
      <x:c r="I130" s="28" t="str">
        <x:v>лимонад, кордиал, салатная заправка или зелёный соус</x:v>
      </x:c>
      <x:c r="J130" s="28" t="str">
        <x:v>Высокая</x:v>
      </x:c>
      <x:c r="K130" s="28" t="str">
        <x:v>Таблица сочетания(1).pdf | Тезариус вкусов (Ники Сегнит)(1).pdf</x:v>
      </x:c>
      <x:c r="L130" s="28" t="str">
        <x:v>Таблица сочетания(1).pdf: 11, 13 | Тезариус вкусов (Ники Сегнит)(1).pdf: 806, 868</x:v>
      </x:c>
    </x:row>
    <x:row r="131" ht="62" customHeight="1">
      <x:c r="A131" s="28" t="str">
        <x:v>CIT-0454</x:v>
      </x:c>
      <x:c r="B131" s="28" t="str">
        <x:v>лимон</x:v>
      </x:c>
      <x:c r="C131" s="28" t="str">
        <x:v>перец</x:v>
      </x:c>
      <x:c r="D131" s="28" t="str">
        <x:v>Пряности</x:v>
      </x:c>
      <x:c r="E131" s="28" t="str">
        <x:v>общие ароматические молекулы, перекрытие ароматических семейств, вкусовой баланс, тройничное восприятие</x:v>
      </x:c>
      <x:c r="F131" s="28" t="str">
        <x:v>Лимон формирует профиль «цитрусовый, свежий, цветочный, древесный»; характерные маркеры: цитраль (гераниаль + нераль), лимонен, гамма-терпинен, бета-пинен.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Перец добавляет сухую пряность и усиливает яркость цедры.</x:v>
      </x:c>
      <x:c r="G13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1" s="28" t="str">
        <x:v>Избыток кислоты делает вкус плоско-резким; белая часть кожуры даёт лишнюю горечь.</x:v>
      </x:c>
      <x:c r="I131" s="28" t="str">
        <x:v>сироп, кордиал, чатни, маринад или пряный десерт</x:v>
      </x:c>
      <x:c r="J131" s="28" t="str">
        <x:v>Средняя</x:v>
      </x:c>
      <x:c r="K131" s="28" t="str">
        <x:v>Таблица сочетания(1).pdf</x:v>
      </x:c>
      <x:c r="L131" s="28" t="str">
        <x:v>Таблица сочетания(1).pdf: 16</x:v>
      </x:c>
    </x:row>
    <x:row r="132" ht="62" customHeight="1">
      <x:c r="A132" s="28" t="str">
        <x:v>CIT-0460</x:v>
      </x:c>
      <x:c r="B132" s="28" t="str">
        <x:v>лимон</x:v>
      </x:c>
      <x:c r="C132" s="28" t="str">
        <x:v>розмарин</x:v>
      </x:c>
      <x:c r="D132" s="28" t="str">
        <x:v>Травы</x:v>
      </x:c>
      <x:c r="E132" s="28" t="str">
        <x:v>перекрытие ароматических семейств, вкусовой баланс, тройничное восприятие</x:v>
      </x:c>
      <x:c r="F132" s="28" t="str">
        <x:v>Лимон формирует профиль «цитрусовый, свежий, цветочный, древесный»; характерные маркеры: цитраль (гераниаль + нераль), лимонен, гамма-терпинен, бета-пинен. Розмарин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3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2" s="28" t="str">
        <x:v>Избыток кислоты делает вкус плоско-резким; белая часть кожуры даёт лишнюю горечь; цитрус легко подавляет деликатный аромат партнёра.</x:v>
      </x:c>
      <x:c r="I132" s="28" t="str">
        <x:v>лимонад, кордиал, салатная заправка или зелёный соус</x:v>
      </x:c>
      <x:c r="J132" s="28" t="str">
        <x:v>Высокая</x:v>
      </x:c>
      <x:c r="K132" s="28" t="str">
        <x:v>Таблица сочетания(1).pdf | Тезариус вкусов (Ники Сегнит)(1).pdf</x:v>
      </x:c>
      <x:c r="L132" s="28" t="str">
        <x:v>Таблица сочетания(1).pdf: 11, 19 | Тезариус вкусов (Ники Сегнит)(1).pdf: 806, 837</x:v>
      </x:c>
    </x:row>
    <x:row r="133" ht="62" customHeight="1">
      <x:c r="A133" s="28" t="str">
        <x:v>CIT-0462</x:v>
      </x:c>
      <x:c r="B133" s="28" t="str">
        <x:v>лимон</x:v>
      </x:c>
      <x:c r="C133" s="28" t="str">
        <x:v>семена кориандра</x:v>
      </x:c>
      <x:c r="D133" s="28" t="str">
        <x:v>Травы/пряности</x:v>
      </x:c>
      <x:c r="E133" s="28" t="str">
        <x:v>перекрытие ароматических семейств, вкусовой баланс</x:v>
      </x:c>
      <x:c r="F133" s="28" t="str">
        <x:v>Лимон формирует профиль «цитрусовый, свежий, цветочный, древесный»; характерные маркеры: цитраль (гераниаль + нераль), лимонен, гамма-терпинен, бета-пинен. Семена кориандра относится к группе «травы/пряности» и даёт ноты «цитрусовый, зелёный, цветочный». Прямой общий ключевой одорант из доступных профилей не фиксируется, однако продукты пересекаются на уровне семейств: цветочный,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Линалоол создаёт прямой ароматический мост с цитрусами.</x:v>
      </x:c>
      <x:c r="G13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3" s="28" t="str">
        <x:v>Избыток кислоты делает вкус плоско-резким; белая часть кожуры даёт лишнюю горечь; цитрус легко подавляет деликатный аромат партнёра.</x:v>
      </x:c>
      <x:c r="I133" s="28" t="str">
        <x:v>лимонад, кордиал, маринад или пряный соус</x:v>
      </x:c>
      <x:c r="J133" s="28" t="str">
        <x:v>Высокая</x:v>
      </x:c>
      <x:c r="K133" s="28" t="str">
        <x:v>Тезариус вкусов (Ники Сегнит)(1).pdf</x:v>
      </x:c>
      <x:c r="L133" s="28" t="str">
        <x:v>Тезариус вкусов (Ники Сегнит)(1).pdf: 807, 907</x:v>
      </x:c>
    </x:row>
    <x:row r="134" ht="62" customHeight="1">
      <x:c r="A134" s="28" t="str">
        <x:v>CIT-0466</x:v>
      </x:c>
      <x:c r="B134" s="28" t="str">
        <x:v>лимон</x:v>
      </x:c>
      <x:c r="C134" s="28" t="str">
        <x:v>спаржа</x:v>
      </x:c>
      <x:c r="D134" s="28" t="str">
        <x:v>Овощи</x:v>
      </x:c>
      <x:c r="E134" s="28" t="str">
        <x:v>вкусовой баланс</x:v>
      </x:c>
      <x:c r="F134" s="28" t="str">
        <x:v>Лимон формирует профиль «цитрусовый, свежий, цветочный, древесный»; характерные маркеры: цитраль (гераниаль + нераль), лимонен, гамма-терпинен, бета-пинен. Спаржа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3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34" s="28" t="str">
        <x:v>Избыток кислоты делает вкус плоско-резким; белая часть кожуры даёт лишнюю горечь.</x:v>
      </x:c>
      <x:c r="I134" s="28" t="str">
        <x:v>винегрет, салат, пюре, запечённое блюдо или овощной соус</x:v>
      </x:c>
      <x:c r="J134" s="28" t="str">
        <x:v>Высокая</x:v>
      </x:c>
      <x:c r="K134" s="28" t="str">
        <x:v>Тезариус вкусов (Ники Сегнит)(1).pdf</x:v>
      </x:c>
      <x:c r="L134" s="28" t="str">
        <x:v>Тезариус вкусов (Ники Сегнит)(1).pdf: 346, 807</x:v>
      </x:c>
    </x:row>
    <x:row r="135" ht="62" customHeight="1">
      <x:c r="A135" s="28" t="str">
        <x:v>CIT-0467</x:v>
      </x:c>
      <x:c r="B135" s="28" t="str">
        <x:v>лимон</x:v>
      </x:c>
      <x:c r="C135" s="28" t="str">
        <x:v>сушёный орегано</x:v>
      </x:c>
      <x:c r="D135" s="28" t="str">
        <x:v>Травы</x:v>
      </x:c>
      <x:c r="E135" s="28" t="str">
        <x:v>перекрытие ароматических семейств, вкусовой баланс, тройничное восприятие</x:v>
      </x:c>
      <x:c r="F135" s="28" t="str">
        <x:v>Лимон формирует профиль «цитрусовый, свежий, цветочный, древесный»; характерные маркеры: цитраль (гераниаль + нераль), лимонен, гамма-терпинен, бета-пинен.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3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5" s="28" t="str">
        <x:v>Избыток кислоты делает вкус плоско-резким; белая часть кожуры даёт лишнюю горечь; цитрус легко подавляет деликатный аромат партнёра.</x:v>
      </x:c>
      <x:c r="I135" s="28" t="str">
        <x:v>лимонад, кордиал, салатная заправка или зелёный соус</x:v>
      </x:c>
      <x:c r="J135" s="28" t="str">
        <x:v>Средняя</x:v>
      </x:c>
      <x:c r="K135" s="28" t="str">
        <x:v>The Art &amp; Science of Foodpairing.pdf</x:v>
      </x:c>
      <x:c r="L135" s="28" t="str">
        <x:v>The Art &amp; Science of Foodpairing.pdf: 87</x:v>
      </x:c>
    </x:row>
    <x:row r="136" ht="62" customHeight="1">
      <x:c r="A136" s="28" t="str">
        <x:v>CIT-0469</x:v>
      </x:c>
      <x:c r="B136" s="28" t="str">
        <x:v>лимон</x:v>
      </x:c>
      <x:c r="C136" s="28" t="str">
        <x:v>тимьян</x:v>
      </x:c>
      <x:c r="D136" s="28" t="str">
        <x:v>Травы</x:v>
      </x:c>
      <x:c r="E136" s="28" t="str">
        <x:v>перекрытие ароматических семейств, вкусовой баланс, тройничное восприятие</x:v>
      </x:c>
      <x:c r="F136" s="28" t="str">
        <x:v>Лимон формирует профиль «цитрусовый, свежий, цветочный, древесный»; характерные маркеры: цитраль (гераниаль + нераль), лимонен, гамма-терпинен, бета-пинен.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3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36" s="28" t="str">
        <x:v>Избыток кислоты делает вкус плоско-резким; белая часть кожуры даёт лишнюю горечь; цитрус легко подавляет деликатный аромат партнёра.</x:v>
      </x:c>
      <x:c r="I136" s="28" t="str">
        <x:v>лимонад, кордиал, салатная заправка или зелёный соус</x:v>
      </x:c>
      <x:c r="J136" s="28" t="str">
        <x:v>Высокая</x:v>
      </x:c>
      <x:c r="K136" s="28" t="str">
        <x:v>Таблица сочетания(1).pdf | Тезариус вкусов (Ники Сегнит)(1).pdf</x:v>
      </x:c>
      <x:c r="L136" s="28" t="str">
        <x:v>Таблица сочетания(1).pdf: 11, 21 | Тезариус вкусов (Ники Сегнит)(1).pdf: 808, 858</x:v>
      </x:c>
    </x:row>
    <x:row r="137" ht="62" customHeight="1">
      <x:c r="A137" s="28" t="str">
        <x:v>CIT-0470</x:v>
      </x:c>
      <x:c r="B137" s="28" t="str">
        <x:v>лимон</x:v>
      </x:c>
      <x:c r="C137" s="28" t="str">
        <x:v>томат</x:v>
      </x:c>
      <x:c r="D137" s="28" t="str">
        <x:v>Овощи</x:v>
      </x:c>
      <x:c r="E137" s="28" t="str">
        <x:v>вкусовой баланс</x:v>
      </x:c>
      <x:c r="F137" s="28" t="str">
        <x:v>Лимон формирует профиль «цитрусовый, свежий, цветочный, древесный»; характерные маркеры: цитраль (гераниаль + нераль), лимонен, гамма-терпинен, бета-пинен. Томат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3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37" s="28" t="str">
        <x:v>Избыток кислоты делает вкус плоско-резким; белая часть кожуры даёт лишнюю горечь.</x:v>
      </x:c>
      <x:c r="I137" s="28" t="str">
        <x:v>винегрет, салат, пюре, запечённое блюдо или овощной соус</x:v>
      </x:c>
      <x:c r="J137" s="28" t="str">
        <x:v>Гипотеза / практическая</x:v>
      </x:c>
      <x:c r="K137" s="28" t="str">
        <x:v>Таблица сочетания(1).pdf</x:v>
      </x:c>
      <x:c r="L137" s="28" t="str">
        <x:v>Таблица сочетания(1).pdf: 21</x:v>
      </x:c>
    </x:row>
    <x:row r="138" ht="62" customHeight="1">
      <x:c r="A138" s="28" t="str">
        <x:v>CIT-0471</x:v>
      </x:c>
      <x:c r="B138" s="28" t="str">
        <x:v>лимон</x:v>
      </x:c>
      <x:c r="C138" s="28" t="str">
        <x:v>томаты</x:v>
      </x:c>
      <x:c r="D138" s="28" t="str">
        <x:v>Овощи</x:v>
      </x:c>
      <x:c r="E138" s="28" t="str">
        <x:v>вкусовой баланс</x:v>
      </x:c>
      <x:c r="F138" s="28" t="str">
        <x:v>Лимон формирует профиль «цитрусовый, свежий, цветочный, древесный»; характерные маркеры: цитраль (гераниаль + нераль), лимонен, гамма-терпинен, бета-пинен. Томаты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3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38" s="28" t="str">
        <x:v>Избыток кислоты делает вкус плоско-резким; белая часть кожуры даёт лишнюю горечь.</x:v>
      </x:c>
      <x:c r="I138" s="28" t="str">
        <x:v>винегрет, салат, пюре, запечённое блюдо или овощной соус</x:v>
      </x:c>
      <x:c r="J138" s="28" t="str">
        <x:v>Высокая</x:v>
      </x:c>
      <x:c r="K138" s="28" t="str">
        <x:v>Тезариус вкусов (Ники Сегнит)(1).pdf</x:v>
      </x:c>
      <x:c r="L138" s="28" t="str">
        <x:v>Тезариус вкусов (Ники Сегнит)(1).pdf: 686</x:v>
      </x:c>
    </x:row>
    <x:row r="139" ht="62" customHeight="1">
      <x:c r="A139" s="28" t="str">
        <x:v>CIT-0473</x:v>
      </x:c>
      <x:c r="B139" s="28" t="str">
        <x:v>лимон</x:v>
      </x:c>
      <x:c r="C139" s="28" t="str">
        <x:v>устрицы</x:v>
      </x:c>
      <x:c r="D139" s="28" t="str">
        <x:v>Рыба и морепродукты</x:v>
      </x:c>
      <x:c r="E139" s="28" t="str">
        <x:v>вкусовой баланс, влияние матрицы/растворимости</x:v>
      </x:c>
      <x:c r="F139" s="28" t="str">
        <x:v>Лимон формирует профиль «цитрусовый, свежий, цветочный, древесный»; характерные маркеры: цитраль (гераниаль + нераль), лимонен, гамма-терпинен, бета-пинен. Устрицы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3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39" s="28" t="str">
        <x:v>Избыток кислоты делает вкус плоско-резким; белая часть кожуры даёт лишнюю горечь; слишком долгая маринация ухудшает текстуру.</x:v>
      </x:c>
      <x:c r="I139" s="28" t="str">
        <x:v>севиче, маринад, beurre blanc, тартар или салат</x:v>
      </x:c>
      <x:c r="J139" s="28" t="str">
        <x:v>Высокая</x:v>
      </x:c>
      <x:c r="K139" s="28" t="str">
        <x:v>Тезариус вкусов (Ники Сегнит)(1).pdf</x:v>
      </x:c>
      <x:c r="L139" s="28" t="str">
        <x:v>Тезариус вкусов (Ники Сегнит)(1).pdf: 398, 809</x:v>
      </x:c>
    </x:row>
    <x:row r="140" ht="62" customHeight="1">
      <x:c r="A140" s="28" t="str">
        <x:v>CIT-0485</x:v>
      </x:c>
      <x:c r="B140" s="28" t="str">
        <x:v>лимон</x:v>
      </x:c>
      <x:c r="C140" s="28" t="str">
        <x:v>черная икра</x:v>
      </x:c>
      <x:c r="D140" s="28" t="str">
        <x:v>Рыба и морепродукты</x:v>
      </x:c>
      <x:c r="E140" s="28" t="str">
        <x:v>вкусовой баланс, влияние матрицы/растворимости</x:v>
      </x:c>
      <x:c r="F140" s="28" t="str">
        <x:v>Лимон формирует профиль «цитрусовый, свежий, цветочный, древесный»; характерные маркеры: цитраль (гераниаль + нераль), лимонен, гамма-терпинен, бета-пинен. Черная икра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40"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40" s="28" t="str">
        <x:v>Избыток кислоты делает вкус плоско-резким; белая часть кожуры даёт лишнюю горечь; слишком долгая маринация ухудшает текстуру.</x:v>
      </x:c>
      <x:c r="I140" s="28" t="str">
        <x:v>севиче, маринад, beurre blanc, тартар или салат</x:v>
      </x:c>
      <x:c r="J140" s="28" t="str">
        <x:v>Высокая</x:v>
      </x:c>
      <x:c r="K140" s="28" t="str">
        <x:v>Тезариус вкусов (Ники Сегнит)(1).pdf</x:v>
      </x:c>
      <x:c r="L140" s="28" t="str">
        <x:v>Тезариус вкусов (Ники Сегнит)(1).pdf: 406, 810</x:v>
      </x:c>
    </x:row>
    <x:row r="141" ht="62" customHeight="1">
      <x:c r="A141" s="28" t="str">
        <x:v>CIT-0488</x:v>
      </x:c>
      <x:c r="B141" s="28" t="str">
        <x:v>лимон</x:v>
      </x:c>
      <x:c r="C141" s="28" t="str">
        <x:v>чёрный перец</x:v>
      </x:c>
      <x:c r="D141" s="28" t="str">
        <x:v>Пряности</x:v>
      </x:c>
      <x:c r="E141" s="28" t="str">
        <x:v>общие ароматические молекулы, перекрытие ароматических семейств, вкусовой баланс, тройничное восприятие</x:v>
      </x:c>
      <x:c r="F141" s="28" t="str">
        <x:v>Лимон формирует профиль «цитрусовый, свежий, цветочный, древесный»; характерные маркеры: цитраль (гераниаль + нераль), лимонен, гамма-терпинен, бета-пинен.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древесный, цитрусовый.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Перец добавляет сухую пряность и усиливает яркость цедры.</x:v>
      </x:c>
      <x:c r="G14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1" s="28" t="str">
        <x:v>Избыток кислоты делает вкус плоско-резким; белая часть кожуры даёт лишнюю горечь.</x:v>
      </x:c>
      <x:c r="I141" s="28" t="str">
        <x:v>сироп, кордиал, чатни, маринад или пряный десерт</x:v>
      </x:c>
      <x:c r="J141" s="28" t="str">
        <x:v>Средняя</x:v>
      </x:c>
      <x:c r="K141" s="28" t="str">
        <x:v>Таблица сочетания(1).pdf</x:v>
      </x:c>
      <x:c r="L141" s="28" t="str">
        <x:v>Таблица сочетания(1).pdf: 11</x:v>
      </x:c>
    </x:row>
    <x:row r="142" ht="62" customHeight="1">
      <x:c r="A142" s="28" t="str">
        <x:v>CIT-0489</x:v>
      </x:c>
      <x:c r="B142" s="28" t="str">
        <x:v>лимон</x:v>
      </x:c>
      <x:c r="C142" s="28" t="str">
        <x:v>чили</x:v>
      </x:c>
      <x:c r="D142" s="28" t="str">
        <x:v>Пряности</x:v>
      </x:c>
      <x:c r="E142" s="28" t="str">
        <x:v>вкусовой баланс, тройничное восприятие</x:v>
      </x:c>
      <x:c r="F142" s="28" t="str">
        <x:v>Лимон формирует профиль «цитрусовый, свежий, цветочный, древесный»; характерные маркеры: цитраль (гераниаль + нераль), лимонен, гамма-терпинен, бета-пинен. Чили относится к группе «пряности» и даёт ноты «зелёный, фруктовый,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Фруктовые чили могут поддерживать цитрусовые эфиры, но острота требует баланса.</x:v>
      </x:c>
      <x:c r="G14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2"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42" s="28" t="str">
        <x:v>сироп, кордиал, чатни, маринад или пряный десерт</x:v>
      </x:c>
      <x:c r="J142" s="28" t="str">
        <x:v>Высокая</x:v>
      </x:c>
      <x:c r="K142" s="28" t="str">
        <x:v>Тезариус вкусов (Ники Сегнит)(1).pdf</x:v>
      </x:c>
      <x:c r="L142" s="28" t="str">
        <x:v>Тезариус вкусов (Ники Сегнит)(1).pdf: 556, 810</x:v>
      </x:c>
    </x:row>
    <x:row r="143" ht="62" customHeight="1">
      <x:c r="A143" s="28" t="str">
        <x:v>CIT-0490</x:v>
      </x:c>
      <x:c r="B143" s="28" t="str">
        <x:v>лимон</x:v>
      </x:c>
      <x:c r="C143" s="28" t="str">
        <x:v>шалфей</x:v>
      </x:c>
      <x:c r="D143" s="28" t="str">
        <x:v>Травы</x:v>
      </x:c>
      <x:c r="E143" s="28" t="str">
        <x:v>перекрытие ароматических семейств, вкусовой баланс, тройничное восприятие</x:v>
      </x:c>
      <x:c r="F143" s="28" t="str">
        <x:v>Лимон формирует профиль «цитрусовый, свежий, цветочный, древесный»; характерные маркеры: цитраль (гераниаль + нераль), лимонен, гамма-терпинен, бета-пинен. Шалфей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4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3" s="28" t="str">
        <x:v>Избыток кислоты делает вкус плоско-резким; белая часть кожуры даёт лишнюю горечь; цитрус легко подавляет деликатный аромат партнёра.</x:v>
      </x:c>
      <x:c r="I143" s="28" t="str">
        <x:v>лимонад, кордиал, салатная заправка или зелёный соус</x:v>
      </x:c>
      <x:c r="J143" s="28" t="str">
        <x:v>Гипотеза / практическая</x:v>
      </x:c>
      <x:c r="K143" s="28" t="str">
        <x:v>Таблица сочетания(1).pdf</x:v>
      </x:c>
      <x:c r="L143" s="28" t="str">
        <x:v>Таблица сочетания(1).pdf: 11, 20</x:v>
      </x:c>
    </x:row>
    <x:row r="144" ht="62" customHeight="1">
      <x:c r="A144" s="28" t="str">
        <x:v>CIT-0491</x:v>
      </x:c>
      <x:c r="B144" s="28" t="str">
        <x:v>лимон</x:v>
      </x:c>
      <x:c r="C144" s="28" t="str">
        <x:v>шафран</x:v>
      </x:c>
      <x:c r="D144" s="28" t="str">
        <x:v>Пряности</x:v>
      </x:c>
      <x:c r="E144" s="28" t="str">
        <x:v>перекрытие ароматических семейств, вкусовой баланс</x:v>
      </x:c>
      <x:c r="F144" s="28" t="str">
        <x:v>Лимон формирует профиль «цитрусовый, свежий, цветочный, древесный»; характерные маркеры: цитраль (гераниаль + нераль), лимонен, гамма-терпинен, бета-пинен. Шафран относится к группе «пряности» и даёт ноты «медовый, сенной, цветочный, кожистый».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Шафран даёт сухую цветочно-медовую глубину.</x:v>
      </x:c>
      <x:c r="G14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4" s="28" t="str">
        <x:v>Избыток кислоты делает вкус плоско-резким; белая часть кожуры даёт лишнюю горечь.</x:v>
      </x:c>
      <x:c r="I144" s="28" t="str">
        <x:v>сироп, кордиал, чатни, маринад или пряный десерт</x:v>
      </x:c>
      <x:c r="J144" s="28" t="str">
        <x:v>Высокая</x:v>
      </x:c>
      <x:c r="K144" s="28" t="str">
        <x:v>Тезариус вкусов (Ники Сегнит)(1).pdf</x:v>
      </x:c>
      <x:c r="L144" s="28" t="str">
        <x:v>Тезариус вкусов (Ники Сегнит)(1).pdf: 475, 810</x:v>
      </x:c>
    </x:row>
    <x:row r="145" ht="62" customHeight="1">
      <x:c r="A145" s="28" t="str">
        <x:v>CIT-0505</x:v>
      </x:c>
      <x:c r="B145" s="28" t="str">
        <x:v>лимонная цедра</x:v>
      </x:c>
      <x:c r="C145" s="28" t="str">
        <x:v>отварной горох</x:v>
      </x:c>
      <x:c r="D145" s="28" t="str">
        <x:v>Овощи</x:v>
      </x:c>
      <x:c r="E145" s="28" t="str">
        <x:v>вкусовой баланс</x:v>
      </x:c>
      <x:c r="F145"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Отварной горох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4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45" s="28" t="str">
        <x:v>Избыток кислоты делает вкус плоско-резким; белая часть кожуры даёт лишнюю горечь.</x:v>
      </x:c>
      <x:c r="I145" s="28" t="str">
        <x:v>винегрет, салат, пюре, запечённое блюдо или овощной соус</x:v>
      </x:c>
      <x:c r="J145" s="28" t="str">
        <x:v>Средняя</x:v>
      </x:c>
      <x:c r="K145" s="28" t="str">
        <x:v>The Art &amp; Science of Foodpairing.pdf</x:v>
      </x:c>
      <x:c r="L145" s="28" t="str">
        <x:v>The Art &amp; Science of Foodpairing.pdf: 273</x:v>
      </x:c>
    </x:row>
    <x:row r="146" ht="62" customHeight="1">
      <x:c r="A146" s="28" t="str">
        <x:v>CIT-0506</x:v>
      </x:c>
      <x:c r="B146" s="28" t="str">
        <x:v>лимонная цедра</x:v>
      </x:c>
      <x:c r="C146" s="28" t="str">
        <x:v>сушёный орегано</x:v>
      </x:c>
      <x:c r="D146" s="28" t="str">
        <x:v>Травы</x:v>
      </x:c>
      <x:c r="E146" s="28" t="str">
        <x:v>перекрытие ароматических семейств, вкусовой баланс, тройничное восприятие</x:v>
      </x:c>
      <x:c r="F146" s="28" t="str">
        <x:v>Лимонная цедра формирует профиль «цитрусовый, свежий, цветочный, древесный»; характерные маркеры: цитраль (гераниаль + нераль), лимонен, гамма-терпинен, бета-пинен. Сушёный орегано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4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46" s="28" t="str">
        <x:v>Избыток кислоты делает вкус плоско-резким; белая часть кожуры даёт лишнюю горечь; цитрус легко подавляет деликатный аромат партнёра.</x:v>
      </x:c>
      <x:c r="I146" s="28" t="str">
        <x:v>лимонад, кордиал, салатная заправка или зелёный соус</x:v>
      </x:c>
      <x:c r="J146" s="28" t="str">
        <x:v>Средняя</x:v>
      </x:c>
      <x:c r="K146" s="28" t="str">
        <x:v>The Art &amp; Science of Foodpairing.pdf</x:v>
      </x:c>
      <x:c r="L146" s="28" t="str">
        <x:v>The Art &amp; Science of Foodpairing.pdf: 87</x:v>
      </x:c>
    </x:row>
    <x:row r="147" ht="62" customHeight="1">
      <x:c r="A147" s="28" t="str">
        <x:v>CIT-0509</x:v>
      </x:c>
      <x:c r="B147" s="28" t="str">
        <x:v>лимонный сок</x:v>
      </x:c>
      <x:c r="C147" s="28" t="str">
        <x:v>баранина на гриле</x:v>
      </x:c>
      <x:c r="D147" s="28" t="str">
        <x:v>Мясо и птица</x:v>
      </x:c>
      <x:c r="E147" s="28" t="str">
        <x:v>вкусовой баланс, влияние матрицы/растворимости</x:v>
      </x:c>
      <x:c r="F147"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Баранина на гриле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G147"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47" s="28" t="str">
        <x:v>Избыток кислоты делает вкус плоско-резким; белая часть кожуры даёт лишнюю горечь; слишком долгая маринация ухудшает текстуру.</x:v>
      </x:c>
      <x:c r="I147" s="28" t="str">
        <x:v>маринад, глазурь, соус, жаркое или салат</x:v>
      </x:c>
      <x:c r="J147" s="28" t="str">
        <x:v>Средняя</x:v>
      </x:c>
      <x:c r="K147" s="28" t="str">
        <x:v>The Art &amp; Science of Foodpairing.pdf</x:v>
      </x:c>
      <x:c r="L147" s="28" t="str">
        <x:v>The Art &amp; Science of Foodpairing.pdf: 370</x:v>
      </x:c>
    </x:row>
    <x:row r="148" ht="62" customHeight="1">
      <x:c r="A148" s="28" t="str">
        <x:v>CIT-0512</x:v>
      </x:c>
      <x:c r="B148" s="28" t="str">
        <x:v>лимонный сок</x:v>
      </x:c>
      <x:c r="C148" s="28" t="str">
        <x:v>морковь</x:v>
      </x:c>
      <x:c r="D148" s="28" t="str">
        <x:v>Овощи</x:v>
      </x:c>
      <x:c r="E148" s="28" t="str">
        <x:v>вкусовой баланс</x:v>
      </x:c>
      <x:c r="F148"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Морковь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4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48" s="28" t="str">
        <x:v>Избыток кислоты делает вкус плоско-резким; белая часть кожуры даёт лишнюю горечь.</x:v>
      </x:c>
      <x:c r="I148" s="28" t="str">
        <x:v>винегрет, салат, пюре, запечённое блюдо или овощной соус</x:v>
      </x:c>
      <x:c r="J148" s="28" t="str">
        <x:v>Средняя</x:v>
      </x:c>
      <x:c r="K148" s="28" t="str">
        <x:v>The Art &amp; Science of Foodpairing.pdf</x:v>
      </x:c>
      <x:c r="L148" s="28" t="str">
        <x:v>The Art &amp; Science of Foodpairing.pdf: 370</x:v>
      </x:c>
    </x:row>
    <x:row r="149" ht="62" customHeight="1">
      <x:c r="A149" s="28" t="str">
        <x:v>CIT-0513</x:v>
      </x:c>
      <x:c r="B149" s="28" t="str">
        <x:v>лимонный сок</x:v>
      </x:c>
      <x:c r="C149" s="28" t="str">
        <x:v>обжаренный бекон</x:v>
      </x:c>
      <x:c r="D149" s="28" t="str">
        <x:v>Мясо и птица</x:v>
      </x:c>
      <x:c r="E149" s="28" t="str">
        <x:v>вкусовой баланс, влияние матрицы/растворимости</x:v>
      </x:c>
      <x:c r="F149"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Обжаренный бекон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создаёт контраст с реакциями Майяра и освежает мясную матрицу.</x:v>
      </x:c>
      <x:c r="G14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49" s="28" t="str">
        <x:v>Избыток кислоты делает вкус плоско-резким; белая часть кожуры даёт лишнюю горечь; слишком долгая маринация ухудшает текстуру.</x:v>
      </x:c>
      <x:c r="I149" s="28" t="str">
        <x:v>маринад, глазурь, соус, жаркое или салат</x:v>
      </x:c>
      <x:c r="J149" s="28" t="str">
        <x:v>Средняя</x:v>
      </x:c>
      <x:c r="K149" s="28" t="str">
        <x:v>The Art &amp; Science of Foodpairing.pdf</x:v>
      </x:c>
      <x:c r="L149" s="28" t="str">
        <x:v>The Art &amp; Science of Foodpairing.pdf: 370</x:v>
      </x:c>
    </x:row>
    <x:row r="150" ht="62" customHeight="1">
      <x:c r="A150" s="28" t="str">
        <x:v>CIT-0514</x:v>
      </x:c>
      <x:c r="B150" s="28" t="str">
        <x:v>лимонный сок</x:v>
      </x:c>
      <x:c r="C150" s="28" t="str">
        <x:v>отварная очищенная свёкла</x:v>
      </x:c>
      <x:c r="D150" s="28" t="str">
        <x:v>Овощи</x:v>
      </x:c>
      <x:c r="E150" s="28" t="str">
        <x:v>вкусовой баланс</x:v>
      </x:c>
      <x:c r="F150"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Отварная очищенная свёкла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50"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50" s="28" t="str">
        <x:v>Избыток кислоты делает вкус плоско-резким; белая часть кожуры даёт лишнюю горечь.</x:v>
      </x:c>
      <x:c r="I150" s="28" t="str">
        <x:v>винегрет, салат, пюре, запечённое блюдо или овощной соус</x:v>
      </x:c>
      <x:c r="J150" s="28" t="str">
        <x:v>Средняя</x:v>
      </x:c>
      <x:c r="K150" s="28" t="str">
        <x:v>The Art &amp; Science of Foodpairing.pdf</x:v>
      </x:c>
      <x:c r="L150" s="28" t="str">
        <x:v>The Art &amp; Science of Foodpairing.pdf: 370</x:v>
      </x:c>
    </x:row>
    <x:row r="151" ht="62" customHeight="1">
      <x:c r="A151" s="28" t="str">
        <x:v>CIT-0515</x:v>
      </x:c>
      <x:c r="B151" s="28" t="str">
        <x:v>лимонный сок</x:v>
      </x:c>
      <x:c r="C151" s="28" t="str">
        <x:v>тимьян</x:v>
      </x:c>
      <x:c r="D151" s="28" t="str">
        <x:v>Травы</x:v>
      </x:c>
      <x:c r="E151" s="28" t="str">
        <x:v>перекрытие ароматических семейств, вкусовой баланс, тройничное восприятие</x:v>
      </x:c>
      <x:c r="F151"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Тимьян относится к группе «травы» и даёт ноты «травяной, хвойный, камфорный, древесный». Прямой общий ключевой одорант из доступных профилей не фиксируется, однако продукты пересекаются на уровне семейств: древесный.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Хвойно-терпеновый профиль способен продолжить цитрусовую цедру.</x:v>
      </x:c>
      <x:c r="G15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1" s="28" t="str">
        <x:v>Избыток кислоты делает вкус плоско-резким; белая часть кожуры даёт лишнюю горечь; цитрус легко подавляет деликатный аромат партнёра.</x:v>
      </x:c>
      <x:c r="I151" s="28" t="str">
        <x:v>лимонад, кордиал, салатная заправка или зелёный соус</x:v>
      </x:c>
      <x:c r="J151" s="28" t="str">
        <x:v>Средняя</x:v>
      </x:c>
      <x:c r="K151" s="28" t="str">
        <x:v>The Art &amp; Science of Foodpairing.pdf</x:v>
      </x:c>
      <x:c r="L151" s="28" t="str">
        <x:v>The Art &amp; Science of Foodpairing.pdf: 370</x:v>
      </x:c>
    </x:row>
    <x:row r="152" ht="62" customHeight="1">
      <x:c r="A152" s="28" t="str">
        <x:v>CIT-0516</x:v>
      </x:c>
      <x:c r="B152" s="28" t="str">
        <x:v>лимонный сок</x:v>
      </x:c>
      <x:c r="C152" s="28" t="str">
        <x:v>устрица</x:v>
      </x:c>
      <x:c r="D152" s="28" t="str">
        <x:v>Рыба и морепродукты</x:v>
      </x:c>
      <x:c r="E152" s="28" t="str">
        <x:v>вкусовой баланс, влияние матрицы/растворимости</x:v>
      </x:c>
      <x:c r="F152" s="28" t="str">
        <x:v>Лимонный сок формирует профиль «цитрусовый, свежий, цветочный, древесный»; характерные маркеры: цитраль (гераниаль + нераль), лимонен, гамма-терпинен, бета-пинен. Устрица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5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52" s="28" t="str">
        <x:v>Избыток кислоты делает вкус плоско-резким; белая часть кожуры даёт лишнюю горечь; слишком долгая маринация ухудшает текстуру.</x:v>
      </x:c>
      <x:c r="I152" s="28" t="str">
        <x:v>севиче, маринад, beurre blanc, тартар или салат</x:v>
      </x:c>
      <x:c r="J152" s="28" t="str">
        <x:v>Средняя</x:v>
      </x:c>
      <x:c r="K152" s="28" t="str">
        <x:v>The Art &amp; Science of Foodpairing.pdf</x:v>
      </x:c>
      <x:c r="L152" s="28" t="str">
        <x:v>The Art &amp; Science of Foodpairing.pdf: 370</x:v>
      </x:c>
    </x:row>
    <x:row r="153" ht="62" customHeight="1">
      <x:c r="A153" s="28" t="str">
        <x:v>CIT-0526</x:v>
      </x:c>
      <x:c r="B153" s="28" t="str">
        <x:v>лимончелло</x:v>
      </x:c>
      <x:c r="C153" s="28" t="str">
        <x:v>отварное мясо краба</x:v>
      </x:c>
      <x:c r="D153" s="28" t="str">
        <x:v>Рыба и морепродукты</x:v>
      </x:c>
      <x:c r="E153" s="28" t="str">
        <x:v>вкусовой баланс, влияние матрицы/растворимости</x:v>
      </x:c>
      <x:c r="F153"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Отварное мясо краба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53"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53" s="28" t="str">
        <x:v>Избыток кислоты делает вкус плоско-резким; белая часть кожуры даёт лишнюю горечь; слишком долгая маринация ухудшает текстуру.</x:v>
      </x:c>
      <x:c r="I153" s="28" t="str">
        <x:v>севиче, маринад, beurre blanc, тартар или салат</x:v>
      </x:c>
      <x:c r="J153" s="28" t="str">
        <x:v>Средняя</x:v>
      </x:c>
      <x:c r="K153" s="28" t="str">
        <x:v>The Art &amp; Science of Foodpairing.pdf</x:v>
      </x:c>
      <x:c r="L153" s="28" t="str">
        <x:v>The Art &amp; Science of Foodpairing.pdf: 370</x:v>
      </x:c>
    </x:row>
    <x:row r="154" ht="62" customHeight="1">
      <x:c r="A154" s="28" t="str">
        <x:v>CIT-0528</x:v>
      </x:c>
      <x:c r="B154" s="28" t="str">
        <x:v>лимончелло</x:v>
      </x:c>
      <x:c r="C154" s="28" t="str">
        <x:v>светлый соевый соус широ</x:v>
      </x:c>
      <x:c r="D154" s="28" t="str">
        <x:v>Соусы и ферментированные продукты</x:v>
      </x:c>
      <x:c r="E154" s="28" t="str">
        <x:v>вкусовой баланс, тройничное восприятие</x:v>
      </x:c>
      <x:c r="F154"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Светлый соевый соус широ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Сок определяется цитралем и кислотностью, цедра — лимоненом и терпенами. Цитрус добавляет верхние ноты и может заменить часть уксуса, но избыток кислоты нарушит баланс.</x:v>
      </x:c>
      <x:c r="G154"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54" s="28" t="str">
        <x:v>Избыток кислоты делает вкус плоско-резким; белая часть кожуры даёт лишнюю горечь.</x:v>
      </x:c>
      <x:c r="I154" s="28" t="str">
        <x:v>дрессинг, глазурь, чатни, маринад или ферментированный соус</x:v>
      </x:c>
      <x:c r="J154" s="28" t="str">
        <x:v>Средняя</x:v>
      </x:c>
      <x:c r="K154" s="28" t="str">
        <x:v>The Art &amp; Science of Foodpairing.pdf</x:v>
      </x:c>
      <x:c r="L154" s="28" t="str">
        <x:v>The Art &amp; Science of Foodpairing.pdf: 370</x:v>
      </x:c>
    </x:row>
    <x:row r="155" ht="62" customHeight="1">
      <x:c r="A155" s="28" t="str">
        <x:v>CIT-0531</x:v>
      </x:c>
      <x:c r="B155" s="28" t="str">
        <x:v>лимончелло</x:v>
      </x:c>
      <x:c r="C155" s="28" t="str">
        <x:v>устрица</x:v>
      </x:c>
      <x:c r="D155" s="28" t="str">
        <x:v>Рыба и морепродукты</x:v>
      </x:c>
      <x:c r="E155" s="28" t="str">
        <x:v>вкусовой баланс, влияние матрицы/растворимости</x:v>
      </x:c>
      <x:c r="F155" s="28" t="str">
        <x:v>Лимончелло формирует профиль «цитрусовый, свежий, цветочный, древесный»; характерные маркеры: цитраль (гераниаль + нераль), лимонен, гамма-терпинен, бета-пинен. Устрица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15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55" s="28" t="str">
        <x:v>Избыток кислоты делает вкус плоско-резким; белая часть кожуры даёт лишнюю горечь; слишком долгая маринация ухудшает текстуру.</x:v>
      </x:c>
      <x:c r="I155" s="28" t="str">
        <x:v>севиче, маринад, beurre blanc, тартар или салат</x:v>
      </x:c>
      <x:c r="J155" s="28" t="str">
        <x:v>Средняя</x:v>
      </x:c>
      <x:c r="K155" s="28" t="str">
        <x:v>The Art &amp; Science of Foodpairing.pdf</x:v>
      </x:c>
      <x:c r="L155" s="28" t="str">
        <x:v>The Art &amp; Science of Foodpairing.pdf: 370</x:v>
      </x:c>
    </x:row>
    <x:row r="156" ht="62" customHeight="1">
      <x:c r="A156" s="28" t="str">
        <x:v>CIT-0546</x:v>
      </x:c>
      <x:c r="B156" s="28" t="str">
        <x:v>мандарин</x:v>
      </x:c>
      <x:c r="C156" s="28" t="str">
        <x:v>баранина</x:v>
      </x:c>
      <x:c r="D156" s="28" t="str">
        <x:v>Мясо и птица</x:v>
      </x:c>
      <x:c r="E156" s="28" t="str">
        <x:v>вкусовой баланс, влияние матрицы/растворимости</x:v>
      </x:c>
      <x:c r="F156" s="28" t="str">
        <x:v>Мандарин формирует профиль «цитрусовый, фруктовый, цветочный, пряный»; характерные маркеры: лимонен, гамма-терпинен, метил-N-метилантранилат, линалол. Баранина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создаёт контраст с реакциями Майяра и освежает мясную матрицу.</x:v>
      </x:c>
      <x:c r="G15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56" s="28" t="str">
        <x:v>Избыток кислоты делает вкус плоско-резким; белая часть кожуры даёт лишнюю горечь; слишком долгая маринация ухудшает текстуру.</x:v>
      </x:c>
      <x:c r="I156" s="28" t="str">
        <x:v>маринад, глазурь, соус, жаркое или салат</x:v>
      </x:c>
      <x:c r="J156" s="28" t="str">
        <x:v>Средняя</x:v>
      </x:c>
      <x:c r="K156" s="28" t="str">
        <x:v>The Art &amp; Science of Foodpairing.pdf</x:v>
      </x:c>
      <x:c r="L156" s="28" t="str">
        <x:v>The Art &amp; Science of Foodpairing.pdf: 273</x:v>
      </x:c>
    </x:row>
    <x:row r="157" ht="62" customHeight="1">
      <x:c r="A157" s="28" t="str">
        <x:v>CIT-0549</x:v>
      </x:c>
      <x:c r="B157" s="28" t="str">
        <x:v>мандарин</x:v>
      </x:c>
      <x:c r="C157" s="28" t="str">
        <x:v>ваниль</x:v>
      </x:c>
      <x:c r="D157" s="28" t="str">
        <x:v>Пряности</x:v>
      </x:c>
      <x:c r="E157" s="28" t="str">
        <x:v>вкусовой баланс</x:v>
      </x:c>
      <x:c r="F157" s="28" t="str">
        <x:v>Мандарин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G15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57" s="28" t="str">
        <x:v>Избыток кислоты делает вкус плоско-резким; белая часть кожуры даёт лишнюю горечь.</x:v>
      </x:c>
      <x:c r="I157" s="28" t="str">
        <x:v>сироп, кордиал, чатни, маринад или пряный десерт</x:v>
      </x:c>
      <x:c r="J157" s="28" t="str">
        <x:v>Гипотеза / практическая</x:v>
      </x:c>
      <x:c r="K157" s="28" t="str">
        <x:v>Таблица сочетания(1).pdf</x:v>
      </x:c>
      <x:c r="L157" s="28" t="str">
        <x:v>Таблица сочетания(1).pdf: 12</x:v>
      </x:c>
    </x:row>
    <x:row r="158" ht="62" customHeight="1">
      <x:c r="A158" s="28" t="str">
        <x:v>CIT-0553</x:v>
      </x:c>
      <x:c r="B158" s="28" t="str">
        <x:v>мандарин</x:v>
      </x:c>
      <x:c r="C158" s="28" t="str">
        <x:v>жареная курица</x:v>
      </x:c>
      <x:c r="D158" s="28" t="str">
        <x:v>Мясо и птица</x:v>
      </x:c>
      <x:c r="E158" s="28" t="str">
        <x:v>вкусовой баланс, влияние матрицы/растворимости</x:v>
      </x:c>
      <x:c r="F158" s="28" t="str">
        <x:v>Мандарин формирует профиль «цитрусовый, фруктовый, цветочный, пряный»; характерные маркеры: лимонен, гамма-терпинен, метил-N-метилантранилат, линалол. Жареная курица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создаёт контраст с реакциями Майяра и освежает мясную матрицу.</x:v>
      </x:c>
      <x:c r="G15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58" s="28" t="str">
        <x:v>Избыток кислоты делает вкус плоско-резким; белая часть кожуры даёт лишнюю горечь; слишком долгая маринация ухудшает текстуру.</x:v>
      </x:c>
      <x:c r="I158" s="28" t="str">
        <x:v>маринад, глазурь, соус, жаркое или салат</x:v>
      </x:c>
      <x:c r="J158" s="28" t="str">
        <x:v>Средняя</x:v>
      </x:c>
      <x:c r="K158" s="28" t="str">
        <x:v>The Art &amp; Science of Foodpairing.pdf</x:v>
      </x:c>
      <x:c r="L158" s="28" t="str">
        <x:v>The Art &amp; Science of Foodpairing.pdf: 273</x:v>
      </x:c>
    </x:row>
    <x:row r="159" ht="62" customHeight="1">
      <x:c r="A159" s="28" t="str">
        <x:v>CIT-0554</x:v>
      </x:c>
      <x:c r="B159" s="28" t="str">
        <x:v>мандарин</x:v>
      </x:c>
      <x:c r="C159" s="28" t="str">
        <x:v>икра</x:v>
      </x:c>
      <x:c r="D159" s="28" t="str">
        <x:v>Рыба и морепродукты</x:v>
      </x:c>
      <x:c r="E159" s="28" t="str">
        <x:v>вкусовой баланс, влияние матрицы/растворимости</x:v>
      </x:c>
      <x:c r="F159" s="28" t="str">
        <x:v>Мандарин формирует профиль «цитрусовый, фруктовый, цветочный, пряный»; характерные маркеры: лимонен, гамма-терпинен, метил-N-метилантранилат, линалол. Икра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Мандариновая группа мягче по кислотности и выраженнее по сладко-цветочным нотам. Цитрус уменьшает восприятие жирности и рыбных нот, усиливая свежесть и слюноотделение.</x:v>
      </x:c>
      <x:c r="G159"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59" s="28" t="str">
        <x:v>Избыток кислоты делает вкус плоско-резким; белая часть кожуры даёт лишнюю горечь; слишком долгая маринация ухудшает текстуру.</x:v>
      </x:c>
      <x:c r="I159" s="28" t="str">
        <x:v>севиче, маринад, beurre blanc, тартар или салат</x:v>
      </x:c>
      <x:c r="J159" s="28" t="str">
        <x:v>Средняя</x:v>
      </x:c>
      <x:c r="K159" s="28" t="str">
        <x:v>The Art &amp; Science of Foodpairing.pdf</x:v>
      </x:c>
      <x:c r="L159" s="28" t="str">
        <x:v>The Art &amp; Science of Foodpairing.pdf: 273</x:v>
      </x:c>
    </x:row>
    <x:row r="160" ht="62" customHeight="1">
      <x:c r="A160" s="28" t="str">
        <x:v>CIT-0555</x:v>
      </x:c>
      <x:c r="B160" s="28" t="str">
        <x:v>мандарин</x:v>
      </x:c>
      <x:c r="C160" s="28" t="str">
        <x:v>имбирь</x:v>
      </x:c>
      <x:c r="D160" s="28" t="str">
        <x:v>Пряности</x:v>
      </x:c>
      <x:c r="E160" s="28" t="str">
        <x:v>перекрытие ароматических семейств, вкусовой баланс, тройничное восприятие</x:v>
      </x:c>
      <x:c r="F160" s="28" t="str">
        <x:v>Мандарин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16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0" s="28" t="str">
        <x:v>Избыток кислоты делает вкус плоско-резким; белая часть кожуры даёт лишнюю горечь.</x:v>
      </x:c>
      <x:c r="I160" s="28" t="str">
        <x:v>сироп, кордиал, чатни, маринад или пряный десерт</x:v>
      </x:c>
      <x:c r="J160" s="28" t="str">
        <x:v>Гипотеза / практическая</x:v>
      </x:c>
      <x:c r="K160" s="28" t="str">
        <x:v>Таблица сочетания(1).pdf</x:v>
      </x:c>
      <x:c r="L160" s="28" t="str">
        <x:v>Таблица сочетания(1).pdf: 12</x:v>
      </x:c>
    </x:row>
    <x:row r="161" ht="62" customHeight="1">
      <x:c r="A161" s="28" t="str">
        <x:v>CIT-0558</x:v>
      </x:c>
      <x:c r="B161" s="28" t="str">
        <x:v>мандарин</x:v>
      </x:c>
      <x:c r="C161" s="28" t="str">
        <x:v>кардамон</x:v>
      </x:c>
      <x:c r="D161" s="28" t="str">
        <x:v>Пряности</x:v>
      </x:c>
      <x:c r="E161" s="28" t="str">
        <x:v>общие ароматические молекулы, перекрытие ароматических семейств, вкусовой баланс, тройничное восприятие</x:v>
      </x:c>
      <x:c r="F161" s="28" t="str">
        <x:v>Мандарин формирует профиль «цитрусовый, фруктовый, цветочный, пряный»; характерные маркеры: лимонен, гамма-терпинен, метил-N-метилантранилат, линалол. Кардамон относится к группе «пряности» и даёт ноты «цитрусовый, камфорный, цветочный, эвкалиптовый». Наиболее правдоподобный молекулярный мост — лимонен, линалол; дополнительно совпадают ароматические семейства: цветочный,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Кардамон часто служит мостом между цитрусом, цветами и древесными нотами.</x:v>
      </x:c>
      <x:c r="G161"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1" s="28" t="str">
        <x:v>Избыток кислоты делает вкус плоско-резким; белая часть кожуры даёт лишнюю горечь.</x:v>
      </x:c>
      <x:c r="I161" s="28" t="str">
        <x:v>сироп, кордиал, чатни, маринад или пряный десерт</x:v>
      </x:c>
      <x:c r="J161" s="28" t="str">
        <x:v>Средняя</x:v>
      </x:c>
      <x:c r="K161" s="28" t="str">
        <x:v>Таблица сочетания(1).pdf</x:v>
      </x:c>
      <x:c r="L161" s="28" t="str">
        <x:v>Таблица сочетания(1).pdf: 12</x:v>
      </x:c>
    </x:row>
    <x:row r="162" ht="62" customHeight="1">
      <x:c r="A162" s="28" t="str">
        <x:v>CIT-0561</x:v>
      </x:c>
      <x:c r="B162" s="28" t="str">
        <x:v>мандарин</x:v>
      </x:c>
      <x:c r="C162" s="28" t="str">
        <x:v>корица</x:v>
      </x:c>
      <x:c r="D162" s="28" t="str">
        <x:v>Пряности</x:v>
      </x:c>
      <x:c r="E162" s="28" t="str">
        <x:v>вкусовой баланс, тройничное восприятие</x:v>
      </x:c>
      <x:c r="F162" s="28" t="str">
        <x:v>Мандарин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G162"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2" s="28" t="str">
        <x:v>Избыток кислоты делает вкус плоско-резким; белая часть кожуры даёт лишнюю горечь.</x:v>
      </x:c>
      <x:c r="I162" s="28" t="str">
        <x:v>сироп, кордиал, чатни, маринад или пряный десерт</x:v>
      </x:c>
      <x:c r="J162" s="28" t="str">
        <x:v>Гипотеза / практическая</x:v>
      </x:c>
      <x:c r="K162" s="28" t="str">
        <x:v>Таблица сочетания(1).pdf</x:v>
      </x:c>
      <x:c r="L162" s="28" t="str">
        <x:v>Таблица сочетания(1).pdf: 12</x:v>
      </x:c>
    </x:row>
    <x:row r="163" ht="62" customHeight="1">
      <x:c r="A163" s="28" t="str">
        <x:v>CIT-0563</x:v>
      </x:c>
      <x:c r="B163" s="28" t="str">
        <x:v>мандарин</x:v>
      </x:c>
      <x:c r="C163" s="28" t="str">
        <x:v>лимонный тимьян</x:v>
      </x:c>
      <x:c r="D163" s="28" t="str">
        <x:v>Травы</x:v>
      </x:c>
      <x:c r="E163" s="28" t="str">
        <x:v>вкусовой баланс, тройничное восприятие</x:v>
      </x:c>
      <x:c r="F163" s="28" t="str">
        <x:v>Мандарин формирует профиль «цитрусовый, фруктовый, цветочный, пряный»; характерные маркеры: лимонен, гамма-терпинен, метил-N-метилантранилат, линалол. Лимонный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163"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3" s="28" t="str">
        <x:v>Избыток кислоты делает вкус плоско-резким; белая часть кожуры даёт лишнюю горечь; цитрус легко подавляет деликатный аромат партнёра.</x:v>
      </x:c>
      <x:c r="I163" s="28" t="str">
        <x:v>лимонад, кордиал, салатная заправка или зелёный соус</x:v>
      </x:c>
      <x:c r="J163" s="28" t="str">
        <x:v>Гипотеза / практическая</x:v>
      </x:c>
      <x:c r="K163" s="28" t="str">
        <x:v>Таблица сочетания(1).pdf</x:v>
      </x:c>
      <x:c r="L163" s="28" t="str">
        <x:v>Таблица сочетания(1).pdf: 13</x:v>
      </x:c>
    </x:row>
    <x:row r="164" ht="62" customHeight="1">
      <x:c r="A164" s="28" t="str">
        <x:v>CIT-0568</x:v>
      </x:c>
      <x:c r="B164" s="28" t="str">
        <x:v>мандарин</x:v>
      </x:c>
      <x:c r="C164" s="28" t="str">
        <x:v>мята</x:v>
      </x:c>
      <x:c r="D164" s="28" t="str">
        <x:v>Травы</x:v>
      </x:c>
      <x:c r="E164" s="28" t="str">
        <x:v>вкусовой баланс, тройничное восприятие</x:v>
      </x:c>
      <x:c r="F164" s="28" t="str">
        <x:v>Мандарин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G16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4" s="28" t="str">
        <x:v>Избыток кислоты делает вкус плоско-резким; белая часть кожуры даёт лишнюю горечь; цитрус легко подавляет деликатный аромат партнёра.</x:v>
      </x:c>
      <x:c r="I164" s="28" t="str">
        <x:v>лимонад, кордиал, салатная заправка или зелёный соус</x:v>
      </x:c>
      <x:c r="J164" s="28" t="str">
        <x:v>Гипотеза / практическая</x:v>
      </x:c>
      <x:c r="K164" s="28" t="str">
        <x:v>Таблица сочетания(1).pdf</x:v>
      </x:c>
      <x:c r="L164" s="28" t="str">
        <x:v>Таблица сочетания(1).pdf: 13</x:v>
      </x:c>
    </x:row>
    <x:row r="165" ht="62" customHeight="1">
      <x:c r="A165" s="28" t="str">
        <x:v>CIT-0569</x:v>
      </x:c>
      <x:c r="B165" s="28" t="str">
        <x:v>мандарин</x:v>
      </x:c>
      <x:c r="C165" s="28" t="str">
        <x:v>пастернак</x:v>
      </x:c>
      <x:c r="D165" s="28" t="str">
        <x:v>Овощи</x:v>
      </x:c>
      <x:c r="E165" s="28" t="str">
        <x:v>вкусовой баланс</x:v>
      </x:c>
      <x:c r="F165" s="28" t="str">
        <x:v>Мандарин формирует профиль «цитрусовый, фруктовый, цветочный, пряный»; характерные маркеры: лимонен, гамма-терпинен, метил-N-метилантранилат, линалол. Пастернак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165"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65" s="28" t="str">
        <x:v>Избыток кислоты делает вкус плоско-резким; белая часть кожуры даёт лишнюю горечь.</x:v>
      </x:c>
      <x:c r="I165" s="28" t="str">
        <x:v>винегрет, салат, пюре, запечённое блюдо или овощной соус</x:v>
      </x:c>
      <x:c r="J165" s="28" t="str">
        <x:v>Средняя</x:v>
      </x:c>
      <x:c r="K165" s="28" t="str">
        <x:v>The Art &amp; Science of Foodpairing.pdf</x:v>
      </x:c>
      <x:c r="L165" s="28" t="str">
        <x:v>The Art &amp; Science of Foodpairing.pdf: 260</x:v>
      </x:c>
    </x:row>
    <x:row r="166" ht="62" customHeight="1">
      <x:c r="A166" s="28" t="str">
        <x:v>CIT-0570</x:v>
      </x:c>
      <x:c r="B166" s="28" t="str">
        <x:v>мандарин</x:v>
      </x:c>
      <x:c r="C166" s="28" t="str">
        <x:v>перец горошком</x:v>
      </x:c>
      <x:c r="D166" s="28" t="str">
        <x:v>Пряности</x:v>
      </x:c>
      <x:c r="E166" s="28" t="str">
        <x:v>общие ароматические молекулы, перекрытие ароматических семейств, вкусовой баланс, тройничное восприятие</x:v>
      </x:c>
      <x:c r="F166" s="28" t="str">
        <x:v>Мандарин формирует профиль «цитрусовый, фруктовый, цветочный, пряный»; характерные маркеры: лимонен, гамма-терпинен, метил-N-метилантранилат, линалол. Перец горошком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G16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6" s="28" t="str">
        <x:v>Избыток кислоты делает вкус плоско-резким; белая часть кожуры даёт лишнюю горечь.</x:v>
      </x:c>
      <x:c r="I166" s="28" t="str">
        <x:v>сироп, кордиал, чатни, маринад или пряный десерт</x:v>
      </x:c>
      <x:c r="J166" s="28" t="str">
        <x:v>Средняя</x:v>
      </x:c>
      <x:c r="K166" s="28" t="str">
        <x:v>The Art &amp; Science of Foodpairing.pdf</x:v>
      </x:c>
      <x:c r="L166" s="28" t="str">
        <x:v>The Art &amp; Science of Foodpairing.pdf: 273</x:v>
      </x:c>
    </x:row>
    <x:row r="167" ht="62" customHeight="1">
      <x:c r="A167" s="28" t="str">
        <x:v>CIT-0573</x:v>
      </x:c>
      <x:c r="B167" s="28" t="str">
        <x:v>мандарин</x:v>
      </x:c>
      <x:c r="C167" s="28" t="str">
        <x:v>розмарин</x:v>
      </x:c>
      <x:c r="D167" s="28" t="str">
        <x:v>Травы</x:v>
      </x:c>
      <x:c r="E167" s="28" t="str">
        <x:v>вкусовой баланс, тройничное восприятие</x:v>
      </x:c>
      <x:c r="F167" s="28" t="str">
        <x:v>Мандарин формирует профиль «цитрусовый, фруктовый, цветочный, пряный»; характерные маркеры: лимонен, гамма-терпинен, метил-N-метилантранилат, линалол. Розмарин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16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7" s="28" t="str">
        <x:v>Избыток кислоты делает вкус плоско-резким; белая часть кожуры даёт лишнюю горечь; цитрус легко подавляет деликатный аромат партнёра.</x:v>
      </x:c>
      <x:c r="I167" s="28" t="str">
        <x:v>лимонад, кордиал, салатная заправка или зелёный соус</x:v>
      </x:c>
      <x:c r="J167" s="28" t="str">
        <x:v>Гипотеза / практическая</x:v>
      </x:c>
      <x:c r="K167" s="28" t="str">
        <x:v>Таблица сочетания(1).pdf</x:v>
      </x:c>
      <x:c r="L167" s="28" t="str">
        <x:v>Таблица сочетания(1).pdf: 13</x:v>
      </x:c>
    </x:row>
    <x:row r="168" ht="62" customHeight="1">
      <x:c r="A168" s="28" t="str">
        <x:v>CIT-0577</x:v>
      </x:c>
      <x:c r="B168" s="28" t="str">
        <x:v>мандарин</x:v>
      </x:c>
      <x:c r="C168" s="28" t="str">
        <x:v>тимьян</x:v>
      </x:c>
      <x:c r="D168" s="28" t="str">
        <x:v>Травы</x:v>
      </x:c>
      <x:c r="E168" s="28" t="str">
        <x:v>вкусовой баланс, тройничное восприятие</x:v>
      </x:c>
      <x:c r="F168" s="28" t="str">
        <x:v>Мандарин формирует профиль «цитрусовый, фруктовый, цветочный, пряный»; характерные маркеры: лимонен, гамма-терпинен, метил-N-метилантранилат, линалол. Тимьян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16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8" s="28" t="str">
        <x:v>Избыток кислоты делает вкус плоско-резким; белая часть кожуры даёт лишнюю горечь; цитрус легко подавляет деликатный аромат партнёра.</x:v>
      </x:c>
      <x:c r="I168" s="28" t="str">
        <x:v>лимонад, кордиал, салатная заправка или зелёный соус</x:v>
      </x:c>
      <x:c r="J168" s="28" t="str">
        <x:v>Гипотеза / практическая</x:v>
      </x:c>
      <x:c r="K168" s="28" t="str">
        <x:v>Таблица сочетания(1).pdf</x:v>
      </x:c>
      <x:c r="L168" s="28" t="str">
        <x:v>Таблица сочетания(1).pdf: 12</x:v>
      </x:c>
    </x:row>
    <x:row r="169" ht="62" customHeight="1">
      <x:c r="A169" s="28" t="str">
        <x:v>CIT-0581</x:v>
      </x:c>
      <x:c r="B169" s="28" t="str">
        <x:v>мандарин</x:v>
      </x:c>
      <x:c r="C169" s="28" t="str">
        <x:v>шалфей</x:v>
      </x:c>
      <x:c r="D169" s="28" t="str">
        <x:v>Травы</x:v>
      </x:c>
      <x:c r="E169" s="28" t="str">
        <x:v>вкусовой баланс, тройничное восприятие</x:v>
      </x:c>
      <x:c r="F169" s="28" t="str">
        <x:v>Мандарин формирует профиль «цитрусовый, фруктовый, цветочный, пряный»; характерные маркеры: лимонен, гамма-терпинен, метил-N-метилантранилат, линалол. Шалфей относится к группе «травы» и даёт ноты «травяной, хвойный, камфорный,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Хвойно-терпеновый профиль способен продолжить цитрусовую цедру.</x:v>
      </x:c>
      <x:c r="G16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69" s="28" t="str">
        <x:v>Избыток кислоты делает вкус плоско-резким; белая часть кожуры даёт лишнюю горечь; цитрус легко подавляет деликатный аромат партнёра.</x:v>
      </x:c>
      <x:c r="I169" s="28" t="str">
        <x:v>лимонад, кордиал, салатная заправка или зелёный соус</x:v>
      </x:c>
      <x:c r="J169" s="28" t="str">
        <x:v>Гипотеза / практическая</x:v>
      </x:c>
      <x:c r="K169" s="28" t="str">
        <x:v>Таблица сочетания(1).pdf</x:v>
      </x:c>
      <x:c r="L169" s="28" t="str">
        <x:v>Таблица сочетания(1).pdf: 13</x:v>
      </x:c>
    </x:row>
    <x:row r="170" ht="62" customHeight="1">
      <x:c r="A170" s="28" t="str">
        <x:v>CIT-0586</x:v>
      </x:c>
      <x:c r="B170" s="28" t="str">
        <x:v>пальчиковый лайм</x:v>
      </x:c>
      <x:c r="C170" s="28" t="str">
        <x:v>душистый перец</x:v>
      </x:c>
      <x:c r="D170" s="28" t="str">
        <x:v>Пряности</x:v>
      </x:c>
      <x:c r="E170" s="28" t="str">
        <x:v>общие ароматические молекулы, перекрытие ароматических семейств, вкусовой баланс, тройничное восприятие</x:v>
      </x:c>
      <x:c r="F170"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Душистый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Перец добавляет сухую пряность и усиливает яркость цедры.</x:v>
      </x:c>
      <x:c r="G17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70" s="28" t="str">
        <x:v>Избыток кислоты делает вкус плоско-резким; белая часть кожуры даёт лишнюю горечь.</x:v>
      </x:c>
      <x:c r="I170" s="28" t="str">
        <x:v>сироп, кордиал, чатни, маринад или пряный десерт</x:v>
      </x:c>
      <x:c r="J170" s="28" t="str">
        <x:v>Средняя</x:v>
      </x:c>
      <x:c r="K170" s="28" t="str">
        <x:v>The Art &amp; Science of Foodpairing.pdf</x:v>
      </x:c>
      <x:c r="L170" s="28" t="str">
        <x:v>The Art &amp; Science of Foodpairing.pdf: 332</x:v>
      </x:c>
    </x:row>
    <x:row r="171" ht="62" customHeight="1">
      <x:c r="A171" s="28" t="str">
        <x:v>CIT-0590</x:v>
      </x:c>
      <x:c r="B171" s="28" t="str">
        <x:v>пальчиковый лайм</x:v>
      </x:c>
      <x:c r="C171" s="28" t="str">
        <x:v>обжаренная свёкла</x:v>
      </x:c>
      <x:c r="D171" s="28" t="str">
        <x:v>Овощи</x:v>
      </x:c>
      <x:c r="E171" s="28" t="str">
        <x:v>перекрытие ароматических семейств, вкусовой баланс</x:v>
      </x:c>
      <x:c r="F171"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Обжаренная свёкла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7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1" s="28" t="str">
        <x:v>Избыток кислоты делает вкус плоско-резким; белая часть кожуры даёт лишнюю горечь.</x:v>
      </x:c>
      <x:c r="I171" s="28" t="str">
        <x:v>винегрет, салат, пюре, запечённое блюдо или овощной соус</x:v>
      </x:c>
      <x:c r="J171" s="28" t="str">
        <x:v>Средняя</x:v>
      </x:c>
      <x:c r="K171" s="28" t="str">
        <x:v>The Art &amp; Science of Foodpairing.pdf</x:v>
      </x:c>
      <x:c r="L171" s="28" t="str">
        <x:v>The Art &amp; Science of Foodpairing.pdf: 332</x:v>
      </x:c>
    </x:row>
    <x:row r="172" ht="62" customHeight="1">
      <x:c r="A172" s="28" t="str">
        <x:v>CIT-0591</x:v>
      </x:c>
      <x:c r="B172" s="28" t="str">
        <x:v>пальчиковый лайм</x:v>
      </x:c>
      <x:c r="C172" s="28" t="str">
        <x:v>припущенное филе трески</x:v>
      </x:c>
      <x:c r="D172" s="28" t="str">
        <x:v>Рыба и морепродукты</x:v>
      </x:c>
      <x:c r="E172" s="28" t="str">
        <x:v>перекрытие ароматических семейств, вкусовой баланс, влияние матрицы/растворимости</x:v>
      </x:c>
      <x:c r="F172" s="28" t="str">
        <x:v>Пальчиковый лайм формирует профиль «цитрусовый, зелёный, травяной, камфорный»; характерные маркеры: лимонен, гамма-терпинен, цитраль, бета-пинен, линалол. Припущенное филе трески относится к группе «рыба и морепродукты» и даёт ноты «морской, йодистый, зелёный, жирный».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уменьшает восприятие жирности и рыбных нот, усиливая свежесть и слюноотделение.</x:v>
      </x:c>
      <x:c r="G172"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72" s="28" t="str">
        <x:v>Избыток кислоты делает вкус плоско-резким; белая часть кожуры даёт лишнюю горечь; слишком долгая маринация ухудшает текстуру.</x:v>
      </x:c>
      <x:c r="I172" s="28" t="str">
        <x:v>севиче, маринад, beurre blanc, тартар или салат</x:v>
      </x:c>
      <x:c r="J172" s="28" t="str">
        <x:v>Средняя</x:v>
      </x:c>
      <x:c r="K172" s="28" t="str">
        <x:v>The Art &amp; Science of Foodpairing.pdf</x:v>
      </x:c>
      <x:c r="L172" s="28" t="str">
        <x:v>The Art &amp; Science of Foodpairing.pdf: 332</x:v>
      </x:c>
    </x:row>
    <x:row r="173" ht="62" customHeight="1">
      <x:c r="A173" s="28" t="str">
        <x:v>CIT-0596</x:v>
      </x:c>
      <x:c r="B173" s="28" t="str">
        <x:v>помело</x:v>
      </x:c>
      <x:c r="C173" s="28" t="str">
        <x:v>говядина сухой выдержки</x:v>
      </x:c>
      <x:c r="D173" s="28" t="str">
        <x:v>Мясо и птица</x:v>
      </x:c>
      <x:c r="E173" s="28" t="str">
        <x:v>перекрытие ароматических семейств, вкусовой баланс, влияние матрицы/растворимости</x:v>
      </x:c>
      <x:c r="F173" s="28" t="str">
        <x:v>Помело формирует профиль «цитрусовый, горький, свежий, сернистый»; характерные маркеры: лимонен, нооткатон, грейпфрутовые тиолы, нарингин. Говядина сухой выдержки относится к группе «мясо и птица» и даёт ноты «жареный, мясной, сернистый, жирный». Прямой общий ключевой одорант из доступных профилей не фиксируется, однако продукты пересекаются на уровне семейств: сернистый. Поэтому связь лучше описывать как сочетание близких ароматических направлений, а не как действие единственной доказанной молекулы.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создаёт контраст с реакциями Майяра и освежает мясную матрицу.</x:v>
      </x:c>
      <x:c r="G173"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73" s="28" t="str">
        <x:v>Избыток кислоты делает вкус плоско-резким; белая часть кожуры даёт лишнюю горечь; слишком долгая маринация ухудшает текстуру.</x:v>
      </x:c>
      <x:c r="I173" s="28" t="str">
        <x:v>маринад, глазурь, соус, жаркое или салат</x:v>
      </x:c>
      <x:c r="J173" s="28" t="str">
        <x:v>Средняя</x:v>
      </x:c>
      <x:c r="K173" s="28" t="str">
        <x:v>The Art &amp; Science of Foodpairing.pdf</x:v>
      </x:c>
      <x:c r="L173" s="28" t="str">
        <x:v>The Art &amp; Science of Foodpairing.pdf: 251</x:v>
      </x:c>
    </x:row>
    <x:row r="174" ht="62" customHeight="1">
      <x:c r="A174" s="28" t="str">
        <x:v>CIT-0602</x:v>
      </x:c>
      <x:c r="B174" s="28" t="str">
        <x:v>помело</x:v>
      </x:c>
      <x:c r="C174" s="28" t="str">
        <x:v>коричневая креветка</x:v>
      </x:c>
      <x:c r="D174" s="28" t="str">
        <x:v>Рыба и морепродукты</x:v>
      </x:c>
      <x:c r="E174" s="28" t="str">
        <x:v>вкусовой баланс, влияние матрицы/растворимости</x:v>
      </x:c>
      <x:c r="F174" s="28" t="str">
        <x:v>Помело формирует профиль «цитрусовый, горький, свежий, сернистый»; характерные маркеры: лимонен, нооткатон, грейпфрутовые тиолы, нарингин. Коричневая креветка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уменьшает восприятие жирности и рыбных нот, усиливая свежесть и слюноотделение.</x:v>
      </x:c>
      <x:c r="G17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74" s="28" t="str">
        <x:v>Избыток кислоты делает вкус плоско-резким; белая часть кожуры даёт лишнюю горечь; слишком долгая маринация ухудшает текстуру.</x:v>
      </x:c>
      <x:c r="I174" s="28" t="str">
        <x:v>севиче, маринад, beurre blanc, тартар или салат</x:v>
      </x:c>
      <x:c r="J174" s="28" t="str">
        <x:v>Средняя</x:v>
      </x:c>
      <x:c r="K174" s="28" t="str">
        <x:v>The Art &amp; Science of Foodpairing.pdf</x:v>
      </x:c>
      <x:c r="L174" s="28" t="str">
        <x:v>The Art &amp; Science of Foodpairing.pdf: 350</x:v>
      </x:c>
    </x:row>
    <x:row r="175" ht="62" customHeight="1">
      <x:c r="A175" s="28" t="str">
        <x:v>CIT-0605</x:v>
      </x:c>
      <x:c r="B175" s="28" t="str">
        <x:v>помело</x:v>
      </x:c>
      <x:c r="C175" s="28" t="str">
        <x:v>морской ёж</x:v>
      </x:c>
      <x:c r="D175" s="28" t="str">
        <x:v>Рыба и морепродукты</x:v>
      </x:c>
      <x:c r="E175" s="28" t="str">
        <x:v>вкусовой баланс, влияние матрицы/растворимости</x:v>
      </x:c>
      <x:c r="F175" s="28" t="str">
        <x:v>Помело формирует профиль «цитрусовый, горький, свежий, сернистый»; характерные маркеры: лимонен, нооткатон, грейпфрутовые тиолы, нарингин. Морской ёж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Горечь задают флавоноиды, аромат кожуры — терпены и следовые тиолы. Цитрус уменьшает восприятие жирности и рыбных нот, усиливая свежесть и слюноотделение.</x:v>
      </x:c>
      <x:c r="G17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75" s="28" t="str">
        <x:v>Избыток кислоты делает вкус плоско-резким; белая часть кожуры даёт лишнюю горечь; слишком долгая маринация ухудшает текстуру.</x:v>
      </x:c>
      <x:c r="I175" s="28" t="str">
        <x:v>севиче, маринад, beurre blanc, тартар или салат</x:v>
      </x:c>
      <x:c r="J175" s="28" t="str">
        <x:v>Средняя</x:v>
      </x:c>
      <x:c r="K175" s="28" t="str">
        <x:v>The Art &amp; Science of Foodpairing.pdf</x:v>
      </x:c>
      <x:c r="L175" s="28" t="str">
        <x:v>The Art &amp; Science of Foodpairing.pdf: 94, 350</x:v>
      </x:c>
    </x:row>
    <x:row r="176" ht="62" customHeight="1">
      <x:c r="A176" s="28" t="str">
        <x:v>CIT-0607</x:v>
      </x:c>
      <x:c r="B176" s="28" t="str">
        <x:v>помело</x:v>
      </x:c>
      <x:c r="C176" s="28" t="str">
        <x:v>паста карри мадрас</x:v>
      </x:c>
      <x:c r="D176" s="28" t="str">
        <x:v>Соусы и ферментированные продукты</x:v>
      </x:c>
      <x:c r="E176" s="28" t="str">
        <x:v>вкусовой баланс, тройничное восприятие</x:v>
      </x:c>
      <x:c r="F176" s="28" t="str">
        <x:v>Помело формирует профиль «цитрусовый, горький, свежий, сернистый»; характерные маркеры: лимонен, нооткатон, грейпфрутовые тиолы, нарингин. Паста карри мадрас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Горечь задают флавоноиды, аромат кожуры — терпены и следовые тиолы. Цитрус добавляет верхние ноты и может заменить часть уксуса, но избыток кислоты нарушит баланс.</x:v>
      </x:c>
      <x:c r="G176"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6" s="28" t="str">
        <x:v>Избыток кислоты делает вкус плоско-резким; белая часть кожуры даёт лишнюю горечь.</x:v>
      </x:c>
      <x:c r="I176" s="28" t="str">
        <x:v>дрессинг, глазурь, чатни, маринад или ферментированный соус</x:v>
      </x:c>
      <x:c r="J176" s="28" t="str">
        <x:v>Средняя</x:v>
      </x:c>
      <x:c r="K176" s="28" t="str">
        <x:v>The Art &amp; Science of Foodpairing.pdf</x:v>
      </x:c>
      <x:c r="L176" s="28" t="str">
        <x:v>The Art &amp; Science of Foodpairing.pdf: 312</x:v>
      </x:c>
    </x:row>
    <x:row r="177" ht="62" customHeight="1">
      <x:c r="A177" s="28" t="str">
        <x:v>CIT-0608</x:v>
      </x:c>
      <x:c r="B177" s="28" t="str">
        <x:v>помело</x:v>
      </x:c>
      <x:c r="C177" s="28" t="str">
        <x:v>приготовленная зелёная чечевица</x:v>
      </x:c>
      <x:c r="D177" s="28" t="str">
        <x:v>Овощи</x:v>
      </x:c>
      <x:c r="E177" s="28" t="str">
        <x:v>вкусовой баланс</x:v>
      </x:c>
      <x:c r="F177" s="28" t="str">
        <x:v>Помело формирует профиль «цитрусовый, горький, свежий, сернистый»; характерные маркеры: лимонен, нооткатон, грейпфрутовые тиолы, нарингин. Приготовленная зелёная чечевица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Горечь задают флавоноиды, аромат кожуры — терпены и следовые тиолы. Кислота подчёркивает сладость овощей и сокращает землистое или сернистое послевкусие.</x:v>
      </x:c>
      <x:c r="G17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77" s="28" t="str">
        <x:v>Избыток кислоты делает вкус плоско-резким; белая часть кожуры даёт лишнюю горечь.</x:v>
      </x:c>
      <x:c r="I177" s="28" t="str">
        <x:v>винегрет, салат, пюре, запечённое блюдо или овощной соус</x:v>
      </x:c>
      <x:c r="J177" s="28" t="str">
        <x:v>Средняя</x:v>
      </x:c>
      <x:c r="K177" s="28" t="str">
        <x:v>The Art &amp; Science of Foodpairing.pdf</x:v>
      </x:c>
      <x:c r="L177" s="28" t="str">
        <x:v>The Art &amp; Science of Foodpairing.pdf: 350</x:v>
      </x:c>
    </x:row>
    <x:row r="178" ht="62" customHeight="1">
      <x:c r="A178" s="28" t="str">
        <x:v>CIT-0612</x:v>
      </x:c>
      <x:c r="B178" s="28" t="str">
        <x:v>пюре юдзу</x:v>
      </x:c>
      <x:c r="C178" s="28" t="str">
        <x:v>телячий бульон</x:v>
      </x:c>
      <x:c r="D178" s="28" t="str">
        <x:v>Мясо и птица</x:v>
      </x:c>
      <x:c r="E178" s="28" t="str">
        <x:v>вкусовой баланс, влияние матрицы/растворимости</x:v>
      </x:c>
      <x:c r="F178" s="28" t="str">
        <x:v>Пюре юдзу формирует профиль «цитрусовый, зелёный, травяной, камфорный»; характерные маркеры: лимонен, гамма-терпинен, цитраль, бета-пинен, линалол. Телячий бульон относится к группе «мясо и птица» и даёт ноты «жареный, мясной, сернистый,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Лаймовые цитрусы дают более зелёный и камфорный профиль, чем сладкий апельсин. Цитрус создаёт контраст с реакциями Майяра и освежает мясную матрицу.</x:v>
      </x:c>
      <x:c r="G178"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78" s="28" t="str">
        <x:v>Избыток кислоты делает вкус плоско-резким; белая часть кожуры даёт лишнюю горечь; слишком долгая маринация ухудшает текстуру.</x:v>
      </x:c>
      <x:c r="I178" s="28" t="str">
        <x:v>маринад, глазурь, соус, жаркое или салат</x:v>
      </x:c>
      <x:c r="J178" s="28" t="str">
        <x:v>Средняя</x:v>
      </x:c>
      <x:c r="K178" s="28" t="str">
        <x:v>The Art &amp; Science of Foodpairing.pdf</x:v>
      </x:c>
      <x:c r="L178" s="28" t="str">
        <x:v>The Art &amp; Science of Foodpairing.pdf: 256</x:v>
      </x:c>
    </x:row>
    <x:row r="179" ht="62" customHeight="1">
      <x:c r="A179" s="28" t="str">
        <x:v>CIT-0613</x:v>
      </x:c>
      <x:c r="B179" s="28" t="str">
        <x:v>сок лайма</x:v>
      </x:c>
      <x:c r="C179" s="28" t="str">
        <x:v>базилик</x:v>
      </x:c>
      <x:c r="D179" s="28" t="str">
        <x:v>Травы</x:v>
      </x:c>
      <x:c r="E179" s="28" t="str">
        <x:v>общие ароматические молекулы, перекрытие ароматических семейств, вкусовой баланс</x:v>
      </x:c>
      <x:c r="F179" s="28" t="str">
        <x:v>Сок лайма формирует профиль «цитрусовый, зелёный, травяной, камфорный»; характерные маркеры: лимонен, гамма-терпинен, цитраль, бета-пинен,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зелёный.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Базилик и эстрагон могут связать цитрус с фруктами, томатом и сливочными матрицами.</x:v>
      </x:c>
      <x:c r="G17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79" s="28" t="str">
        <x:v>Избыток кислоты делает вкус плоско-резким; белая часть кожуры даёт лишнюю горечь; цитрус легко подавляет деликатный аромат партнёра.</x:v>
      </x:c>
      <x:c r="I179" s="28" t="str">
        <x:v>лимонад, кордиал, салатная заправка или зелёный соус</x:v>
      </x:c>
      <x:c r="J179" s="28" t="str">
        <x:v>Средняя</x:v>
      </x:c>
      <x:c r="K179" s="28" t="str">
        <x:v>The Art &amp; Science of Foodpairing.pdf</x:v>
      </x:c>
      <x:c r="L179" s="28" t="str">
        <x:v>The Art &amp; Science of Foodpairing.pdf: 87</x:v>
      </x:c>
    </x:row>
    <x:row r="180" ht="62" customHeight="1">
      <x:c r="A180" s="28" t="str">
        <x:v>CIT-0614</x:v>
      </x:c>
      <x:c r="B180" s="28" t="str">
        <x:v>сок лайма</x:v>
      </x:c>
      <x:c r="C180" s="28" t="str">
        <x:v>галангал</x:v>
      </x:c>
      <x:c r="D180" s="28" t="str">
        <x:v>Пряности</x:v>
      </x:c>
      <x:c r="E180" s="28" t="str">
        <x:v>общие ароматические молекулы, перекрытие ароматических семейств, вкусовой баланс, тройничное восприятие</x:v>
      </x:c>
      <x:c r="F180" s="28" t="str">
        <x:v>Сок лайма формирует профиль «цитрусовый, зелёный, травяной, камфорный»; характерные маркеры: лимонен, гамма-терпинен, цитраль, бета-пинен, линалол. Галангал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18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0" s="28" t="str">
        <x:v>Избыток кислоты делает вкус плоско-резким; белая часть кожуры даёт лишнюю горечь.</x:v>
      </x:c>
      <x:c r="I180" s="28" t="str">
        <x:v>сироп, кордиал, чатни, маринад или пряный десерт</x:v>
      </x:c>
      <x:c r="J180" s="28" t="str">
        <x:v>Средняя</x:v>
      </x:c>
      <x:c r="K180" s="28" t="str">
        <x:v>The Art &amp; Science of Foodpairing.pdf</x:v>
      </x:c>
      <x:c r="L180" s="28" t="str">
        <x:v>The Art &amp; Science of Foodpairing.pdf: 87</x:v>
      </x:c>
    </x:row>
    <x:row r="181" ht="62" customHeight="1">
      <x:c r="A181" s="28" t="str">
        <x:v>CIT-0620</x:v>
      </x:c>
      <x:c r="B181" s="28" t="str">
        <x:v>сок лайма</x:v>
      </x:c>
      <x:c r="C181" s="28" t="str">
        <x:v>отварная морковь</x:v>
      </x:c>
      <x:c r="D181" s="28" t="str">
        <x:v>Овощи</x:v>
      </x:c>
      <x:c r="E181" s="28" t="str">
        <x:v>перекрытие ароматических семейств, вкусовой баланс</x:v>
      </x:c>
      <x:c r="F181" s="28" t="str">
        <x:v>Сок лайма формирует профиль «цитрусовый, зелёный, травяной, камфорный»; характерные маркеры: лимонен, гамма-терпинен, цитраль, бета-пинен, линалол. Отварная морковь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8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1" s="28" t="str">
        <x:v>Избыток кислоты делает вкус плоско-резким; белая часть кожуры даёт лишнюю горечь.</x:v>
      </x:c>
      <x:c r="I181" s="28" t="str">
        <x:v>винегрет, салат, пюре, запечённое блюдо или овощной соус</x:v>
      </x:c>
      <x:c r="J181" s="28" t="str">
        <x:v>Средняя</x:v>
      </x:c>
      <x:c r="K181" s="28" t="str">
        <x:v>The Art &amp; Science of Foodpairing.pdf</x:v>
      </x:c>
      <x:c r="L181" s="28" t="str">
        <x:v>The Art &amp; Science of Foodpairing.pdf: 87</x:v>
      </x:c>
    </x:row>
    <x:row r="182" ht="62" customHeight="1">
      <x:c r="A182" s="28" t="str">
        <x:v>CIT-0621</x:v>
      </x:c>
      <x:c r="B182" s="28" t="str">
        <x:v>сок лайма</x:v>
      </x:c>
      <x:c r="C182" s="28" t="str">
        <x:v>отварной пастернак</x:v>
      </x:c>
      <x:c r="D182" s="28" t="str">
        <x:v>Овощи</x:v>
      </x:c>
      <x:c r="E182" s="28" t="str">
        <x:v>перекрытие ароматических семейств, вкусовой баланс</x:v>
      </x:c>
      <x:c r="F182" s="28" t="str">
        <x:v>Сок лайма формирует профиль «цитрусовый, зелёный, травяной, камфорный»; характерные маркеры: лимонен, гамма-терпинен, цитраль, бета-пинен, линалол. Отварной пастернак относится к группе «овощи» и даёт ноты «зелёный, землистый, растительный, иногда сернистый».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подчёркивает природную сладость овоща, сокращает землистое/сернистое послевкусие и повышает слюноотделение. Лаймовые цитрусы дают более зелёный и камфорный профиль, чем сладкий апельсин. Кислота подчёркивает сладость овощей и сокращает землистое или сернистое послевкусие.</x:v>
      </x:c>
      <x:c r="G18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2" s="28" t="str">
        <x:v>Избыток кислоты делает вкус плоско-резким; белая часть кожуры даёт лишнюю горечь.</x:v>
      </x:c>
      <x:c r="I182" s="28" t="str">
        <x:v>винегрет, салат, пюре, запечённое блюдо или овощной соус</x:v>
      </x:c>
      <x:c r="J182" s="28" t="str">
        <x:v>Средняя</x:v>
      </x:c>
      <x:c r="K182" s="28" t="str">
        <x:v>The Art &amp; Science of Foodpairing.pdf</x:v>
      </x:c>
      <x:c r="L182" s="28" t="str">
        <x:v>The Art &amp; Science of Foodpairing.pdf: 87</x:v>
      </x:c>
    </x:row>
    <x:row r="183" ht="62" customHeight="1">
      <x:c r="A183" s="28" t="str">
        <x:v>CIT-0632</x:v>
      </x:c>
      <x:c r="B183" s="28" t="str">
        <x:v>танжерин</x:v>
      </x:c>
      <x:c r="C183" s="28" t="str">
        <x:v>лук-порей на пару</x:v>
      </x:c>
      <x:c r="D183" s="28" t="str">
        <x:v>Овощи</x:v>
      </x:c>
      <x:c r="E183" s="28" t="str">
        <x:v>вкусовой баланс</x:v>
      </x:c>
      <x:c r="F183" s="28" t="str">
        <x:v>Танжерин формирует профиль «цитрусовый, фруктовый, цветочный, пряный»; характерные маркеры: лимонен, гамма-терпинен, метил-N-метилантранилат, линалол. Лук-порей на пару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18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83" s="28" t="str">
        <x:v>Избыток кислоты делает вкус плоско-резким; белая часть кожуры даёт лишнюю горечь.</x:v>
      </x:c>
      <x:c r="I183" s="28" t="str">
        <x:v>винегрет, салат, пюре, запечённое блюдо или овощной соус</x:v>
      </x:c>
      <x:c r="J183" s="28" t="str">
        <x:v>Средняя</x:v>
      </x:c>
      <x:c r="K183" s="28" t="str">
        <x:v>The Art &amp; Science of Foodpairing.pdf</x:v>
      </x:c>
      <x:c r="L183" s="28" t="str">
        <x:v>The Art &amp; Science of Foodpairing.pdf: 123</x:v>
      </x:c>
    </x:row>
    <x:row r="184" ht="62" customHeight="1">
      <x:c r="A184" s="28" t="str">
        <x:v>CIT-0642</x:v>
      </x:c>
      <x:c r="B184" s="28" t="str">
        <x:v>танжерин</x:v>
      </x:c>
      <x:c r="C184" s="28" t="str">
        <x:v>соус чили</x:v>
      </x:c>
      <x:c r="D184" s="28" t="str">
        <x:v>Пряности</x:v>
      </x:c>
      <x:c r="E184" s="28" t="str">
        <x:v>перекрытие ароматических семейств, вкусовой баланс, тройничное восприятие</x:v>
      </x:c>
      <x:c r="F184" s="28" t="str">
        <x:v>Танжерин формирует профиль «цитрусовый, фруктовый, цветочный, пряный»; характерные маркеры: лимонен, гамма-терпинен, метил-N-метилантранилат, линалол. Соус чили относится к группе «пряности» и даёт ноты «зелёный, фруктовый, пряный». Прямой общий ключевой одорант из доступных профилей не фиксируется, однако продукты пересекаются на уровне семейств: пряный, фруктовый.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Фруктовые чили могут поддерживать цитрусовые эфиры, но острота требует баланса.</x:v>
      </x:c>
      <x:c r="G18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4" s="28" t="str">
        <x:v>Избыток кислоты делает вкус плоско-резким; белая часть кожуры даёт лишнюю горечь; кислота не гасит капсаицин и может сделать жжение субъективно ярче.</x:v>
      </x:c>
      <x:c r="I184" s="28" t="str">
        <x:v>сироп, кордиал, чатни, маринад или пряный десерт</x:v>
      </x:c>
      <x:c r="J184" s="28" t="str">
        <x:v>Средняя</x:v>
      </x:c>
      <x:c r="K184" s="28" t="str">
        <x:v>The Art &amp; Science of Foodpairing.pdf</x:v>
      </x:c>
      <x:c r="L184" s="28" t="str">
        <x:v>The Art &amp; Science of Foodpairing.pdf: 123</x:v>
      </x:c>
    </x:row>
    <x:row r="185" ht="62" customHeight="1">
      <x:c r="A185" s="28" t="str">
        <x:v>CIT-0646</x:v>
      </x:c>
      <x:c r="B185" s="28" t="str">
        <x:v>танжерин (tangerine)</x:v>
      </x:c>
      <x:c r="C185" s="28" t="str">
        <x:v>базилик</x:v>
      </x:c>
      <x:c r="D185" s="28" t="str">
        <x:v>Травы</x:v>
      </x:c>
      <x:c r="E185" s="28" t="str">
        <x:v>общие ароматические молекулы, перекрытие ароматических семейств, вкусовой баланс</x:v>
      </x:c>
      <x:c r="F185"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Базилик относится к группе «травы» и даёт ноты «зелёный, анисовый, цветочный, пряный». Наиболее правдоподобный молекулярный мост — линалол; дополнительно совпадают ароматические семейства: пряный, цветочный.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Базилик и эстрагон могут связать цитрус с фруктами, томатом и сливочными матрицами.</x:v>
      </x:c>
      <x:c r="G18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5" s="28" t="str">
        <x:v>Избыток кислоты делает вкус плоско-резким; белая часть кожуры даёт лишнюю горечь; цитрус легко подавляет деликатный аромат партнёра.</x:v>
      </x:c>
      <x:c r="I185" s="28" t="str">
        <x:v>лимонад, кордиал, салатная заправка или зелёный соус</x:v>
      </x:c>
      <x:c r="J185" s="28" t="str">
        <x:v>Средняя</x:v>
      </x:c>
      <x:c r="K185" s="28" t="str">
        <x:v>Таблица сочетания(1).pdf</x:v>
      </x:c>
      <x:c r="L185" s="28" t="str">
        <x:v>Таблица сочетания(1).pdf: 21</x:v>
      </x:c>
    </x:row>
    <x:row r="186" ht="62" customHeight="1">
      <x:c r="A186" s="28" t="str">
        <x:v>CIT-0647</x:v>
      </x:c>
      <x:c r="B186" s="28" t="str">
        <x:v>танжерин (tangerine)</x:v>
      </x:c>
      <x:c r="C186" s="28" t="str">
        <x:v>ваниль</x:v>
      </x:c>
      <x:c r="D186" s="28" t="str">
        <x:v>Пряности</x:v>
      </x:c>
      <x:c r="E186" s="28" t="str">
        <x:v>вкусовой баланс</x:v>
      </x:c>
      <x:c r="F186"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Ваниль относится к группе «пряности» и даёт ноты «ванильный, бальзамический, сладкий, древесный».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Ваниль округляет кислотность и связывает цитрус с десертными и молочными нотами.</x:v>
      </x:c>
      <x:c r="G186"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6" s="28" t="str">
        <x:v>Избыток кислоты делает вкус плоско-резким; белая часть кожуры даёт лишнюю горечь.</x:v>
      </x:c>
      <x:c r="I186" s="28" t="str">
        <x:v>сироп, кордиал, чатни, маринад или пряный десерт</x:v>
      </x:c>
      <x:c r="J186" s="28" t="str">
        <x:v>Гипотеза / практическая</x:v>
      </x:c>
      <x:c r="K186" s="28" t="str">
        <x:v>Таблица сочетания(1).pdf</x:v>
      </x:c>
      <x:c r="L186" s="28" t="str">
        <x:v>Таблица сочетания(1).pdf: 21</x:v>
      </x:c>
    </x:row>
    <x:row r="187" ht="62" customHeight="1">
      <x:c r="A187" s="28" t="str">
        <x:v>CIT-0648</x:v>
      </x:c>
      <x:c r="B187" s="28" t="str">
        <x:v>танжерин (tangerine)</x:v>
      </x:c>
      <x:c r="C187" s="28" t="str">
        <x:v>имбирь</x:v>
      </x:c>
      <x:c r="D187" s="28" t="str">
        <x:v>Пряности</x:v>
      </x:c>
      <x:c r="E187" s="28" t="str">
        <x:v>перекрытие ароматических семейств, вкусовой баланс, тройничное восприятие</x:v>
      </x:c>
      <x:c r="F187"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Имбирь относится к группе «пряности» и даёт ноты «цитрусовый, пряный, древесный, тёплый». Прямой общий ключевой одорант из доступных профилей не фиксируется, однако продукты пересекаются на уровне семейств: пряный, цитрусовый.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Свежий имбирь более цитрусовый, нагретый и сушёный — более тёплый и жгучий.</x:v>
      </x:c>
      <x:c r="G187"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7" s="28" t="str">
        <x:v>Избыток кислоты делает вкус плоско-резким; белая часть кожуры даёт лишнюю горечь.</x:v>
      </x:c>
      <x:c r="I187" s="28" t="str">
        <x:v>сироп, кордиал, чатни, маринад или пряный десерт</x:v>
      </x:c>
      <x:c r="J187" s="28" t="str">
        <x:v>Гипотеза / практическая</x:v>
      </x:c>
      <x:c r="K187" s="28" t="str">
        <x:v>Таблица сочетания(1).pdf</x:v>
      </x:c>
      <x:c r="L187" s="28" t="str">
        <x:v>Таблица сочетания(1).pdf: 21</x:v>
      </x:c>
    </x:row>
    <x:row r="188" ht="62" customHeight="1">
      <x:c r="A188" s="28" t="str">
        <x:v>CIT-0650</x:v>
      </x:c>
      <x:c r="B188" s="28" t="str">
        <x:v>танжерин (tangerine)</x:v>
      </x:c>
      <x:c r="C188" s="28" t="str">
        <x:v>корица</x:v>
      </x:c>
      <x:c r="D188" s="28" t="str">
        <x:v>Пряности</x:v>
      </x:c>
      <x:c r="E188" s="28" t="str">
        <x:v>вкусовой баланс, тройничное восприятие</x:v>
      </x:c>
      <x:c r="F188"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Корица относится к группе «пряности» и даёт ноты «сладко-пряный, древесный, тёплый».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Корица добавляет тёплый низкий регистр и усиливает впечатление сладости.</x:v>
      </x:c>
      <x:c r="G188"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8" s="28" t="str">
        <x:v>Избыток кислоты делает вкус плоско-резким; белая часть кожуры даёт лишнюю горечь.</x:v>
      </x:c>
      <x:c r="I188" s="28" t="str">
        <x:v>сироп, кордиал, чатни, маринад или пряный десерт</x:v>
      </x:c>
      <x:c r="J188" s="28" t="str">
        <x:v>Гипотеза / практическая</x:v>
      </x:c>
      <x:c r="K188" s="28" t="str">
        <x:v>Таблица сочетания(1).pdf</x:v>
      </x:c>
      <x:c r="L188" s="28" t="str">
        <x:v>Таблица сочетания(1).pdf: 21</x:v>
      </x:c>
    </x:row>
    <x:row r="189" ht="62" customHeight="1">
      <x:c r="A189" s="28" t="str">
        <x:v>CIT-0652</x:v>
      </x:c>
      <x:c r="B189" s="28" t="str">
        <x:v>танжерин (tangerine)</x:v>
      </x:c>
      <x:c r="C189" s="28" t="str">
        <x:v>мята</x:v>
      </x:c>
      <x:c r="D189" s="28" t="str">
        <x:v>Травы</x:v>
      </x:c>
      <x:c r="E189" s="28" t="str">
        <x:v>вкусовой баланс, тройничное восприятие</x:v>
      </x:c>
      <x:c r="F189" s="28" t="str">
        <x:v>Танжерин (tangerine) формирует профиль «цитрусовый, фруктовый, цветочный, пряный»; характерные маркеры: лимонен, гамма-терпинен, метил-N-метилантранилат, линалол. Мята относится к группе «травы» и даёт ноты «мятный, зелёный, свежий».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Мята усиливает воспринимаемую прохладу и кислотную свежесть.</x:v>
      </x:c>
      <x:c r="G189"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89" s="28" t="str">
        <x:v>Избыток кислоты делает вкус плоско-резким; белая часть кожуры даёт лишнюю горечь; цитрус легко подавляет деликатный аромат партнёра.</x:v>
      </x:c>
      <x:c r="I189" s="28" t="str">
        <x:v>лимонад, кордиал, салатная заправка или зелёный соус</x:v>
      </x:c>
      <x:c r="J189" s="28" t="str">
        <x:v>Гипотеза / практическая</x:v>
      </x:c>
      <x:c r="K189" s="28" t="str">
        <x:v>Таблица сочетания(1).pdf</x:v>
      </x:c>
      <x:c r="L189" s="28" t="str">
        <x:v>Таблица сочетания(1).pdf: 21</x:v>
      </x:c>
    </x:row>
    <x:row r="190" ht="62" customHeight="1">
      <x:c r="A190" s="28" t="str">
        <x:v>CIT-0661</x:v>
      </x:c>
      <x:c r="B190" s="28" t="str">
        <x:v>цедра танжерина</x:v>
      </x:c>
      <x:c r="C190" s="28" t="str">
        <x:v>молотый чёрный перец</x:v>
      </x:c>
      <x:c r="D190" s="28" t="str">
        <x:v>Пряности</x:v>
      </x:c>
      <x:c r="E190" s="28" t="str">
        <x:v>общие ароматические молекулы, перекрытие ароматических семейств, вкусовой баланс, тройничное восприятие</x:v>
      </x:c>
      <x:c r="F190"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Молотый чёрный перец относится к группе «пряности» и даёт ноты «пряный, древесный, цитрусовый». Наиболее правдоподобный молекулярный мост — лимонен; дополнительно совпадают ароматические семейства: пряный, цитрусовый. Кислота усиливает слюноотделение и делает пряный аромат ярче; терпены цитруса образуют мост с эфирными маслами травы или специи. Мандариновая группа мягче по кислотности и выраженнее по сладко-цветочным нотам. Перец добавляет сухую пряность и усиливает яркость цедры.</x:v>
      </x:c>
      <x:c r="G19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190" s="28" t="str">
        <x:v>Избыток кислоты делает вкус плоско-резким; белая часть кожуры даёт лишнюю горечь.</x:v>
      </x:c>
      <x:c r="I190" s="28" t="str">
        <x:v>сироп, кордиал, чатни, маринад или пряный десерт</x:v>
      </x:c>
      <x:c r="J190" s="28" t="str">
        <x:v>Средняя</x:v>
      </x:c>
      <x:c r="K190" s="28" t="str">
        <x:v>The Art &amp; Science of Foodpairing.pdf</x:v>
      </x:c>
      <x:c r="L190" s="28" t="str">
        <x:v>The Art &amp; Science of Foodpairing.pdf: 228</x:v>
      </x:c>
    </x:row>
    <x:row r="191" ht="62" customHeight="1">
      <x:c r="A191" s="28" t="str">
        <x:v>CIT-0662</x:v>
      </x:c>
      <x:c r="B191" s="28" t="str">
        <x:v>цедра танжерина</x:v>
      </x:c>
      <x:c r="C191" s="28" t="str">
        <x:v>обжаренная свёкла</x:v>
      </x:c>
      <x:c r="D191" s="28" t="str">
        <x:v>Овощи</x:v>
      </x:c>
      <x:c r="E191" s="28" t="str">
        <x:v>вкусовой баланс</x:v>
      </x:c>
      <x:c r="F191"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Обжаренная свёкла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19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1" s="28" t="str">
        <x:v>Избыток кислоты делает вкус плоско-резким; белая часть кожуры даёт лишнюю горечь.</x:v>
      </x:c>
      <x:c r="I191" s="28" t="str">
        <x:v>винегрет, салат, пюре, запечённое блюдо или овощной соус</x:v>
      </x:c>
      <x:c r="J191" s="28" t="str">
        <x:v>Средняя</x:v>
      </x:c>
      <x:c r="K191" s="28" t="str">
        <x:v>The Art &amp; Science of Foodpairing.pdf</x:v>
      </x:c>
      <x:c r="L191" s="28" t="str">
        <x:v>The Art &amp; Science of Foodpairing.pdf: 228</x:v>
      </x:c>
    </x:row>
    <x:row r="192" ht="62" customHeight="1">
      <x:c r="A192" s="28" t="str">
        <x:v>CIT-0666</x:v>
      </x:c>
      <x:c r="B192" s="28" t="str">
        <x:v>цедра танжерина</x:v>
      </x:c>
      <x:c r="C192" s="28" t="str">
        <x:v>тыква</x:v>
      </x:c>
      <x:c r="D192" s="28" t="str">
        <x:v>Овощи</x:v>
      </x:c>
      <x:c r="E192" s="28" t="str">
        <x:v>вкусовой баланс</x:v>
      </x:c>
      <x:c r="F192" s="28" t="str">
        <x:v>Цедра танжерина формирует профиль «цитрусовый, фруктовый, цветочный, пряный»; характерные маркеры: лимонен, гамма-терпинен, метил-N-метилантранилат, линалол.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Мандариновая группа мягче по кислотности и выраженнее по сладко-цветочным нотам. Кислота подчёркивает сладость овощей и сокращает землистое или сернистое послевкусие.</x:v>
      </x:c>
      <x:c r="G19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2" s="28" t="str">
        <x:v>Избыток кислоты делает вкус плоско-резким; белая часть кожуры даёт лишнюю горечь.</x:v>
      </x:c>
      <x:c r="I192" s="28" t="str">
        <x:v>винегрет, салат, пюре, запечённое блюдо или овощной соус</x:v>
      </x:c>
      <x:c r="J192" s="28" t="str">
        <x:v>Средняя</x:v>
      </x:c>
      <x:c r="K192" s="28" t="str">
        <x:v>The Art &amp; Science of Foodpairing.pdf</x:v>
      </x:c>
      <x:c r="L192" s="28" t="str">
        <x:v>The Art &amp; Science of Foodpairing.pdf: 228</x:v>
      </x:c>
    </x:row>
    <x:row r="193" ht="62" customHeight="1">
      <x:c r="A193" s="28" t="str">
        <x:v>CIT-0679</x:v>
      </x:c>
      <x:c r="B193" s="28" t="str">
        <x:v>цитрусовые</x:v>
      </x:c>
      <x:c r="C193" s="28" t="str">
        <x:v>огурец</x:v>
      </x:c>
      <x:c r="D193" s="28" t="str">
        <x:v>Овощи</x:v>
      </x:c>
      <x:c r="E193" s="28" t="str">
        <x:v>вкусовой баланс</x:v>
      </x:c>
      <x:c r="F193" s="28" t="str">
        <x:v>Цитрусовые формирует профиль «цитрусовый, свежий, цветочный, древесный»; характерные маркеры: цитраль (гераниаль + нераль), лимонен, гамма-терпинен, бета-пинен. Огурец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93"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3" s="28" t="str">
        <x:v>Избыток кислоты делает вкус плоско-резким; белая часть кожуры даёт лишнюю горечь.</x:v>
      </x:c>
      <x:c r="I193" s="28" t="str">
        <x:v>винегрет, салат, пюре, запечённое блюдо или овощной соус</x:v>
      </x:c>
      <x:c r="J193" s="28" t="str">
        <x:v>Гипотеза / практическая</x:v>
      </x:c>
      <x:c r="K193" s="28" t="str">
        <x:v>Таблица сочетания(1).pdf</x:v>
      </x:c>
      <x:c r="L193" s="28" t="str">
        <x:v>Таблица сочетания(1).pdf: 6</x:v>
      </x:c>
    </x:row>
    <x:row r="194" ht="62" customHeight="1">
      <x:c r="A194" s="28" t="str">
        <x:v>CIT-0686</x:v>
      </x:c>
      <x:c r="B194" s="28" t="str">
        <x:v>цукаты из апельсиновой кожуры</x:v>
      </x:c>
      <x:c r="C194" s="28" t="str">
        <x:v>водоросль Gracilaria carnosa</x:v>
      </x:c>
      <x:c r="D194" s="28" t="str">
        <x:v>Рыба и морепродукты</x:v>
      </x:c>
      <x:c r="E194" s="28" t="str">
        <x:v>вкусовой баланс, влияние матрицы/растворимости</x:v>
      </x:c>
      <x:c r="F194"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Водоросль gracilaria carnosa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194"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94" s="28" t="str">
        <x:v>Избыток кислоты делает вкус плоско-резким; белая часть кожуры даёт лишнюю горечь; слишком долгая маринация ухудшает текстуру.</x:v>
      </x:c>
      <x:c r="I194" s="28" t="str">
        <x:v>севиче, маринад, beurre blanc, тартар или салат</x:v>
      </x:c>
      <x:c r="J194" s="28" t="str">
        <x:v>Средняя</x:v>
      </x:c>
      <x:c r="K194" s="28" t="str">
        <x:v>The Art &amp; Science of Foodpairing.pdf</x:v>
      </x:c>
      <x:c r="L194" s="28" t="str">
        <x:v>The Art &amp; Science of Foodpairing.pdf: 267</x:v>
      </x:c>
    </x:row>
    <x:row r="195" ht="62" customHeight="1">
      <x:c r="A195" s="28" t="str">
        <x:v>CIT-0687</x:v>
      </x:c>
      <x:c r="B195" s="28" t="str">
        <x:v>цукаты из апельсиновой кожуры</x:v>
      </x:c>
      <x:c r="C195" s="28" t="str">
        <x:v>морские водоросли</x:v>
      </x:c>
      <x:c r="D195" s="28" t="str">
        <x:v>Рыба и морепродукты</x:v>
      </x:c>
      <x:c r="E195" s="28" t="str">
        <x:v>вкусовой баланс, влияние матрицы/растворимости</x:v>
      </x:c>
      <x:c r="F195"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Морские водоросли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195"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95" s="28" t="str">
        <x:v>Избыток кислоты делает вкус плоско-резким; белая часть кожуры даёт лишнюю горечь; слишком долгая маринация ухудшает текстуру.</x:v>
      </x:c>
      <x:c r="I195" s="28" t="str">
        <x:v>севиче, маринад, beurre blanc, тартар или салат</x:v>
      </x:c>
      <x:c r="J195" s="28" t="str">
        <x:v>Средняя</x:v>
      </x:c>
      <x:c r="K195" s="28" t="str">
        <x:v>The Art &amp; Science of Foodpairing.pdf</x:v>
      </x:c>
      <x:c r="L195" s="28" t="str">
        <x:v>The Art &amp; Science of Foodpairing.pdf: 267</x:v>
      </x:c>
    </x:row>
    <x:row r="196" ht="62" customHeight="1">
      <x:c r="A196" s="28" t="str">
        <x:v>CIT-0688</x:v>
      </x:c>
      <x:c r="B196" s="28" t="str">
        <x:v>цукаты из апельсиновой кожуры</x:v>
      </x:c>
      <x:c r="C196" s="28" t="str">
        <x:v>морской ёж</x:v>
      </x:c>
      <x:c r="D196" s="28" t="str">
        <x:v>Рыба и морепродукты</x:v>
      </x:c>
      <x:c r="E196" s="28" t="str">
        <x:v>вкусовой баланс, влияние матрицы/растворимости</x:v>
      </x:c>
      <x:c r="F196"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Морской ёж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Апельсиновый профиль строится на лимонене и альдегидах с восково-сладкой нотой. Цитрус уменьшает восприятие жирности и рыбных нот, усиливая свежесть и слюноотделение.</x:v>
      </x:c>
      <x:c r="G196"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196" s="28" t="str">
        <x:v>Избыток кислоты делает вкус плоско-резким; белая часть кожуры даёт лишнюю горечь; слишком долгая маринация ухудшает текстуру.</x:v>
      </x:c>
      <x:c r="I196" s="28" t="str">
        <x:v>севиче, маринад, beurre blanc, тартар или салат</x:v>
      </x:c>
      <x:c r="J196" s="28" t="str">
        <x:v>Средняя</x:v>
      </x:c>
      <x:c r="K196" s="28" t="str">
        <x:v>The Art &amp; Science of Foodpairing.pdf</x:v>
      </x:c>
      <x:c r="L196" s="28" t="str">
        <x:v>The Art &amp; Science of Foodpairing.pdf: 267</x:v>
      </x:c>
    </x:row>
    <x:row r="197" ht="62" customHeight="1">
      <x:c r="A197" s="28" t="str">
        <x:v>CIT-0692</x:v>
      </x:c>
      <x:c r="B197" s="28" t="str">
        <x:v>цукаты из апельсиновой кожуры</x:v>
      </x:c>
      <x:c r="C197" s="28" t="str">
        <x:v>тыква</x:v>
      </x:c>
      <x:c r="D197" s="28" t="str">
        <x:v>Овощи</x:v>
      </x:c>
      <x:c r="E197" s="28" t="str">
        <x:v>вкусовой баланс</x:v>
      </x:c>
      <x:c r="F197"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Тыква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Апельсиновый профиль строится на лимонене и альдегидах с восково-сладкой нотой. Кислота подчёркивает сладость овощей и сокращает землистое или сернистое послевкусие.</x:v>
      </x:c>
      <x:c r="G197"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7" s="28" t="str">
        <x:v>Избыток кислоты делает вкус плоско-резким; белая часть кожуры даёт лишнюю горечь.</x:v>
      </x:c>
      <x:c r="I197" s="28" t="str">
        <x:v>винегрет, салат, пюре, запечённое блюдо или овощной соус</x:v>
      </x:c>
      <x:c r="J197" s="28" t="str">
        <x:v>Средняя</x:v>
      </x:c>
      <x:c r="K197" s="28" t="str">
        <x:v>The Art &amp; Science of Foodpairing.pdf</x:v>
      </x:c>
      <x:c r="L197" s="28" t="str">
        <x:v>The Art &amp; Science of Foodpairing.pdf: 267</x:v>
      </x:c>
    </x:row>
    <x:row r="198" ht="62" customHeight="1">
      <x:c r="A198" s="28" t="str">
        <x:v>CIT-0693</x:v>
      </x:c>
      <x:c r="B198" s="28" t="str">
        <x:v>цукаты из апельсиновой кожуры</x:v>
      </x:c>
      <x:c r="C198" s="28" t="str">
        <x:v>хересный уксус</x:v>
      </x:c>
      <x:c r="D198" s="28" t="str">
        <x:v>Соусы и ферментированные продукты</x:v>
      </x:c>
      <x:c r="E198" s="28" t="str">
        <x:v>вкусовой баланс, тройничное восприятие</x:v>
      </x:c>
      <x:c r="F198" s="28" t="str">
        <x:v>Цукаты из апельсиновой кожуры формирует профиль «цитрусовый, сладко-фруктовый, цветочный, восковой»; характерные маркеры: лимонен, линалол, деканаль, октаналь, мирцен. Хересный уксус относится к группе «соусы и ферментированные продукты» и даёт ноты «кислый, умами, ферментированный, пряный».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Цитрусовая кислота и аромат усиливают солёность и умами, но общий уровень кислоты необходимо контролировать. Апельсиновый профиль строится на лимонене и альдегидах с восково-сладкой нотой. Цитрус добавляет верхние ноты и может заменить часть уксуса, но избыток кислоты нарушит баланс.</x:v>
      </x:c>
      <x:c r="G198"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8" s="28" t="str">
        <x:v>Избыток кислоты делает вкус плоско-резким; белая часть кожуры даёт лишнюю горечь.</x:v>
      </x:c>
      <x:c r="I198" s="28" t="str">
        <x:v>дрессинг, глазурь, чатни, маринад или ферментированный соус</x:v>
      </x:c>
      <x:c r="J198" s="28" t="str">
        <x:v>Средняя</x:v>
      </x:c>
      <x:c r="K198" s="28" t="str">
        <x:v>The Art &amp; Science of Foodpairing.pdf</x:v>
      </x:c>
      <x:c r="L198" s="28" t="str">
        <x:v>The Art &amp; Science of Foodpairing.pdf: 267</x:v>
      </x:c>
    </x:row>
    <x:row r="199" ht="62" customHeight="1">
      <x:c r="A199" s="28" t="str">
        <x:v>CIT-0695</x:v>
      </x:c>
      <x:c r="B199" s="28" t="str">
        <x:v>цукаты из лимонной кожуры</x:v>
      </x:c>
      <x:c r="C199" s="28" t="str">
        <x:v>артишок</x:v>
      </x:c>
      <x:c r="D199" s="28" t="str">
        <x:v>Овощи</x:v>
      </x:c>
      <x:c r="E199" s="28" t="str">
        <x:v>вкусовой баланс</x:v>
      </x:c>
      <x:c r="F199"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Артишок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199"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199" s="28" t="str">
        <x:v>Избыток кислоты делает вкус плоско-резким; белая часть кожуры даёт лишнюю горечь.</x:v>
      </x:c>
      <x:c r="I199" s="28" t="str">
        <x:v>винегрет, салат, пюре, запечённое блюдо или овощной соус</x:v>
      </x:c>
      <x:c r="J199" s="28" t="str">
        <x:v>Средняя</x:v>
      </x:c>
      <x:c r="K199" s="28" t="str">
        <x:v>The Art &amp; Science of Foodpairing.pdf</x:v>
      </x:c>
      <x:c r="L199" s="28" t="str">
        <x:v>The Art &amp; Science of Foodpairing.pdf: 328</x:v>
      </x:c>
    </x:row>
    <x:row r="200" ht="62" customHeight="1">
      <x:c r="A200" s="28" t="str">
        <x:v>CIT-0696</x:v>
      </x:c>
      <x:c r="B200" s="28" t="str">
        <x:v>цукаты из лимонной кожуры</x:v>
      </x:c>
      <x:c r="C200" s="28" t="str">
        <x:v>базилик</x:v>
      </x:c>
      <x:c r="D200" s="28" t="str">
        <x:v>Травы</x:v>
      </x:c>
      <x:c r="E200" s="28" t="str">
        <x:v>перекрытие ароматических семейств, вкусовой баланс</x:v>
      </x:c>
      <x:c r="F200"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Базилик относится к группе «травы» и даёт ноты «зелёный, анисовый, цветочный, пряный». Прямой общий ключевой одорант из доступных профилей не фиксируется, однако продукты пересекаются на уровне семейств: цветочный.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Сок определяется цитралем и кислотностью, цедра — лимоненом и терпенами. Базилик и эстрагон могут связать цитрус с фруктами, томатом и сливочными матрицами.</x:v>
      </x:c>
      <x:c r="G200"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00" s="28" t="str">
        <x:v>Избыток кислоты делает вкус плоско-резким; белая часть кожуры даёт лишнюю горечь; цитрус легко подавляет деликатный аромат партнёра.</x:v>
      </x:c>
      <x:c r="I200" s="28" t="str">
        <x:v>лимонад, кордиал, салатная заправка или зелёный соус</x:v>
      </x:c>
      <x:c r="J200" s="28" t="str">
        <x:v>Средняя</x:v>
      </x:c>
      <x:c r="K200" s="28" t="str">
        <x:v>The Art &amp; Science of Foodpairing.pdf</x:v>
      </x:c>
      <x:c r="L200" s="28" t="str">
        <x:v>The Art &amp; Science of Foodpairing.pdf: 328</x:v>
      </x:c>
    </x:row>
    <x:row r="201" ht="62" customHeight="1">
      <x:c r="A201" s="28" t="str">
        <x:v>CIT-0701</x:v>
      </x:c>
      <x:c r="B201" s="28" t="str">
        <x:v>цукаты из лимонной кожуры</x:v>
      </x:c>
      <x:c r="C201" s="28" t="str">
        <x:v>отварная цветная капуста</x:v>
      </x:c>
      <x:c r="D201" s="28" t="str">
        <x:v>Овощи</x:v>
      </x:c>
      <x:c r="E201" s="28" t="str">
        <x:v>вкусовой баланс</x:v>
      </x:c>
      <x:c r="F201"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Отварная цветная капуста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201"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1" s="28" t="str">
        <x:v>Избыток кислоты делает вкус плоско-резким; белая часть кожуры даёт лишнюю горечь.</x:v>
      </x:c>
      <x:c r="I201" s="28" t="str">
        <x:v>винегрет, салат, пюре, запечённое блюдо или овощной соус</x:v>
      </x:c>
      <x:c r="J201" s="28" t="str">
        <x:v>Средняя</x:v>
      </x:c>
      <x:c r="K201" s="28" t="str">
        <x:v>The Art &amp; Science of Foodpairing.pdf</x:v>
      </x:c>
      <x:c r="L201" s="28" t="str">
        <x:v>The Art &amp; Science of Foodpairing.pdf: 328</x:v>
      </x:c>
    </x:row>
    <x:row r="202" ht="62" customHeight="1">
      <x:c r="A202" s="28" t="str">
        <x:v>CIT-0703</x:v>
      </x:c>
      <x:c r="B202" s="28" t="str">
        <x:v>цукаты из лимонной кожуры</x:v>
      </x:c>
      <x:c r="C202" s="28" t="str">
        <x:v>приготовленная зелёная чечевица</x:v>
      </x:c>
      <x:c r="D202" s="28" t="str">
        <x:v>Овощи</x:v>
      </x:c>
      <x:c r="E202" s="28" t="str">
        <x:v>вкусовой баланс</x:v>
      </x:c>
      <x:c r="F202"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Приготовленная зелёная чечевица относится к группе «овощи» и даёт ноты «зелёный, землистый, растительный, иногда сернистый».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Кислота подчёркивает природную сладость овоща, сокращает землистое/сернистое послевкусие и повышает слюноотделение. Сок определяется цитралем и кислотностью, цедра — лимоненом и терпенами. Кислота подчёркивает сладость овощей и сокращает землистое или сернистое послевкусие.</x:v>
      </x:c>
      <x:c r="G202" s="28" t="str">
        <x:v>Для максимальной свежести сок лучше вводить ближе к концу, а цедру или эфирное масло — дозировать отдельно. При нагреве свежие терпеновые ноты ослабевают, поэтому часть цитрусового компонента полезно оставить для финальной корректировки.</x:v>
      </x:c>
      <x:c r="H202" s="28" t="str">
        <x:v>Избыток кислоты делает вкус плоско-резким; белая часть кожуры даёт лишнюю горечь.</x:v>
      </x:c>
      <x:c r="I202" s="28" t="str">
        <x:v>винегрет, салат, пюре, запечённое блюдо или овощной соус</x:v>
      </x:c>
      <x:c r="J202" s="28" t="str">
        <x:v>Средняя</x:v>
      </x:c>
      <x:c r="K202" s="28" t="str">
        <x:v>The Art &amp; Science of Foodpairing.pdf</x:v>
      </x:c>
      <x:c r="L202" s="28" t="str">
        <x:v>The Art &amp; Science of Foodpairing.pdf: 328</x:v>
      </x:c>
    </x:row>
    <x:row r="203" ht="62" customHeight="1">
      <x:c r="A203" s="28" t="str">
        <x:v>CIT-0705</x:v>
      </x:c>
      <x:c r="B203" s="28" t="str">
        <x:v>цукаты из лимонной кожуры</x:v>
      </x:c>
      <x:c r="C203" s="28" t="str">
        <x:v>припущенная барабулька</x:v>
      </x:c>
      <x:c r="D203" s="28" t="str">
        <x:v>Рыба и морепродукты</x:v>
      </x:c>
      <x:c r="E203" s="28" t="str">
        <x:v>вкусовой баланс, влияние матрицы/растворимости</x:v>
      </x:c>
      <x:c r="F203" s="28" t="str">
        <x:v>Цукаты из лимонной кожуры формирует профиль «цитрусовый, свежий, цветочный, древесный»; характерные маркеры: цитраль (гераниаль + нераль), лимонен, гамма-терпинен, бета-пинен. Припущенная барабулька относится к группе «рыба и морепродукты» и даёт ноты «морской, йодистый, зелёный, жирный». Прямое молекулярное совпадение по доступным профилям не подтверждено. Пара работает прежде всего через контраст, кислотность, горечь, сладость и поведение ароматов в конкретной пищевой матрице. Кислотность и лёгкая горечь цитруса снижают ощущение жирности; соль и умами, в свою очередь, делают фруктовую часть менее резкой. Сок определяется цитралем и кислотностью, цедра — лимоненом и терпенами. Цитрус уменьшает восприятие жирности и рыбных нот, усиливая свежесть и слюноотделение.</x:v>
      </x:c>
      <x:c r="G203" s="28" t="str">
        <x:v>Для максимальной свежести сок лучше вводить ближе к концу, а цедру или эфирное масло — дозировать отдельно. Длительный контакт кислоты с белком меняет поверхность и текстуру; маринование должно быть ограничено по времени.</x:v>
      </x:c>
      <x:c r="H203" s="28" t="str">
        <x:v>Избыток кислоты делает вкус плоско-резким; белая часть кожуры даёт лишнюю горечь; слишком долгая маринация ухудшает текстуру.</x:v>
      </x:c>
      <x:c r="I203" s="28" t="str">
        <x:v>севиче, маринад, beurre blanc, тартар или салат</x:v>
      </x:c>
      <x:c r="J203" s="28" t="str">
        <x:v>Средняя</x:v>
      </x:c>
      <x:c r="K203" s="28" t="str">
        <x:v>The Art &amp; Science of Foodpairing.pdf</x:v>
      </x:c>
      <x:c r="L203" s="28" t="str">
        <x:v>The Art &amp; Science of Foodpairing.pdf: 328</x:v>
      </x:c>
    </x:row>
    <x:row r="204" ht="62" customHeight="1">
      <x:c r="A204" s="28" t="str">
        <x:v>CIT-0709</x:v>
      </x:c>
      <x:c r="B204" s="28" t="str">
        <x:v>юдзу</x:v>
      </x:c>
      <x:c r="C204" s="28" t="str">
        <x:v>имбирь</x:v>
      </x:c>
      <x:c r="D204" s="28" t="str">
        <x:v>Пряности</x:v>
      </x:c>
      <x:c r="E204" s="28" t="str">
        <x:v>общие ароматические молекулы, перекрытие ароматических семейств, вкусовой баланс, тройничное восприятие</x:v>
      </x:c>
      <x:c r="F204" s="28" t="str">
        <x:v>Юдзу формирует профиль «цитрусовый, зелёный, травяной, камфорный»; характерные маркеры: лимонен, гамма-терпинен, цитраль, бета-пинен, линалол. Имбирь относится к группе «пряности» и даёт ноты «цитрусовый, пряный, древесный, тёплый». Наиболее правдоподобный молекулярный мост — цитраль; дополнительно совпадают ароматические семейства: цитрусовый.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Свежий имбирь более цитрусовый, нагретый и сушёный — более тёплый и жгучий.</x:v>
      </x:c>
      <x:c r="G204"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04" s="28" t="str">
        <x:v>Избыток кислоты делает вкус плоско-резким; белая часть кожуры даёт лишнюю горечь.</x:v>
      </x:c>
      <x:c r="I204" s="28" t="str">
        <x:v>сироп, кордиал, чатни, маринад или пряный десерт</x:v>
      </x:c>
      <x:c r="J204" s="28" t="str">
        <x:v>Средняя</x:v>
      </x:c>
      <x:c r="K204" s="28" t="str">
        <x:v>Таблица сочетания(1).pdf</x:v>
      </x:c>
      <x:c r="L204" s="28" t="str">
        <x:v>Таблица сочетания(1).pdf: 22</x:v>
      </x:c>
    </x:row>
    <x:row r="205" ht="62" customHeight="1">
      <x:c r="A205" s="28" t="str">
        <x:v>CIT-0715</x:v>
      </x:c>
      <x:c r="B205" s="28" t="str">
        <x:v>юдзу</x:v>
      </x:c>
      <x:c r="C205" s="28" t="str">
        <x:v>мята</x:v>
      </x:c>
      <x:c r="D205" s="28" t="str">
        <x:v>Травы</x:v>
      </x:c>
      <x:c r="E205" s="28" t="str">
        <x:v>перекрытие ароматических семейств, вкусовой баланс, тройничное восприятие</x:v>
      </x:c>
      <x:c r="F205" s="28" t="str">
        <x:v>Юдзу формирует профиль «цитрусовый, зелёный, травяной, камфорный»; характерные маркеры: лимонен, гамма-терпинен, цитраль, бета-пинен, линалол. Мята относится к группе «травы» и даёт ноты «мятный, зелёный, свежий». Прямой общий ключевой одорант из доступных профилей не фиксируется, однако продукты пересекаются на уровне семейств: зелёный. Поэтому связь лучше описывать как сочетание близких ароматических направлений, а не как действие единственной доказанной молекулы. Кислота усиливает слюноотделение и делает пряный аромат ярче; терпены цитруса образуют мост с эфирными маслами травы или специи. Лаймовые цитрусы дают более зелёный и камфорный профиль, чем сладкий апельсин. Мята усиливает воспринимаемую прохладу и кислотную свежесть.</x:v>
      </x:c>
      <x:c r="G205" s="28" t="str">
        <x:v>Для максимальной свежести сок лучше вводить ближе к концу, а цедру или эфирное масло — дозировать отдельно. Деликатные зелёные травы не стоит долго кипятить; сухие специи полезно кратко прогреть или экстрагировать в жире/спирте.</x:v>
      </x:c>
      <x:c r="H205" s="28" t="str">
        <x:v>Избыток кислоты делает вкус плоско-резким; белая часть кожуры даёт лишнюю горечь; цитрус легко подавляет деликатный аромат партнёра.</x:v>
      </x:c>
      <x:c r="I205" s="28" t="str">
        <x:v>лимонад, кордиал, салатная заправка или зелёный соус</x:v>
      </x:c>
      <x:c r="J205" s="28" t="str">
        <x:v>Гипотеза / практическая</x:v>
      </x:c>
      <x:c r="K205" s="28" t="str">
        <x:v>Таблица сочетания(1).pdf</x:v>
      </x:c>
      <x:c r="L205" s="28" t="str">
        <x:v>Таблица сочетания(1).pdf: 22</x:v>
      </x:c>
    </x:row>
  </x:sheetData>
  <x:conditionalFormatting sqref="J2:J205">
    <x:cfRule type="expression" dxfId="12" priority="1">
      <x:formula>J2="Высокая"</x:formula>
    </x:cfRule>
    <x:cfRule type="expression" dxfId="13" priority="2">
      <x:formula>J2="Средняя"</x:formula>
    </x:cfRule>
    <x:cfRule type="expression" dxfId="14" priority="3">
      <x:formula>J2="Гипотеза / практическая"</x:formula>
    </x:cfRule>
  </x:conditionalFormatting>
  <x:pageMargins left="0.7" right="0.7" top="0.75" bottom="0.75" header="0.3" footer="0.3"/>
  <x:tableParts count="1">
    <x:tablePart xmlns:r="http://schemas.openxmlformats.org/officeDocument/2006/relationships" r:id="Rdde4e494d72f433d"/>
  </x:tableParts>
</x:worksheet>
</file>

<file path=xl/worksheets/sheet7.xml><?xml version="1.0" encoding="utf-8"?>
<x:worksheet xmlns:x="http://schemas.openxmlformats.org/spreadsheetml/2006/main">
  <x:sheetFormatPr defaultRowHeight="15"/>
  <x:cols>
    <x:col min="1" max="1" width="31" hidden="0" customWidth="1"/>
    <x:col min="2" max="2" width="23" hidden="0" customWidth="1"/>
    <x:col min="3" max="3" width="32" hidden="0" customWidth="1"/>
    <x:col min="4" max="4" width="42" hidden="0" customWidth="1"/>
    <x:col min="5" max="5" width="27" hidden="0" customWidth="1"/>
    <x:col min="6" max="6" width="42" hidden="0" customWidth="1"/>
    <x:col min="7" max="7" width="48" hidden="0" customWidth="1"/>
    <x:col min="8" max="8" width="54" hidden="0" customWidth="1"/>
    <x:col min="9" max="9" width="15" hidden="0" customWidth="1"/>
  </x:cols>
  <x:sheetData>
    <x:row r="1">
      <x:c r="A1" s="20" t="str">
        <x:v>Ингредиент</x:v>
      </x:c>
      <x:c r="B1" s="20" t="str">
        <x:v>Группа</x:v>
      </x:c>
      <x:c r="C1" s="20" t="str">
        <x:v>Аромапрофиль</x:v>
      </x:c>
      <x:c r="D1" s="20" t="str">
        <x:v>Характерные соединения</x:v>
      </x:c>
      <x:c r="E1" s="20" t="str">
        <x:v>Базовые вкусы</x:v>
      </x:c>
      <x:c r="F1" s="20" t="str">
        <x:v>Тройничный эффект</x:v>
      </x:c>
      <x:c r="G1" s="20" t="str">
        <x:v>Матрица</x:v>
      </x:c>
      <x:c r="H1" s="20" t="str">
        <x:v>Комментарий</x:v>
      </x:c>
      <x:c r="I1" s="20" t="str">
        <x:v>Количество пар</x:v>
      </x:c>
    </x:row>
    <x:row r="2" ht="46" customHeight="1">
      <x:c r="A2" s="28" t="str">
        <x:v>абрикос</x:v>
      </x:c>
      <x:c r="B2" s="28" t="str">
        <x:v>Косточковые фрукты</x:v>
      </x:c>
      <x:c r="C2" s="28" t="str">
        <x:v>фруктовый, цветочный, сливочный, миндальный</x:v>
      </x:c>
      <x:c r="D2" s="28" t="str">
        <x:v>гамма- и дельта-лактоны, бензальдегид, дамасценон</x:v>
      </x:c>
      <x:c r="E2" s="28" t="str">
        <x:v>сладкий, умеренно кислый</x:v>
      </x:c>
      <x:c r="F2" s="28" t="str">
        <x:v>нет выраженного</x:v>
      </x:c>
      <x:c r="G2" s="28" t="str">
        <x:v>сочная матрица; лактоны лучше ощущаются в жирной/сливочной среде</x:v>
      </x:c>
      <x:c r="H2" s="28" t="str">
        <x:v>Цитрус добавляет кислотность, а лактоны смягчают его резкость.</x:v>
      </x:c>
      <x:c r="I2" s="28" t="n">
        <x:f>COUNTIF('Все сочетания'!$C:$C,A2)+COUNTIF('Все сочетания'!$F:$F,A2)</x:f>
        <x:v>3</x:v>
      </x:c>
    </x:row>
    <x:row r="3" ht="46" customHeight="1">
      <x:c r="A3" s="28" t="str">
        <x:v>абсент</x:v>
      </x:c>
      <x:c r="B3" s="28" t="str">
        <x:v>Алкогольные напитки</x:v>
      </x:c>
      <x:c r="C3" s="28" t="str">
        <x:v>зависит от основы, эфирный, древесный/пряный</x:v>
      </x:c>
      <x:c r="D3" s="28" t="str">
        <x:v>этанол, эфиры, терпены/дубовые соединения</x:v>
      </x:c>
      <x:c r="E3" s="28" t="str">
        <x:v>горький, сладкий или сухой</x:v>
      </x:c>
      <x:c r="F3" s="28" t="str">
        <x:v>этанол усиливает тепло и летучесть аромата</x:v>
      </x:c>
      <x:c r="G3" s="28" t="str">
        <x:v>этанол — хороший растворитель гидрофобных эфирных масел</x:v>
      </x:c>
      <x:c r="H3" s="28" t="str">
        <x:v>Спирт извлекает цедру и усиливает ретроназальный выход терпенов; сахар и разбавление меняют баланс.</x:v>
      </x:c>
      <x:c r="I3" s="28" t="n">
        <x:f>COUNTIF('Все сочетания'!$C:$C,A3)+COUNTIF('Все сочетания'!$F:$F,A3)</x:f>
        <x:v>1</x:v>
      </x:c>
    </x:row>
    <x:row r="4" ht="46" customHeight="1">
      <x:c r="A4" s="28" t="str">
        <x:v>авокадо</x:v>
      </x:c>
      <x:c r="B4" s="28" t="str">
        <x:v>Прочее</x:v>
      </x:c>
      <x:c r="C4" s="28" t="str">
        <x:v>нейтральный/специфический</x:v>
      </x:c>
      <x:c r="D4" s="28" t="str">
        <x:v>нужен профиль конкретного продукта</x:v>
      </x:c>
      <x:c r="E4" s="28" t="str">
        <x:v>зависит от продукта</x:v>
      </x:c>
      <x:c r="F4" s="28" t="str">
        <x:v>нет данных</x:v>
      </x:c>
      <x:c r="G4" s="28" t="str">
        <x:v>зависит от формы продукта</x:v>
      </x:c>
      <x:c r="H4" s="28" t="str">
        <x:v>Для точного молекулярного вывода нужен профиль конкретного ингредиента и способа обработки.</x:v>
      </x:c>
      <x:c r="I4" s="28" t="n">
        <x:f>COUNTIF('Все сочетания'!$C:$C,A4)+COUNTIF('Все сочетания'!$F:$F,A4)</x:f>
        <x:v>2</x:v>
      </x:c>
    </x:row>
    <x:row r="5" ht="46" customHeight="1">
      <x:c r="A5" s="28" t="str">
        <x:v>агава</x:v>
      </x:c>
      <x:c r="B5" s="28" t="str">
        <x:v>Прочее</x:v>
      </x:c>
      <x:c r="C5" s="28" t="str">
        <x:v>нейтральный/специфический</x:v>
      </x:c>
      <x:c r="D5" s="28" t="str">
        <x:v>нужен профиль конкретного продукта</x:v>
      </x:c>
      <x:c r="E5" s="28" t="str">
        <x:v>зависит от продукта</x:v>
      </x:c>
      <x:c r="F5" s="28" t="str">
        <x:v>нет данных</x:v>
      </x:c>
      <x:c r="G5" s="28" t="str">
        <x:v>зависит от формы продукта</x:v>
      </x:c>
      <x:c r="H5" s="28" t="str">
        <x:v>Для точного молекулярного вывода нужен профиль конкретного ингредиента и способа обработки.</x:v>
      </x:c>
      <x:c r="I5" s="28" t="n">
        <x:f>COUNTIF('Все сочетания'!$C:$C,A5)+COUNTIF('Все сочетания'!$F:$F,A5)</x:f>
        <x:v>3</x:v>
      </x:c>
    </x:row>
    <x:row r="6" ht="46" customHeight="1">
      <x:c r="A6" s="28" t="str">
        <x:v>айва</x:v>
      </x:c>
      <x:c r="B6" s="28" t="str">
        <x:v>Прочее</x:v>
      </x:c>
      <x:c r="C6" s="28" t="str">
        <x:v>нейтральный/специфический</x:v>
      </x:c>
      <x:c r="D6" s="28" t="str">
        <x:v>нужен профиль конкретного продукта</x:v>
      </x:c>
      <x:c r="E6" s="28" t="str">
        <x:v>зависит от продукта</x:v>
      </x:c>
      <x:c r="F6" s="28" t="str">
        <x:v>нет данных</x:v>
      </x:c>
      <x:c r="G6" s="28" t="str">
        <x:v>зависит от формы продукта</x:v>
      </x:c>
      <x:c r="H6" s="28" t="str">
        <x:v>Для точного молекулярного вывода нужен профиль конкретного ингредиента и способа обработки.</x:v>
      </x:c>
      <x:c r="I6" s="28" t="n">
        <x:f>COUNTIF('Все сочетания'!$C:$C,A6)+COUNTIF('Все сочетания'!$F:$F,A6)</x:f>
        <x:v>3</x:v>
      </x:c>
    </x:row>
    <x:row r="7" ht="46" customHeight="1">
      <x:c r="A7" s="28" t="str">
        <x:v>ананас</x:v>
      </x:c>
      <x:c r="B7" s="28" t="str">
        <x:v>Тропические фрукты</x:v>
      </x:c>
      <x:c r="C7" s="28" t="str">
        <x:v>фруктовый, тропический, цветочный, сливочный</x:v>
      </x:c>
      <x:c r="D7" s="28" t="str">
        <x:v>этилбутират, гексилацетат, лактоны, сернистые тиолы (у части фруктов)</x:v>
      </x:c>
      <x:c r="E7" s="28" t="str">
        <x:v>сладкий, умеренно кислый</x:v>
      </x:c>
      <x:c r="F7" s="28" t="str">
        <x:v>нет выраженного</x:v>
      </x:c>
      <x:c r="G7" s="28" t="str">
        <x:v>сочная или кремовая фруктовая матрица</x:v>
      </x:c>
      <x:c r="H7" s="28" t="str">
        <x:v>Цитрус снижает ощущение приторности и усиливает летучие фруктовые эфиры.</x:v>
      </x:c>
      <x:c r="I7" s="28" t="n">
        <x:f>COUNTIF('Все сочетания'!$C:$C,A7)+COUNTIF('Все сочетания'!$F:$F,A7)</x:f>
        <x:v>6</x:v>
      </x:c>
    </x:row>
    <x:row r="8" ht="46" customHeight="1">
      <x:c r="A8" s="28" t="str">
        <x:v>анис</x:v>
      </x:c>
      <x:c r="B8" s="28" t="str">
        <x:v>Пряности/травы</x:v>
      </x:c>
      <x:c r="C8" s="28" t="str">
        <x:v>анисовый, сладко-пряный, зелёный</x:v>
      </x:c>
      <x:c r="D8" s="28" t="str">
        <x:v>транс-анетол, фенхон, эстрагол</x:v>
      </x:c>
      <x:c r="E8" s="28" t="str">
        <x:v>сладковатый, слегка горький</x:v>
      </x:c>
      <x:c r="F8" s="28" t="str">
        <x:v>анетол создаёт охлаждающе-сладкое впечатление</x:v>
      </x:c>
      <x:c r="G8" s="28" t="str">
        <x:v>анетол гидрофобен и мутнеет при разбавлении спиртовых настоев водой</x:v>
      </x:c>
      <x:c r="H8" s="28" t="str">
        <x:v>Анисовые соединения дают сильный ароматический мост с цветочными и цитрусовыми терпенами.</x:v>
      </x:c>
      <x:c r="I8" s="28" t="n">
        <x:f>COUNTIF('Все сочетания'!$C:$C,A8)+COUNTIF('Все сочетания'!$F:$F,A8)</x:f>
        <x:v>5</x:v>
      </x:c>
    </x:row>
    <x:row r="9" ht="46" customHeight="1">
      <x:c r="A9" s="28" t="str">
        <x:v>анисовый иссоп</x:v>
      </x:c>
      <x:c r="B9" s="28" t="str">
        <x:v>Пряности/травы</x:v>
      </x:c>
      <x:c r="C9" s="28" t="str">
        <x:v>анисовый, сладко-пряный, зелёный</x:v>
      </x:c>
      <x:c r="D9" s="28" t="str">
        <x:v>транс-анетол, фенхон, эстрагол</x:v>
      </x:c>
      <x:c r="E9" s="28" t="str">
        <x:v>сладковатый, слегка горький</x:v>
      </x:c>
      <x:c r="F9" s="28" t="str">
        <x:v>анетол создаёт охлаждающе-сладкое впечатление</x:v>
      </x:c>
      <x:c r="G9" s="28" t="str">
        <x:v>анетол гидрофобен и мутнеет при разбавлении спиртовых настоев водой</x:v>
      </x:c>
      <x:c r="H9" s="28" t="str">
        <x:v>Анисовые соединения дают сильный ароматический мост с цветочными и цитрусовыми терпенами.</x:v>
      </x:c>
      <x:c r="I9" s="28" t="n">
        <x:f>COUNTIF('Все сочетания'!$C:$C,A9)+COUNTIF('Все сочетания'!$F:$F,A9)</x:f>
        <x:v>1</x:v>
      </x:c>
    </x:row>
    <x:row r="10" ht="46" customHeight="1">
      <x:c r="A10" s="28" t="str">
        <x:v>анчоусы</x:v>
      </x:c>
      <x:c r="B10" s="28" t="str">
        <x:v>Прочее</x:v>
      </x:c>
      <x:c r="C10" s="28" t="str">
        <x:v>нейтральный/специфический</x:v>
      </x:c>
      <x:c r="D10" s="28" t="str">
        <x:v>нужен профиль конкретного продукта</x:v>
      </x:c>
      <x:c r="E10" s="28" t="str">
        <x:v>зависит от продукта</x:v>
      </x:c>
      <x:c r="F10" s="28" t="str">
        <x:v>нет данных</x:v>
      </x:c>
      <x:c r="G10" s="28" t="str">
        <x:v>зависит от формы продукта</x:v>
      </x:c>
      <x:c r="H10" s="28" t="str">
        <x:v>Для точного молекулярного вывода нужен профиль конкретного ингредиента и способа обработки.</x:v>
      </x:c>
      <x:c r="I10" s="28" t="n">
        <x:f>COUNTIF('Все сочетания'!$C:$C,A10)+COUNTIF('Все сочетания'!$F:$F,A10)</x:f>
        <x:v>2</x:v>
      </x:c>
    </x:row>
    <x:row r="11" ht="46" customHeight="1">
      <x:c r="A11" s="28" t="str">
        <x:v>апельсин</x:v>
      </x:c>
      <x:c r="B11" s="28" t="str">
        <x:v>Цитрусовые</x:v>
      </x:c>
      <x:c r="C11" s="28" t="str">
        <x:v>цитрусовый, сладко-фруктовый, цветочный, восковой</x:v>
      </x:c>
      <x:c r="D11" s="28" t="str">
        <x:v>лимонен, линалол, деканаль, октаналь, мирцен</x:v>
      </x:c>
      <x:c r="E11" s="28" t="str">
        <x:v>кисло-сладкий, горечь кожуры</x:v>
      </x:c>
      <x:c r="F11" s="28" t="str">
        <x:v>нет выраженного</x:v>
      </x:c>
      <x:c r="G11" s="28" t="str">
        <x:v>сок водный; цедра и ликёры несут гидрофобные эфирные масла</x:v>
      </x:c>
      <x:c r="H11" s="28" t="str">
        <x:v>Апельсиновый профиль строится на лимонене и альдегидах с восково-сладкой нотой.</x:v>
      </x:c>
      <x:c r="I11" s="28" t="n">
        <x:f>COUNTIF('Все сочетания'!$C:$C,A11)+COUNTIF('Все сочетания'!$F:$F,A11)</x:f>
        <x:v>97</x:v>
      </x:c>
    </x:row>
    <x:row r="12" ht="46" customHeight="1">
      <x:c r="A12" s="28" t="str">
        <x:v>апельсиновая</x:v>
      </x:c>
      <x:c r="B12" s="28" t="str">
        <x:v>Цитрусовые</x:v>
      </x:c>
      <x:c r="C12" s="28" t="str">
        <x:v>цитрусовый, сладко-фруктовый, цветочный, восковой</x:v>
      </x:c>
      <x:c r="D12" s="28" t="str">
        <x:v>лимонен, линалол, деканаль, октаналь, мирцен</x:v>
      </x:c>
      <x:c r="E12" s="28" t="str">
        <x:v>кисло-сладкий, горечь кожуры</x:v>
      </x:c>
      <x:c r="F12" s="28" t="str">
        <x:v>нет выраженного</x:v>
      </x:c>
      <x:c r="G12" s="28" t="str">
        <x:v>сок водный; цедра и ликёры несут гидрофобные эфирные масла</x:v>
      </x:c>
      <x:c r="H12" s="28" t="str">
        <x:v>Апельсиновый профиль строится на лимонене и альдегидах с восково-сладкой нотой.</x:v>
      </x:c>
      <x:c r="I12" s="28" t="n">
        <x:f>COUNTIF('Все сочетания'!$C:$C,A12)+COUNTIF('Все сочетания'!$F:$F,A12)</x:f>
        <x:v>2</x:v>
      </x:c>
    </x:row>
    <x:row r="13" ht="46" customHeight="1">
      <x:c r="A13" s="28" t="str">
        <x:v>апельсиновая кожура</x:v>
      </x:c>
      <x:c r="B13" s="28" t="str">
        <x:v>Цитрусовые</x:v>
      </x:c>
      <x:c r="C13" s="28" t="str">
        <x:v>цитрусовый, сладко-фруктовый, цветочный, восковой</x:v>
      </x:c>
      <x:c r="D13" s="28" t="str">
        <x:v>лимонен, линалол, деканаль, октаналь, мирцен</x:v>
      </x:c>
      <x:c r="E13" s="28" t="str">
        <x:v>кисло-сладкий, горечь кожуры</x:v>
      </x:c>
      <x:c r="F13" s="28" t="str">
        <x:v>нет выраженного</x:v>
      </x:c>
      <x:c r="G13" s="28" t="str">
        <x:v>сок водный; цедра и ликёры несут гидрофобные эфирные масла</x:v>
      </x:c>
      <x:c r="H13" s="28" t="str">
        <x:v>Апельсиновый профиль строится на лимонене и альдегидах с восково-сладкой нотой.</x:v>
      </x:c>
      <x:c r="I13" s="28" t="n">
        <x:f>COUNTIF('Все сочетания'!$C:$C,A13)+COUNTIF('Все сочетания'!$F:$F,A13)</x:f>
        <x:v>4</x:v>
      </x:c>
    </x:row>
    <x:row r="14" ht="46" customHeight="1">
      <x:c r="A14" s="28" t="str">
        <x:v>апельсиновый сок</x:v>
      </x:c>
      <x:c r="B14" s="28" t="str">
        <x:v>Цитрусовые</x:v>
      </x:c>
      <x:c r="C14" s="28" t="str">
        <x:v>цитрусовый, сладко-фруктовый, цветочный, восковой</x:v>
      </x:c>
      <x:c r="D14" s="28" t="str">
        <x:v>лимонен, линалол, деканаль, октаналь, мирцен</x:v>
      </x:c>
      <x:c r="E14" s="28" t="str">
        <x:v>кисло-сладкий, горечь кожуры</x:v>
      </x:c>
      <x:c r="F14" s="28" t="str">
        <x:v>нет выраженного</x:v>
      </x:c>
      <x:c r="G14" s="28" t="str">
        <x:v>сок водный; цедра и ликёры несут гидрофобные эфирные масла</x:v>
      </x:c>
      <x:c r="H14" s="28" t="str">
        <x:v>Апельсиновый профиль строится на лимонене и альдегидах с восково-сладкой нотой.</x:v>
      </x:c>
      <x:c r="I14" s="28" t="n">
        <x:f>COUNTIF('Все сочетания'!$C:$C,A14)+COUNTIF('Все сочетания'!$F:$F,A14)</x:f>
        <x:v>4</x:v>
      </x:c>
    </x:row>
    <x:row r="15" ht="46" customHeight="1">
      <x:c r="A15" s="28" t="str">
        <x:v>арахис</x:v>
      </x:c>
      <x:c r="B15" s="28" t="str">
        <x:v>Орехи и семена</x:v>
      </x:c>
      <x:c r="C15" s="28" t="str">
        <x:v>ореховый, обжаренный, жирный, зелёный</x:v>
      </x:c>
      <x:c r="D15" s="28" t="str">
        <x:v>пиразины, альдегиды окисления жиров, бензальдегид (миндаль)</x:v>
      </x:c>
      <x:c r="E15" s="28" t="str">
        <x:v>сладковатый, горьковатый</x:v>
      </x:c>
      <x:c r="F15" s="28" t="str">
        <x:v>нет выраженного</x:v>
      </x:c>
      <x:c r="G15" s="28" t="str">
        <x:v>высокая жирность растворяет терпеновые масла цитруса</x:v>
      </x:c>
      <x:c r="H15" s="28" t="str">
        <x:v>Кислота режет жирность, а цедра связывается с обжаренными и цветочными нотами.</x:v>
      </x:c>
      <x:c r="I15" s="28" t="n">
        <x:f>COUNTIF('Все сочетания'!$C:$C,A15)+COUNTIF('Все сочетания'!$F:$F,A15)</x:f>
        <x:v>2</x:v>
      </x:c>
    </x:row>
    <x:row r="16" ht="46" customHeight="1">
      <x:c r="A16" s="28" t="str">
        <x:v>арбуз</x:v>
      </x:c>
      <x:c r="B16" s="28" t="str">
        <x:v>Бахчевые</x:v>
      </x:c>
      <x:c r="C16" s="28" t="str">
        <x:v>свежий, зелёный, водянистый, фруктовый</x:v>
      </x:c>
      <x:c r="D16" s="28" t="str">
        <x:v>C6/C9-альдегиды, эфиры, нонадиеналь</x:v>
      </x:c>
      <x:c r="E16" s="28" t="str">
        <x:v>сладкий, слабо кислый</x:v>
      </x:c>
      <x:c r="F16" s="28" t="str">
        <x:v>нет выраженного</x:v>
      </x:c>
      <x:c r="G16" s="28" t="str">
        <x:v>очень водная матрица с деликатным ароматом</x:v>
      </x:c>
      <x:c r="H16" s="28" t="str">
        <x:v>Цитрус придаёт структуру, но легко подавляет тонкий аромат дыни.</x:v>
      </x:c>
      <x:c r="I16" s="28" t="n">
        <x:f>COUNTIF('Все сочетания'!$C:$C,A16)+COUNTIF('Все сочетания'!$F:$F,A16)</x:f>
        <x:v>3</x:v>
      </x:c>
    </x:row>
    <x:row r="17" ht="46" customHeight="1">
      <x:c r="A17" s="28" t="str">
        <x:v>аррак</x:v>
      </x:c>
      <x:c r="B17" s="28" t="str">
        <x:v>Алкогольные напитки</x:v>
      </x:c>
      <x:c r="C17" s="28" t="str">
        <x:v>зависит от основы, эфирный, древесный/пряный</x:v>
      </x:c>
      <x:c r="D17" s="28" t="str">
        <x:v>этанол, эфиры, терпены/дубовые соединения</x:v>
      </x:c>
      <x:c r="E17" s="28" t="str">
        <x:v>горький, сладкий или сухой</x:v>
      </x:c>
      <x:c r="F17" s="28" t="str">
        <x:v>этанол усиливает тепло и летучесть аромата</x:v>
      </x:c>
      <x:c r="G17" s="28" t="str">
        <x:v>этанол — хороший растворитель гидрофобных эфирных масел</x:v>
      </x:c>
      <x:c r="H17" s="28" t="str">
        <x:v>Спирт извлекает цедру и усиливает ретроназальный выход терпенов; сахар и разбавление меняют баланс.</x:v>
      </x:c>
      <x:c r="I17" s="28" t="n">
        <x:f>COUNTIF('Все сочетания'!$C:$C,A17)+COUNTIF('Все сочетания'!$F:$F,A17)</x:f>
        <x:v>2</x:v>
      </x:c>
    </x:row>
    <x:row r="18" ht="46" customHeight="1">
      <x:c r="A18" s="28" t="str">
        <x:v>артишок</x:v>
      </x:c>
      <x:c r="B18" s="28" t="str">
        <x:v>Овощи</x:v>
      </x:c>
      <x:c r="C18" s="28" t="str">
        <x:v>зелёный, землистый, растительный, иногда сернистый</x:v>
      </x:c>
      <x:c r="D18" s="28" t="str">
        <x:v>C6-альдегиды, метоксипиразины, геосмин (землистые), сернистые соединения</x:v>
      </x:c>
      <x:c r="E18" s="28" t="str">
        <x:v>сладковатый, горьковатый, умами</x:v>
      </x:c>
      <x:c r="F18" s="28" t="str">
        <x:v>нет выраженного</x:v>
      </x:c>
      <x:c r="G18" s="28" t="str">
        <x:v>водная/крахмальная матрица; масло помогает распределить цедру</x:v>
      </x:c>
      <x:c r="H18" s="28" t="str">
        <x:v>Кислота подчёркивает сладость овощей и сокращает землистое или сернистое послевкусие.</x:v>
      </x:c>
      <x:c r="I18" s="28" t="n">
        <x:f>COUNTIF('Все сочетания'!$C:$C,A18)+COUNTIF('Все сочетания'!$F:$F,A18)</x:f>
        <x:v>2</x:v>
      </x:c>
    </x:row>
    <x:row r="19" ht="46" customHeight="1">
      <x:c r="A19" s="28" t="str">
        <x:v>багет</x:v>
      </x:c>
      <x:c r="B19" s="28" t="str">
        <x:v>Злаки и хлеб</x:v>
      </x:c>
      <x:c r="C19" s="28" t="str">
        <x:v>зерновой, обжаренный, ореховый, дрожжевой</x:v>
      </x:c>
      <x:c r="D19" s="28" t="str">
        <x:v>пиразины, мальтол, фураны, эфиры брожения</x:v>
      </x:c>
      <x:c r="E19" s="28" t="str">
        <x:v>сладковатый, умами</x:v>
      </x:c>
      <x:c r="F19" s="28" t="str">
        <x:v>нет выраженного</x:v>
      </x:c>
      <x:c r="G19" s="28" t="str">
        <x:v>крахмал смягчает кислотность; жир/масло помогает аромату цедры</x:v>
      </x:c>
      <x:c r="H19" s="28" t="str">
        <x:v>Цитрус освежает зерновой профиль и создаёт контраст с обжаренными нотами.</x:v>
      </x:c>
      <x:c r="I19" s="28" t="n">
        <x:f>COUNTIF('Все сочетания'!$C:$C,A19)+COUNTIF('Все сочетания'!$F:$F,A19)</x:f>
        <x:v>1</x:v>
      </x:c>
    </x:row>
    <x:row r="20" ht="46" customHeight="1">
      <x:c r="A20" s="28" t="str">
        <x:v>бадьян</x:v>
      </x:c>
      <x:c r="B20" s="28" t="str">
        <x:v>Прочее</x:v>
      </x:c>
      <x:c r="C20" s="28" t="str">
        <x:v>нейтральный/специфический</x:v>
      </x:c>
      <x:c r="D20" s="28" t="str">
        <x:v>нужен профиль конкретного продукта</x:v>
      </x:c>
      <x:c r="E20" s="28" t="str">
        <x:v>зависит от продукта</x:v>
      </x:c>
      <x:c r="F20" s="28" t="str">
        <x:v>нет данных</x:v>
      </x:c>
      <x:c r="G20" s="28" t="str">
        <x:v>зависит от формы продукта</x:v>
      </x:c>
      <x:c r="H20" s="28" t="str">
        <x:v>Для точного молекулярного вывода нужен профиль конкретного ингредиента и способа обработки.</x:v>
      </x:c>
      <x:c r="I20" s="28" t="n">
        <x:f>COUNTIF('Все сочетания'!$C:$C,A20)+COUNTIF('Все сочетания'!$F:$F,A20)</x:f>
        <x:v>3</x:v>
      </x:c>
    </x:row>
    <x:row r="21" ht="46" customHeight="1">
      <x:c r="A21" s="28" t="str">
        <x:v>базилик</x:v>
      </x:c>
      <x:c r="B21" s="28" t="str">
        <x:v>Травы</x:v>
      </x:c>
      <x:c r="C21" s="28" t="str">
        <x:v>зелёный, анисовый, цветочный, пряный</x:v>
      </x:c>
      <x:c r="D21" s="28" t="str">
        <x:v>линалол, эстрагол, эвгенол</x:v>
      </x:c>
      <x:c r="E21" s="28" t="str">
        <x:v>травяной, слегка горький</x:v>
      </x:c>
      <x:c r="F21" s="28" t="str">
        <x:v>нет выраженного</x:v>
      </x:c>
      <x:c r="G21" s="28" t="str">
        <x:v>летучие масла чувствительны к длительному нагреву</x:v>
      </x:c>
      <x:c r="H21" s="28" t="str">
        <x:v>Базилик и эстрагон могут связать цитрус с фруктами, томатом и сливочными матрицами.</x:v>
      </x:c>
      <x:c r="I21" s="28" t="n">
        <x:f>COUNTIF('Все сочетания'!$C:$C,A21)+COUNTIF('Все сочетания'!$F:$F,A21)</x:f>
        <x:v>9</x:v>
      </x:c>
    </x:row>
    <x:row r="22" ht="46" customHeight="1">
      <x:c r="A22" s="28" t="str">
        <x:v>баклажан</x:v>
      </x:c>
      <x:c r="B22" s="28" t="str">
        <x:v>Овощи</x:v>
      </x:c>
      <x:c r="C22" s="28" t="str">
        <x:v>зелёный, землистый, растительный, иногда сернистый</x:v>
      </x:c>
      <x:c r="D22" s="28" t="str">
        <x:v>C6-альдегиды, метоксипиразины, геосмин (землистые), сернистые соединения</x:v>
      </x:c>
      <x:c r="E22" s="28" t="str">
        <x:v>сладковатый, горьковатый, умами</x:v>
      </x:c>
      <x:c r="F22" s="28" t="str">
        <x:v>нет выраженного</x:v>
      </x:c>
      <x:c r="G22" s="28" t="str">
        <x:v>водная/крахмальная матрица; масло помогает распределить цедру</x:v>
      </x:c>
      <x:c r="H22" s="28" t="str">
        <x:v>Кислота подчёркивает сладость овощей и сокращает землистое или сернистое послевкусие.</x:v>
      </x:c>
      <x:c r="I22" s="28" t="n">
        <x:f>COUNTIF('Все сочетания'!$C:$C,A22)+COUNTIF('Все сочетания'!$F:$F,A22)</x:f>
        <x:v>1</x:v>
      </x:c>
    </x:row>
    <x:row r="23" ht="46" customHeight="1">
      <x:c r="A23" s="28" t="str">
        <x:v>бакури</x:v>
      </x:c>
      <x:c r="B23" s="28" t="str">
        <x:v>Прочее</x:v>
      </x:c>
      <x:c r="C23" s="28" t="str">
        <x:v>нейтральный/специфический</x:v>
      </x:c>
      <x:c r="D23" s="28" t="str">
        <x:v>нужен профиль конкретного продукта</x:v>
      </x:c>
      <x:c r="E23" s="28" t="str">
        <x:v>зависит от продукта</x:v>
      </x:c>
      <x:c r="F23" s="28" t="str">
        <x:v>нет данных</x:v>
      </x:c>
      <x:c r="G23" s="28" t="str">
        <x:v>зависит от формы продукта</x:v>
      </x:c>
      <x:c r="H23" s="28" t="str">
        <x:v>Для точного молекулярного вывода нужен профиль конкретного ингредиента и способа обработки.</x:v>
      </x:c>
      <x:c r="I23" s="28" t="n">
        <x:f>COUNTIF('Все сочетания'!$C:$C,A23)+COUNTIF('Все сочетания'!$F:$F,A23)</x:f>
        <x:v>2</x:v>
      </x:c>
    </x:row>
    <x:row r="24" ht="46" customHeight="1">
      <x:c r="A24" s="28" t="str">
        <x:v>банан</x:v>
      </x:c>
      <x:c r="B24" s="28" t="str">
        <x:v>Тропические фрукты</x:v>
      </x:c>
      <x:c r="C24" s="28" t="str">
        <x:v>фруктовый, тропический, цветочный, сливочный</x:v>
      </x:c>
      <x:c r="D24" s="28" t="str">
        <x:v>этилбутират, гексилацетат, лактоны, сернистые тиолы (у части фруктов)</x:v>
      </x:c>
      <x:c r="E24" s="28" t="str">
        <x:v>сладкий, умеренно кислый</x:v>
      </x:c>
      <x:c r="F24" s="28" t="str">
        <x:v>нет выраженного</x:v>
      </x:c>
      <x:c r="G24" s="28" t="str">
        <x:v>сочная или кремовая фруктовая матрица</x:v>
      </x:c>
      <x:c r="H24" s="28" t="str">
        <x:v>Цитрус снижает ощущение приторности и усиливает летучие фруктовые эфиры.</x:v>
      </x:c>
      <x:c r="I24" s="28" t="n">
        <x:f>COUNTIF('Все сочетания'!$C:$C,A24)+COUNTIF('Все сочетания'!$F:$F,A24)</x:f>
        <x:v>4</x:v>
      </x:c>
    </x:row>
    <x:row r="25" ht="46" customHeight="1">
      <x:c r="A25" s="28" t="str">
        <x:v>банановый ликёр</x:v>
      </x:c>
      <x:c r="B25" s="28" t="str">
        <x:v>Тропические фрукты</x:v>
      </x:c>
      <x:c r="C25" s="28" t="str">
        <x:v>фруктовый, тропический, цветочный, сливочный</x:v>
      </x:c>
      <x:c r="D25" s="28" t="str">
        <x:v>этилбутират, гексилацетат, лактоны, сернистые тиолы (у части фруктов)</x:v>
      </x:c>
      <x:c r="E25" s="28" t="str">
        <x:v>сладкий, умеренно кислый</x:v>
      </x:c>
      <x:c r="F25" s="28" t="str">
        <x:v>нет выраженного</x:v>
      </x:c>
      <x:c r="G25" s="28" t="str">
        <x:v>сочная или кремовая фруктовая матрица</x:v>
      </x:c>
      <x:c r="H25" s="28" t="str">
        <x:v>Цитрус снижает ощущение приторности и усиливает летучие фруктовые эфиры.</x:v>
      </x:c>
      <x:c r="I25" s="28" t="n">
        <x:f>COUNTIF('Все сочетания'!$C:$C,A25)+COUNTIF('Все сочетания'!$F:$F,A25)</x:f>
        <x:v>2</x:v>
      </x:c>
    </x:row>
    <x:row r="26" ht="46" customHeight="1">
      <x:c r="A26" s="28" t="str">
        <x:v>баранина</x:v>
      </x:c>
      <x:c r="B26" s="28" t="str">
        <x:v>Мясо и птица</x:v>
      </x:c>
      <x:c r="C26" s="28" t="str">
        <x:v>жареный, мясной, сернистый, жирный</x:v>
      </x:c>
      <x:c r="D26" s="28" t="str">
        <x:v>пиразины, тиазолы, альдегиды жиров, сернистые соединения</x:v>
      </x:c>
      <x:c r="E26" s="28" t="str">
        <x:v>умами, солёный, жирный</x:v>
      </x:c>
      <x:c r="F26" s="28" t="str">
        <x:v>нет выраженного</x:v>
      </x:c>
      <x:c r="G26" s="28" t="str">
        <x:v>жир удерживает терпеновые масла; кислота снижает ощущение жирности</x:v>
      </x:c>
      <x:c r="H26" s="28" t="str">
        <x:v>Цитрус создаёт контраст с реакциями Майяра и освежает мясную матрицу.</x:v>
      </x:c>
      <x:c r="I26" s="28" t="n">
        <x:f>COUNTIF('Все сочетания'!$C:$C,A26)+COUNTIF('Все сочетания'!$F:$F,A26)</x:f>
        <x:v>2</x:v>
      </x:c>
    </x:row>
    <x:row r="27" ht="46" customHeight="1">
      <x:c r="A27" s="28" t="str">
        <x:v>баранина на гриле</x:v>
      </x:c>
      <x:c r="B27" s="28" t="str">
        <x:v>Мясо и птица</x:v>
      </x:c>
      <x:c r="C27" s="28" t="str">
        <x:v>жареный, мясной, сернистый, жирный</x:v>
      </x:c>
      <x:c r="D27" s="28" t="str">
        <x:v>пиразины, тиазолы, альдегиды жиров, сернистые соединения</x:v>
      </x:c>
      <x:c r="E27" s="28" t="str">
        <x:v>умами, солёный, жирный</x:v>
      </x:c>
      <x:c r="F27" s="28" t="str">
        <x:v>нет выраженного</x:v>
      </x:c>
      <x:c r="G27" s="28" t="str">
        <x:v>жир удерживает терпеновые масла; кислота снижает ощущение жирности</x:v>
      </x:c>
      <x:c r="H27" s="28" t="str">
        <x:v>Цитрус создаёт контраст с реакциями Майяра и освежает мясную матрицу.</x:v>
      </x:c>
      <x:c r="I27" s="28" t="n">
        <x:f>COUNTIF('Все сочетания'!$C:$C,A27)+COUNTIF('Все сочетания'!$F:$F,A27)</x:f>
        <x:v>1</x:v>
      </x:c>
    </x:row>
    <x:row r="28" ht="46" customHeight="1">
      <x:c r="A28" s="28" t="str">
        <x:v>бекон</x:v>
      </x:c>
      <x:c r="B28" s="28" t="str">
        <x:v>Мясо и птица</x:v>
      </x:c>
      <x:c r="C28" s="28" t="str">
        <x:v>жареный, мясной, сернистый, жирный</x:v>
      </x:c>
      <x:c r="D28" s="28" t="str">
        <x:v>пиразины, тиазолы, альдегиды жиров, сернистые соединения</x:v>
      </x:c>
      <x:c r="E28" s="28" t="str">
        <x:v>умами, солёный, жирный</x:v>
      </x:c>
      <x:c r="F28" s="28" t="str">
        <x:v>нет выраженного</x:v>
      </x:c>
      <x:c r="G28" s="28" t="str">
        <x:v>жир удерживает терпеновые масла; кислота снижает ощущение жирности</x:v>
      </x:c>
      <x:c r="H28" s="28" t="str">
        <x:v>Цитрус создаёт контраст с реакциями Майяра и освежает мясную матрицу.</x:v>
      </x:c>
      <x:c r="I28" s="28" t="n">
        <x:f>COUNTIF('Все сочетания'!$C:$C,A28)+COUNTIF('Все сочетания'!$F:$F,A28)</x:f>
        <x:v>1</x:v>
      </x:c>
    </x:row>
    <x:row r="29" ht="46" customHeight="1">
      <x:c r="A29" s="28" t="str">
        <x:v>белая рыба</x:v>
      </x:c>
      <x:c r="B29" s="28" t="str">
        <x:v>Рыба и морепродукты</x:v>
      </x:c>
      <x:c r="C29" s="28" t="str">
        <x:v>морской, йодистый, зелёный, жирный</x:v>
      </x:c>
      <x:c r="D29" s="28" t="str">
        <x:v>альдегиды окисления липидов, бромфенолы, диметилсульфид, умами-соединения</x:v>
      </x:c>
      <x:c r="E29" s="28" t="str">
        <x:v>солёный, умами, жирный</x:v>
      </x:c>
      <x:c r="F29" s="28" t="str">
        <x:v>нет выраженного</x:v>
      </x:c>
      <x:c r="G29" s="28" t="str">
        <x:v>кислота может денатурировать поверхностные белки; жир рыбы удерживает терпены</x:v>
      </x:c>
      <x:c r="H29" s="28" t="str">
        <x:v>Цитрус уменьшает восприятие жирности и рыбных нот, усиливая свежесть и слюноотделение.</x:v>
      </x:c>
      <x:c r="I29" s="28" t="n">
        <x:f>COUNTIF('Все сочетания'!$C:$C,A29)+COUNTIF('Все сочетания'!$F:$F,A29)</x:f>
        <x:v>3</x:v>
      </x:c>
    </x:row>
    <x:row r="30" ht="46" customHeight="1">
      <x:c r="A30" s="28" t="str">
        <x:v>белый шоколад</x:v>
      </x:c>
      <x:c r="B30" s="28" t="str">
        <x:v>Шоколад/обжаренное</x:v>
      </x:c>
      <x:c r="C30" s="28" t="str">
        <x:v>обжаренный, какао, ореховый, карамельный</x:v>
      </x:c>
      <x:c r="D30" s="28" t="str">
        <x:v>пиразины, фураны, фенилуксусная кислота, ванилин</x:v>
      </x:c>
      <x:c r="E30" s="28" t="str">
        <x:v>горький, сладкий</x:v>
      </x:c>
      <x:c r="F30" s="28" t="str">
        <x:v>нет выраженного</x:v>
      </x:c>
      <x:c r="G30" s="28" t="str">
        <x:v>жир какао удерживает гидрофобные терпены</x:v>
      </x:c>
      <x:c r="H30" s="28" t="str">
        <x:v>Цитрус даёт высокую свежую ноту на фоне тёмных жареных соединений.</x:v>
      </x:c>
      <x:c r="I30" s="28" t="n">
        <x:f>COUNTIF('Все сочетания'!$C:$C,A30)+COUNTIF('Все сочетания'!$F:$F,A30)</x:f>
        <x:v>2</x:v>
      </x:c>
    </x:row>
    <x:row r="31" ht="46" customHeight="1">
      <x:c r="A31" s="28" t="str">
        <x:v>бергамот</x:v>
      </x:c>
      <x:c r="B31" s="28" t="str">
        <x:v>Цитрусовые</x:v>
      </x:c>
      <x:c r="C31" s="28" t="str">
        <x:v>цитрусовый, цветочный, травяной, хвойный</x:v>
      </x:c>
      <x:c r="D31" s="28" t="str">
        <x:v>лимонен, линалол, линалил ацетат, гамма-терпинен</x:v>
      </x:c>
      <x:c r="E31" s="28" t="str">
        <x:v>кислый, горький</x:v>
      </x:c>
      <x:c r="F31" s="28" t="str">
        <x:v>нет выраженного; эфирные масла дают лёгкую свежесть</x:v>
      </x:c>
      <x:c r="G31" s="28" t="str">
        <x:v>эфирное масло кожуры особенно хорошо растворяется в жире и этаноле</x:v>
      </x:c>
      <x:c r="H31" s="28" t="str">
        <x:v>Бергамот отличается высоким вкладом линалоола и линалилацетата.</x:v>
      </x:c>
      <x:c r="I31" s="28" t="n">
        <x:f>COUNTIF('Все сочетания'!$C:$C,A31)+COUNTIF('Все сочетания'!$F:$F,A31)</x:f>
        <x:v>19</x:v>
      </x:c>
    </x:row>
    <x:row r="32" ht="46" customHeight="1">
      <x:c r="A32" s="28" t="str">
        <x:v>блё д’Овернь</x:v>
      </x:c>
      <x:c r="B32" s="28" t="str">
        <x:v>Прочее</x:v>
      </x:c>
      <x:c r="C32" s="28" t="str">
        <x:v>нейтральный/специфический</x:v>
      </x:c>
      <x:c r="D32" s="28" t="str">
        <x:v>нужен профиль конкретного продукта</x:v>
      </x:c>
      <x:c r="E32" s="28" t="str">
        <x:v>зависит от продукта</x:v>
      </x:c>
      <x:c r="F32" s="28" t="str">
        <x:v>нет данных</x:v>
      </x:c>
      <x:c r="G32" s="28" t="str">
        <x:v>зависит от формы продукта</x:v>
      </x:c>
      <x:c r="H32" s="28" t="str">
        <x:v>Для точного молекулярного вывода нужен профиль конкретного ингредиента и способа обработки.</x:v>
      </x:c>
      <x:c r="I32" s="28" t="n">
        <x:f>COUNTIF('Все сочетания'!$C:$C,A32)+COUNTIF('Все сочетания'!$F:$F,A32)</x:f>
        <x:v>1</x:v>
      </x:c>
    </x:row>
    <x:row r="33" ht="46" customHeight="1">
      <x:c r="A33" s="28" t="str">
        <x:v>бойзенова ягода</x:v>
      </x:c>
      <x:c r="B33" s="28" t="str">
        <x:v>Ягоды/косточковые</x:v>
      </x:c>
      <x:c r="C33" s="28" t="str">
        <x:v>фруктовый, цветочный, зелёный, винный</x:v>
      </x:c>
      <x:c r="D33" s="28" t="str">
        <x:v>иононы, дамасценон, эфиры, бензальдегид (для косточковых)</x:v>
      </x:c>
      <x:c r="E33" s="28" t="str">
        <x:v>кисло-сладкий, иногда терпкий</x:v>
      </x:c>
      <x:c r="F33" s="28" t="str">
        <x:v>нет выраженного</x:v>
      </x:c>
      <x:c r="G33" s="28" t="str">
        <x:v>водная матрица с антоцианами и полифенолами</x:v>
      </x:c>
      <x:c r="H33" s="28" t="str">
        <x:v>Цитрус усиливает кислотный контур, а цветочные терпены поддерживают ягодный аромат.</x:v>
      </x:c>
      <x:c r="I33" s="28" t="n">
        <x:f>COUNTIF('Все сочетания'!$C:$C,A33)+COUNTIF('Все сочетания'!$F:$F,A33)</x:f>
        <x:v>3</x:v>
      </x:c>
    </x:row>
    <x:row r="34" ht="46" customHeight="1">
      <x:c r="A34" s="28" t="str">
        <x:v>брокколи</x:v>
      </x:c>
      <x:c r="B34" s="28" t="str">
        <x:v>Прочее</x:v>
      </x:c>
      <x:c r="C34" s="28" t="str">
        <x:v>нейтральный/специфический</x:v>
      </x:c>
      <x:c r="D34" s="28" t="str">
        <x:v>нужен профиль конкретного продукта</x:v>
      </x:c>
      <x:c r="E34" s="28" t="str">
        <x:v>зависит от продукта</x:v>
      </x:c>
      <x:c r="F34" s="28" t="str">
        <x:v>нет данных</x:v>
      </x:c>
      <x:c r="G34" s="28" t="str">
        <x:v>зависит от формы продукта</x:v>
      </x:c>
      <x:c r="H34" s="28" t="str">
        <x:v>Для точного молекулярного вывода нужен профиль конкретного ингредиента и способа обработки.</x:v>
      </x:c>
      <x:c r="I34" s="28" t="n">
        <x:f>COUNTIF('Все сочетания'!$C:$C,A34)+COUNTIF('Все сочетания'!$F:$F,A34)</x:f>
        <x:v>1</x:v>
      </x:c>
    </x:row>
    <x:row r="35" ht="46" customHeight="1">
      <x:c r="A35" s="28" t="str">
        <x:v>бузина</x:v>
      </x:c>
      <x:c r="B35" s="28" t="str">
        <x:v>Прочее</x:v>
      </x:c>
      <x:c r="C35" s="28" t="str">
        <x:v>нейтральный/специфический</x:v>
      </x:c>
      <x:c r="D35" s="28" t="str">
        <x:v>нужен профиль конкретного продукта</x:v>
      </x:c>
      <x:c r="E35" s="28" t="str">
        <x:v>зависит от продукта</x:v>
      </x:c>
      <x:c r="F35" s="28" t="str">
        <x:v>нет данных</x:v>
      </x:c>
      <x:c r="G35" s="28" t="str">
        <x:v>зависит от формы продукта</x:v>
      </x:c>
      <x:c r="H35" s="28" t="str">
        <x:v>Для точного молекулярного вывода нужен профиль конкретного ингредиента и способа обработки.</x:v>
      </x:c>
      <x:c r="I35" s="28" t="n">
        <x:f>COUNTIF('Все сочетания'!$C:$C,A35)+COUNTIF('Все сочетания'!$F:$F,A35)</x:f>
        <x:v>2</x:v>
      </x:c>
    </x:row>
    <x:row r="36" ht="46" customHeight="1">
      <x:c r="A36" s="28" t="str">
        <x:v>бузина (цветки бузины)</x:v>
      </x:c>
      <x:c r="B36" s="28" t="str">
        <x:v>Прочее</x:v>
      </x:c>
      <x:c r="C36" s="28" t="str">
        <x:v>нейтральный/специфический</x:v>
      </x:c>
      <x:c r="D36" s="28" t="str">
        <x:v>нужен профиль конкретного продукта</x:v>
      </x:c>
      <x:c r="E36" s="28" t="str">
        <x:v>зависит от продукта</x:v>
      </x:c>
      <x:c r="F36" s="28" t="str">
        <x:v>нет данных</x:v>
      </x:c>
      <x:c r="G36" s="28" t="str">
        <x:v>зависит от формы продукта</x:v>
      </x:c>
      <x:c r="H36" s="28" t="str">
        <x:v>Для точного молекулярного вывода нужен профиль конкретного ингредиента и способа обработки.</x:v>
      </x:c>
      <x:c r="I36" s="28" t="n">
        <x:f>COUNTIF('Все сочетания'!$C:$C,A36)+COUNTIF('Все сочетания'!$F:$F,A36)</x:f>
        <x:v>3</x:v>
      </x:c>
    </x:row>
    <x:row r="37" ht="46" customHeight="1">
      <x:c r="A37" s="28" t="str">
        <x:v>бурбон</x:v>
      </x:c>
      <x:c r="B37" s="28" t="str">
        <x:v>Прочее</x:v>
      </x:c>
      <x:c r="C37" s="28" t="str">
        <x:v>нейтральный/специфический</x:v>
      </x:c>
      <x:c r="D37" s="28" t="str">
        <x:v>нужен профиль конкретного продукта</x:v>
      </x:c>
      <x:c r="E37" s="28" t="str">
        <x:v>зависит от продукта</x:v>
      </x:c>
      <x:c r="F37" s="28" t="str">
        <x:v>нет данных</x:v>
      </x:c>
      <x:c r="G37" s="28" t="str">
        <x:v>зависит от формы продукта</x:v>
      </x:c>
      <x:c r="H37" s="28" t="str">
        <x:v>Для точного молекулярного вывода нужен профиль конкретного ингредиента и способа обработки.</x:v>
      </x:c>
      <x:c r="I37" s="28" t="n">
        <x:f>COUNTIF('Все сочетания'!$C:$C,A37)+COUNTIF('Все сочетания'!$F:$F,A37)</x:f>
        <x:v>2</x:v>
      </x:c>
    </x:row>
    <x:row r="38" ht="46" customHeight="1">
      <x:c r="A38" s="28" t="str">
        <x:v>быстро обжаренный пак-чой</x:v>
      </x:c>
      <x:c r="B38" s="28" t="str">
        <x:v>Прочее</x:v>
      </x:c>
      <x:c r="C38" s="28" t="str">
        <x:v>нейтральный/специфический</x:v>
      </x:c>
      <x:c r="D38" s="28" t="str">
        <x:v>нужен профиль конкретного продукта</x:v>
      </x:c>
      <x:c r="E38" s="28" t="str">
        <x:v>зависит от продукта</x:v>
      </x:c>
      <x:c r="F38" s="28" t="str">
        <x:v>нет данных</x:v>
      </x:c>
      <x:c r="G38" s="28" t="str">
        <x:v>зависит от формы продукта</x:v>
      </x:c>
      <x:c r="H38" s="28" t="str">
        <x:v>Для точного молекулярного вывода нужен профиль конкретного ингредиента и способа обработки.</x:v>
      </x:c>
      <x:c r="I38" s="28" t="n">
        <x:f>COUNTIF('Все сочетания'!$C:$C,A38)+COUNTIF('Все сочетания'!$F:$F,A38)</x:f>
        <x:v>2</x:v>
      </x:c>
    </x:row>
    <x:row r="39" ht="46" customHeight="1">
      <x:c r="A39" s="28" t="str">
        <x:v>ваниль</x:v>
      </x:c>
      <x:c r="B39" s="28" t="str">
        <x:v>Пряности</x:v>
      </x:c>
      <x:c r="C39" s="28" t="str">
        <x:v>ванильный, бальзамический, сладкий, древесный</x:v>
      </x:c>
      <x:c r="D39" s="28" t="str">
        <x:v>ванилин, п-гидроксибензальдегид, анисовый альдегид</x:v>
      </x:c>
      <x:c r="E39" s="28" t="str">
        <x:v>сладкое впечатление, лёгкая горечь</x:v>
      </x:c>
      <x:c r="F39" s="28" t="str">
        <x:v>нет выраженного</x:v>
      </x:c>
      <x:c r="G39" s="28" t="str">
        <x:v>ванилин растворим в спирте и частично в воде; жир продлевает аромат</x:v>
      </x:c>
      <x:c r="H39" s="28" t="str">
        <x:v>Ваниль округляет кислотность и связывает цитрус с десертными и молочными нотами.</x:v>
      </x:c>
      <x:c r="I39" s="28" t="n">
        <x:f>COUNTIF('Все сочетания'!$C:$C,A39)+COUNTIF('Все сочетания'!$F:$F,A39)</x:f>
        <x:v>5</x:v>
      </x:c>
    </x:row>
    <x:row r="40" ht="46" customHeight="1">
      <x:c r="A40" s="28" t="str">
        <x:v>варёная ветчина</x:v>
      </x:c>
      <x:c r="B40" s="28" t="str">
        <x:v>Мясо и птица</x:v>
      </x:c>
      <x:c r="C40" s="28" t="str">
        <x:v>жареный, мясной, сернистый, жирный</x:v>
      </x:c>
      <x:c r="D40" s="28" t="str">
        <x:v>пиразины, тиазолы, альдегиды жиров, сернистые соединения</x:v>
      </x:c>
      <x:c r="E40" s="28" t="str">
        <x:v>умами, солёный, жирный</x:v>
      </x:c>
      <x:c r="F40" s="28" t="str">
        <x:v>нет выраженного</x:v>
      </x:c>
      <x:c r="G40" s="28" t="str">
        <x:v>жир удерживает терпеновые масла; кислота снижает ощущение жирности</x:v>
      </x:c>
      <x:c r="H40" s="28" t="str">
        <x:v>Цитрус создаёт контраст с реакциями Майяра и освежает мясную матрицу.</x:v>
      </x:c>
      <x:c r="I40" s="28" t="n">
        <x:f>COUNTIF('Все сочетания'!$C:$C,A40)+COUNTIF('Все сочетания'!$F:$F,A40)</x:f>
        <x:v>1</x:v>
      </x:c>
    </x:row>
    <x:row r="41" ht="46" customHeight="1">
      <x:c r="A41" s="28" t="str">
        <x:v>вересковый мёд</x:v>
      </x:c>
      <x:c r="B41" s="28" t="str">
        <x:v>Подсластители</x:v>
      </x:c>
      <x:c r="C41" s="28" t="str">
        <x:v>медовый, цветочный, карамельный</x:v>
      </x:c>
      <x:c r="D41" s="28" t="str">
        <x:v>фенилуксусные соединения, фураны, норизопреноиды</x:v>
      </x:c>
      <x:c r="E41" s="28" t="str">
        <x:v>сладкий</x:v>
      </x:c>
      <x:c r="F41" s="28" t="str">
        <x:v>нет выраженного</x:v>
      </x:c>
      <x:c r="G41" s="28" t="str">
        <x:v>сахар повышает вязкость и снижает воспринимаемую кислотность</x:v>
      </x:c>
      <x:c r="H41" s="28" t="str">
        <x:v>Сладость балансирует кислоту и горечь кожуры; цветочные компоненты могут поддерживать цитрус.</x:v>
      </x:c>
      <x:c r="I41" s="28" t="n">
        <x:f>COUNTIF('Все сочетания'!$C:$C,A41)+COUNTIF('Все сочетания'!$F:$F,A41)</x:f>
        <x:v>1</x:v>
      </x:c>
    </x:row>
    <x:row r="42" ht="46" customHeight="1">
      <x:c r="A42" s="28" t="str">
        <x:v>виноград</x:v>
      </x:c>
      <x:c r="B42" s="28" t="str">
        <x:v>Алкогольные напитки</x:v>
      </x:c>
      <x:c r="C42" s="28" t="str">
        <x:v>зависит от основы, эфирный, древесный/пряный</x:v>
      </x:c>
      <x:c r="D42" s="28" t="str">
        <x:v>этанол, эфиры, терпены/дубовые соединения</x:v>
      </x:c>
      <x:c r="E42" s="28" t="str">
        <x:v>горький, сладкий или сухой</x:v>
      </x:c>
      <x:c r="F42" s="28" t="str">
        <x:v>этанол усиливает тепло и летучесть аромата</x:v>
      </x:c>
      <x:c r="G42" s="28" t="str">
        <x:v>этанол — хороший растворитель гидрофобных эфирных масел</x:v>
      </x:c>
      <x:c r="H42" s="28" t="str">
        <x:v>Спирт извлекает цедру и усиливает ретроназальный выход терпенов; сахар и разбавление меняют баланс.</x:v>
      </x:c>
      <x:c r="I42" s="28" t="n">
        <x:f>COUNTIF('Все сочетания'!$C:$C,A42)+COUNTIF('Все сочетания'!$F:$F,A42)</x:f>
        <x:v>3</x:v>
      </x:c>
    </x:row>
    <x:row r="43" ht="46" customHeight="1">
      <x:c r="A43" s="28" t="str">
        <x:v>вишня</x:v>
      </x:c>
      <x:c r="B43" s="28" t="str">
        <x:v>Ягоды/косточковые</x:v>
      </x:c>
      <x:c r="C43" s="28" t="str">
        <x:v>фруктовый, цветочный, зелёный, винный</x:v>
      </x:c>
      <x:c r="D43" s="28" t="str">
        <x:v>иононы, дамасценон, эфиры, бензальдегид (для косточковых)</x:v>
      </x:c>
      <x:c r="E43" s="28" t="str">
        <x:v>кисло-сладкий, иногда терпкий</x:v>
      </x:c>
      <x:c r="F43" s="28" t="str">
        <x:v>нет выраженного</x:v>
      </x:c>
      <x:c r="G43" s="28" t="str">
        <x:v>водная матрица с антоцианами и полифенолами</x:v>
      </x:c>
      <x:c r="H43" s="28" t="str">
        <x:v>Цитрус усиливает кислотный контур, а цветочные терпены поддерживают ягодный аромат.</x:v>
      </x:c>
      <x:c r="I43" s="28" t="n">
        <x:f>COUNTIF('Все сочетания'!$C:$C,A43)+COUNTIF('Все сочетания'!$F:$F,A43)</x:f>
        <x:v>5</x:v>
      </x:c>
    </x:row>
    <x:row r="44" ht="46" customHeight="1">
      <x:c r="A44" s="28" t="str">
        <x:v>вишня Морелло</x:v>
      </x:c>
      <x:c r="B44" s="28" t="str">
        <x:v>Ягоды/косточковые</x:v>
      </x:c>
      <x:c r="C44" s="28" t="str">
        <x:v>фруктовый, цветочный, зелёный, винный</x:v>
      </x:c>
      <x:c r="D44" s="28" t="str">
        <x:v>иононы, дамасценон, эфиры, бензальдегид (для косточковых)</x:v>
      </x:c>
      <x:c r="E44" s="28" t="str">
        <x:v>кисло-сладкий, иногда терпкий</x:v>
      </x:c>
      <x:c r="F44" s="28" t="str">
        <x:v>нет выраженного</x:v>
      </x:c>
      <x:c r="G44" s="28" t="str">
        <x:v>водная матрица с антоцианами и полифенолами</x:v>
      </x:c>
      <x:c r="H44" s="28" t="str">
        <x:v>Цитрус усиливает кислотный контур, а цветочные терпены поддерживают ягодный аромат.</x:v>
      </x:c>
      <x:c r="I44" s="28" t="n">
        <x:f>COUNTIF('Все сочетания'!$C:$C,A44)+COUNTIF('Все сочетания'!$F:$F,A44)</x:f>
        <x:v>1</x:v>
      </x:c>
    </x:row>
    <x:row r="45" ht="46" customHeight="1">
      <x:c r="A45" s="28" t="str">
        <x:v>вода флердоранжа</x:v>
      </x:c>
      <x:c r="B45" s="28" t="str">
        <x:v>Прочее</x:v>
      </x:c>
      <x:c r="C45" s="28" t="str">
        <x:v>нейтральный/специфический</x:v>
      </x:c>
      <x:c r="D45" s="28" t="str">
        <x:v>нужен профиль конкретного продукта</x:v>
      </x:c>
      <x:c r="E45" s="28" t="str">
        <x:v>зависит от продукта</x:v>
      </x:c>
      <x:c r="F45" s="28" t="str">
        <x:v>нет данных</x:v>
      </x:c>
      <x:c r="G45" s="28" t="str">
        <x:v>зависит от формы продукта</x:v>
      </x:c>
      <x:c r="H45" s="28" t="str">
        <x:v>Для точного молекулярного вывода нужен профиль конкретного ингредиента и способа обработки.</x:v>
      </x:c>
      <x:c r="I45" s="28" t="n">
        <x:f>COUNTIF('Все сочетания'!$C:$C,A45)+COUNTIF('Все сочетания'!$F:$F,A45)</x:f>
        <x:v>1</x:v>
      </x:c>
    </x:row>
    <x:row r="46" ht="46" customHeight="1">
      <x:c r="A46" s="28" t="str">
        <x:v>водка Belvedere</x:v>
      </x:c>
      <x:c r="B46" s="28" t="str">
        <x:v>Алкогольные напитки</x:v>
      </x:c>
      <x:c r="C46" s="28" t="str">
        <x:v>зависит от основы, эфирный, древесный/пряный</x:v>
      </x:c>
      <x:c r="D46" s="28" t="str">
        <x:v>этанол, эфиры, терпены/дубовые соединения</x:v>
      </x:c>
      <x:c r="E46" s="28" t="str">
        <x:v>горький, сладкий или сухой</x:v>
      </x:c>
      <x:c r="F46" s="28" t="str">
        <x:v>этанол усиливает тепло и летучесть аромата</x:v>
      </x:c>
      <x:c r="G46" s="28" t="str">
        <x:v>этанол — хороший растворитель гидрофобных эфирных масел</x:v>
      </x:c>
      <x:c r="H46" s="28" t="str">
        <x:v>Спирт извлекает цедру и усиливает ретроназальный выход терпенов; сахар и разбавление меняют баланс.</x:v>
      </x:c>
      <x:c r="I46" s="28" t="n">
        <x:f>COUNTIF('Все сочетания'!$C:$C,A46)+COUNTIF('Все сочетания'!$F:$F,A46)</x:f>
        <x:v>1</x:v>
      </x:c>
    </x:row>
    <x:row r="47" ht="46" customHeight="1">
      <x:c r="A47" s="28" t="str">
        <x:v>водоросль Gracilaria carnosa</x:v>
      </x:c>
      <x:c r="B47" s="28" t="str">
        <x:v>Рыба и морепродукты</x:v>
      </x:c>
      <x:c r="C47" s="28" t="str">
        <x:v>морской, йодистый, зелёный, жирный</x:v>
      </x:c>
      <x:c r="D47" s="28" t="str">
        <x:v>альдегиды окисления липидов, бромфенолы, диметилсульфид, умами-соединения</x:v>
      </x:c>
      <x:c r="E47" s="28" t="str">
        <x:v>солёный, умами, жирный</x:v>
      </x:c>
      <x:c r="F47" s="28" t="str">
        <x:v>нет выраженного</x:v>
      </x:c>
      <x:c r="G47" s="28" t="str">
        <x:v>кислота может денатурировать поверхностные белки; жир рыбы удерживает терпены</x:v>
      </x:c>
      <x:c r="H47" s="28" t="str">
        <x:v>Цитрус уменьшает восприятие жирности и рыбных нот, усиливая свежесть и слюноотделение.</x:v>
      </x:c>
      <x:c r="I47" s="28" t="n">
        <x:f>COUNTIF('Все сочетания'!$C:$C,A47)+COUNTIF('Все сочетания'!$F:$F,A47)</x:f>
        <x:v>1</x:v>
      </x:c>
    </x:row>
    <x:row r="48" ht="46" customHeight="1">
      <x:c r="A48" s="28" t="str">
        <x:v>водяника</x:v>
      </x:c>
      <x:c r="B48" s="28" t="str">
        <x:v>Прочее</x:v>
      </x:c>
      <x:c r="C48" s="28" t="str">
        <x:v>нейтральный/специфический</x:v>
      </x:c>
      <x:c r="D48" s="28" t="str">
        <x:v>нужен профиль конкретного продукта</x:v>
      </x:c>
      <x:c r="E48" s="28" t="str">
        <x:v>зависит от продукта</x:v>
      </x:c>
      <x:c r="F48" s="28" t="str">
        <x:v>нет данных</x:v>
      </x:c>
      <x:c r="G48" s="28" t="str">
        <x:v>зависит от формы продукта</x:v>
      </x:c>
      <x:c r="H48" s="28" t="str">
        <x:v>Для точного молекулярного вывода нужен профиль конкретного ингредиента и способа обработки.</x:v>
      </x:c>
      <x:c r="I48" s="28" t="n">
        <x:f>COUNTIF('Все сочетания'!$C:$C,A48)+COUNTIF('Все сочетания'!$F:$F,A48)</x:f>
        <x:v>1</x:v>
      </x:c>
    </x:row>
    <x:row r="49" ht="46" customHeight="1">
      <x:c r="A49" s="28" t="str">
        <x:v>водяной кресс</x:v>
      </x:c>
      <x:c r="B49" s="28" t="str">
        <x:v>Прочее</x:v>
      </x:c>
      <x:c r="C49" s="28" t="str">
        <x:v>нейтральный/специфический</x:v>
      </x:c>
      <x:c r="D49" s="28" t="str">
        <x:v>нужен профиль конкретного продукта</x:v>
      </x:c>
      <x:c r="E49" s="28" t="str">
        <x:v>зависит от продукта</x:v>
      </x:c>
      <x:c r="F49" s="28" t="str">
        <x:v>нет данных</x:v>
      </x:c>
      <x:c r="G49" s="28" t="str">
        <x:v>зависит от формы продукта</x:v>
      </x:c>
      <x:c r="H49" s="28" t="str">
        <x:v>Для точного молекулярного вывода нужен профиль конкретного ингредиента и способа обработки.</x:v>
      </x:c>
      <x:c r="I49" s="28" t="n">
        <x:f>COUNTIF('Все сочетания'!$C:$C,A49)+COUNTIF('Все сочетания'!$F:$F,A49)</x:f>
        <x:v>2</x:v>
      </x:c>
    </x:row>
    <x:row r="50" ht="46" customHeight="1">
      <x:c r="A50" s="28" t="str">
        <x:v>водяной ямс</x:v>
      </x:c>
      <x:c r="B50" s="28" t="str">
        <x:v>Прочее</x:v>
      </x:c>
      <x:c r="C50" s="28" t="str">
        <x:v>нейтральный/специфический</x:v>
      </x:c>
      <x:c r="D50" s="28" t="str">
        <x:v>нужен профиль конкретного продукта</x:v>
      </x:c>
      <x:c r="E50" s="28" t="str">
        <x:v>зависит от продукта</x:v>
      </x:c>
      <x:c r="F50" s="28" t="str">
        <x:v>нет данных</x:v>
      </x:c>
      <x:c r="G50" s="28" t="str">
        <x:v>зависит от формы продукта</x:v>
      </x:c>
      <x:c r="H50" s="28" t="str">
        <x:v>Для точного молекулярного вывода нужен профиль конкретного ингредиента и способа обработки.</x:v>
      </x:c>
      <x:c r="I50" s="28" t="n">
        <x:f>COUNTIF('Все сочетания'!$C:$C,A50)+COUNTIF('Все сочетания'!$F:$F,A50)</x:f>
        <x:v>2</x:v>
      </x:c>
    </x:row>
    <x:row r="51" ht="46" customHeight="1">
      <x:c r="A51" s="28" t="str">
        <x:v>галангал</x:v>
      </x:c>
      <x:c r="B51" s="28" t="str">
        <x:v>Пряности</x:v>
      </x:c>
      <x:c r="C51" s="28" t="str">
        <x:v>цитрусовый, пряный, древесный, тёплый</x:v>
      </x:c>
      <x:c r="D51" s="28" t="str">
        <x:v>зингиберен, цитраль, гераниол, гингеролы/шогаолы</x:v>
      </x:c>
      <x:c r="E51" s="28" t="str">
        <x:v>острый, слегка сладкий</x:v>
      </x:c>
      <x:c r="F51" s="28" t="str">
        <x:v>гингеролы и шогаолы активируют TRPV1 и дают тепло</x:v>
      </x:c>
      <x:c r="G51" s="28" t="str">
        <x:v>ароматические терпены лучше извлекаются этанолом и жиром</x:v>
      </x:c>
      <x:c r="H51" s="28" t="str">
        <x:v>Свежий имбирь более цитрусовый, нагретый и сушёный — более тёплый и жгучий.</x:v>
      </x:c>
      <x:c r="I51" s="28" t="n">
        <x:f>COUNTIF('Все сочетания'!$C:$C,A51)+COUNTIF('Все сочетания'!$F:$F,A51)</x:f>
        <x:v>3</x:v>
      </x:c>
    </x:row>
    <x:row r="52" ht="46" customHeight="1">
      <x:c r="A52" s="28" t="str">
        <x:v>гвоздика</x:v>
      </x:c>
      <x:c r="B52" s="28" t="str">
        <x:v>Пряности</x:v>
      </x:c>
      <x:c r="C52" s="28" t="str">
        <x:v>пряный, фенольный, древесный</x:v>
      </x:c>
      <x:c r="D52" s="28" t="str">
        <x:v>эвгенол, эвгенилацетат, бета-кариофиллен</x:v>
      </x:c>
      <x:c r="E52" s="28" t="str">
        <x:v>пряный, горьковатый</x:v>
      </x:c>
      <x:c r="F52" s="28" t="str">
        <x:v>эвгенол даёт теплоту и лёгкое онемение</x:v>
      </x:c>
      <x:c r="G52" s="28" t="str">
        <x:v>эфирное масло хорошо растворяется в спирте и жире</x:v>
      </x:c>
      <x:c r="H52" s="28" t="str">
        <x:v>Гвоздика очень интенсивна и легко доминирует.</x:v>
      </x:c>
      <x:c r="I52" s="28" t="n">
        <x:f>COUNTIF('Все сочетания'!$C:$C,A52)+COUNTIF('Все сочетания'!$F:$F,A52)</x:f>
        <x:v>3</x:v>
      </x:c>
    </x:row>
    <x:row r="53" ht="46" customHeight="1">
      <x:c r="A53" s="28" t="str">
        <x:v>гибискус</x:v>
      </x:c>
      <x:c r="B53" s="28" t="str">
        <x:v>Прочее</x:v>
      </x:c>
      <x:c r="C53" s="28" t="str">
        <x:v>нейтральный/специфический</x:v>
      </x:c>
      <x:c r="D53" s="28" t="str">
        <x:v>нужен профиль конкретного продукта</x:v>
      </x:c>
      <x:c r="E53" s="28" t="str">
        <x:v>зависит от продукта</x:v>
      </x:c>
      <x:c r="F53" s="28" t="str">
        <x:v>нет данных</x:v>
      </x:c>
      <x:c r="G53" s="28" t="str">
        <x:v>зависит от формы продукта</x:v>
      </x:c>
      <x:c r="H53" s="28" t="str">
        <x:v>Для точного молекулярного вывода нужен профиль конкретного ингредиента и способа обработки.</x:v>
      </x:c>
      <x:c r="I53" s="28" t="n">
        <x:f>COUNTIF('Все сочетания'!$C:$C,A53)+COUNTIF('Все сочетания'!$F:$F,A53)</x:f>
        <x:v>1</x:v>
      </x:c>
    </x:row>
    <x:row r="54" ht="46" customHeight="1">
      <x:c r="A54" s="28" t="str">
        <x:v>гигантский иссоп</x:v>
      </x:c>
      <x:c r="B54" s="28" t="str">
        <x:v>Прочее</x:v>
      </x:c>
      <x:c r="C54" s="28" t="str">
        <x:v>нейтральный/специфический</x:v>
      </x:c>
      <x:c r="D54" s="28" t="str">
        <x:v>нужен профиль конкретного продукта</x:v>
      </x:c>
      <x:c r="E54" s="28" t="str">
        <x:v>зависит от продукта</x:v>
      </x:c>
      <x:c r="F54" s="28" t="str">
        <x:v>нет данных</x:v>
      </x:c>
      <x:c r="G54" s="28" t="str">
        <x:v>зависит от формы продукта</x:v>
      </x:c>
      <x:c r="H54" s="28" t="str">
        <x:v>Для точного молекулярного вывода нужен профиль конкретного ингредиента и способа обработки.</x:v>
      </x:c>
      <x:c r="I54" s="28" t="n">
        <x:f>COUNTIF('Все сочетания'!$C:$C,A54)+COUNTIF('Все сочетания'!$F:$F,A54)</x:f>
        <x:v>1</x:v>
      </x:c>
    </x:row>
    <x:row r="55" ht="46" customHeight="1">
      <x:c r="A55" s="28" t="str">
        <x:v>говядина</x:v>
      </x:c>
      <x:c r="B55" s="28" t="str">
        <x:v>Мясо и птица</x:v>
      </x:c>
      <x:c r="C55" s="28" t="str">
        <x:v>жареный, мясной, сернистый, жирный</x:v>
      </x:c>
      <x:c r="D55" s="28" t="str">
        <x:v>пиразины, тиазолы, альдегиды жиров, сернистые соединения</x:v>
      </x:c>
      <x:c r="E55" s="28" t="str">
        <x:v>умами, солёный, жирный</x:v>
      </x:c>
      <x:c r="F55" s="28" t="str">
        <x:v>нет выраженного</x:v>
      </x:c>
      <x:c r="G55" s="28" t="str">
        <x:v>жир удерживает терпеновые масла; кислота снижает ощущение жирности</x:v>
      </x:c>
      <x:c r="H55" s="28" t="str">
        <x:v>Цитрус создаёт контраст с реакциями Майяра и освежает мясную матрицу.</x:v>
      </x:c>
      <x:c r="I55" s="28" t="n">
        <x:f>COUNTIF('Все сочетания'!$C:$C,A55)+COUNTIF('Все сочетания'!$F:$F,A55)</x:f>
        <x:v>3</x:v>
      </x:c>
    </x:row>
    <x:row r="56" ht="46" customHeight="1">
      <x:c r="A56" s="28" t="str">
        <x:v>говядина сухой выдержки</x:v>
      </x:c>
      <x:c r="B56" s="28" t="str">
        <x:v>Мясо и птица</x:v>
      </x:c>
      <x:c r="C56" s="28" t="str">
        <x:v>жареный, мясной, сернистый, жирный</x:v>
      </x:c>
      <x:c r="D56" s="28" t="str">
        <x:v>пиразины, тиазолы, альдегиды жиров, сернистые соединения</x:v>
      </x:c>
      <x:c r="E56" s="28" t="str">
        <x:v>умами, солёный, жирный</x:v>
      </x:c>
      <x:c r="F56" s="28" t="str">
        <x:v>нет выраженного</x:v>
      </x:c>
      <x:c r="G56" s="28" t="str">
        <x:v>жир удерживает терпеновые масла; кислота снижает ощущение жирности</x:v>
      </x:c>
      <x:c r="H56" s="28" t="str">
        <x:v>Цитрус создаёт контраст с реакциями Майяра и освежает мясную матрицу.</x:v>
      </x:c>
      <x:c r="I56" s="28" t="n">
        <x:f>COUNTIF('Все сочетания'!$C:$C,A56)+COUNTIF('Все сочетания'!$F:$F,A56)</x:f>
        <x:v>1</x:v>
      </x:c>
    </x:row>
    <x:row r="57" ht="46" customHeight="1">
      <x:c r="A57" s="28" t="str">
        <x:v>голубика</x:v>
      </x:c>
      <x:c r="B57" s="28" t="str">
        <x:v>Прочее</x:v>
      </x:c>
      <x:c r="C57" s="28" t="str">
        <x:v>нейтральный/специфический</x:v>
      </x:c>
      <x:c r="D57" s="28" t="str">
        <x:v>нужен профиль конкретного продукта</x:v>
      </x:c>
      <x:c r="E57" s="28" t="str">
        <x:v>зависит от продукта</x:v>
      </x:c>
      <x:c r="F57" s="28" t="str">
        <x:v>нет данных</x:v>
      </x:c>
      <x:c r="G57" s="28" t="str">
        <x:v>зависит от формы продукта</x:v>
      </x:c>
      <x:c r="H57" s="28" t="str">
        <x:v>Для точного молекулярного вывода нужен профиль конкретного ингредиента и способа обработки.</x:v>
      </x:c>
      <x:c r="I57" s="28" t="n">
        <x:f>COUNTIF('Все сочетания'!$C:$C,A57)+COUNTIF('Все сочетания'!$F:$F,A57)</x:f>
        <x:v>2</x:v>
      </x:c>
    </x:row>
    <x:row r="58" ht="46" customHeight="1">
      <x:c r="A58" s="28" t="str">
        <x:v>голубой сыр</x:v>
      </x:c>
      <x:c r="B58" s="28" t="str">
        <x:v>Молочные продукты</x:v>
      </x:c>
      <x:c r="C58" s="28" t="str">
        <x:v>сливочный, молочный, масляный, иногда животный</x:v>
      </x:c>
      <x:c r="D58" s="28" t="str">
        <x:v>диацетил, молочные лактоны, свободные жирные кислоты</x:v>
      </x:c>
      <x:c r="E58" s="28" t="str">
        <x:v>жирный, солёный/умами, кислый у ферментированных</x:v>
      </x:c>
      <x:c r="F58" s="28" t="str">
        <x:v>нет выраженного</x:v>
      </x:c>
      <x:c r="G58" s="28" t="str">
        <x:v>жир растворяет терпены; кислота цитруса может коагулировать молочный белок</x:v>
      </x:c>
      <x:c r="H58" s="28" t="str">
        <x:v>Цитрус режет жирность и освежает, а молочная матрица смягчает кислотность.</x:v>
      </x:c>
      <x:c r="I58" s="28" t="n">
        <x:f>COUNTIF('Все сочетания'!$C:$C,A58)+COUNTIF('Все сочетания'!$F:$F,A58)</x:f>
        <x:v>1</x:v>
      </x:c>
    </x:row>
    <x:row r="59" ht="46" customHeight="1">
      <x:c r="A59" s="28" t="str">
        <x:v>горгонзола</x:v>
      </x:c>
      <x:c r="B59" s="28" t="str">
        <x:v>Прочее</x:v>
      </x:c>
      <x:c r="C59" s="28" t="str">
        <x:v>нейтральный/специфический</x:v>
      </x:c>
      <x:c r="D59" s="28" t="str">
        <x:v>нужен профиль конкретного продукта</x:v>
      </x:c>
      <x:c r="E59" s="28" t="str">
        <x:v>зависит от продукта</x:v>
      </x:c>
      <x:c r="F59" s="28" t="str">
        <x:v>нет данных</x:v>
      </x:c>
      <x:c r="G59" s="28" t="str">
        <x:v>зависит от формы продукта</x:v>
      </x:c>
      <x:c r="H59" s="28" t="str">
        <x:v>Для точного молекулярного вывода нужен профиль конкретного ингредиента и способа обработки.</x:v>
      </x:c>
      <x:c r="I59" s="28" t="n">
        <x:f>COUNTIF('Все сочетания'!$C:$C,A59)+COUNTIF('Все сочетания'!$F:$F,A59)</x:f>
        <x:v>1</x:v>
      </x:c>
    </x:row>
    <x:row r="60" ht="46" customHeight="1">
      <x:c r="A60" s="28" t="str">
        <x:v>горчица</x:v>
      </x:c>
      <x:c r="B60" s="28" t="str">
        <x:v>Прочее</x:v>
      </x:c>
      <x:c r="C60" s="28" t="str">
        <x:v>нейтральный/специфический</x:v>
      </x:c>
      <x:c r="D60" s="28" t="str">
        <x:v>нужен профиль конкретного продукта</x:v>
      </x:c>
      <x:c r="E60" s="28" t="str">
        <x:v>зависит от продукта</x:v>
      </x:c>
      <x:c r="F60" s="28" t="str">
        <x:v>нет данных</x:v>
      </x:c>
      <x:c r="G60" s="28" t="str">
        <x:v>зависит от формы продукта</x:v>
      </x:c>
      <x:c r="H60" s="28" t="str">
        <x:v>Для точного молекулярного вывода нужен профиль конкретного ингредиента и способа обработки.</x:v>
      </x:c>
      <x:c r="I60" s="28" t="n">
        <x:f>COUNTIF('Все сочетания'!$C:$C,A60)+COUNTIF('Все сочетания'!$F:$F,A60)</x:f>
        <x:v>3</x:v>
      </x:c>
    </x:row>
    <x:row r="61" ht="46" customHeight="1">
      <x:c r="A61" s="28" t="str">
        <x:v>гранат</x:v>
      </x:c>
      <x:c r="B61" s="28" t="str">
        <x:v>Прочее</x:v>
      </x:c>
      <x:c r="C61" s="28" t="str">
        <x:v>нейтральный/специфический</x:v>
      </x:c>
      <x:c r="D61" s="28" t="str">
        <x:v>нужен профиль конкретного продукта</x:v>
      </x:c>
      <x:c r="E61" s="28" t="str">
        <x:v>зависит от продукта</x:v>
      </x:c>
      <x:c r="F61" s="28" t="str">
        <x:v>нет данных</x:v>
      </x:c>
      <x:c r="G61" s="28" t="str">
        <x:v>зависит от формы продукта</x:v>
      </x:c>
      <x:c r="H61" s="28" t="str">
        <x:v>Для точного молекулярного вывода нужен профиль конкретного ингредиента и способа обработки.</x:v>
      </x:c>
      <x:c r="I61" s="28" t="n">
        <x:f>COUNTIF('Все сочетания'!$C:$C,A61)+COUNTIF('Все сочетания'!$F:$F,A61)</x:f>
        <x:v>1</x:v>
      </x:c>
    </x:row>
    <x:row r="62" ht="46" customHeight="1">
      <x:c r="A62" s="28" t="str">
        <x:v>гранатовый сок</x:v>
      </x:c>
      <x:c r="B62" s="28" t="str">
        <x:v>Прочее</x:v>
      </x:c>
      <x:c r="C62" s="28" t="str">
        <x:v>нейтральный/специфический</x:v>
      </x:c>
      <x:c r="D62" s="28" t="str">
        <x:v>нужен профиль конкретного продукта</x:v>
      </x:c>
      <x:c r="E62" s="28" t="str">
        <x:v>зависит от продукта</x:v>
      </x:c>
      <x:c r="F62" s="28" t="str">
        <x:v>нет данных</x:v>
      </x:c>
      <x:c r="G62" s="28" t="str">
        <x:v>зависит от формы продукта</x:v>
      </x:c>
      <x:c r="H62" s="28" t="str">
        <x:v>Для точного молекулярного вывода нужен профиль конкретного ингредиента и способа обработки.</x:v>
      </x:c>
      <x:c r="I62" s="28" t="n">
        <x:f>COUNTIF('Все сочетания'!$C:$C,A62)+COUNTIF('Все сочетания'!$F:$F,A62)</x:f>
        <x:v>1</x:v>
      </x:c>
    </x:row>
    <x:row r="63" ht="46" customHeight="1">
      <x:c r="A63" s="28" t="str">
        <x:v>грейпфрут</x:v>
      </x:c>
      <x:c r="B63" s="28" t="str">
        <x:v>Цитрусовые</x:v>
      </x:c>
      <x:c r="C63" s="28" t="str">
        <x:v>цитрусовый, горький, свежий, сернистый</x:v>
      </x:c>
      <x:c r="D63" s="28" t="str">
        <x:v>лимонен, нооткатон, грейпфрутовые тиолы, нарингин</x:v>
      </x:c>
      <x:c r="E63" s="28" t="str">
        <x:v>кислый, горький, умеренно сладкий</x:v>
      </x:c>
      <x:c r="F63" s="28" t="str">
        <x:v>нет выраженного; кислота усиливает слюноотделение</x:v>
      </x:c>
      <x:c r="G63" s="28" t="str">
        <x:v>водная фаза сока + гидрофобные масла кожуры</x:v>
      </x:c>
      <x:c r="H63" s="28" t="str">
        <x:v>Горечь задают флавоноиды, аромат кожуры — терпены и следовые тиолы.</x:v>
      </x:c>
      <x:c r="I63" s="28" t="n">
        <x:f>COUNTIF('Все сочетания'!$C:$C,A63)+COUNTIF('Все сочетания'!$F:$F,A63)</x:f>
        <x:v>53</x:v>
      </x:c>
    </x:row>
    <x:row r="64" ht="46" customHeight="1">
      <x:c r="A64" s="28" t="str">
        <x:v>грейпфрутовый сок</x:v>
      </x:c>
      <x:c r="B64" s="28" t="str">
        <x:v>Цитрусовые</x:v>
      </x:c>
      <x:c r="C64" s="28" t="str">
        <x:v>цитрусовый, горький, свежий, сернистый</x:v>
      </x:c>
      <x:c r="D64" s="28" t="str">
        <x:v>лимонен, нооткатон, грейпфрутовые тиолы, нарингин</x:v>
      </x:c>
      <x:c r="E64" s="28" t="str">
        <x:v>кислый, горький, умеренно сладкий</x:v>
      </x:c>
      <x:c r="F64" s="28" t="str">
        <x:v>нет выраженного; кислота усиливает слюноотделение</x:v>
      </x:c>
      <x:c r="G64" s="28" t="str">
        <x:v>водная фаза сока + гидрофобные масла кожуры</x:v>
      </x:c>
      <x:c r="H64" s="28" t="str">
        <x:v>Горечь задают флавоноиды, аромат кожуры — терпены и следовые тиолы.</x:v>
      </x:c>
      <x:c r="I64" s="28" t="n">
        <x:f>COUNTIF('Все сочетания'!$C:$C,A64)+COUNTIF('Все сочетания'!$F:$F,A64)</x:f>
        <x:v>4</x:v>
      </x:c>
    </x:row>
    <x:row r="65" ht="46" customHeight="1">
      <x:c r="A65" s="28" t="str">
        <x:v>грецкий орех</x:v>
      </x:c>
      <x:c r="B65" s="28" t="str">
        <x:v>Орехи и семена</x:v>
      </x:c>
      <x:c r="C65" s="28" t="str">
        <x:v>ореховый, обжаренный, жирный, зелёный</x:v>
      </x:c>
      <x:c r="D65" s="28" t="str">
        <x:v>пиразины, альдегиды окисления жиров, бензальдегид (миндаль)</x:v>
      </x:c>
      <x:c r="E65" s="28" t="str">
        <x:v>сладковатый, горьковатый</x:v>
      </x:c>
      <x:c r="F65" s="28" t="str">
        <x:v>нет выраженного</x:v>
      </x:c>
      <x:c r="G65" s="28" t="str">
        <x:v>высокая жирность растворяет терпеновые масла цитруса</x:v>
      </x:c>
      <x:c r="H65" s="28" t="str">
        <x:v>Кислота режет жирность, а цедра связывается с обжаренными и цветочными нотами.</x:v>
      </x:c>
      <x:c r="I65" s="28" t="n">
        <x:f>COUNTIF('Все сочетания'!$C:$C,A65)+COUNTIF('Все сочетания'!$F:$F,A65)</x:f>
        <x:v>2</x:v>
      </x:c>
    </x:row>
    <x:row r="66" ht="46" customHeight="1">
      <x:c r="A66" s="28" t="str">
        <x:v>гречка</x:v>
      </x:c>
      <x:c r="B66" s="28" t="str">
        <x:v>Злаки и хлеб</x:v>
      </x:c>
      <x:c r="C66" s="28" t="str">
        <x:v>зерновой, обжаренный, ореховый, дрожжевой</x:v>
      </x:c>
      <x:c r="D66" s="28" t="str">
        <x:v>пиразины, мальтол, фураны, эфиры брожения</x:v>
      </x:c>
      <x:c r="E66" s="28" t="str">
        <x:v>сладковатый, умами</x:v>
      </x:c>
      <x:c r="F66" s="28" t="str">
        <x:v>нет выраженного</x:v>
      </x:c>
      <x:c r="G66" s="28" t="str">
        <x:v>крахмал смягчает кислотность; жир/масло помогает аромату цедры</x:v>
      </x:c>
      <x:c r="H66" s="28" t="str">
        <x:v>Цитрус освежает зерновой профиль и создаёт контраст с обжаренными нотами.</x:v>
      </x:c>
      <x:c r="I66" s="28" t="n">
        <x:f>COUNTIF('Все сочетания'!$C:$C,A66)+COUNTIF('Все сочетания'!$F:$F,A66)</x:f>
        <x:v>1</x:v>
      </x:c>
    </x:row>
    <x:row r="67" ht="46" customHeight="1">
      <x:c r="A67" s="28" t="str">
        <x:v>груша</x:v>
      </x:c>
      <x:c r="B67" s="28" t="str">
        <x:v>Фрукты</x:v>
      </x:c>
      <x:c r="C67" s="28" t="str">
        <x:v>фруктовый, цветочный, восковой</x:v>
      </x:c>
      <x:c r="D67" s="28" t="str">
        <x:v>этилацетат, гексилацетат, декановые эфиры, дамасценон</x:v>
      </x:c>
      <x:c r="E67" s="28" t="str">
        <x:v>сладкий, умеренно кислый</x:v>
      </x:c>
      <x:c r="F67" s="28" t="str">
        <x:v>нет выраженного</x:v>
      </x:c>
      <x:c r="G67" s="28" t="str">
        <x:v>сочная водная матрица</x:v>
      </x:c>
      <x:c r="H67" s="28" t="str">
        <x:v>Груша мягкая и сладкая, поэтому цитрус добавляет ей контур и свежесть.</x:v>
      </x:c>
      <x:c r="I67" s="28" t="n">
        <x:f>COUNTIF('Все сочетания'!$C:$C,A67)+COUNTIF('Все сочетания'!$F:$F,A67)</x:f>
        <x:v>2</x:v>
      </x:c>
    </x:row>
    <x:row r="68" ht="46" customHeight="1">
      <x:c r="A68" s="28" t="str">
        <x:v>груша Вильямс</x:v>
      </x:c>
      <x:c r="B68" s="28" t="str">
        <x:v>Фрукты</x:v>
      </x:c>
      <x:c r="C68" s="28" t="str">
        <x:v>фруктовый, цветочный, восковой</x:v>
      </x:c>
      <x:c r="D68" s="28" t="str">
        <x:v>этилацетат, гексилацетат, декановые эфиры, дамасценон</x:v>
      </x:c>
      <x:c r="E68" s="28" t="str">
        <x:v>сладкий, умеренно кислый</x:v>
      </x:c>
      <x:c r="F68" s="28" t="str">
        <x:v>нет выраженного</x:v>
      </x:c>
      <x:c r="G68" s="28" t="str">
        <x:v>сочная водная матрица</x:v>
      </x:c>
      <x:c r="H68" s="28" t="str">
        <x:v>Груша мягкая и сладкая, поэтому цитрус добавляет ей контур и свежесть.</x:v>
      </x:c>
      <x:c r="I68" s="28" t="n">
        <x:f>COUNTIF('Все сочетания'!$C:$C,A68)+COUNTIF('Все сочетания'!$F:$F,A68)</x:f>
        <x:v>2</x:v>
      </x:c>
    </x:row>
    <x:row r="69" ht="46" customHeight="1">
      <x:c r="A69" s="28" t="str">
        <x:v>груша Вильямс (Бартлетт)</x:v>
      </x:c>
      <x:c r="B69" s="28" t="str">
        <x:v>Фрукты</x:v>
      </x:c>
      <x:c r="C69" s="28" t="str">
        <x:v>фруктовый, цветочный, восковой</x:v>
      </x:c>
      <x:c r="D69" s="28" t="str">
        <x:v>этилацетат, гексилацетат, декановые эфиры, дамасценон</x:v>
      </x:c>
      <x:c r="E69" s="28" t="str">
        <x:v>сладкий, умеренно кислый</x:v>
      </x:c>
      <x:c r="F69" s="28" t="str">
        <x:v>нет выраженного</x:v>
      </x:c>
      <x:c r="G69" s="28" t="str">
        <x:v>сочная водная матрица</x:v>
      </x:c>
      <x:c r="H69" s="28" t="str">
        <x:v>Груша мягкая и сладкая, поэтому цитрус добавляет ей контур и свежесть.</x:v>
      </x:c>
      <x:c r="I69" s="28" t="n">
        <x:f>COUNTIF('Все сочетания'!$C:$C,A69)+COUNTIF('Все сочетания'!$F:$F,A69)</x:f>
        <x:v>1</x:v>
      </x:c>
    </x:row>
    <x:row r="70" ht="46" customHeight="1">
      <x:c r="A70" s="28" t="str">
        <x:v>грюйер</x:v>
      </x:c>
      <x:c r="B70" s="28" t="str">
        <x:v>Прочее</x:v>
      </x:c>
      <x:c r="C70" s="28" t="str">
        <x:v>нейтральный/специфический</x:v>
      </x:c>
      <x:c r="D70" s="28" t="str">
        <x:v>нужен профиль конкретного продукта</x:v>
      </x:c>
      <x:c r="E70" s="28" t="str">
        <x:v>зависит от продукта</x:v>
      </x:c>
      <x:c r="F70" s="28" t="str">
        <x:v>нет данных</x:v>
      </x:c>
      <x:c r="G70" s="28" t="str">
        <x:v>зависит от формы продукта</x:v>
      </x:c>
      <x:c r="H70" s="28" t="str">
        <x:v>Для точного молекулярного вывода нужен профиль конкретного ингредиента и способа обработки.</x:v>
      </x:c>
      <x:c r="I70" s="28" t="n">
        <x:f>COUNTIF('Все сочетания'!$C:$C,A70)+COUNTIF('Все сочетания'!$F:$F,A70)</x:f>
        <x:v>1</x:v>
      </x:c>
    </x:row>
    <x:row r="71" ht="46" customHeight="1">
      <x:c r="A71" s="28" t="str">
        <x:v>гуава</x:v>
      </x:c>
      <x:c r="B71" s="28" t="str">
        <x:v>Тропические фрукты</x:v>
      </x:c>
      <x:c r="C71" s="28" t="str">
        <x:v>фруктовый, тропический, цветочный, сливочный</x:v>
      </x:c>
      <x:c r="D71" s="28" t="str">
        <x:v>этилбутират, гексилацетат, лактоны, сернистые тиолы (у части фруктов)</x:v>
      </x:c>
      <x:c r="E71" s="28" t="str">
        <x:v>сладкий, умеренно кислый</x:v>
      </x:c>
      <x:c r="F71" s="28" t="str">
        <x:v>нет выраженного</x:v>
      </x:c>
      <x:c r="G71" s="28" t="str">
        <x:v>сочная или кремовая фруктовая матрица</x:v>
      </x:c>
      <x:c r="H71" s="28" t="str">
        <x:v>Цитрус снижает ощущение приторности и усиливает летучие фруктовые эфиры.</x:v>
      </x:c>
      <x:c r="I71" s="28" t="n">
        <x:f>COUNTIF('Все сочетания'!$C:$C,A71)+COUNTIF('Все сочетания'!$F:$F,A71)</x:f>
        <x:v>4</x:v>
      </x:c>
    </x:row>
    <x:row r="72" ht="46" customHeight="1">
      <x:c r="A72" s="28" t="str">
        <x:v>гуава Кеттли</x:v>
      </x:c>
      <x:c r="B72" s="28" t="str">
        <x:v>Тропические фрукты</x:v>
      </x:c>
      <x:c r="C72" s="28" t="str">
        <x:v>фруктовый, тропический, цветочный, сливочный</x:v>
      </x:c>
      <x:c r="D72" s="28" t="str">
        <x:v>этилбутират, гексилацетат, лактоны, сернистые тиолы (у части фруктов)</x:v>
      </x:c>
      <x:c r="E72" s="28" t="str">
        <x:v>сладкий, умеренно кислый</x:v>
      </x:c>
      <x:c r="F72" s="28" t="str">
        <x:v>нет выраженного</x:v>
      </x:c>
      <x:c r="G72" s="28" t="str">
        <x:v>сочная или кремовая фруктовая матрица</x:v>
      </x:c>
      <x:c r="H72" s="28" t="str">
        <x:v>Цитрус снижает ощущение приторности и усиливает летучие фруктовые эфиры.</x:v>
      </x:c>
      <x:c r="I72" s="28" t="n">
        <x:f>COUNTIF('Все сочетания'!$C:$C,A72)+COUNTIF('Все сочетания'!$F:$F,A72)</x:f>
        <x:v>1</x:v>
      </x:c>
    </x:row>
    <x:row r="73" ht="46" customHeight="1">
      <x:c r="A73" s="28" t="str">
        <x:v>гуакамоле</x:v>
      </x:c>
      <x:c r="B73" s="28" t="str">
        <x:v>Прочее</x:v>
      </x:c>
      <x:c r="C73" s="28" t="str">
        <x:v>нейтральный/специфический</x:v>
      </x:c>
      <x:c r="D73" s="28" t="str">
        <x:v>нужен профиль конкретного продукта</x:v>
      </x:c>
      <x:c r="E73" s="28" t="str">
        <x:v>зависит от продукта</x:v>
      </x:c>
      <x:c r="F73" s="28" t="str">
        <x:v>нет данных</x:v>
      </x:c>
      <x:c r="G73" s="28" t="str">
        <x:v>зависит от формы продукта</x:v>
      </x:c>
      <x:c r="H73" s="28" t="str">
        <x:v>Для точного молекулярного вывода нужен профиль конкретного ингредиента и способа обработки.</x:v>
      </x:c>
      <x:c r="I73" s="28" t="n">
        <x:f>COUNTIF('Все сочетания'!$C:$C,A73)+COUNTIF('Все сочетания'!$F:$F,A73)</x:f>
        <x:v>1</x:v>
      </x:c>
    </x:row>
    <x:row r="74" ht="46" customHeight="1">
      <x:c r="A74" s="28" t="str">
        <x:v>джекфрут</x:v>
      </x:c>
      <x:c r="B74" s="28" t="str">
        <x:v>Прочее</x:v>
      </x:c>
      <x:c r="C74" s="28" t="str">
        <x:v>нейтральный/специфический</x:v>
      </x:c>
      <x:c r="D74" s="28" t="str">
        <x:v>нужен профиль конкретного продукта</x:v>
      </x:c>
      <x:c r="E74" s="28" t="str">
        <x:v>зависит от продукта</x:v>
      </x:c>
      <x:c r="F74" s="28" t="str">
        <x:v>нет данных</x:v>
      </x:c>
      <x:c r="G74" s="28" t="str">
        <x:v>зависит от формы продукта</x:v>
      </x:c>
      <x:c r="H74" s="28" t="str">
        <x:v>Для точного молекулярного вывода нужен профиль конкретного ингредиента и способа обработки.</x:v>
      </x:c>
      <x:c r="I74" s="28" t="n">
        <x:f>COUNTIF('Все сочетания'!$C:$C,A74)+COUNTIF('Все сочетания'!$F:$F,A74)</x:f>
        <x:v>1</x:v>
      </x:c>
    </x:row>
    <x:row r="75" ht="46" customHeight="1">
      <x:c r="A75" s="28" t="str">
        <x:v>джин</x:v>
      </x:c>
      <x:c r="B75" s="28" t="str">
        <x:v>Алкогольные напитки</x:v>
      </x:c>
      <x:c r="C75" s="28" t="str">
        <x:v>зависит от основы, эфирный, древесный/пряный</x:v>
      </x:c>
      <x:c r="D75" s="28" t="str">
        <x:v>этанол, эфиры, терпены/дубовые соединения</x:v>
      </x:c>
      <x:c r="E75" s="28" t="str">
        <x:v>горький, сладкий или сухой</x:v>
      </x:c>
      <x:c r="F75" s="28" t="str">
        <x:v>этанол усиливает тепло и летучесть аромата</x:v>
      </x:c>
      <x:c r="G75" s="28" t="str">
        <x:v>этанол — хороший растворитель гидрофобных эфирных масел</x:v>
      </x:c>
      <x:c r="H75" s="28" t="str">
        <x:v>Спирт извлекает цедру и усиливает ретроназальный выход терпенов; сахар и разбавление меняют баланс.</x:v>
      </x:c>
      <x:c r="I75" s="28" t="n">
        <x:f>COUNTIF('Все сочетания'!$C:$C,A75)+COUNTIF('Все сочетания'!$F:$F,A75)</x:f>
        <x:v>1</x:v>
      </x:c>
    </x:row>
    <x:row r="76" ht="46" customHeight="1">
      <x:c r="A76" s="28" t="str">
        <x:v>джин Bombay Sapphire</x:v>
      </x:c>
      <x:c r="B76" s="28" t="str">
        <x:v>Алкогольные напитки</x:v>
      </x:c>
      <x:c r="C76" s="28" t="str">
        <x:v>зависит от основы, эфирный, древесный/пряный</x:v>
      </x:c>
      <x:c r="D76" s="28" t="str">
        <x:v>этанол, эфиры, терпены/дубовые соединения</x:v>
      </x:c>
      <x:c r="E76" s="28" t="str">
        <x:v>горький, сладкий или сухой</x:v>
      </x:c>
      <x:c r="F76" s="28" t="str">
        <x:v>этанол усиливает тепло и летучесть аромата</x:v>
      </x:c>
      <x:c r="G76" s="28" t="str">
        <x:v>этанол — хороший растворитель гидрофобных эфирных масел</x:v>
      </x:c>
      <x:c r="H76" s="28" t="str">
        <x:v>Спирт извлекает цедру и усиливает ретроназальный выход терпенов; сахар и разбавление меняют баланс.</x:v>
      </x:c>
      <x:c r="I76" s="28" t="n">
        <x:f>COUNTIF('Все сочетания'!$C:$C,A76)+COUNTIF('Все сочетания'!$F:$F,A76)</x:f>
        <x:v>1</x:v>
      </x:c>
    </x:row>
    <x:row r="77" ht="46" customHeight="1">
      <x:c r="A77" s="28" t="str">
        <x:v>джин де Маон</x:v>
      </x:c>
      <x:c r="B77" s="28" t="str">
        <x:v>Алкогольные напитки</x:v>
      </x:c>
      <x:c r="C77" s="28" t="str">
        <x:v>зависит от основы, эфирный, древесный/пряный</x:v>
      </x:c>
      <x:c r="D77" s="28" t="str">
        <x:v>этанол, эфиры, терпены/дубовые соединения</x:v>
      </x:c>
      <x:c r="E77" s="28" t="str">
        <x:v>горький, сладкий или сухой</x:v>
      </x:c>
      <x:c r="F77" s="28" t="str">
        <x:v>этанол усиливает тепло и летучесть аромата</x:v>
      </x:c>
      <x:c r="G77" s="28" t="str">
        <x:v>этанол — хороший растворитель гидрофобных эфирных масел</x:v>
      </x:c>
      <x:c r="H77" s="28" t="str">
        <x:v>Спирт извлекает цедру и усиливает ретроназальный выход терпенов; сахар и разбавление меняют баланс.</x:v>
      </x:c>
      <x:c r="I77" s="28" t="n">
        <x:f>COUNTIF('Все сочетания'!$C:$C,A77)+COUNTIF('Все сочетания'!$F:$F,A77)</x:f>
        <x:v>2</x:v>
      </x:c>
    </x:row>
    <x:row r="78" ht="46" customHeight="1">
      <x:c r="A78" s="28" t="str">
        <x:v>дикая бузина</x:v>
      </x:c>
      <x:c r="B78" s="28" t="str">
        <x:v>Прочее</x:v>
      </x:c>
      <x:c r="C78" s="28" t="str">
        <x:v>нейтральный/специфический</x:v>
      </x:c>
      <x:c r="D78" s="28" t="str">
        <x:v>нужен профиль конкретного продукта</x:v>
      </x:c>
      <x:c r="E78" s="28" t="str">
        <x:v>зависит от продукта</x:v>
      </x:c>
      <x:c r="F78" s="28" t="str">
        <x:v>нет данных</x:v>
      </x:c>
      <x:c r="G78" s="28" t="str">
        <x:v>зависит от формы продукта</x:v>
      </x:c>
      <x:c r="H78" s="28" t="str">
        <x:v>Для точного молекулярного вывода нужен профиль конкретного ингредиента и способа обработки.</x:v>
      </x:c>
      <x:c r="I78" s="28" t="n">
        <x:f>COUNTIF('Все сочетания'!$C:$C,A78)+COUNTIF('Все сочетания'!$F:$F,A78)</x:f>
        <x:v>1</x:v>
      </x:c>
    </x:row>
    <x:row r="79" ht="46" customHeight="1">
      <x:c r="A79" s="28" t="str">
        <x:v>дикая ромашка</x:v>
      </x:c>
      <x:c r="B79" s="28" t="str">
        <x:v>Алкогольные напитки</x:v>
      </x:c>
      <x:c r="C79" s="28" t="str">
        <x:v>зависит от основы, эфирный, древесный/пряный</x:v>
      </x:c>
      <x:c r="D79" s="28" t="str">
        <x:v>этанол, эфиры, терпены/дубовые соединения</x:v>
      </x:c>
      <x:c r="E79" s="28" t="str">
        <x:v>горький, сладкий или сухой</x:v>
      </x:c>
      <x:c r="F79" s="28" t="str">
        <x:v>этанол усиливает тепло и летучесть аромата</x:v>
      </x:c>
      <x:c r="G79" s="28" t="str">
        <x:v>этанол — хороший растворитель гидрофобных эфирных масел</x:v>
      </x:c>
      <x:c r="H79" s="28" t="str">
        <x:v>Спирт извлекает цедру и усиливает ретроназальный выход терпенов; сахар и разбавление меняют баланс.</x:v>
      </x:c>
      <x:c r="I79" s="28" t="n">
        <x:f>COUNTIF('Все сочетания'!$C:$C,A79)+COUNTIF('Все сочетания'!$F:$F,A79)</x:f>
        <x:v>1</x:v>
      </x:c>
    </x:row>
    <x:row r="80" ht="46" customHeight="1">
      <x:c r="A80" s="28" t="str">
        <x:v>доджанг</x:v>
      </x:c>
      <x:c r="B80" s="28" t="str">
        <x:v>Соусы и ферментированные продукты</x:v>
      </x:c>
      <x:c r="C80" s="28" t="str">
        <x:v>кислый, умами, ферментированный, пряный</x:v>
      </x:c>
      <x:c r="D80" s="28" t="str">
        <x:v>уксусная/молочная кислота, эфиры ферментации, пептиды умами</x:v>
      </x:c>
      <x:c r="E80" s="28" t="str">
        <x:v>кислый, солёный, умами</x:v>
      </x:c>
      <x:c r="F80" s="28" t="str">
        <x:v>в пряных соусах возможен капсаициновый жар</x:v>
      </x:c>
      <x:c r="G80" s="28" t="str">
        <x:v>водная солёно-кислая матрица</x:v>
      </x:c>
      <x:c r="H80" s="28" t="str">
        <x:v>Цитрус добавляет верхние ноты и может заменить часть уксуса, но избыток кислоты нарушит баланс.</x:v>
      </x:c>
      <x:c r="I80" s="28" t="n">
        <x:f>COUNTIF('Все сочетания'!$C:$C,A80)+COUNTIF('Все сочетания'!$F:$F,A80)</x:f>
        <x:v>1</x:v>
      </x:c>
    </x:row>
    <x:row r="81" ht="46" customHeight="1">
      <x:c r="A81" s="28" t="str">
        <x:v>дорадо</x:v>
      </x:c>
      <x:c r="B81" s="28" t="str">
        <x:v>Рыба и морепродукты</x:v>
      </x:c>
      <x:c r="C81" s="28" t="str">
        <x:v>морской, йодистый, зелёный, жирный</x:v>
      </x:c>
      <x:c r="D81" s="28" t="str">
        <x:v>альдегиды окисления липидов, бромфенолы, диметилсульфид, умами-соединения</x:v>
      </x:c>
      <x:c r="E81" s="28" t="str">
        <x:v>солёный, умами, жирный</x:v>
      </x:c>
      <x:c r="F81" s="28" t="str">
        <x:v>нет выраженного</x:v>
      </x:c>
      <x:c r="G81" s="28" t="str">
        <x:v>кислота может денатурировать поверхностные белки; жир рыбы удерживает терпены</x:v>
      </x:c>
      <x:c r="H81" s="28" t="str">
        <x:v>Цитрус уменьшает восприятие жирности и рыбных нот, усиливая свежесть и слюноотделение.</x:v>
      </x:c>
      <x:c r="I81" s="28" t="n">
        <x:f>COUNTIF('Все сочетания'!$C:$C,A81)+COUNTIF('Все сочетания'!$F:$F,A81)</x:f>
        <x:v>1</x:v>
      </x:c>
    </x:row>
    <x:row r="82" ht="46" customHeight="1">
      <x:c r="A82" s="28" t="str">
        <x:v>дульсе де лече</x:v>
      </x:c>
      <x:c r="B82" s="28" t="str">
        <x:v>Прочее</x:v>
      </x:c>
      <x:c r="C82" s="28" t="str">
        <x:v>нейтральный/специфический</x:v>
      </x:c>
      <x:c r="D82" s="28" t="str">
        <x:v>нужен профиль конкретного продукта</x:v>
      </x:c>
      <x:c r="E82" s="28" t="str">
        <x:v>зависит от продукта</x:v>
      </x:c>
      <x:c r="F82" s="28" t="str">
        <x:v>нет данных</x:v>
      </x:c>
      <x:c r="G82" s="28" t="str">
        <x:v>зависит от формы продукта</x:v>
      </x:c>
      <x:c r="H82" s="28" t="str">
        <x:v>Для точного молекулярного вывода нужен профиль конкретного ингредиента и способа обработки.</x:v>
      </x:c>
      <x:c r="I82" s="28" t="n">
        <x:f>COUNTIF('Все сочетания'!$C:$C,A82)+COUNTIF('Все сочетания'!$F:$F,A82)</x:f>
        <x:v>1</x:v>
      </x:c>
    </x:row>
    <x:row r="83" ht="46" customHeight="1">
      <x:c r="A83" s="28" t="str">
        <x:v>дуриан</x:v>
      </x:c>
      <x:c r="B83" s="28" t="str">
        <x:v>Тропические фрукты</x:v>
      </x:c>
      <x:c r="C83" s="28" t="str">
        <x:v>фруктовый, тропический, цветочный, сливочный</x:v>
      </x:c>
      <x:c r="D83" s="28" t="str">
        <x:v>этилбутират, гексилацетат, лактоны, сернистые тиолы (у части фруктов)</x:v>
      </x:c>
      <x:c r="E83" s="28" t="str">
        <x:v>сладкий, умеренно кислый</x:v>
      </x:c>
      <x:c r="F83" s="28" t="str">
        <x:v>нет выраженного</x:v>
      </x:c>
      <x:c r="G83" s="28" t="str">
        <x:v>сочная или кремовая фруктовая матрица</x:v>
      </x:c>
      <x:c r="H83" s="28" t="str">
        <x:v>Цитрус снижает ощущение приторности и усиливает летучие фруктовые эфиры.</x:v>
      </x:c>
      <x:c r="I83" s="28" t="n">
        <x:f>COUNTIF('Все сочетания'!$C:$C,A83)+COUNTIF('Все сочетания'!$F:$F,A83)</x:f>
        <x:v>2</x:v>
      </x:c>
    </x:row>
    <x:row r="84" ht="46" customHeight="1">
      <x:c r="A84" s="28" t="str">
        <x:v>дуриан Мон Тонг</x:v>
      </x:c>
      <x:c r="B84" s="28" t="str">
        <x:v>Тропические фрукты</x:v>
      </x:c>
      <x:c r="C84" s="28" t="str">
        <x:v>фруктовый, тропический, цветочный, сливочный</x:v>
      </x:c>
      <x:c r="D84" s="28" t="str">
        <x:v>этилбутират, гексилацетат, лактоны, сернистые тиолы (у части фруктов)</x:v>
      </x:c>
      <x:c r="E84" s="28" t="str">
        <x:v>сладкий, умеренно кислый</x:v>
      </x:c>
      <x:c r="F84" s="28" t="str">
        <x:v>нет выраженного</x:v>
      </x:c>
      <x:c r="G84" s="28" t="str">
        <x:v>сочная или кремовая фруктовая матрица</x:v>
      </x:c>
      <x:c r="H84" s="28" t="str">
        <x:v>Цитрус снижает ощущение приторности и усиливает летучие фруктовые эфиры.</x:v>
      </x:c>
      <x:c r="I84" s="28" t="n">
        <x:f>COUNTIF('Все сочетания'!$C:$C,A84)+COUNTIF('Все сочетания'!$F:$F,A84)</x:f>
        <x:v>2</x:v>
      </x:c>
    </x:row>
    <x:row r="85" ht="46" customHeight="1">
      <x:c r="A85" s="28" t="str">
        <x:v>душистый перец</x:v>
      </x:c>
      <x:c r="B85" s="28" t="str">
        <x:v>Пряности</x:v>
      </x:c>
      <x:c r="C85" s="28" t="str">
        <x:v>пряный, древесный, цитрусовый</x:v>
      </x:c>
      <x:c r="D85" s="28" t="str">
        <x:v>пиперин, лимонен, сабинен, бета-кариофиллен</x:v>
      </x:c>
      <x:c r="E85" s="28" t="str">
        <x:v>острый, горьковатый</x:v>
      </x:c>
      <x:c r="F85" s="28" t="str">
        <x:v>пиперин создаёт длительное тепло; сычуаньский перец — покалывание</x:v>
      </x:c>
      <x:c r="G85" s="28" t="str">
        <x:v>ароматические масла и пиперин лучше раскрываются в жире/спирте</x:v>
      </x:c>
      <x:c r="H85" s="28" t="str">
        <x:v>Перец добавляет сухую пряность и усиливает яркость цедры.</x:v>
      </x:c>
      <x:c r="I85" s="28" t="n">
        <x:f>COUNTIF('Все сочетания'!$C:$C,A85)+COUNTIF('Все сочетания'!$F:$F,A85)</x:f>
        <x:v>1</x:v>
      </x:c>
    </x:row>
    <x:row r="86" ht="46" customHeight="1">
      <x:c r="A86" s="28" t="str">
        <x:v>дыня</x:v>
      </x:c>
      <x:c r="B86" s="28" t="str">
        <x:v>Бахчевые</x:v>
      </x:c>
      <x:c r="C86" s="28" t="str">
        <x:v>свежий, зелёный, водянистый, фруктовый</x:v>
      </x:c>
      <x:c r="D86" s="28" t="str">
        <x:v>C6/C9-альдегиды, эфиры, нонадиеналь</x:v>
      </x:c>
      <x:c r="E86" s="28" t="str">
        <x:v>сладкий, слабо кислый</x:v>
      </x:c>
      <x:c r="F86" s="28" t="str">
        <x:v>нет выраженного</x:v>
      </x:c>
      <x:c r="G86" s="28" t="str">
        <x:v>очень водная матрица с деликатным ароматом</x:v>
      </x:c>
      <x:c r="H86" s="28" t="str">
        <x:v>Цитрус придаёт структуру, но легко подавляет тонкий аромат дыни.</x:v>
      </x:c>
      <x:c r="I86" s="28" t="n">
        <x:f>COUNTIF('Все сочетания'!$C:$C,A86)+COUNTIF('Все сочетания'!$F:$F,A86)</x:f>
        <x:v>2</x:v>
      </x:c>
    </x:row>
    <x:row r="87" ht="46" customHeight="1">
      <x:c r="A87" s="28" t="str">
        <x:v>ежевика</x:v>
      </x:c>
      <x:c r="B87" s="28" t="str">
        <x:v>Ягоды/косточковые</x:v>
      </x:c>
      <x:c r="C87" s="28" t="str">
        <x:v>фруктовый, цветочный, зелёный, винный</x:v>
      </x:c>
      <x:c r="D87" s="28" t="str">
        <x:v>иононы, дамасценон, эфиры, бензальдегид (для косточковых)</x:v>
      </x:c>
      <x:c r="E87" s="28" t="str">
        <x:v>кисло-сладкий, иногда терпкий</x:v>
      </x:c>
      <x:c r="F87" s="28" t="str">
        <x:v>нет выраженного</x:v>
      </x:c>
      <x:c r="G87" s="28" t="str">
        <x:v>водная матрица с антоцианами и полифенолами</x:v>
      </x:c>
      <x:c r="H87" s="28" t="str">
        <x:v>Цитрус усиливает кислотный контур, а цветочные терпены поддерживают ягодный аромат.</x:v>
      </x:c>
      <x:c r="I87" s="28" t="n">
        <x:f>COUNTIF('Все сочетания'!$C:$C,A87)+COUNTIF('Все сочетания'!$F:$F,A87)</x:f>
        <x:v>2</x:v>
      </x:c>
    </x:row>
    <x:row r="88" ht="46" customHeight="1">
      <x:c r="A88" s="28" t="str">
        <x:v>жареная индейка</x:v>
      </x:c>
      <x:c r="B88" s="28" t="str">
        <x:v>Мясо и птица</x:v>
      </x:c>
      <x:c r="C88" s="28" t="str">
        <x:v>жареный, мясной, сернистый, жирный</x:v>
      </x:c>
      <x:c r="D88" s="28" t="str">
        <x:v>пиразины, тиазолы, альдегиды жиров, сернистые соединения</x:v>
      </x:c>
      <x:c r="E88" s="28" t="str">
        <x:v>умами, солёный, жирный</x:v>
      </x:c>
      <x:c r="F88" s="28" t="str">
        <x:v>нет выраженного</x:v>
      </x:c>
      <x:c r="G88" s="28" t="str">
        <x:v>жир удерживает терпеновые масла; кислота снижает ощущение жирности</x:v>
      </x:c>
      <x:c r="H88" s="28" t="str">
        <x:v>Цитрус создаёт контраст с реакциями Майяра и освежает мясную матрицу.</x:v>
      </x:c>
      <x:c r="I88" s="28" t="n">
        <x:f>COUNTIF('Все сочетания'!$C:$C,A88)+COUNTIF('Все сочетания'!$F:$F,A88)</x:f>
        <x:v>1</x:v>
      </x:c>
    </x:row>
    <x:row r="89" ht="46" customHeight="1">
      <x:c r="A89" s="28" t="str">
        <x:v>жареная курица</x:v>
      </x:c>
      <x:c r="B89" s="28" t="str">
        <x:v>Мясо и птица</x:v>
      </x:c>
      <x:c r="C89" s="28" t="str">
        <x:v>жареный, мясной, сернистый, жирный</x:v>
      </x:c>
      <x:c r="D89" s="28" t="str">
        <x:v>пиразины, тиазолы, альдегиды жиров, сернистые соединения</x:v>
      </x:c>
      <x:c r="E89" s="28" t="str">
        <x:v>умами, солёный, жирный</x:v>
      </x:c>
      <x:c r="F89" s="28" t="str">
        <x:v>нет выраженного</x:v>
      </x:c>
      <x:c r="G89" s="28" t="str">
        <x:v>жир удерживает терпеновые масла; кислота снижает ощущение жирности</x:v>
      </x:c>
      <x:c r="H89" s="28" t="str">
        <x:v>Цитрус создаёт контраст с реакциями Майяра и освежает мясную матрицу.</x:v>
      </x:c>
      <x:c r="I89" s="28" t="n">
        <x:f>COUNTIF('Все сочетания'!$C:$C,A89)+COUNTIF('Все сочетания'!$F:$F,A89)</x:f>
        <x:v>1</x:v>
      </x:c>
    </x:row>
    <x:row r="90" ht="46" customHeight="1">
      <x:c r="A90" s="28" t="str">
        <x:v>жареная свиная грудинка</x:v>
      </x:c>
      <x:c r="B90" s="28" t="str">
        <x:v>Прочее</x:v>
      </x:c>
      <x:c r="C90" s="28" t="str">
        <x:v>нейтральный/специфический</x:v>
      </x:c>
      <x:c r="D90" s="28" t="str">
        <x:v>нужен профиль конкретного продукта</x:v>
      </x:c>
      <x:c r="E90" s="28" t="str">
        <x:v>зависит от продукта</x:v>
      </x:c>
      <x:c r="F90" s="28" t="str">
        <x:v>нет данных</x:v>
      </x:c>
      <x:c r="G90" s="28" t="str">
        <x:v>зависит от формы продукта</x:v>
      </x:c>
      <x:c r="H90" s="28" t="str">
        <x:v>Для точного молекулярного вывода нужен профиль конкретного ингредиента и способа обработки.</x:v>
      </x:c>
      <x:c r="I90" s="28" t="n">
        <x:f>COUNTIF('Все сочетания'!$C:$C,A90)+COUNTIF('Все сочетания'!$F:$F,A90)</x:f>
        <x:v>1</x:v>
      </x:c>
    </x:row>
    <x:row r="91" ht="46" customHeight="1">
      <x:c r="A91" s="28" t="str">
        <x:v>жареный кабан</x:v>
      </x:c>
      <x:c r="B91" s="28" t="str">
        <x:v>Мясо и птица</x:v>
      </x:c>
      <x:c r="C91" s="28" t="str">
        <x:v>жареный, мясной, сернистый, жирный</x:v>
      </x:c>
      <x:c r="D91" s="28" t="str">
        <x:v>пиразины, тиазолы, альдегиды жиров, сернистые соединения</x:v>
      </x:c>
      <x:c r="E91" s="28" t="str">
        <x:v>умами, солёный, жирный</x:v>
      </x:c>
      <x:c r="F91" s="28" t="str">
        <x:v>нет выраженного</x:v>
      </x:c>
      <x:c r="G91" s="28" t="str">
        <x:v>жир удерживает терпеновые масла; кислота снижает ощущение жирности</x:v>
      </x:c>
      <x:c r="H91" s="28" t="str">
        <x:v>Цитрус создаёт контраст с реакциями Майяра и освежает мясную матрицу.</x:v>
      </x:c>
      <x:c r="I91" s="28" t="n">
        <x:f>COUNTIF('Все сочетания'!$C:$C,A91)+COUNTIF('Все сочетания'!$F:$F,A91)</x:f>
        <x:v>1</x:v>
      </x:c>
    </x:row>
    <x:row r="92" ht="46" customHeight="1">
      <x:c r="A92" s="28" t="str">
        <x:v>жасмин</x:v>
      </x:c>
      <x:c r="B92" s="28" t="str">
        <x:v>Прочее</x:v>
      </x:c>
      <x:c r="C92" s="28" t="str">
        <x:v>нейтральный/специфический</x:v>
      </x:c>
      <x:c r="D92" s="28" t="str">
        <x:v>нужен профиль конкретного продукта</x:v>
      </x:c>
      <x:c r="E92" s="28" t="str">
        <x:v>зависит от продукта</x:v>
      </x:c>
      <x:c r="F92" s="28" t="str">
        <x:v>нет данных</x:v>
      </x:c>
      <x:c r="G92" s="28" t="str">
        <x:v>зависит от формы продукта</x:v>
      </x:c>
      <x:c r="H92" s="28" t="str">
        <x:v>Для точного молекулярного вывода нужен профиль конкретного ингредиента и способа обработки.</x:v>
      </x:c>
      <x:c r="I92" s="28" t="n">
        <x:f>COUNTIF('Все сочетания'!$C:$C,A92)+COUNTIF('Все сочетания'!$F:$F,A92)</x:f>
        <x:v>3</x:v>
      </x:c>
    </x:row>
    <x:row r="93" ht="46" customHeight="1">
      <x:c r="A93" s="28" t="str">
        <x:v>жасминовый чай</x:v>
      </x:c>
      <x:c r="B93" s="28" t="str">
        <x:v>Чай и настои</x:v>
      </x:c>
      <x:c r="C93" s="28" t="str">
        <x:v>травяной, цветочный, танинный, иногда обжаренный</x:v>
      </x:c>
      <x:c r="D93" s="28" t="str">
        <x:v>линалол, гераниол, иононы, катехины</x:v>
      </x:c>
      <x:c r="E93" s="28" t="str">
        <x:v>горький, вяжущий</x:v>
      </x:c>
      <x:c r="F93" s="28" t="str">
        <x:v>нет выраженного</x:v>
      </x:c>
      <x:c r="G93" s="28" t="str">
        <x:v>вода извлекает полифенолы; эфирные масла лучше добавлять после заваривания</x:v>
      </x:c>
      <x:c r="H93" s="28" t="str">
        <x:v>Цитрус связывается с цветочными терпенами чая и снижает ощущение вяжущей сухости при наличии сахара.</x:v>
      </x:c>
      <x:c r="I93" s="28" t="n">
        <x:f>COUNTIF('Все сочетания'!$C:$C,A93)+COUNTIF('Все сочетания'!$F:$F,A93)</x:f>
        <x:v>1</x:v>
      </x:c>
    </x:row>
    <x:row r="94" ht="46" customHeight="1">
      <x:c r="A94" s="28" t="str">
        <x:v>жирная рыба</x:v>
      </x:c>
      <x:c r="B94" s="28" t="str">
        <x:v>Рыба и морепродукты</x:v>
      </x:c>
      <x:c r="C94" s="28" t="str">
        <x:v>морской, йодистый, зелёный, жирный</x:v>
      </x:c>
      <x:c r="D94" s="28" t="str">
        <x:v>альдегиды окисления липидов, бромфенолы, диметилсульфид, умами-соединения</x:v>
      </x:c>
      <x:c r="E94" s="28" t="str">
        <x:v>солёный, умами, жирный</x:v>
      </x:c>
      <x:c r="F94" s="28" t="str">
        <x:v>нет выраженного</x:v>
      </x:c>
      <x:c r="G94" s="28" t="str">
        <x:v>кислота может денатурировать поверхностные белки; жир рыбы удерживает терпены</x:v>
      </x:c>
      <x:c r="H94" s="28" t="str">
        <x:v>Цитрус уменьшает восприятие жирности и рыбных нот, усиливая свежесть и слюноотделение.</x:v>
      </x:c>
      <x:c r="I94" s="28" t="n">
        <x:f>COUNTIF('Все сочетания'!$C:$C,A94)+COUNTIF('Все сочетания'!$F:$F,A94)</x:f>
        <x:v>2</x:v>
      </x:c>
    </x:row>
    <x:row r="95" ht="46" customHeight="1">
      <x:c r="A95" s="28" t="str">
        <x:v>запечённая барабулька</x:v>
      </x:c>
      <x:c r="B95" s="28" t="str">
        <x:v>Рыба и морепродукты</x:v>
      </x:c>
      <x:c r="C95" s="28" t="str">
        <x:v>морской, йодистый, зелёный, жирный</x:v>
      </x:c>
      <x:c r="D95" s="28" t="str">
        <x:v>альдегиды окисления липидов, бромфенолы, диметилсульфид, умами-соединения</x:v>
      </x:c>
      <x:c r="E95" s="28" t="str">
        <x:v>солёный, умами, жирный</x:v>
      </x:c>
      <x:c r="F95" s="28" t="str">
        <x:v>нет выраженного</x:v>
      </x:c>
      <x:c r="G95" s="28" t="str">
        <x:v>кислота может денатурировать поверхностные белки; жир рыбы удерживает терпены</x:v>
      </x:c>
      <x:c r="H95" s="28" t="str">
        <x:v>Цитрус уменьшает восприятие жирности и рыбных нот, усиливая свежесть и слюноотделение.</x:v>
      </x:c>
      <x:c r="I95" s="28" t="n">
        <x:f>COUNTIF('Все сочетания'!$C:$C,A95)+COUNTIF('Все сочетания'!$F:$F,A95)</x:f>
        <x:v>1</x:v>
      </x:c>
    </x:row>
    <x:row r="96" ht="46" customHeight="1">
      <x:c r="A96" s="28" t="str">
        <x:v>запечённый картофель</x:v>
      </x:c>
      <x:c r="B96" s="28" t="str">
        <x:v>Прочее</x:v>
      </x:c>
      <x:c r="C96" s="28" t="str">
        <x:v>нейтральный/специфический</x:v>
      </x:c>
      <x:c r="D96" s="28" t="str">
        <x:v>нужен профиль конкретного продукта</x:v>
      </x:c>
      <x:c r="E96" s="28" t="str">
        <x:v>зависит от продукта</x:v>
      </x:c>
      <x:c r="F96" s="28" t="str">
        <x:v>нет данных</x:v>
      </x:c>
      <x:c r="G96" s="28" t="str">
        <x:v>зависит от формы продукта</x:v>
      </x:c>
      <x:c r="H96" s="28" t="str">
        <x:v>Для точного молекулярного вывода нужен профиль конкретного ингредиента и способа обработки.</x:v>
      </x:c>
      <x:c r="I96" s="28" t="n">
        <x:f>COUNTIF('Все сочетания'!$C:$C,A96)+COUNTIF('Все сочетания'!$F:$F,A96)</x:f>
        <x:v>1</x:v>
      </x:c>
    </x:row>
    <x:row r="97" ht="46" customHeight="1">
      <x:c r="A97" s="28" t="str">
        <x:v>запечённый морской гребешок</x:v>
      </x:c>
      <x:c r="B97" s="28" t="str">
        <x:v>Рыба и морепродукты</x:v>
      </x:c>
      <x:c r="C97" s="28" t="str">
        <x:v>морской, йодистый, зелёный, жирный</x:v>
      </x:c>
      <x:c r="D97" s="28" t="str">
        <x:v>альдегиды окисления липидов, бромфенолы, диметилсульфид, умами-соединения</x:v>
      </x:c>
      <x:c r="E97" s="28" t="str">
        <x:v>солёный, умами, жирный</x:v>
      </x:c>
      <x:c r="F97" s="28" t="str">
        <x:v>нет выраженного</x:v>
      </x:c>
      <x:c r="G97" s="28" t="str">
        <x:v>кислота может денатурировать поверхностные белки; жир рыбы удерживает терпены</x:v>
      </x:c>
      <x:c r="H97" s="28" t="str">
        <x:v>Цитрус уменьшает восприятие жирности и рыбных нот, усиливая свежесть и слюноотделение.</x:v>
      </x:c>
      <x:c r="I97" s="28" t="n">
        <x:f>COUNTIF('Все сочетания'!$C:$C,A97)+COUNTIF('Все сочетания'!$F:$F,A97)</x:f>
        <x:v>1</x:v>
      </x:c>
    </x:row>
    <x:row r="98" ht="46" customHeight="1">
      <x:c r="A98" s="28" t="str">
        <x:v>запечённый чизкейк</x:v>
      </x:c>
      <x:c r="B98" s="28" t="str">
        <x:v>Прочее</x:v>
      </x:c>
      <x:c r="C98" s="28" t="str">
        <x:v>нейтральный/специфический</x:v>
      </x:c>
      <x:c r="D98" s="28" t="str">
        <x:v>нужен профиль конкретного продукта</x:v>
      </x:c>
      <x:c r="E98" s="28" t="str">
        <x:v>зависит от продукта</x:v>
      </x:c>
      <x:c r="F98" s="28" t="str">
        <x:v>нет данных</x:v>
      </x:c>
      <x:c r="G98" s="28" t="str">
        <x:v>зависит от формы продукта</x:v>
      </x:c>
      <x:c r="H98" s="28" t="str">
        <x:v>Для точного молекулярного вывода нужен профиль конкретного ингредиента и способа обработки.</x:v>
      </x:c>
      <x:c r="I98" s="28" t="n">
        <x:f>COUNTIF('Все сочетания'!$C:$C,A98)+COUNTIF('Все сочетания'!$F:$F,A98)</x:f>
        <x:v>1</x:v>
      </x:c>
    </x:row>
    <x:row r="99" ht="46" customHeight="1">
      <x:c r="A99" s="28" t="str">
        <x:v>зелёная спаржа</x:v>
      </x:c>
      <x:c r="B99" s="28" t="str">
        <x:v>Овощи</x:v>
      </x:c>
      <x:c r="C99" s="28" t="str">
        <x:v>зелёный, землистый, растительный, иногда сернистый</x:v>
      </x:c>
      <x:c r="D99" s="28" t="str">
        <x:v>C6-альдегиды, метоксипиразины, геосмин (землистые), сернистые соединения</x:v>
      </x:c>
      <x:c r="E99" s="28" t="str">
        <x:v>сладковатый, горьковатый, умами</x:v>
      </x:c>
      <x:c r="F99" s="28" t="str">
        <x:v>нет выраженного</x:v>
      </x:c>
      <x:c r="G99" s="28" t="str">
        <x:v>водная/крахмальная матрица; масло помогает распределить цедру</x:v>
      </x:c>
      <x:c r="H99" s="28" t="str">
        <x:v>Кислота подчёркивает сладость овощей и сокращает землистое или сернистое послевкусие.</x:v>
      </x:c>
      <x:c r="I99" s="28" t="n">
        <x:f>COUNTIF('Все сочетания'!$C:$C,A99)+COUNTIF('Все сочетания'!$F:$F,A99)</x:f>
        <x:v>1</x:v>
      </x:c>
    </x:row>
    <x:row r="100" ht="46" customHeight="1">
      <x:c r="A100" s="28" t="str">
        <x:v>зелёная чечевица</x:v>
      </x:c>
      <x:c r="B100" s="28" t="str">
        <x:v>Овощи</x:v>
      </x:c>
      <x:c r="C100" s="28" t="str">
        <x:v>зелёный, землистый, растительный, иногда сернистый</x:v>
      </x:c>
      <x:c r="D100" s="28" t="str">
        <x:v>C6-альдегиды, метоксипиразины, геосмин (землистые), сернистые соединения</x:v>
      </x:c>
      <x:c r="E100" s="28" t="str">
        <x:v>сладковатый, горьковатый, умами</x:v>
      </x:c>
      <x:c r="F100" s="28" t="str">
        <x:v>нет выраженного</x:v>
      </x:c>
      <x:c r="G100" s="28" t="str">
        <x:v>водная/крахмальная матрица; масло помогает распределить цедру</x:v>
      </x:c>
      <x:c r="H100" s="28" t="str">
        <x:v>Кислота подчёркивает сладость овощей и сокращает землистое или сернистое послевкусие.</x:v>
      </x:c>
      <x:c r="I100" s="28" t="n">
        <x:f>COUNTIF('Все сочетания'!$C:$C,A100)+COUNTIF('Все сочетания'!$F:$F,A100)</x:f>
        <x:v>1</x:v>
      </x:c>
    </x:row>
    <x:row r="101" ht="46" customHeight="1">
      <x:c r="A101" s="28" t="str">
        <x:v>зелёный хабанеро</x:v>
      </x:c>
      <x:c r="B101" s="28" t="str">
        <x:v>Прочее</x:v>
      </x:c>
      <x:c r="C101" s="28" t="str">
        <x:v>нейтральный/специфический</x:v>
      </x:c>
      <x:c r="D101" s="28" t="str">
        <x:v>нужен профиль конкретного продукта</x:v>
      </x:c>
      <x:c r="E101" s="28" t="str">
        <x:v>зависит от продукта</x:v>
      </x:c>
      <x:c r="F101" s="28" t="str">
        <x:v>нет данных</x:v>
      </x:c>
      <x:c r="G101" s="28" t="str">
        <x:v>зависит от формы продукта</x:v>
      </x:c>
      <x:c r="H101" s="28" t="str">
        <x:v>Для точного молекулярного вывода нужен профиль конкретного ингредиента и способа обработки.</x:v>
      </x:c>
      <x:c r="I101" s="28" t="n">
        <x:f>COUNTIF('Все сочетания'!$C:$C,A101)+COUNTIF('Все сочетания'!$F:$F,A101)</x:f>
        <x:v>1</x:v>
      </x:c>
    </x:row>
    <x:row r="102" ht="46" customHeight="1">
      <x:c r="A102" s="28" t="str">
        <x:v>зелёный чай</x:v>
      </x:c>
      <x:c r="B102" s="28" t="str">
        <x:v>Чай и настои</x:v>
      </x:c>
      <x:c r="C102" s="28" t="str">
        <x:v>травяной, цветочный, танинный, иногда обжаренный</x:v>
      </x:c>
      <x:c r="D102" s="28" t="str">
        <x:v>линалол, гераниол, иононы, катехины</x:v>
      </x:c>
      <x:c r="E102" s="28" t="str">
        <x:v>горький, вяжущий</x:v>
      </x:c>
      <x:c r="F102" s="28" t="str">
        <x:v>нет выраженного</x:v>
      </x:c>
      <x:c r="G102" s="28" t="str">
        <x:v>вода извлекает полифенолы; эфирные масла лучше добавлять после заваривания</x:v>
      </x:c>
      <x:c r="H102" s="28" t="str">
        <x:v>Цитрус связывается с цветочными терпенами чая и снижает ощущение вяжущей сухости при наличии сахара.</x:v>
      </x:c>
      <x:c r="I102" s="28" t="n">
        <x:f>COUNTIF('Все сочетания'!$C:$C,A102)+COUNTIF('Все сочетания'!$F:$F,A102)</x:f>
        <x:v>1</x:v>
      </x:c>
    </x:row>
    <x:row r="103" ht="46" customHeight="1">
      <x:c r="A103" s="28" t="str">
        <x:v>зелень фенхеля</x:v>
      </x:c>
      <x:c r="B103" s="28" t="str">
        <x:v>Пряности/травы</x:v>
      </x:c>
      <x:c r="C103" s="28" t="str">
        <x:v>анисовый, сладко-пряный, зелёный</x:v>
      </x:c>
      <x:c r="D103" s="28" t="str">
        <x:v>транс-анетол, фенхон, эстрагол</x:v>
      </x:c>
      <x:c r="E103" s="28" t="str">
        <x:v>сладковатый, слегка горький</x:v>
      </x:c>
      <x:c r="F103" s="28" t="str">
        <x:v>анетол создаёт охлаждающе-сладкое впечатление</x:v>
      </x:c>
      <x:c r="G103" s="28" t="str">
        <x:v>анетол гидрофобен и мутнеет при разбавлении спиртовых настоев водой</x:v>
      </x:c>
      <x:c r="H103" s="28" t="str">
        <x:v>Анисовые соединения дают сильный ароматический мост с цветочными и цитрусовыми терпенами.</x:v>
      </x:c>
      <x:c r="I103" s="28" t="n">
        <x:f>COUNTIF('Все сочетания'!$C:$C,A103)+COUNTIF('Все сочетания'!$F:$F,A103)</x:f>
        <x:v>2</x:v>
      </x:c>
    </x:row>
    <x:row r="104" ht="46" customHeight="1">
      <x:c r="A104" s="28" t="str">
        <x:v>зерновая водка</x:v>
      </x:c>
      <x:c r="B104" s="28" t="str">
        <x:v>Алкогольные напитки</x:v>
      </x:c>
      <x:c r="C104" s="28" t="str">
        <x:v>зависит от основы, эфирный, древесный/пряный</x:v>
      </x:c>
      <x:c r="D104" s="28" t="str">
        <x:v>этанол, эфиры, терпены/дубовые соединения</x:v>
      </x:c>
      <x:c r="E104" s="28" t="str">
        <x:v>горький, сладкий или сухой</x:v>
      </x:c>
      <x:c r="F104" s="28" t="str">
        <x:v>этанол усиливает тепло и летучесть аромата</x:v>
      </x:c>
      <x:c r="G104" s="28" t="str">
        <x:v>этанол — хороший растворитель гидрофобных эфирных масел</x:v>
      </x:c>
      <x:c r="H104" s="28" t="str">
        <x:v>Спирт извлекает цедру и усиливает ретроназальный выход терпенов; сахар и разбавление меняют баланс.</x:v>
      </x:c>
      <x:c r="I104" s="28" t="n">
        <x:f>COUNTIF('Все сочетания'!$C:$C,A104)+COUNTIF('Все сочетания'!$F:$F,A104)</x:f>
        <x:v>1</x:v>
      </x:c>
    </x:row>
    <x:row r="105" ht="46" customHeight="1">
      <x:c r="A105" s="28" t="str">
        <x:v>зира</x:v>
      </x:c>
      <x:c r="B105" s="28" t="str">
        <x:v>Прочее</x:v>
      </x:c>
      <x:c r="C105" s="28" t="str">
        <x:v>нейтральный/специфический</x:v>
      </x:c>
      <x:c r="D105" s="28" t="str">
        <x:v>нужен профиль конкретного продукта</x:v>
      </x:c>
      <x:c r="E105" s="28" t="str">
        <x:v>зависит от продукта</x:v>
      </x:c>
      <x:c r="F105" s="28" t="str">
        <x:v>нет данных</x:v>
      </x:c>
      <x:c r="G105" s="28" t="str">
        <x:v>зависит от формы продукта</x:v>
      </x:c>
      <x:c r="H105" s="28" t="str">
        <x:v>Для точного молекулярного вывода нужен профиль конкретного ингредиента и способа обработки.</x:v>
      </x:c>
      <x:c r="I105" s="28" t="n">
        <x:f>COUNTIF('Все сочетания'!$C:$C,A105)+COUNTIF('Все сочетания'!$F:$F,A105)</x:f>
        <x:v>3</x:v>
      </x:c>
    </x:row>
    <x:row r="106" ht="46" customHeight="1">
      <x:c r="A106" s="28" t="str">
        <x:v>изюм</x:v>
      </x:c>
      <x:c r="B106" s="28" t="str">
        <x:v>Прочее</x:v>
      </x:c>
      <x:c r="C106" s="28" t="str">
        <x:v>нейтральный/специфический</x:v>
      </x:c>
      <x:c r="D106" s="28" t="str">
        <x:v>нужен профиль конкретного продукта</x:v>
      </x:c>
      <x:c r="E106" s="28" t="str">
        <x:v>зависит от продукта</x:v>
      </x:c>
      <x:c r="F106" s="28" t="str">
        <x:v>нет данных</x:v>
      </x:c>
      <x:c r="G106" s="28" t="str">
        <x:v>зависит от формы продукта</x:v>
      </x:c>
      <x:c r="H106" s="28" t="str">
        <x:v>Для точного молекулярного вывода нужен профиль конкретного ингредиента и способа обработки.</x:v>
      </x:c>
      <x:c r="I106" s="28" t="n">
        <x:f>COUNTIF('Все сочетания'!$C:$C,A106)+COUNTIF('Все сочетания'!$F:$F,A106)</x:f>
        <x:v>1</x:v>
      </x:c>
    </x:row>
    <x:row r="107" ht="46" customHeight="1">
      <x:c r="A107" s="28" t="str">
        <x:v>икра</x:v>
      </x:c>
      <x:c r="B107" s="28" t="str">
        <x:v>Рыба и морепродукты</x:v>
      </x:c>
      <x:c r="C107" s="28" t="str">
        <x:v>морской, йодистый, зелёный, жирный</x:v>
      </x:c>
      <x:c r="D107" s="28" t="str">
        <x:v>альдегиды окисления липидов, бромфенолы, диметилсульфид, умами-соединения</x:v>
      </x:c>
      <x:c r="E107" s="28" t="str">
        <x:v>солёный, умами, жирный</x:v>
      </x:c>
      <x:c r="F107" s="28" t="str">
        <x:v>нет выраженного</x:v>
      </x:c>
      <x:c r="G107" s="28" t="str">
        <x:v>кислота может денатурировать поверхностные белки; жир рыбы удерживает терпены</x:v>
      </x:c>
      <x:c r="H107" s="28" t="str">
        <x:v>Цитрус уменьшает восприятие жирности и рыбных нот, усиливая свежесть и слюноотделение.</x:v>
      </x:c>
      <x:c r="I107" s="28" t="n">
        <x:f>COUNTIF('Все сочетания'!$C:$C,A107)+COUNTIF('Все сочетания'!$F:$F,A107)</x:f>
        <x:v>1</x:v>
      </x:c>
    </x:row>
    <x:row r="108" ht="46" customHeight="1">
      <x:c r="A108" s="28" t="str">
        <x:v>имбирь</x:v>
      </x:c>
      <x:c r="B108" s="28" t="str">
        <x:v>Пряности</x:v>
      </x:c>
      <x:c r="C108" s="28" t="str">
        <x:v>цитрусовый, пряный, древесный, тёплый</x:v>
      </x:c>
      <x:c r="D108" s="28" t="str">
        <x:v>зингиберен, цитраль, гераниол, гингеролы/шогаолы</x:v>
      </x:c>
      <x:c r="E108" s="28" t="str">
        <x:v>острый, слегка сладкий</x:v>
      </x:c>
      <x:c r="F108" s="28" t="str">
        <x:v>гингеролы и шогаолы активируют TRPV1 и дают тепло</x:v>
      </x:c>
      <x:c r="G108" s="28" t="str">
        <x:v>ароматические терпены лучше извлекаются этанолом и жиром</x:v>
      </x:c>
      <x:c r="H108" s="28" t="str">
        <x:v>Свежий имбирь более цитрусовый, нагретый и сушёный — более тёплый и жгучий.</x:v>
      </x:c>
      <x:c r="I108" s="28" t="n">
        <x:f>COUNTIF('Все сочетания'!$C:$C,A108)+COUNTIF('Все сочетания'!$F:$F,A108)</x:f>
        <x:v>10</x:v>
      </x:c>
    </x:row>
    <x:row r="109" ht="46" customHeight="1">
      <x:c r="A109" s="28" t="str">
        <x:v>индийский лавровый лист</x:v>
      </x:c>
      <x:c r="B109" s="28" t="str">
        <x:v>Прочее</x:v>
      </x:c>
      <x:c r="C109" s="28" t="str">
        <x:v>нейтральный/специфический</x:v>
      </x:c>
      <x:c r="D109" s="28" t="str">
        <x:v>нужен профиль конкретного продукта</x:v>
      </x:c>
      <x:c r="E109" s="28" t="str">
        <x:v>зависит от продукта</x:v>
      </x:c>
      <x:c r="F109" s="28" t="str">
        <x:v>нет данных</x:v>
      </x:c>
      <x:c r="G109" s="28" t="str">
        <x:v>зависит от формы продукта</x:v>
      </x:c>
      <x:c r="H109" s="28" t="str">
        <x:v>Для точного молекулярного вывода нужен профиль конкретного ингредиента и способа обработки.</x:v>
      </x:c>
      <x:c r="I109" s="28" t="n">
        <x:f>COUNTIF('Все сочетания'!$C:$C,A109)+COUNTIF('Все сочетания'!$F:$F,A109)</x:f>
        <x:v>1</x:v>
      </x:c>
    </x:row>
    <x:row r="110" ht="46" customHeight="1">
      <x:c r="A110" s="28" t="str">
        <x:v>инжир</x:v>
      </x:c>
      <x:c r="B110" s="28" t="str">
        <x:v>Прочее</x:v>
      </x:c>
      <x:c r="C110" s="28" t="str">
        <x:v>нейтральный/специфический</x:v>
      </x:c>
      <x:c r="D110" s="28" t="str">
        <x:v>нужен профиль конкретного продукта</x:v>
      </x:c>
      <x:c r="E110" s="28" t="str">
        <x:v>зависит от продукта</x:v>
      </x:c>
      <x:c r="F110" s="28" t="str">
        <x:v>нет данных</x:v>
      </x:c>
      <x:c r="G110" s="28" t="str">
        <x:v>зависит от формы продукта</x:v>
      </x:c>
      <x:c r="H110" s="28" t="str">
        <x:v>Для точного молекулярного вывода нужен профиль конкретного ингредиента и способа обработки.</x:v>
      </x:c>
      <x:c r="I110" s="28" t="n">
        <x:f>COUNTIF('Все сочетания'!$C:$C,A110)+COUNTIF('Все сочетания'!$F:$F,A110)</x:f>
        <x:v>4</x:v>
      </x:c>
    </x:row>
    <x:row r="111" ht="46" customHeight="1">
      <x:c r="A111" s="28" t="str">
        <x:v>ирисовый ликёр</x:v>
      </x:c>
      <x:c r="B111" s="28" t="str">
        <x:v>Алкогольные напитки</x:v>
      </x:c>
      <x:c r="C111" s="28" t="str">
        <x:v>зависит от основы, эфирный, древесный/пряный</x:v>
      </x:c>
      <x:c r="D111" s="28" t="str">
        <x:v>этанол, эфиры, терпены/дубовые соединения</x:v>
      </x:c>
      <x:c r="E111" s="28" t="str">
        <x:v>горький, сладкий или сухой</x:v>
      </x:c>
      <x:c r="F111" s="28" t="str">
        <x:v>этанол усиливает тепло и летучесть аромата</x:v>
      </x:c>
      <x:c r="G111" s="28" t="str">
        <x:v>этанол — хороший растворитель гидрофобных эфирных масел</x:v>
      </x:c>
      <x:c r="H111" s="28" t="str">
        <x:v>Спирт извлекает цедру и усиливает ретроназальный выход терпенов; сахар и разбавление меняют баланс.</x:v>
      </x:c>
      <x:c r="I111" s="28" t="n">
        <x:f>COUNTIF('Все сочетания'!$C:$C,A111)+COUNTIF('Все сочетания'!$F:$F,A111)</x:f>
        <x:v>1</x:v>
      </x:c>
    </x:row>
    <x:row r="112" ht="46" customHeight="1">
      <x:c r="A112" s="28" t="str">
        <x:v>йерба мате</x:v>
      </x:c>
      <x:c r="B112" s="28" t="str">
        <x:v>Чай и настои</x:v>
      </x:c>
      <x:c r="C112" s="28" t="str">
        <x:v>травяной, цветочный, танинный, иногда обжаренный</x:v>
      </x:c>
      <x:c r="D112" s="28" t="str">
        <x:v>линалол, гераниол, иононы, катехины</x:v>
      </x:c>
      <x:c r="E112" s="28" t="str">
        <x:v>горький, вяжущий</x:v>
      </x:c>
      <x:c r="F112" s="28" t="str">
        <x:v>нет выраженного</x:v>
      </x:c>
      <x:c r="G112" s="28" t="str">
        <x:v>вода извлекает полифенолы; эфирные масла лучше добавлять после заваривания</x:v>
      </x:c>
      <x:c r="H112" s="28" t="str">
        <x:v>Цитрус связывается с цветочными терпенами чая и снижает ощущение вяжущей сухости при наличии сахара.</x:v>
      </x:c>
      <x:c r="I112" s="28" t="n">
        <x:f>COUNTIF('Все сочетания'!$C:$C,A112)+COUNTIF('Все сочетания'!$F:$F,A112)</x:f>
        <x:v>1</x:v>
      </x:c>
    </x:row>
    <x:row r="113" ht="46" customHeight="1">
      <x:c r="A113" s="28" t="str">
        <x:v>кабосу</x:v>
      </x:c>
      <x:c r="B113" s="28" t="str">
        <x:v>Прочее</x:v>
      </x:c>
      <x:c r="C113" s="28" t="str">
        <x:v>нейтральный/специфический</x:v>
      </x:c>
      <x:c r="D113" s="28" t="str">
        <x:v>нужен профиль конкретного продукта</x:v>
      </x:c>
      <x:c r="E113" s="28" t="str">
        <x:v>зависит от продукта</x:v>
      </x:c>
      <x:c r="F113" s="28" t="str">
        <x:v>нет данных</x:v>
      </x:c>
      <x:c r="G113" s="28" t="str">
        <x:v>зависит от формы продукта</x:v>
      </x:c>
      <x:c r="H113" s="28" t="str">
        <x:v>Для точного молекулярного вывода нужен профиль конкретного ингредиента и способа обработки.</x:v>
      </x:c>
      <x:c r="I113" s="28" t="n">
        <x:f>COUNTIF('Все сочетания'!$C:$C,A113)+COUNTIF('Все сочетания'!$F:$F,A113)</x:f>
        <x:v>11</x:v>
      </x:c>
    </x:row>
    <x:row r="114" ht="46" customHeight="1">
      <x:c r="A114" s="28" t="str">
        <x:v>каламондин</x:v>
      </x:c>
      <x:c r="B114" s="28" t="str">
        <x:v>Цитрусовые</x:v>
      </x:c>
      <x:c r="C114" s="28" t="str">
        <x:v>цитрусовый, зелёный, травяной, камфорный</x:v>
      </x:c>
      <x:c r="D114" s="28" t="str">
        <x:v>лимонен, гамма-терпинен, цитраль, бета-пинен, линалол</x:v>
      </x:c>
      <x:c r="E114" s="28" t="str">
        <x:v>кислый, слабо горький</x:v>
      </x:c>
      <x:c r="F114" s="28" t="str">
        <x:v>кислота усиливает слюноотделение; зелёные терпены создают ощущение прохлады</x:v>
      </x:c>
      <x:c r="G114" s="28" t="str">
        <x:v>сок — водная кислая фаза; цедра — масляная терпеновая</x:v>
      </x:c>
      <x:c r="H114" s="28" t="str">
        <x:v>Лаймовые цитрусы дают более зелёный и камфорный профиль, чем сладкий апельсин.</x:v>
      </x:c>
      <x:c r="I114" s="28" t="n">
        <x:f>COUNTIF('Все сочетания'!$C:$C,A114)+COUNTIF('Все сочетания'!$F:$F,A114)</x:f>
        <x:v>1</x:v>
      </x:c>
    </x:row>
    <x:row r="115" ht="46" customHeight="1">
      <x:c r="A115" s="28" t="str">
        <x:v>каламонси</x:v>
      </x:c>
      <x:c r="B115" s="28" t="str">
        <x:v>Цитрусовые</x:v>
      </x:c>
      <x:c r="C115" s="28" t="str">
        <x:v>цитрусовый, зелёный, травяной, камфорный</x:v>
      </x:c>
      <x:c r="D115" s="28" t="str">
        <x:v>лимонен, гамма-терпинен, цитраль, бета-пинен, линалол</x:v>
      </x:c>
      <x:c r="E115" s="28" t="str">
        <x:v>кислый, слабо горький</x:v>
      </x:c>
      <x:c r="F115" s="28" t="str">
        <x:v>кислота усиливает слюноотделение; зелёные терпены создают ощущение прохлады</x:v>
      </x:c>
      <x:c r="G115" s="28" t="str">
        <x:v>сок — водная кислая фаза; цедра — масляная терпеновая</x:v>
      </x:c>
      <x:c r="H115" s="28" t="str">
        <x:v>Лаймовые цитрусы дают более зелёный и камфорный профиль, чем сладкий апельсин.</x:v>
      </x:c>
      <x:c r="I115" s="28" t="n">
        <x:f>COUNTIF('Все сочетания'!$C:$C,A115)+COUNTIF('Все сочетания'!$F:$F,A115)</x:f>
        <x:v>15</x:v>
      </x:c>
    </x:row>
    <x:row r="116" ht="46" customHeight="1">
      <x:c r="A116" s="28" t="str">
        <x:v>кальвадос</x:v>
      </x:c>
      <x:c r="B116" s="28" t="str">
        <x:v>Алкогольные напитки</x:v>
      </x:c>
      <x:c r="C116" s="28" t="str">
        <x:v>зависит от основы, эфирный, древесный/пряный</x:v>
      </x:c>
      <x:c r="D116" s="28" t="str">
        <x:v>этанол, эфиры, терпены/дубовые соединения</x:v>
      </x:c>
      <x:c r="E116" s="28" t="str">
        <x:v>горький, сладкий или сухой</x:v>
      </x:c>
      <x:c r="F116" s="28" t="str">
        <x:v>этанол усиливает тепло и летучесть аромата</x:v>
      </x:c>
      <x:c r="G116" s="28" t="str">
        <x:v>этанол — хороший растворитель гидрофобных эфирных масел</x:v>
      </x:c>
      <x:c r="H116" s="28" t="str">
        <x:v>Спирт извлекает цедру и усиливает ретроназальный выход терпенов; сахар и разбавление меняют баланс.</x:v>
      </x:c>
      <x:c r="I116" s="28" t="n">
        <x:f>COUNTIF('Все сочетания'!$C:$C,A116)+COUNTIF('Все сочетания'!$F:$F,A116)</x:f>
        <x:v>1</x:v>
      </x:c>
    </x:row>
    <x:row r="117" ht="46" customHeight="1">
      <x:c r="A117" s="28" t="str">
        <x:v>каму-каму</x:v>
      </x:c>
      <x:c r="B117" s="28" t="str">
        <x:v>Прочее</x:v>
      </x:c>
      <x:c r="C117" s="28" t="str">
        <x:v>нейтральный/специфический</x:v>
      </x:c>
      <x:c r="D117" s="28" t="str">
        <x:v>нужен профиль конкретного продукта</x:v>
      </x:c>
      <x:c r="E117" s="28" t="str">
        <x:v>зависит от продукта</x:v>
      </x:c>
      <x:c r="F117" s="28" t="str">
        <x:v>нет данных</x:v>
      </x:c>
      <x:c r="G117" s="28" t="str">
        <x:v>зависит от формы продукта</x:v>
      </x:c>
      <x:c r="H117" s="28" t="str">
        <x:v>Для точного молекулярного вывода нужен профиль конкретного ингредиента и способа обработки.</x:v>
      </x:c>
      <x:c r="I117" s="28" t="n">
        <x:f>COUNTIF('Все сочетания'!$C:$C,A117)+COUNTIF('Все сочетания'!$F:$F,A117)</x:f>
        <x:v>1</x:v>
      </x:c>
    </x:row>
    <x:row r="118" ht="46" customHeight="1">
      <x:c r="A118" s="28" t="str">
        <x:v>канталупа</x:v>
      </x:c>
      <x:c r="B118" s="28" t="str">
        <x:v>Прочее</x:v>
      </x:c>
      <x:c r="C118" s="28" t="str">
        <x:v>нейтральный/специфический</x:v>
      </x:c>
      <x:c r="D118" s="28" t="str">
        <x:v>нужен профиль конкретного продукта</x:v>
      </x:c>
      <x:c r="E118" s="28" t="str">
        <x:v>зависит от продукта</x:v>
      </x:c>
      <x:c r="F118" s="28" t="str">
        <x:v>нет данных</x:v>
      </x:c>
      <x:c r="G118" s="28" t="str">
        <x:v>зависит от формы продукта</x:v>
      </x:c>
      <x:c r="H118" s="28" t="str">
        <x:v>Для точного молекулярного вывода нужен профиль конкретного ингредиента и способа обработки.</x:v>
      </x:c>
      <x:c r="I118" s="28" t="n">
        <x:f>COUNTIF('Все сочетания'!$C:$C,A118)+COUNTIF('Все сочетания'!$F:$F,A118)</x:f>
        <x:v>5</x:v>
      </x:c>
    </x:row>
    <x:row r="119" ht="46" customHeight="1">
      <x:c r="A119" s="28" t="str">
        <x:v>каперсы</x:v>
      </x:c>
      <x:c r="B119" s="28" t="str">
        <x:v>Прочее</x:v>
      </x:c>
      <x:c r="C119" s="28" t="str">
        <x:v>нейтральный/специфический</x:v>
      </x:c>
      <x:c r="D119" s="28" t="str">
        <x:v>нужен профиль конкретного продукта</x:v>
      </x:c>
      <x:c r="E119" s="28" t="str">
        <x:v>зависит от продукта</x:v>
      </x:c>
      <x:c r="F119" s="28" t="str">
        <x:v>нет данных</x:v>
      </x:c>
      <x:c r="G119" s="28" t="str">
        <x:v>зависит от формы продукта</x:v>
      </x:c>
      <x:c r="H119" s="28" t="str">
        <x:v>Для точного молекулярного вывода нужен профиль конкретного ингредиента и способа обработки.</x:v>
      </x:c>
      <x:c r="I119" s="28" t="n">
        <x:f>COUNTIF('Все сочетания'!$C:$C,A119)+COUNTIF('Все сочетания'!$F:$F,A119)</x:f>
        <x:v>1</x:v>
      </x:c>
    </x:row>
    <x:row r="120" ht="46" customHeight="1">
      <x:c r="A120" s="28" t="str">
        <x:v>карамбола (star fruit)</x:v>
      </x:c>
      <x:c r="B120" s="28" t="str">
        <x:v>Прочее</x:v>
      </x:c>
      <x:c r="C120" s="28" t="str">
        <x:v>нейтральный/специфический</x:v>
      </x:c>
      <x:c r="D120" s="28" t="str">
        <x:v>нужен профиль конкретного продукта</x:v>
      </x:c>
      <x:c r="E120" s="28" t="str">
        <x:v>зависит от продукта</x:v>
      </x:c>
      <x:c r="F120" s="28" t="str">
        <x:v>нет данных</x:v>
      </x:c>
      <x:c r="G120" s="28" t="str">
        <x:v>зависит от формы продукта</x:v>
      </x:c>
      <x:c r="H120" s="28" t="str">
        <x:v>Для точного молекулярного вывода нужен профиль конкретного ингредиента и способа обработки.</x:v>
      </x:c>
      <x:c r="I120" s="28" t="n">
        <x:f>COUNTIF('Все сочетания'!$C:$C,A120)+COUNTIF('Все сочетания'!$F:$F,A120)</x:f>
        <x:v>2</x:v>
      </x:c>
    </x:row>
    <x:row r="121" ht="46" customHeight="1">
      <x:c r="A121" s="28" t="str">
        <x:v>карамель</x:v>
      </x:c>
      <x:c r="B121" s="28" t="str">
        <x:v>Подсластители</x:v>
      </x:c>
      <x:c r="C121" s="28" t="str">
        <x:v>медовый, цветочный, карамельный</x:v>
      </x:c>
      <x:c r="D121" s="28" t="str">
        <x:v>фенилуксусные соединения, фураны, норизопреноиды</x:v>
      </x:c>
      <x:c r="E121" s="28" t="str">
        <x:v>сладкий</x:v>
      </x:c>
      <x:c r="F121" s="28" t="str">
        <x:v>нет выраженного</x:v>
      </x:c>
      <x:c r="G121" s="28" t="str">
        <x:v>сахар повышает вязкость и снижает воспринимаемую кислотность</x:v>
      </x:c>
      <x:c r="H121" s="28" t="str">
        <x:v>Сладость балансирует кислоту и горечь кожуры; цветочные компоненты могут поддерживать цитрус.</x:v>
      </x:c>
      <x:c r="I121" s="28" t="n">
        <x:f>COUNTIF('Все сочетания'!$C:$C,A121)+COUNTIF('Все сочетания'!$F:$F,A121)</x:f>
        <x:v>2</x:v>
      </x:c>
    </x:row>
    <x:row r="122" ht="46" customHeight="1">
      <x:c r="A122" s="28" t="str">
        <x:v>кардамон</x:v>
      </x:c>
      <x:c r="B122" s="28" t="str">
        <x:v>Пряности</x:v>
      </x:c>
      <x:c r="C122" s="28" t="str">
        <x:v>цитрусовый, камфорный, цветочный, эвкалиптовый</x:v>
      </x:c>
      <x:c r="D122" s="28" t="str">
        <x:v>1,8-цинеол, альфа-терпинилацетат, линалол, лимонен</x:v>
      </x:c>
      <x:c r="E122" s="28" t="str">
        <x:v>пряный, слегка горький</x:v>
      </x:c>
      <x:c r="F122" s="28" t="str">
        <x:v>1,8-цинеол создаёт прохладно-камфорное ощущение</x:v>
      </x:c>
      <x:c r="G122" s="28" t="str">
        <x:v>эфирные масла гидрофобны, хорошо переходят в жир и спирт</x:v>
      </x:c>
      <x:c r="H122" s="28" t="str">
        <x:v>Кардамон часто служит мостом между цитрусом, цветами и древесными нотами.</x:v>
      </x:c>
      <x:c r="I122" s="28" t="n">
        <x:f>COUNTIF('Все сочетания'!$C:$C,A122)+COUNTIF('Все сочетания'!$F:$F,A122)</x:f>
        <x:v>6</x:v>
      </x:c>
    </x:row>
    <x:row r="123" ht="46" customHeight="1">
      <x:c r="A123" s="28" t="str">
        <x:v>картофель</x:v>
      </x:c>
      <x:c r="B123" s="28" t="str">
        <x:v>Прочее</x:v>
      </x:c>
      <x:c r="C123" s="28" t="str">
        <x:v>нейтральный/специфический</x:v>
      </x:c>
      <x:c r="D123" s="28" t="str">
        <x:v>нужен профиль конкретного продукта</x:v>
      </x:c>
      <x:c r="E123" s="28" t="str">
        <x:v>зависит от продукта</x:v>
      </x:c>
      <x:c r="F123" s="28" t="str">
        <x:v>нет данных</x:v>
      </x:c>
      <x:c r="G123" s="28" t="str">
        <x:v>зависит от формы продукта</x:v>
      </x:c>
      <x:c r="H123" s="28" t="str">
        <x:v>Для точного молекулярного вывода нужен профиль конкретного ингредиента и способа обработки.</x:v>
      </x:c>
      <x:c r="I123" s="28" t="n">
        <x:f>COUNTIF('Все сочетания'!$C:$C,A123)+COUNTIF('Все сочетания'!$F:$F,A123)</x:f>
        <x:v>1</x:v>
      </x:c>
    </x:row>
    <x:row r="124" ht="46" customHeight="1">
      <x:c r="A124" s="28" t="str">
        <x:v>кашаса</x:v>
      </x:c>
      <x:c r="B124" s="28" t="str">
        <x:v>Алкогольные напитки</x:v>
      </x:c>
      <x:c r="C124" s="28" t="str">
        <x:v>зависит от основы, эфирный, древесный/пряный</x:v>
      </x:c>
      <x:c r="D124" s="28" t="str">
        <x:v>этанол, эфиры, терпены/дубовые соединения</x:v>
      </x:c>
      <x:c r="E124" s="28" t="str">
        <x:v>горький, сладкий или сухой</x:v>
      </x:c>
      <x:c r="F124" s="28" t="str">
        <x:v>этанол усиливает тепло и летучесть аромата</x:v>
      </x:c>
      <x:c r="G124" s="28" t="str">
        <x:v>этанол — хороший растворитель гидрофобных эфирных масел</x:v>
      </x:c>
      <x:c r="H124" s="28" t="str">
        <x:v>Спирт извлекает цедру и усиливает ретроназальный выход терпенов; сахар и разбавление меняют баланс.</x:v>
      </x:c>
      <x:c r="I124" s="28" t="n">
        <x:f>COUNTIF('Все сочетания'!$C:$C,A124)+COUNTIF('Все сочетания'!$F:$F,A124)</x:f>
        <x:v>2</x:v>
      </x:c>
    </x:row>
    <x:row r="125" ht="46" customHeight="1">
      <x:c r="A125" s="28" t="str">
        <x:v>каштан</x:v>
      </x:c>
      <x:c r="B125" s="28" t="str">
        <x:v>Прочее</x:v>
      </x:c>
      <x:c r="C125" s="28" t="str">
        <x:v>нейтральный/специфический</x:v>
      </x:c>
      <x:c r="D125" s="28" t="str">
        <x:v>нужен профиль конкретного продукта</x:v>
      </x:c>
      <x:c r="E125" s="28" t="str">
        <x:v>зависит от продукта</x:v>
      </x:c>
      <x:c r="F125" s="28" t="str">
        <x:v>нет данных</x:v>
      </x:c>
      <x:c r="G125" s="28" t="str">
        <x:v>зависит от формы продукта</x:v>
      </x:c>
      <x:c r="H125" s="28" t="str">
        <x:v>Для точного молекулярного вывода нужен профиль конкретного ингредиента и способа обработки.</x:v>
      </x:c>
      <x:c r="I125" s="28" t="n">
        <x:f>COUNTIF('Все сочетания'!$C:$C,A125)+COUNTIF('Все сочетания'!$F:$F,A125)</x:f>
        <x:v>2</x:v>
      </x:c>
    </x:row>
    <x:row r="126" ht="46" customHeight="1">
      <x:c r="A126" s="28" t="str">
        <x:v>квашеная капуста</x:v>
      </x:c>
      <x:c r="B126" s="28" t="str">
        <x:v>Овощи</x:v>
      </x:c>
      <x:c r="C126" s="28" t="str">
        <x:v>зелёный, землистый, растительный, иногда сернистый</x:v>
      </x:c>
      <x:c r="D126" s="28" t="str">
        <x:v>C6-альдегиды, метоксипиразины, геосмин (землистые), сернистые соединения</x:v>
      </x:c>
      <x:c r="E126" s="28" t="str">
        <x:v>сладковатый, горьковатый, умами</x:v>
      </x:c>
      <x:c r="F126" s="28" t="str">
        <x:v>нет выраженного</x:v>
      </x:c>
      <x:c r="G126" s="28" t="str">
        <x:v>водная/крахмальная матрица; масло помогает распределить цедру</x:v>
      </x:c>
      <x:c r="H126" s="28" t="str">
        <x:v>Кислота подчёркивает сладость овощей и сокращает землистое или сернистое послевкусие.</x:v>
      </x:c>
      <x:c r="I126" s="28" t="n">
        <x:f>COUNTIF('Все сочетания'!$C:$C,A126)+COUNTIF('Все сочетания'!$F:$F,A126)</x:f>
        <x:v>1</x:v>
      </x:c>
    </x:row>
    <x:row r="127" ht="46" customHeight="1">
      <x:c r="A127" s="28" t="str">
        <x:v>кедровый орех</x:v>
      </x:c>
      <x:c r="B127" s="28" t="str">
        <x:v>Орехи и семена</x:v>
      </x:c>
      <x:c r="C127" s="28" t="str">
        <x:v>ореховый, обжаренный, жирный, зелёный</x:v>
      </x:c>
      <x:c r="D127" s="28" t="str">
        <x:v>пиразины, альдегиды окисления жиров, бензальдегид (миндаль)</x:v>
      </x:c>
      <x:c r="E127" s="28" t="str">
        <x:v>сладковатый, горьковатый</x:v>
      </x:c>
      <x:c r="F127" s="28" t="str">
        <x:v>нет выраженного</x:v>
      </x:c>
      <x:c r="G127" s="28" t="str">
        <x:v>высокая жирность растворяет терпеновые масла цитруса</x:v>
      </x:c>
      <x:c r="H127" s="28" t="str">
        <x:v>Кислота режет жирность, а цедра связывается с обжаренными и цветочными нотами.</x:v>
      </x:c>
      <x:c r="I127" s="28" t="n">
        <x:f>COUNTIF('Все сочетания'!$C:$C,A127)+COUNTIF('Все сочетания'!$F:$F,A127)</x:f>
        <x:v>2</x:v>
      </x:c>
    </x:row>
    <x:row r="128" ht="46" customHeight="1">
      <x:c r="A128" s="28" t="str">
        <x:v>кейл</x:v>
      </x:c>
      <x:c r="B128" s="28" t="str">
        <x:v>Прочее</x:v>
      </x:c>
      <x:c r="C128" s="28" t="str">
        <x:v>нейтральный/специфический</x:v>
      </x:c>
      <x:c r="D128" s="28" t="str">
        <x:v>нужен профиль конкретного продукта</x:v>
      </x:c>
      <x:c r="E128" s="28" t="str">
        <x:v>зависит от продукта</x:v>
      </x:c>
      <x:c r="F128" s="28" t="str">
        <x:v>нет данных</x:v>
      </x:c>
      <x:c r="G128" s="28" t="str">
        <x:v>зависит от формы продукта</x:v>
      </x:c>
      <x:c r="H128" s="28" t="str">
        <x:v>Для точного молекулярного вывода нужен профиль конкретного ингредиента и способа обработки.</x:v>
      </x:c>
      <x:c r="I128" s="28" t="n">
        <x:f>COUNTIF('Все сочетания'!$C:$C,A128)+COUNTIF('Все сочетания'!$F:$F,A128)</x:f>
        <x:v>3</x:v>
      </x:c>
    </x:row>
    <x:row r="129" ht="46" customHeight="1">
      <x:c r="A129" s="28" t="str">
        <x:v>киви</x:v>
      </x:c>
      <x:c r="B129" s="28" t="str">
        <x:v>Прочее</x:v>
      </x:c>
      <x:c r="C129" s="28" t="str">
        <x:v>нейтральный/специфический</x:v>
      </x:c>
      <x:c r="D129" s="28" t="str">
        <x:v>нужен профиль конкретного продукта</x:v>
      </x:c>
      <x:c r="E129" s="28" t="str">
        <x:v>зависит от продукта</x:v>
      </x:c>
      <x:c r="F129" s="28" t="str">
        <x:v>нет данных</x:v>
      </x:c>
      <x:c r="G129" s="28" t="str">
        <x:v>зависит от формы продукта</x:v>
      </x:c>
      <x:c r="H129" s="28" t="str">
        <x:v>Для точного молекулярного вывода нужен профиль конкретного ингредиента и способа обработки.</x:v>
      </x:c>
      <x:c r="I129" s="28" t="n">
        <x:f>COUNTIF('Все сочетания'!$C:$C,A129)+COUNTIF('Все сочетания'!$F:$F,A129)</x:f>
        <x:v>2</x:v>
      </x:c>
    </x:row>
    <x:row r="130" ht="46" customHeight="1">
      <x:c r="A130" s="28" t="str">
        <x:v>кленовый сироп</x:v>
      </x:c>
      <x:c r="B130" s="28" t="str">
        <x:v>Прочее</x:v>
      </x:c>
      <x:c r="C130" s="28" t="str">
        <x:v>нейтральный/специфический</x:v>
      </x:c>
      <x:c r="D130" s="28" t="str">
        <x:v>нужен профиль конкретного продукта</x:v>
      </x:c>
      <x:c r="E130" s="28" t="str">
        <x:v>зависит от продукта</x:v>
      </x:c>
      <x:c r="F130" s="28" t="str">
        <x:v>нет данных</x:v>
      </x:c>
      <x:c r="G130" s="28" t="str">
        <x:v>зависит от формы продукта</x:v>
      </x:c>
      <x:c r="H130" s="28" t="str">
        <x:v>Для точного молекулярного вывода нужен профиль конкретного ингредиента и способа обработки.</x:v>
      </x:c>
      <x:c r="I130" s="28" t="n">
        <x:f>COUNTIF('Все сочетания'!$C:$C,A130)+COUNTIF('Все сочетания'!$F:$F,A130)</x:f>
        <x:v>4</x:v>
      </x:c>
    </x:row>
    <x:row r="131" ht="46" customHeight="1">
      <x:c r="A131" s="28" t="str">
        <x:v>клубника</x:v>
      </x:c>
      <x:c r="B131" s="28" t="str">
        <x:v>Ягоды</x:v>
      </x:c>
      <x:c r="C131" s="28" t="str">
        <x:v>фруктовый, цветочный, карамельный</x:v>
      </x:c>
      <x:c r="D131" s="28" t="str">
        <x:v>фуранеол, этилбутират, метилбутират, линалоол</x:v>
      </x:c>
      <x:c r="E131" s="28" t="str">
        <x:v>кисло-сладкий</x:v>
      </x:c>
      <x:c r="F131" s="28" t="str">
        <x:v>нет выраженного</x:v>
      </x:c>
      <x:c r="G131" s="28" t="str">
        <x:v>сочная матрица; аромат быстро теряется при нагреве</x:v>
      </x:c>
      <x:c r="H131" s="28" t="str">
        <x:v>Фуранеол даёт карамельно-ананасовый оттенок, цитрус подчёркивает свежие эфиры.</x:v>
      </x:c>
      <x:c r="I131" s="28" t="n">
        <x:f>COUNTIF('Все сочетания'!$C:$C,A131)+COUNTIF('Все сочетания'!$F:$F,A131)</x:f>
        <x:v>4</x:v>
      </x:c>
    </x:row>
    <x:row r="132" ht="46" customHeight="1">
      <x:c r="A132" s="28" t="str">
        <x:v>клюква</x:v>
      </x:c>
      <x:c r="B132" s="28" t="str">
        <x:v>Прочее</x:v>
      </x:c>
      <x:c r="C132" s="28" t="str">
        <x:v>нейтральный/специфический</x:v>
      </x:c>
      <x:c r="D132" s="28" t="str">
        <x:v>нужен профиль конкретного продукта</x:v>
      </x:c>
      <x:c r="E132" s="28" t="str">
        <x:v>зависит от продукта</x:v>
      </x:c>
      <x:c r="F132" s="28" t="str">
        <x:v>нет данных</x:v>
      </x:c>
      <x:c r="G132" s="28" t="str">
        <x:v>зависит от формы продукта</x:v>
      </x:c>
      <x:c r="H132" s="28" t="str">
        <x:v>Для точного молекулярного вывода нужен профиль конкретного ингредиента и способа обработки.</x:v>
      </x:c>
      <x:c r="I132" s="28" t="n">
        <x:f>COUNTIF('Все сочетания'!$C:$C,A132)+COUNTIF('Все сочетания'!$F:$F,A132)</x:f>
        <x:v>3</x:v>
      </x:c>
    </x:row>
    <x:row r="133" ht="46" customHeight="1">
      <x:c r="A133" s="28" t="str">
        <x:v>кожура горького апельсина</x:v>
      </x:c>
      <x:c r="B133" s="28" t="str">
        <x:v>Цитрусовые</x:v>
      </x:c>
      <x:c r="C133" s="28" t="str">
        <x:v>цитрусовый, сладко-фруктовый, цветочный, восковой</x:v>
      </x:c>
      <x:c r="D133" s="28" t="str">
        <x:v>лимонен, линалол, деканаль, октаналь, мирцен</x:v>
      </x:c>
      <x:c r="E133" s="28" t="str">
        <x:v>кисло-сладкий, горечь кожуры</x:v>
      </x:c>
      <x:c r="F133" s="28" t="str">
        <x:v>нет выраженного</x:v>
      </x:c>
      <x:c r="G133" s="28" t="str">
        <x:v>сок водный; цедра и ликёры несут гидрофобные эфирные масла</x:v>
      </x:c>
      <x:c r="H133" s="28" t="str">
        <x:v>Апельсиновый профиль строится на лимонене и альдегидах с восково-сладкой нотой.</x:v>
      </x:c>
      <x:c r="I133" s="28" t="n">
        <x:f>COUNTIF('Все сочетания'!$C:$C,A133)+COUNTIF('Все сочетания'!$F:$F,A133)</x:f>
        <x:v>3</x:v>
      </x:c>
    </x:row>
    <x:row r="134" ht="46" customHeight="1">
      <x:c r="A134" s="28" t="str">
        <x:v>кожура грейпфрута</x:v>
      </x:c>
      <x:c r="B134" s="28" t="str">
        <x:v>Цитрусовые</x:v>
      </x:c>
      <x:c r="C134" s="28" t="str">
        <x:v>цитрусовый, горький, свежий, сернистый</x:v>
      </x:c>
      <x:c r="D134" s="28" t="str">
        <x:v>лимонен, нооткатон, грейпфрутовые тиолы, нарингин</x:v>
      </x:c>
      <x:c r="E134" s="28" t="str">
        <x:v>кислый, горький, умеренно сладкий</x:v>
      </x:c>
      <x:c r="F134" s="28" t="str">
        <x:v>нет выраженного; кислота усиливает слюноотделение</x:v>
      </x:c>
      <x:c r="G134" s="28" t="str">
        <x:v>водная фаза сока + гидрофобные масла кожуры</x:v>
      </x:c>
      <x:c r="H134" s="28" t="str">
        <x:v>Горечь задают флавоноиды, аромат кожуры — терпены и следовые тиолы.</x:v>
      </x:c>
      <x:c r="I134" s="28" t="n">
        <x:f>COUNTIF('Все сочетания'!$C:$C,A134)+COUNTIF('Все сочетания'!$F:$F,A134)</x:f>
        <x:v>1</x:v>
      </x:c>
    </x:row>
    <x:row r="135" ht="46" customHeight="1">
      <x:c r="A135" s="28" t="str">
        <x:v>кожура кумквата</x:v>
      </x:c>
      <x:c r="B135" s="28" t="str">
        <x:v>Цитрусовые</x:v>
      </x:c>
      <x:c r="C135" s="28" t="str">
        <x:v>цитрусовый, фруктовый, цветочный, пряный</x:v>
      </x:c>
      <x:c r="D135" s="28" t="str">
        <x:v>лимонен, гамма-терпинен, метил-N-метилантранилат, линалол</x:v>
      </x:c>
      <x:c r="E135" s="28" t="str">
        <x:v>кисло-сладкий, лёгкая горечь кожуры</x:v>
      </x:c>
      <x:c r="F135" s="28" t="str">
        <x:v>нет выраженного</x:v>
      </x:c>
      <x:c r="G135" s="28" t="str">
        <x:v>сок водный; кожура богата эфирным маслом</x:v>
      </x:c>
      <x:c r="H135" s="28" t="str">
        <x:v>Мандариновая группа мягче по кислотности и выраженнее по сладко-цветочным нотам.</x:v>
      </x:c>
      <x:c r="I135" s="28" t="n">
        <x:f>COUNTIF('Все сочетания'!$C:$C,A135)+COUNTIF('Все сочетания'!$F:$F,A135)</x:f>
        <x:v>3</x:v>
      </x:c>
    </x:row>
    <x:row r="136" ht="46" customHeight="1">
      <x:c r="A136" s="28" t="str">
        <x:v>кожура мандарина</x:v>
      </x:c>
      <x:c r="B136" s="28" t="str">
        <x:v>Цитрусовые</x:v>
      </x:c>
      <x:c r="C136" s="28" t="str">
        <x:v>цитрусовый, фруктовый, цветочный, пряный</x:v>
      </x:c>
      <x:c r="D136" s="28" t="str">
        <x:v>лимонен, гамма-терпинен, метил-N-метилантранилат, линалол</x:v>
      </x:c>
      <x:c r="E136" s="28" t="str">
        <x:v>кисло-сладкий, лёгкая горечь кожуры</x:v>
      </x:c>
      <x:c r="F136" s="28" t="str">
        <x:v>нет выраженного</x:v>
      </x:c>
      <x:c r="G136" s="28" t="str">
        <x:v>сок водный; кожура богата эфирным маслом</x:v>
      </x:c>
      <x:c r="H136" s="28" t="str">
        <x:v>Мандариновая группа мягче по кислотности и выраженнее по сладко-цветочным нотам.</x:v>
      </x:c>
      <x:c r="I136" s="28" t="n">
        <x:f>COUNTIF('Все сочетания'!$C:$C,A136)+COUNTIF('Все сочетания'!$F:$F,A136)</x:f>
        <x:v>16</x:v>
      </x:c>
    </x:row>
    <x:row r="137" ht="46" customHeight="1">
      <x:c r="A137" s="28" t="str">
        <x:v>кожура помело</x:v>
      </x:c>
      <x:c r="B137" s="28" t="str">
        <x:v>Цитрусовые</x:v>
      </x:c>
      <x:c r="C137" s="28" t="str">
        <x:v>цитрусовый, горький, свежий, сернистый</x:v>
      </x:c>
      <x:c r="D137" s="28" t="str">
        <x:v>лимонен, нооткатон, грейпфрутовые тиолы, нарингин</x:v>
      </x:c>
      <x:c r="E137" s="28" t="str">
        <x:v>кислый, горький, умеренно сладкий</x:v>
      </x:c>
      <x:c r="F137" s="28" t="str">
        <x:v>нет выраженного; кислота усиливает слюноотделение</x:v>
      </x:c>
      <x:c r="G137" s="28" t="str">
        <x:v>водная фаза сока + гидрофобные масла кожуры</x:v>
      </x:c>
      <x:c r="H137" s="28" t="str">
        <x:v>Горечь задают флавоноиды, аромат кожуры — терпены и следовые тиолы.</x:v>
      </x:c>
      <x:c r="I137" s="28" t="n">
        <x:f>COUNTIF('Все сочетания'!$C:$C,A137)+COUNTIF('Все сочетания'!$F:$F,A137)</x:f>
        <x:v>1</x:v>
      </x:c>
    </x:row>
    <x:row r="138" ht="46" customHeight="1">
      <x:c r="A138" s="28" t="str">
        <x:v>козий сыр</x:v>
      </x:c>
      <x:c r="B138" s="28" t="str">
        <x:v>Молочные продукты</x:v>
      </x:c>
      <x:c r="C138" s="28" t="str">
        <x:v>сливочный, молочный, масляный, иногда животный</x:v>
      </x:c>
      <x:c r="D138" s="28" t="str">
        <x:v>диацетил, молочные лактоны, свободные жирные кислоты</x:v>
      </x:c>
      <x:c r="E138" s="28" t="str">
        <x:v>жирный, солёный/умами, кислый у ферментированных</x:v>
      </x:c>
      <x:c r="F138" s="28" t="str">
        <x:v>нет выраженного</x:v>
      </x:c>
      <x:c r="G138" s="28" t="str">
        <x:v>жир растворяет терпены; кислота цитруса может коагулировать молочный белок</x:v>
      </x:c>
      <x:c r="H138" s="28" t="str">
        <x:v>Цитрус режет жирность и освежает, а молочная матрица смягчает кислотность.</x:v>
      </x:c>
      <x:c r="I138" s="28" t="n">
        <x:f>COUNTIF('Все сочетания'!$C:$C,A138)+COUNTIF('Все сочетания'!$F:$F,A138)</x:f>
        <x:v>1</x:v>
      </x:c>
    </x:row>
    <x:row r="139" ht="46" customHeight="1">
      <x:c r="A139" s="28" t="str">
        <x:v>кокос</x:v>
      </x:c>
      <x:c r="B139" s="28" t="str">
        <x:v>Тропические плоды</x:v>
      </x:c>
      <x:c r="C139" s="28" t="str">
        <x:v>сливочный, кокосовый, восковой, ореховый</x:v>
      </x:c>
      <x:c r="D139" s="28" t="str">
        <x:v>гамма-ноналактон, дельта-декалактон, жирные кислоты</x:v>
      </x:c>
      <x:c r="E139" s="28" t="str">
        <x:v>сладкое впечатление</x:v>
      </x:c>
      <x:c r="F139" s="28" t="str">
        <x:v>нет выраженного</x:v>
      </x:c>
      <x:c r="G139" s="28" t="str">
        <x:v>жирная эмульсионная матрица хорошо удерживает терпены</x:v>
      </x:c>
      <x:c r="H139" s="28" t="str">
        <x:v>Кокос округляет кислотность и продлевает цитрусовый аромат.</x:v>
      </x:c>
      <x:c r="I139" s="28" t="n">
        <x:f>COUNTIF('Все сочетания'!$C:$C,A139)+COUNTIF('Все сочетания'!$F:$F,A139)</x:f>
        <x:v>4</x:v>
      </x:c>
    </x:row>
    <x:row r="140" ht="46" customHeight="1">
      <x:c r="A140" s="28" t="str">
        <x:v>кокосовая вода</x:v>
      </x:c>
      <x:c r="B140" s="28" t="str">
        <x:v>Тропические плоды</x:v>
      </x:c>
      <x:c r="C140" s="28" t="str">
        <x:v>сливочный, кокосовый, восковой, ореховый</x:v>
      </x:c>
      <x:c r="D140" s="28" t="str">
        <x:v>гамма-ноналактон, дельта-декалактон, жирные кислоты</x:v>
      </x:c>
      <x:c r="E140" s="28" t="str">
        <x:v>сладкое впечатление</x:v>
      </x:c>
      <x:c r="F140" s="28" t="str">
        <x:v>нет выраженного</x:v>
      </x:c>
      <x:c r="G140" s="28" t="str">
        <x:v>жирная эмульсионная матрица хорошо удерживает терпены</x:v>
      </x:c>
      <x:c r="H140" s="28" t="str">
        <x:v>Кокос округляет кислотность и продлевает цитрусовый аромат.</x:v>
      </x:c>
      <x:c r="I140" s="28" t="n">
        <x:f>COUNTIF('Все сочетания'!$C:$C,A140)+COUNTIF('Все сочетания'!$F:$F,A140)</x:f>
        <x:v>1</x:v>
      </x:c>
    </x:row>
    <x:row r="141" ht="46" customHeight="1">
      <x:c r="A141" s="28" t="str">
        <x:v>колбаса</x:v>
      </x:c>
      <x:c r="B141" s="28" t="str">
        <x:v>Мясо и птица</x:v>
      </x:c>
      <x:c r="C141" s="28" t="str">
        <x:v>жареный, мясной, сернистый, жирный</x:v>
      </x:c>
      <x:c r="D141" s="28" t="str">
        <x:v>пиразины, тиазолы, альдегиды жиров, сернистые соединения</x:v>
      </x:c>
      <x:c r="E141" s="28" t="str">
        <x:v>умами, солёный, жирный</x:v>
      </x:c>
      <x:c r="F141" s="28" t="str">
        <x:v>нет выраженного</x:v>
      </x:c>
      <x:c r="G141" s="28" t="str">
        <x:v>жир удерживает терпеновые масла; кислота снижает ощущение жирности</x:v>
      </x:c>
      <x:c r="H141" s="28" t="str">
        <x:v>Цитрус создаёт контраст с реакциями Майяра и освежает мясную матрицу.</x:v>
      </x:c>
      <x:c r="I141" s="28" t="n">
        <x:f>COUNTIF('Все сочетания'!$C:$C,A141)+COUNTIF('Все сочетания'!$F:$F,A141)</x:f>
        <x:v>1</x:v>
      </x:c>
    </x:row>
    <x:row r="142" ht="46" customHeight="1">
      <x:c r="A142" s="28" t="str">
        <x:v>колумбийский кофе</x:v>
      </x:c>
      <x:c r="B142" s="28" t="str">
        <x:v>Кофе/обжаренное</x:v>
      </x:c>
      <x:c r="C142" s="28" t="str">
        <x:v>обжаренный, карамельный, ореховый, сернистый</x:v>
      </x:c>
      <x:c r="D142" s="28" t="str">
        <x:v>фурантиолы, пиразины, фураны, гуаякол</x:v>
      </x:c>
      <x:c r="E142" s="28" t="str">
        <x:v>горький, кислый</x:v>
      </x:c>
      <x:c r="F142" s="28" t="str">
        <x:v>нет выраженного</x:v>
      </x:c>
      <x:c r="G142" s="28" t="str">
        <x:v>водная или молочная матрица; масла кофе удерживают аромат</x:v>
      </x:c>
      <x:c r="H142" s="28" t="str">
        <x:v>Цитрус может подчеркнуть естественную кислотность и связаться с фруктовыми нотами кофе.</x:v>
      </x:c>
      <x:c r="I142" s="28" t="n">
        <x:f>COUNTIF('Все сочетания'!$C:$C,A142)+COUNTIF('Все сочетания'!$F:$F,A142)</x:f>
        <x:v>1</x:v>
      </x:c>
    </x:row>
    <x:row r="143" ht="46" customHeight="1">
      <x:c r="A143" s="28" t="str">
        <x:v>коньяк</x:v>
      </x:c>
      <x:c r="B143" s="28" t="str">
        <x:v>Алкогольные напитки</x:v>
      </x:c>
      <x:c r="C143" s="28" t="str">
        <x:v>зависит от основы, эфирный, древесный/пряный</x:v>
      </x:c>
      <x:c r="D143" s="28" t="str">
        <x:v>этанол, эфиры, терпены/дубовые соединения</x:v>
      </x:c>
      <x:c r="E143" s="28" t="str">
        <x:v>горький, сладкий или сухой</x:v>
      </x:c>
      <x:c r="F143" s="28" t="str">
        <x:v>этанол усиливает тепло и летучесть аромата</x:v>
      </x:c>
      <x:c r="G143" s="28" t="str">
        <x:v>этанол — хороший растворитель гидрофобных эфирных масел</x:v>
      </x:c>
      <x:c r="H143" s="28" t="str">
        <x:v>Спирт извлекает цедру и усиливает ретроназальный выход терпенов; сахар и разбавление меняют баланс.</x:v>
      </x:c>
      <x:c r="I143" s="28" t="n">
        <x:f>COUNTIF('Все сочетания'!$C:$C,A143)+COUNTIF('Все сочетания'!$F:$F,A143)</x:f>
        <x:v>2</x:v>
      </x:c>
    </x:row>
    <x:row r="144" ht="46" customHeight="1">
      <x:c r="A144" s="28" t="str">
        <x:v>копченая рыба</x:v>
      </x:c>
      <x:c r="B144" s="28" t="str">
        <x:v>Рыба и морепродукты</x:v>
      </x:c>
      <x:c r="C144" s="28" t="str">
        <x:v>морской, йодистый, зелёный, жирный</x:v>
      </x:c>
      <x:c r="D144" s="28" t="str">
        <x:v>альдегиды окисления липидов, бромфенолы, диметилсульфид, умами-соединения</x:v>
      </x:c>
      <x:c r="E144" s="28" t="str">
        <x:v>солёный, умами, жирный</x:v>
      </x:c>
      <x:c r="F144" s="28" t="str">
        <x:v>нет выраженного</x:v>
      </x:c>
      <x:c r="G144" s="28" t="str">
        <x:v>кислота может денатурировать поверхностные белки; жир рыбы удерживает терпены</x:v>
      </x:c>
      <x:c r="H144" s="28" t="str">
        <x:v>Цитрус уменьшает восприятие жирности и рыбных нот, усиливая свежесть и слюноотделение.</x:v>
      </x:c>
      <x:c r="I144" s="28" t="n">
        <x:f>COUNTIF('Все сочетания'!$C:$C,A144)+COUNTIF('Все сочетания'!$F:$F,A144)</x:f>
        <x:v>1</x:v>
      </x:c>
    </x:row>
    <x:row r="145" ht="46" customHeight="1">
      <x:c r="A145" s="28" t="str">
        <x:v>кора кассии</x:v>
      </x:c>
      <x:c r="B145" s="28" t="str">
        <x:v>Прочее</x:v>
      </x:c>
      <x:c r="C145" s="28" t="str">
        <x:v>нейтральный/специфический</x:v>
      </x:c>
      <x:c r="D145" s="28" t="str">
        <x:v>нужен профиль конкретного продукта</x:v>
      </x:c>
      <x:c r="E145" s="28" t="str">
        <x:v>зависит от продукта</x:v>
      </x:c>
      <x:c r="F145" s="28" t="str">
        <x:v>нет данных</x:v>
      </x:c>
      <x:c r="G145" s="28" t="str">
        <x:v>зависит от формы продукта</x:v>
      </x:c>
      <x:c r="H145" s="28" t="str">
        <x:v>Для точного молекулярного вывода нужен профиль конкретного ингредиента и способа обработки.</x:v>
      </x:c>
      <x:c r="I145" s="28" t="n">
        <x:f>COUNTIF('Все сочетания'!$C:$C,A145)+COUNTIF('Все сочетания'!$F:$F,A145)</x:f>
        <x:v>1</x:v>
      </x:c>
    </x:row>
    <x:row r="146" ht="46" customHeight="1">
      <x:c r="A146" s="28" t="str">
        <x:v>кориандр</x:v>
      </x:c>
      <x:c r="B146" s="28" t="str">
        <x:v>Травы/пряности</x:v>
      </x:c>
      <x:c r="C146" s="28" t="str">
        <x:v>цитрусовый, зелёный, цветочный</x:v>
      </x:c>
      <x:c r="D146" s="28" t="str">
        <x:v>линалол, деканаль, додеканаль</x:v>
      </x:c>
      <x:c r="E146" s="28" t="str">
        <x:v>травяной, слегка горький</x:v>
      </x:c>
      <x:c r="F146" s="28" t="str">
        <x:v>нет выраженного</x:v>
      </x:c>
      <x:c r="G146" s="28" t="str">
        <x:v>листья чувствительны к нагреву; семена устойчивее и слаще</x:v>
      </x:c>
      <x:c r="H146" s="28" t="str">
        <x:v>Линалоол создаёт прямой ароматический мост с цитрусами.</x:v>
      </x:c>
      <x:c r="I146" s="28" t="n">
        <x:f>COUNTIF('Все сочетания'!$C:$C,A146)+COUNTIF('Все сочетания'!$F:$F,A146)</x:f>
        <x:v>2</x:v>
      </x:c>
    </x:row>
    <x:row r="147" ht="46" customHeight="1">
      <x:c r="A147" s="28" t="str">
        <x:v>корица</x:v>
      </x:c>
      <x:c r="B147" s="28" t="str">
        <x:v>Пряности</x:v>
      </x:c>
      <x:c r="C147" s="28" t="str">
        <x:v>сладко-пряный, древесный, тёплый</x:v>
      </x:c>
      <x:c r="D147" s="28" t="str">
        <x:v>коричный альдегид, эвгенол, кумарин</x:v>
      </x:c>
      <x:c r="E147" s="28" t="str">
        <x:v>сладко-пряный, лёгкая горечь</x:v>
      </x:c>
      <x:c r="F147" s="28" t="str">
        <x:v>коричный альдегид активирует TRPA1 и создаёт тепло</x:v>
      </x:c>
      <x:c r="G147" s="28" t="str">
        <x:v>лучше раскрывается в жире, сахаре и спирте</x:v>
      </x:c>
      <x:c r="H147" s="28" t="str">
        <x:v>Корица добавляет тёплый низкий регистр и усиливает впечатление сладости.</x:v>
      </x:c>
      <x:c r="I147" s="28" t="n">
        <x:f>COUNTIF('Все сочетания'!$C:$C,A147)+COUNTIF('Все сочетания'!$F:$F,A147)</x:f>
        <x:v>7</x:v>
      </x:c>
    </x:row>
    <x:row r="148" ht="46" customHeight="1">
      <x:c r="A148" s="28" t="str">
        <x:v>коричневая креветка</x:v>
      </x:c>
      <x:c r="B148" s="28" t="str">
        <x:v>Рыба и морепродукты</x:v>
      </x:c>
      <x:c r="C148" s="28" t="str">
        <x:v>морской, йодистый, зелёный, жирный</x:v>
      </x:c>
      <x:c r="D148" s="28" t="str">
        <x:v>альдегиды окисления липидов, бромфенолы, диметилсульфид, умами-соединения</x:v>
      </x:c>
      <x:c r="E148" s="28" t="str">
        <x:v>солёный, умами, жирный</x:v>
      </x:c>
      <x:c r="F148" s="28" t="str">
        <x:v>нет выраженного</x:v>
      </x:c>
      <x:c r="G148" s="28" t="str">
        <x:v>кислота может денатурировать поверхностные белки; жир рыбы удерживает терпены</x:v>
      </x:c>
      <x:c r="H148" s="28" t="str">
        <x:v>Цитрус уменьшает восприятие жирности и рыбных нот, усиливая свежесть и слюноотделение.</x:v>
      </x:c>
      <x:c r="I148" s="28" t="n">
        <x:f>COUNTIF('Все сочетания'!$C:$C,A148)+COUNTIF('Все сочетания'!$F:$F,A148)</x:f>
        <x:v>1</x:v>
      </x:c>
    </x:row>
    <x:row r="149" ht="46" customHeight="1">
      <x:c r="A149" s="28" t="str">
        <x:v>коричневый куриный бульон</x:v>
      </x:c>
      <x:c r="B149" s="28" t="str">
        <x:v>Прочее</x:v>
      </x:c>
      <x:c r="C149" s="28" t="str">
        <x:v>нейтральный/специфический</x:v>
      </x:c>
      <x:c r="D149" s="28" t="str">
        <x:v>нужен профиль конкретного продукта</x:v>
      </x:c>
      <x:c r="E149" s="28" t="str">
        <x:v>зависит от продукта</x:v>
      </x:c>
      <x:c r="F149" s="28" t="str">
        <x:v>нет данных</x:v>
      </x:c>
      <x:c r="G149" s="28" t="str">
        <x:v>зависит от формы продукта</x:v>
      </x:c>
      <x:c r="H149" s="28" t="str">
        <x:v>Для точного молекулярного вывода нужен профиль конкретного ингредиента и способа обработки.</x:v>
      </x:c>
      <x:c r="I149" s="28" t="n">
        <x:f>COUNTIF('Все сочетания'!$C:$C,A149)+COUNTIF('Все сочетания'!$F:$F,A149)</x:f>
        <x:v>1</x:v>
      </x:c>
    </x:row>
    <x:row r="150" ht="46" customHeight="1">
      <x:c r="A150" s="28" t="str">
        <x:v>коричневый телячий бульон</x:v>
      </x:c>
      <x:c r="B150" s="28" t="str">
        <x:v>Мясо и птица</x:v>
      </x:c>
      <x:c r="C150" s="28" t="str">
        <x:v>жареный, мясной, сернистый, жирный</x:v>
      </x:c>
      <x:c r="D150" s="28" t="str">
        <x:v>пиразины, тиазолы, альдегиды жиров, сернистые соединения</x:v>
      </x:c>
      <x:c r="E150" s="28" t="str">
        <x:v>умами, солёный, жирный</x:v>
      </x:c>
      <x:c r="F150" s="28" t="str">
        <x:v>нет выраженного</x:v>
      </x:c>
      <x:c r="G150" s="28" t="str">
        <x:v>жир удерживает терпеновые масла; кислота снижает ощущение жирности</x:v>
      </x:c>
      <x:c r="H150" s="28" t="str">
        <x:v>Цитрус создаёт контраст с реакциями Майяра и освежает мясную матрицу.</x:v>
      </x:c>
      <x:c r="I150" s="28" t="n">
        <x:f>COUNTIF('Все сочетания'!$C:$C,A150)+COUNTIF('Все сочетания'!$F:$F,A150)</x:f>
        <x:v>1</x:v>
      </x:c>
    </x:row>
    <x:row r="151" ht="46" customHeight="1">
      <x:c r="A151" s="28" t="str">
        <x:v>королевская креветка</x:v>
      </x:c>
      <x:c r="B151" s="28" t="str">
        <x:v>Рыба и морепродукты</x:v>
      </x:c>
      <x:c r="C151" s="28" t="str">
        <x:v>морской, йодистый, зелёный, жирный</x:v>
      </x:c>
      <x:c r="D151" s="28" t="str">
        <x:v>альдегиды окисления липидов, бромфенолы, диметилсульфид, умами-соединения</x:v>
      </x:c>
      <x:c r="E151" s="28" t="str">
        <x:v>солёный, умами, жирный</x:v>
      </x:c>
      <x:c r="F151" s="28" t="str">
        <x:v>нет выраженного</x:v>
      </x:c>
      <x:c r="G151" s="28" t="str">
        <x:v>кислота может денатурировать поверхностные белки; жир рыбы удерживает терпены</x:v>
      </x:c>
      <x:c r="H151" s="28" t="str">
        <x:v>Цитрус уменьшает восприятие жирности и рыбных нот, усиливая свежесть и слюноотделение.</x:v>
      </x:c>
      <x:c r="I151" s="28" t="n">
        <x:f>COUNTIF('Все сочетания'!$C:$C,A151)+COUNTIF('Все сочетания'!$F:$F,A151)</x:f>
        <x:v>1</x:v>
      </x:c>
    </x:row>
    <x:row r="152" ht="46" customHeight="1">
      <x:c r="A152" s="28" t="str">
        <x:v>кофе</x:v>
      </x:c>
      <x:c r="B152" s="28" t="str">
        <x:v>Кофе/обжаренное</x:v>
      </x:c>
      <x:c r="C152" s="28" t="str">
        <x:v>обжаренный, карамельный, ореховый, сернистый</x:v>
      </x:c>
      <x:c r="D152" s="28" t="str">
        <x:v>фурантиолы, пиразины, фураны, гуаякол</x:v>
      </x:c>
      <x:c r="E152" s="28" t="str">
        <x:v>горький, кислый</x:v>
      </x:c>
      <x:c r="F152" s="28" t="str">
        <x:v>нет выраженного</x:v>
      </x:c>
      <x:c r="G152" s="28" t="str">
        <x:v>водная или молочная матрица; масла кофе удерживают аромат</x:v>
      </x:c>
      <x:c r="H152" s="28" t="str">
        <x:v>Цитрус может подчеркнуть естественную кислотность и связаться с фруктовыми нотами кофе.</x:v>
      </x:c>
      <x:c r="I152" s="28" t="n">
        <x:f>COUNTIF('Все сочетания'!$C:$C,A152)+COUNTIF('Все сочетания'!$F:$F,A152)</x:f>
        <x:v>4</x:v>
      </x:c>
    </x:row>
    <x:row r="153" ht="46" customHeight="1">
      <x:c r="A153" s="28" t="str">
        <x:v>красный апельсин</x:v>
      </x:c>
      <x:c r="B153" s="28" t="str">
        <x:v>Цитрусовые</x:v>
      </x:c>
      <x:c r="C153" s="28" t="str">
        <x:v>цитрусовый, сладко-фруктовый, цветочный, восковой</x:v>
      </x:c>
      <x:c r="D153" s="28" t="str">
        <x:v>лимонен, линалол, деканаль, октаналь, мирцен</x:v>
      </x:c>
      <x:c r="E153" s="28" t="str">
        <x:v>кисло-сладкий, горечь кожуры</x:v>
      </x:c>
      <x:c r="F153" s="28" t="str">
        <x:v>нет выраженного</x:v>
      </x:c>
      <x:c r="G153" s="28" t="str">
        <x:v>сок водный; цедра и ликёры несут гидрофобные эфирные масла</x:v>
      </x:c>
      <x:c r="H153" s="28" t="str">
        <x:v>Апельсиновый профиль строится на лимонене и альдегидах с восково-сладкой нотой.</x:v>
      </x:c>
      <x:c r="I153" s="28" t="n">
        <x:f>COUNTIF('Все сочетания'!$C:$C,A153)+COUNTIF('Все сочетания'!$F:$F,A153)</x:f>
        <x:v>12</x:v>
      </x:c>
    </x:row>
    <x:row r="154" ht="46" customHeight="1">
      <x:c r="A154" s="28" t="str">
        <x:v>красный апельсин Моро</x:v>
      </x:c>
      <x:c r="B154" s="28" t="str">
        <x:v>Цитрусовые</x:v>
      </x:c>
      <x:c r="C154" s="28" t="str">
        <x:v>цитрусовый, сладко-фруктовый, цветочный, восковой</x:v>
      </x:c>
      <x:c r="D154" s="28" t="str">
        <x:v>лимонен, линалол, деканаль, октаналь, мирцен</x:v>
      </x:c>
      <x:c r="E154" s="28" t="str">
        <x:v>кисло-сладкий, горечь кожуры</x:v>
      </x:c>
      <x:c r="F154" s="28" t="str">
        <x:v>нет выраженного</x:v>
      </x:c>
      <x:c r="G154" s="28" t="str">
        <x:v>сок водный; цедра и ликёры несут гидрофобные эфирные масла</x:v>
      </x:c>
      <x:c r="H154" s="28" t="str">
        <x:v>Апельсиновый профиль строится на лимонене и альдегидах с восково-сладкой нотой.</x:v>
      </x:c>
      <x:c r="I154" s="28" t="n">
        <x:f>COUNTIF('Все сочетания'!$C:$C,A154)+COUNTIF('Все сочетания'!$F:$F,A154)</x:f>
        <x:v>13</x:v>
      </x:c>
    </x:row>
    <x:row r="155" ht="46" customHeight="1">
      <x:c r="A155" s="28" t="str">
        <x:v>красный апельсин Тарокко</x:v>
      </x:c>
      <x:c r="B155" s="28" t="str">
        <x:v>Цитрусовые</x:v>
      </x:c>
      <x:c r="C155" s="28" t="str">
        <x:v>цитрусовый, сладко-фруктовый, цветочный, восковой</x:v>
      </x:c>
      <x:c r="D155" s="28" t="str">
        <x:v>лимонен, линалол, деканаль, октаналь, мирцен</x:v>
      </x:c>
      <x:c r="E155" s="28" t="str">
        <x:v>кисло-сладкий, горечь кожуры</x:v>
      </x:c>
      <x:c r="F155" s="28" t="str">
        <x:v>нет выраженного</x:v>
      </x:c>
      <x:c r="G155" s="28" t="str">
        <x:v>сок водный; цедра и ликёры несут гидрофобные эфирные масла</x:v>
      </x:c>
      <x:c r="H155" s="28" t="str">
        <x:v>Апельсиновый профиль строится на лимонене и альдегидах с восково-сладкой нотой.</x:v>
      </x:c>
      <x:c r="I155" s="28" t="n">
        <x:f>COUNTIF('Все сочетания'!$C:$C,A155)+COUNTIF('Все сочетания'!$F:$F,A155)</x:f>
        <x:v>19</x:v>
      </x:c>
    </x:row>
    <x:row r="156" ht="46" customHeight="1">
      <x:c r="A156" s="28" t="str">
        <x:v>красный щавель</x:v>
      </x:c>
      <x:c r="B156" s="28" t="str">
        <x:v>Овощи</x:v>
      </x:c>
      <x:c r="C156" s="28" t="str">
        <x:v>зелёный, землистый, растительный, иногда сернистый</x:v>
      </x:c>
      <x:c r="D156" s="28" t="str">
        <x:v>C6-альдегиды, метоксипиразины, геосмин (землистые), сернистые соединения</x:v>
      </x:c>
      <x:c r="E156" s="28" t="str">
        <x:v>сладковатый, горьковатый, умами</x:v>
      </x:c>
      <x:c r="F156" s="28" t="str">
        <x:v>нет выраженного</x:v>
      </x:c>
      <x:c r="G156" s="28" t="str">
        <x:v>водная/крахмальная матрица; масло помогает распределить цедру</x:v>
      </x:c>
      <x:c r="H156" s="28" t="str">
        <x:v>Кислота подчёркивает сладость овощей и сокращает землистое или сернистое послевкусие.</x:v>
      </x:c>
      <x:c r="I156" s="28" t="n">
        <x:f>COUNTIF('Все сочетания'!$C:$C,A156)+COUNTIF('Все сочетания'!$F:$F,A156)</x:f>
        <x:v>1</x:v>
      </x:c>
    </x:row>
    <x:row r="157" ht="46" customHeight="1">
      <x:c r="A157" s="28" t="str">
        <x:v>крекер Грэм</x:v>
      </x:c>
      <x:c r="B157" s="28" t="str">
        <x:v>Прочее</x:v>
      </x:c>
      <x:c r="C157" s="28" t="str">
        <x:v>нейтральный/специфический</x:v>
      </x:c>
      <x:c r="D157" s="28" t="str">
        <x:v>нужен профиль конкретного продукта</x:v>
      </x:c>
      <x:c r="E157" s="28" t="str">
        <x:v>зависит от продукта</x:v>
      </x:c>
      <x:c r="F157" s="28" t="str">
        <x:v>нет данных</x:v>
      </x:c>
      <x:c r="G157" s="28" t="str">
        <x:v>зависит от формы продукта</x:v>
      </x:c>
      <x:c r="H157" s="28" t="str">
        <x:v>Для точного молекулярного вывода нужен профиль конкретного ингредиента и способа обработки.</x:v>
      </x:c>
      <x:c r="I157" s="28" t="n">
        <x:f>COUNTIF('Все сочетания'!$C:$C,A157)+COUNTIF('Все сочетания'!$F:$F,A157)</x:f>
        <x:v>1</x:v>
      </x:c>
    </x:row>
    <x:row r="158" ht="46" customHeight="1">
      <x:c r="A158" s="28" t="str">
        <x:v>крем-де-кассис</x:v>
      </x:c>
      <x:c r="B158" s="28" t="str">
        <x:v>Прочее</x:v>
      </x:c>
      <x:c r="C158" s="28" t="str">
        <x:v>нейтральный/специфический</x:v>
      </x:c>
      <x:c r="D158" s="28" t="str">
        <x:v>нужен профиль конкретного продукта</x:v>
      </x:c>
      <x:c r="E158" s="28" t="str">
        <x:v>зависит от продукта</x:v>
      </x:c>
      <x:c r="F158" s="28" t="str">
        <x:v>нет данных</x:v>
      </x:c>
      <x:c r="G158" s="28" t="str">
        <x:v>зависит от формы продукта</x:v>
      </x:c>
      <x:c r="H158" s="28" t="str">
        <x:v>Для точного молекулярного вывода нужен профиль конкретного ингредиента и способа обработки.</x:v>
      </x:c>
      <x:c r="I158" s="28" t="n">
        <x:f>COUNTIF('Все сочетания'!$C:$C,A158)+COUNTIF('Все сочетания'!$F:$F,A158)</x:f>
        <x:v>2</x:v>
      </x:c>
    </x:row>
    <x:row r="159" ht="46" customHeight="1">
      <x:c r="A159" s="28" t="str">
        <x:v>крыжовник</x:v>
      </x:c>
      <x:c r="B159" s="28" t="str">
        <x:v>Прочее</x:v>
      </x:c>
      <x:c r="C159" s="28" t="str">
        <x:v>нейтральный/специфический</x:v>
      </x:c>
      <x:c r="D159" s="28" t="str">
        <x:v>нужен профиль конкретного продукта</x:v>
      </x:c>
      <x:c r="E159" s="28" t="str">
        <x:v>зависит от продукта</x:v>
      </x:c>
      <x:c r="F159" s="28" t="str">
        <x:v>нет данных</x:v>
      </x:c>
      <x:c r="G159" s="28" t="str">
        <x:v>зависит от формы продукта</x:v>
      </x:c>
      <x:c r="H159" s="28" t="str">
        <x:v>Для точного молекулярного вывода нужен профиль конкретного ингредиента и способа обработки.</x:v>
      </x:c>
      <x:c r="I159" s="28" t="n">
        <x:f>COUNTIF('Все сочетания'!$C:$C,A159)+COUNTIF('Все сочетания'!$F:$F,A159)</x:f>
        <x:v>3</x:v>
      </x:c>
    </x:row>
    <x:row r="160" ht="46" customHeight="1">
      <x:c r="A160" s="28" t="str">
        <x:v>куантро</x:v>
      </x:c>
      <x:c r="B160" s="28" t="str">
        <x:v>Цитрусовые</x:v>
      </x:c>
      <x:c r="C160" s="28" t="str">
        <x:v>цитрусовый, сладко-фруктовый, цветочный, восковой</x:v>
      </x:c>
      <x:c r="D160" s="28" t="str">
        <x:v>лимонен, линалол, деканаль, октаналь, мирцен</x:v>
      </x:c>
      <x:c r="E160" s="28" t="str">
        <x:v>кисло-сладкий, горечь кожуры</x:v>
      </x:c>
      <x:c r="F160" s="28" t="str">
        <x:v>нет выраженного</x:v>
      </x:c>
      <x:c r="G160" s="28" t="str">
        <x:v>сок водный; цедра и ликёры несут гидрофобные эфирные масла</x:v>
      </x:c>
      <x:c r="H160" s="28" t="str">
        <x:v>Апельсиновый профиль строится на лимонене и альдегидах с восково-сладкой нотой.</x:v>
      </x:c>
      <x:c r="I160" s="28" t="n">
        <x:f>COUNTIF('Все сочетания'!$C:$C,A160)+COUNTIF('Все сочетания'!$F:$F,A160)</x:f>
        <x:v>1</x:v>
      </x:c>
    </x:row>
    <x:row r="161" ht="46" customHeight="1">
      <x:c r="A161" s="28" t="str">
        <x:v>кумин (зира)</x:v>
      </x:c>
      <x:c r="B161" s="28" t="str">
        <x:v>Прочее</x:v>
      </x:c>
      <x:c r="C161" s="28" t="str">
        <x:v>нейтральный/специфический</x:v>
      </x:c>
      <x:c r="D161" s="28" t="str">
        <x:v>нужен профиль конкретного продукта</x:v>
      </x:c>
      <x:c r="E161" s="28" t="str">
        <x:v>зависит от продукта</x:v>
      </x:c>
      <x:c r="F161" s="28" t="str">
        <x:v>нет данных</x:v>
      </x:c>
      <x:c r="G161" s="28" t="str">
        <x:v>зависит от формы продукта</x:v>
      </x:c>
      <x:c r="H161" s="28" t="str">
        <x:v>Для точного молекулярного вывода нужен профиль конкретного ингредиента и способа обработки.</x:v>
      </x:c>
      <x:c r="I161" s="28" t="n">
        <x:f>COUNTIF('Все сочетания'!$C:$C,A161)+COUNTIF('Все сочетания'!$F:$F,A161)</x:f>
        <x:v>2</x:v>
      </x:c>
    </x:row>
    <x:row r="162" ht="46" customHeight="1">
      <x:c r="A162" s="28" t="str">
        <x:v>кумкват</x:v>
      </x:c>
      <x:c r="B162" s="28" t="str">
        <x:v>Цитрусовые</x:v>
      </x:c>
      <x:c r="C162" s="28" t="str">
        <x:v>цитрусовый, фруктовый, цветочный, пряный</x:v>
      </x:c>
      <x:c r="D162" s="28" t="str">
        <x:v>лимонен, гамма-терпинен, метил-N-метилантранилат, линалол</x:v>
      </x:c>
      <x:c r="E162" s="28" t="str">
        <x:v>кисло-сладкий, лёгкая горечь кожуры</x:v>
      </x:c>
      <x:c r="F162" s="28" t="str">
        <x:v>нет выраженного</x:v>
      </x:c>
      <x:c r="G162" s="28" t="str">
        <x:v>сок водный; кожура богата эфирным маслом</x:v>
      </x:c>
      <x:c r="H162" s="28" t="str">
        <x:v>Мандариновая группа мягче по кислотности и выраженнее по сладко-цветочным нотам.</x:v>
      </x:c>
      <x:c r="I162" s="28" t="n">
        <x:f>COUNTIF('Все сочетания'!$C:$C,A162)+COUNTIF('Все сочетания'!$F:$F,A162)</x:f>
        <x:v>37</x:v>
      </x:c>
    </x:row>
    <x:row r="163" ht="46" customHeight="1">
      <x:c r="A163" s="28" t="str">
        <x:v>куркума</x:v>
      </x:c>
      <x:c r="B163" s="28" t="str">
        <x:v>Прочее</x:v>
      </x:c>
      <x:c r="C163" s="28" t="str">
        <x:v>нейтральный/специфический</x:v>
      </x:c>
      <x:c r="D163" s="28" t="str">
        <x:v>нужен профиль конкретного продукта</x:v>
      </x:c>
      <x:c r="E163" s="28" t="str">
        <x:v>зависит от продукта</x:v>
      </x:c>
      <x:c r="F163" s="28" t="str">
        <x:v>нет данных</x:v>
      </x:c>
      <x:c r="G163" s="28" t="str">
        <x:v>зависит от формы продукта</x:v>
      </x:c>
      <x:c r="H163" s="28" t="str">
        <x:v>Для точного молекулярного вывода нужен профиль конкретного ингредиента и способа обработки.</x:v>
      </x:c>
      <x:c r="I163" s="28" t="n">
        <x:f>COUNTIF('Все сочетания'!$C:$C,A163)+COUNTIF('Все сочетания'!$F:$F,A163)</x:f>
        <x:v>2</x:v>
      </x:c>
    </x:row>
    <x:row r="164" ht="46" customHeight="1">
      <x:c r="A164" s="28" t="str">
        <x:v>лаванда</x:v>
      </x:c>
      <x:c r="B164" s="28" t="str">
        <x:v>Прочее</x:v>
      </x:c>
      <x:c r="C164" s="28" t="str">
        <x:v>нейтральный/специфический</x:v>
      </x:c>
      <x:c r="D164" s="28" t="str">
        <x:v>нужен профиль конкретного продукта</x:v>
      </x:c>
      <x:c r="E164" s="28" t="str">
        <x:v>зависит от продукта</x:v>
      </x:c>
      <x:c r="F164" s="28" t="str">
        <x:v>нет данных</x:v>
      </x:c>
      <x:c r="G164" s="28" t="str">
        <x:v>зависит от формы продукта</x:v>
      </x:c>
      <x:c r="H164" s="28" t="str">
        <x:v>Для точного молекулярного вывода нужен профиль конкретного ингредиента и способа обработки.</x:v>
      </x:c>
      <x:c r="I164" s="28" t="n">
        <x:f>COUNTIF('Все сочетания'!$C:$C,A164)+COUNTIF('Все сочетания'!$F:$F,A164)</x:f>
        <x:v>2</x:v>
      </x:c>
    </x:row>
    <x:row r="165" ht="46" customHeight="1">
      <x:c r="A165" s="28" t="str">
        <x:v>лавандовый мёд</x:v>
      </x:c>
      <x:c r="B165" s="28" t="str">
        <x:v>Подсластители</x:v>
      </x:c>
      <x:c r="C165" s="28" t="str">
        <x:v>медовый, цветочный, карамельный</x:v>
      </x:c>
      <x:c r="D165" s="28" t="str">
        <x:v>фенилуксусные соединения, фураны, норизопреноиды</x:v>
      </x:c>
      <x:c r="E165" s="28" t="str">
        <x:v>сладкий</x:v>
      </x:c>
      <x:c r="F165" s="28" t="str">
        <x:v>нет выраженного</x:v>
      </x:c>
      <x:c r="G165" s="28" t="str">
        <x:v>сахар повышает вязкость и снижает воспринимаемую кислотность</x:v>
      </x:c>
      <x:c r="H165" s="28" t="str">
        <x:v>Сладость балансирует кислоту и горечь кожуры; цветочные компоненты могут поддерживать цитрус.</x:v>
      </x:c>
      <x:c r="I165" s="28" t="n">
        <x:f>COUNTIF('Все сочетания'!$C:$C,A165)+COUNTIF('Все сочетания'!$F:$F,A165)</x:f>
        <x:v>1</x:v>
      </x:c>
    </x:row>
    <x:row r="166" ht="46" customHeight="1">
      <x:c r="A166" s="28" t="str">
        <x:v>лавровый лист</x:v>
      </x:c>
      <x:c r="B166" s="28" t="str">
        <x:v>Прочее</x:v>
      </x:c>
      <x:c r="C166" s="28" t="str">
        <x:v>нейтральный/специфический</x:v>
      </x:c>
      <x:c r="D166" s="28" t="str">
        <x:v>нужен профиль конкретного продукта</x:v>
      </x:c>
      <x:c r="E166" s="28" t="str">
        <x:v>зависит от продукта</x:v>
      </x:c>
      <x:c r="F166" s="28" t="str">
        <x:v>нет данных</x:v>
      </x:c>
      <x:c r="G166" s="28" t="str">
        <x:v>зависит от формы продукта</x:v>
      </x:c>
      <x:c r="H166" s="28" t="str">
        <x:v>Для точного молекулярного вывода нужен профиль конкретного ингредиента и способа обработки.</x:v>
      </x:c>
      <x:c r="I166" s="28" t="n">
        <x:f>COUNTIF('Все сочетания'!$C:$C,A166)+COUNTIF('Все сочетания'!$F:$F,A166)</x:f>
        <x:v>2</x:v>
      </x:c>
    </x:row>
    <x:row r="167" ht="46" customHeight="1">
      <x:c r="A167" s="28" t="str">
        <x:v>лайм</x:v>
      </x:c>
      <x:c r="B167" s="28" t="str">
        <x:v>Цитрусовые</x:v>
      </x:c>
      <x:c r="C167" s="28" t="str">
        <x:v>цитрусовый, зелёный, травяной, камфорный</x:v>
      </x:c>
      <x:c r="D167" s="28" t="str">
        <x:v>лимонен, гамма-терпинен, цитраль, бета-пинен, линалол</x:v>
      </x:c>
      <x:c r="E167" s="28" t="str">
        <x:v>кислый, слабо горький</x:v>
      </x:c>
      <x:c r="F167" s="28" t="str">
        <x:v>кислота усиливает слюноотделение; зелёные терпены создают ощущение прохлады</x:v>
      </x:c>
      <x:c r="G167" s="28" t="str">
        <x:v>сок — водная кислая фаза; цедра — масляная терпеновая</x:v>
      </x:c>
      <x:c r="H167" s="28" t="str">
        <x:v>Лаймовые цитрусы дают более зелёный и камфорный профиль, чем сладкий апельсин.</x:v>
      </x:c>
      <x:c r="I167" s="28" t="n">
        <x:f>COUNTIF('Все сочетания'!$C:$C,A167)+COUNTIF('Все сочетания'!$F:$F,A167)</x:f>
        <x:v>76</x:v>
      </x:c>
    </x:row>
    <x:row r="168" ht="46" customHeight="1">
      <x:c r="A168" s="28" t="str">
        <x:v>ламбик</x:v>
      </x:c>
      <x:c r="B168" s="28" t="str">
        <x:v>Прочее</x:v>
      </x:c>
      <x:c r="C168" s="28" t="str">
        <x:v>нейтральный/специфический</x:v>
      </x:c>
      <x:c r="D168" s="28" t="str">
        <x:v>нужен профиль конкретного продукта</x:v>
      </x:c>
      <x:c r="E168" s="28" t="str">
        <x:v>зависит от продукта</x:v>
      </x:c>
      <x:c r="F168" s="28" t="str">
        <x:v>нет данных</x:v>
      </x:c>
      <x:c r="G168" s="28" t="str">
        <x:v>зависит от формы продукта</x:v>
      </x:c>
      <x:c r="H168" s="28" t="str">
        <x:v>Для точного молекулярного вывода нужен профиль конкретного ингредиента и способа обработки.</x:v>
      </x:c>
      <x:c r="I168" s="28" t="n">
        <x:f>COUNTIF('Все сочетания'!$C:$C,A168)+COUNTIF('Все сочетания'!$F:$F,A168)</x:f>
        <x:v>1</x:v>
      </x:c>
    </x:row>
    <x:row r="169" ht="46" customHeight="1">
      <x:c r="A169" s="28" t="str">
        <x:v>лемонграсс</x:v>
      </x:c>
      <x:c r="B169" s="28" t="str">
        <x:v>Прочее</x:v>
      </x:c>
      <x:c r="C169" s="28" t="str">
        <x:v>нейтральный/специфический</x:v>
      </x:c>
      <x:c r="D169" s="28" t="str">
        <x:v>нужен профиль конкретного продукта</x:v>
      </x:c>
      <x:c r="E169" s="28" t="str">
        <x:v>зависит от продукта</x:v>
      </x:c>
      <x:c r="F169" s="28" t="str">
        <x:v>нет данных</x:v>
      </x:c>
      <x:c r="G169" s="28" t="str">
        <x:v>зависит от формы продукта</x:v>
      </x:c>
      <x:c r="H169" s="28" t="str">
        <x:v>Для точного молекулярного вывода нужен профиль конкретного ингредиента и способа обработки.</x:v>
      </x:c>
      <x:c r="I169" s="28" t="n">
        <x:f>COUNTIF('Все сочетания'!$C:$C,A169)+COUNTIF('Все сочетания'!$F:$F,A169)</x:f>
        <x:v>3</x:v>
      </x:c>
    </x:row>
    <x:row r="170" ht="46" customHeight="1">
      <x:c r="A170" s="28" t="str">
        <x:v>ликёр</x:v>
      </x:c>
      <x:c r="B170" s="28" t="str">
        <x:v>Алкогольные напитки</x:v>
      </x:c>
      <x:c r="C170" s="28" t="str">
        <x:v>зависит от основы, эфирный, древесный/пряный</x:v>
      </x:c>
      <x:c r="D170" s="28" t="str">
        <x:v>этанол, эфиры, терпены/дубовые соединения</x:v>
      </x:c>
      <x:c r="E170" s="28" t="str">
        <x:v>горький, сладкий или сухой</x:v>
      </x:c>
      <x:c r="F170" s="28" t="str">
        <x:v>этанол усиливает тепло и летучесть аромата</x:v>
      </x:c>
      <x:c r="G170" s="28" t="str">
        <x:v>этанол — хороший растворитель гидрофобных эфирных масел</x:v>
      </x:c>
      <x:c r="H170" s="28" t="str">
        <x:v>Спирт извлекает цедру и усиливает ретроназальный выход терпенов; сахар и разбавление меняют баланс.</x:v>
      </x:c>
      <x:c r="I170" s="28" t="n">
        <x:f>COUNTIF('Все сочетания'!$C:$C,A170)+COUNTIF('Все сочетания'!$F:$F,A170)</x:f>
        <x:v>1</x:v>
      </x:c>
    </x:row>
    <x:row r="171" ht="46" customHeight="1">
      <x:c r="A171" s="28" t="str">
        <x:v>ликёр Mandarine Napoléon</x:v>
      </x:c>
      <x:c r="B171" s="28" t="str">
        <x:v>Цитрусовые</x:v>
      </x:c>
      <x:c r="C171" s="28" t="str">
        <x:v>цитрусовый, фруктовый, цветочный, пряный</x:v>
      </x:c>
      <x:c r="D171" s="28" t="str">
        <x:v>лимонен, гамма-терпинен, метил-N-метилантранилат, линалол</x:v>
      </x:c>
      <x:c r="E171" s="28" t="str">
        <x:v>кисло-сладкий, лёгкая горечь кожуры</x:v>
      </x:c>
      <x:c r="F171" s="28" t="str">
        <x:v>нет выраженного</x:v>
      </x:c>
      <x:c r="G171" s="28" t="str">
        <x:v>сок водный; кожура богата эфирным маслом</x:v>
      </x:c>
      <x:c r="H171" s="28" t="str">
        <x:v>Мандариновая группа мягче по кислотности и выраженнее по сладко-цветочным нотам.</x:v>
      </x:c>
      <x:c r="I171" s="28" t="n">
        <x:f>COUNTIF('Все сочетания'!$C:$C,A171)+COUNTIF('Все сочетания'!$F:$F,A171)</x:f>
        <x:v>2</x:v>
      </x:c>
    </x:row>
    <x:row r="172" ht="46" customHeight="1">
      <x:c r="A172" s="28" t="str">
        <x:v>лимон</x:v>
      </x:c>
      <x:c r="B172" s="28" t="str">
        <x:v>Цитрусовые</x:v>
      </x:c>
      <x:c r="C172" s="28" t="str">
        <x:v>цитрусовый, свежий, цветочный, древесный</x:v>
      </x:c>
      <x:c r="D172" s="28" t="str">
        <x:v>цитраль (гераниаль + нераль), лимонен, гамма-терпинен, бета-пинен</x:v>
      </x:c>
      <x:c r="E172" s="28" t="str">
        <x:v>кислый, лёгкая горечь кожуры</x:v>
      </x:c>
      <x:c r="F172" s="28" t="str">
        <x:v>кислота усиливает слюноотделение</x:v>
      </x:c>
      <x:c r="G172" s="28" t="str">
        <x:v>сок — водная кислая фаза; цедра — гидрофобное эфирное масло</x:v>
      </x:c>
      <x:c r="H172" s="28" t="str">
        <x:v>Сок определяется цитралем и кислотностью, цедра — лимоненом и терпенами.</x:v>
      </x:c>
      <x:c r="I172" s="28" t="n">
        <x:f>COUNTIF('Все сочетания'!$C:$C,A172)+COUNTIF('Все сочетания'!$F:$F,A172)</x:f>
        <x:v>114</x:v>
      </x:c>
    </x:row>
    <x:row r="173" ht="46" customHeight="1">
      <x:c r="A173" s="28" t="str">
        <x:v>лимонная вербена</x:v>
      </x:c>
      <x:c r="B173" s="28" t="str">
        <x:v>Цитрусовые</x:v>
      </x:c>
      <x:c r="C173" s="28" t="str">
        <x:v>цитрусовый, свежий, цветочный, древесный</x:v>
      </x:c>
      <x:c r="D173" s="28" t="str">
        <x:v>цитраль (гераниаль + нераль), лимонен, гамма-терпинен, бета-пинен</x:v>
      </x:c>
      <x:c r="E173" s="28" t="str">
        <x:v>кислый, лёгкая горечь кожуры</x:v>
      </x:c>
      <x:c r="F173" s="28" t="str">
        <x:v>кислота усиливает слюноотделение</x:v>
      </x:c>
      <x:c r="G173" s="28" t="str">
        <x:v>сок — водная кислая фаза; цедра — гидрофобное эфирное масло</x:v>
      </x:c>
      <x:c r="H173" s="28" t="str">
        <x:v>Сок определяется цитралем и кислотностью, цедра — лимоненом и терпенами.</x:v>
      </x:c>
      <x:c r="I173" s="28" t="n">
        <x:f>COUNTIF('Все сочетания'!$C:$C,A173)+COUNTIF('Все сочетания'!$F:$F,A173)</x:f>
        <x:v>2</x:v>
      </x:c>
    </x:row>
    <x:row r="174" ht="46" customHeight="1">
      <x:c r="A174" s="28" t="str">
        <x:v>лимонная водка</x:v>
      </x:c>
      <x:c r="B174" s="28" t="str">
        <x:v>Цитрусовые</x:v>
      </x:c>
      <x:c r="C174" s="28" t="str">
        <x:v>цитрусовый, свежий, цветочный, древесный</x:v>
      </x:c>
      <x:c r="D174" s="28" t="str">
        <x:v>цитраль (гераниаль + нераль), лимонен, гамма-терпинен, бета-пинен</x:v>
      </x:c>
      <x:c r="E174" s="28" t="str">
        <x:v>кислый, лёгкая горечь кожуры</x:v>
      </x:c>
      <x:c r="F174" s="28" t="str">
        <x:v>кислота усиливает слюноотделение</x:v>
      </x:c>
      <x:c r="G174" s="28" t="str">
        <x:v>сок — водная кислая фаза; цедра — гидрофобное эфирное масло</x:v>
      </x:c>
      <x:c r="H174" s="28" t="str">
        <x:v>Сок определяется цитралем и кислотностью, цедра — лимоненом и терпенами.</x:v>
      </x:c>
      <x:c r="I174" s="28" t="n">
        <x:f>COUNTIF('Все сочетания'!$C:$C,A174)+COUNTIF('Все сочетания'!$F:$F,A174)</x:f>
        <x:v>2</x:v>
      </x:c>
    </x:row>
    <x:row r="175" ht="46" customHeight="1">
      <x:c r="A175" s="28" t="str">
        <x:v>лимонная цедра</x:v>
      </x:c>
      <x:c r="B175" s="28" t="str">
        <x:v>Цитрусовые</x:v>
      </x:c>
      <x:c r="C175" s="28" t="str">
        <x:v>цитрусовый, свежий, цветочный, древесный</x:v>
      </x:c>
      <x:c r="D175" s="28" t="str">
        <x:v>цитраль (гераниаль + нераль), лимонен, гамма-терпинен, бета-пинен</x:v>
      </x:c>
      <x:c r="E175" s="28" t="str">
        <x:v>кислый, лёгкая горечь кожуры</x:v>
      </x:c>
      <x:c r="F175" s="28" t="str">
        <x:v>кислота усиливает слюноотделение</x:v>
      </x:c>
      <x:c r="G175" s="28" t="str">
        <x:v>сок — водная кислая фаза; цедра — гидрофобное эфирное масло</x:v>
      </x:c>
      <x:c r="H175" s="28" t="str">
        <x:v>Сок определяется цитралем и кислотностью, цедра — лимоненом и терпенами.</x:v>
      </x:c>
      <x:c r="I175" s="28" t="n">
        <x:f>COUNTIF('Все сочетания'!$C:$C,A175)+COUNTIF('Все сочетания'!$F:$F,A175)</x:f>
        <x:v>6</x:v>
      </x:c>
    </x:row>
    <x:row r="176" ht="46" customHeight="1">
      <x:c r="A176" s="28" t="str">
        <x:v>лимонник китайский (омиджа)</x:v>
      </x:c>
      <x:c r="B176" s="28" t="str">
        <x:v>Цитрусовые</x:v>
      </x:c>
      <x:c r="C176" s="28" t="str">
        <x:v>цитрусовый, свежий, цветочный, древесный</x:v>
      </x:c>
      <x:c r="D176" s="28" t="str">
        <x:v>цитраль (гераниаль + нераль), лимонен, гамма-терпинен, бета-пинен</x:v>
      </x:c>
      <x:c r="E176" s="28" t="str">
        <x:v>кислый, лёгкая горечь кожуры</x:v>
      </x:c>
      <x:c r="F176" s="28" t="str">
        <x:v>кислота усиливает слюноотделение</x:v>
      </x:c>
      <x:c r="G176" s="28" t="str">
        <x:v>сок — водная кислая фаза; цедра — гидрофобное эфирное масло</x:v>
      </x:c>
      <x:c r="H176" s="28" t="str">
        <x:v>Сок определяется цитралем и кислотностью, цедра — лимоненом и терпенами.</x:v>
      </x:c>
      <x:c r="I176" s="28" t="n">
        <x:f>COUNTIF('Все сочетания'!$C:$C,A176)+COUNTIF('Все сочетания'!$F:$F,A176)</x:f>
        <x:v>2</x:v>
      </x:c>
    </x:row>
    <x:row r="177" ht="46" customHeight="1">
      <x:c r="A177" s="28" t="str">
        <x:v>лимонный сок</x:v>
      </x:c>
      <x:c r="B177" s="28" t="str">
        <x:v>Цитрусовые</x:v>
      </x:c>
      <x:c r="C177" s="28" t="str">
        <x:v>цитрусовый, свежий, цветочный, древесный</x:v>
      </x:c>
      <x:c r="D177" s="28" t="str">
        <x:v>цитраль (гераниаль + нераль), лимонен, гамма-терпинен, бета-пинен</x:v>
      </x:c>
      <x:c r="E177" s="28" t="str">
        <x:v>кислый, лёгкая горечь кожуры</x:v>
      </x:c>
      <x:c r="F177" s="28" t="str">
        <x:v>кислота усиливает слюноотделение</x:v>
      </x:c>
      <x:c r="G177" s="28" t="str">
        <x:v>сок — водная кислая фаза; цедра — гидрофобное эфирное масло</x:v>
      </x:c>
      <x:c r="H177" s="28" t="str">
        <x:v>Сок определяется цитралем и кислотностью, цедра — лимоненом и терпенами.</x:v>
      </x:c>
      <x:c r="I177" s="28" t="n">
        <x:f>COUNTIF('Все сочетания'!$C:$C,A177)+COUNTIF('Все сочетания'!$F:$F,A177)</x:f>
        <x:v>10</x:v>
      </x:c>
    </x:row>
    <x:row r="178" ht="46" customHeight="1">
      <x:c r="A178" s="28" t="str">
        <x:v>лимонный тарт</x:v>
      </x:c>
      <x:c r="B178" s="28" t="str">
        <x:v>Цитрусовые</x:v>
      </x:c>
      <x:c r="C178" s="28" t="str">
        <x:v>цитрусовый, свежий, цветочный, древесный</x:v>
      </x:c>
      <x:c r="D178" s="28" t="str">
        <x:v>цитраль (гераниаль + нераль), лимонен, гамма-терпинен, бета-пинен</x:v>
      </x:c>
      <x:c r="E178" s="28" t="str">
        <x:v>кислый, лёгкая горечь кожуры</x:v>
      </x:c>
      <x:c r="F178" s="28" t="str">
        <x:v>кислота усиливает слюноотделение</x:v>
      </x:c>
      <x:c r="G178" s="28" t="str">
        <x:v>сок — водная кислая фаза; цедра — гидрофобное эфирное масло</x:v>
      </x:c>
      <x:c r="H178" s="28" t="str">
        <x:v>Сок определяется цитралем и кислотностью, цедра — лимоненом и терпенами.</x:v>
      </x:c>
      <x:c r="I178" s="28" t="n">
        <x:f>COUNTIF('Все сочетания'!$C:$C,A178)+COUNTIF('Все сочетания'!$F:$F,A178)</x:f>
        <x:v>3</x:v>
      </x:c>
    </x:row>
    <x:row r="179" ht="46" customHeight="1">
      <x:c r="A179" s="28" t="str">
        <x:v>лимонный тимьян</x:v>
      </x:c>
      <x:c r="B179" s="28" t="str">
        <x:v>Травы</x:v>
      </x:c>
      <x:c r="C179" s="28" t="str">
        <x:v>травяной, хвойный, камфорный, древесный</x:v>
      </x:c>
      <x:c r="D179" s="28" t="str">
        <x:v>1,8-цинеол, камфора, тимол/карвакрол, альфа-пинен</x:v>
      </x:c>
      <x:c r="E179" s="28" t="str">
        <x:v>горьковатый, пряный</x:v>
      </x:c>
      <x:c r="F179" s="28" t="str">
        <x:v>камфора и цинеол дают прохладно-камфорное ощущение</x:v>
      </x:c>
      <x:c r="G179" s="28" t="str">
        <x:v>эфирные масла лучше раскрываются в жире и спирте</x:v>
      </x:c>
      <x:c r="H179" s="28" t="str">
        <x:v>Хвойно-терпеновый профиль способен продолжить цитрусовую цедру.</x:v>
      </x:c>
      <x:c r="I179" s="28" t="n">
        <x:f>COUNTIF('Все сочетания'!$C:$C,A179)+COUNTIF('Все сочетания'!$F:$F,A179)</x:f>
        <x:v>4</x:v>
      </x:c>
    </x:row>
    <x:row r="180" ht="46" customHeight="1">
      <x:c r="A180" s="28" t="str">
        <x:v>лимончелло</x:v>
      </x:c>
      <x:c r="B180" s="28" t="str">
        <x:v>Цитрусовые</x:v>
      </x:c>
      <x:c r="C180" s="28" t="str">
        <x:v>цитрусовый, свежий, цветочный, древесный</x:v>
      </x:c>
      <x:c r="D180" s="28" t="str">
        <x:v>цитраль (гераниаль + нераль), лимонен, гамма-терпинен, бета-пинен</x:v>
      </x:c>
      <x:c r="E180" s="28" t="str">
        <x:v>кислый, лёгкая горечь кожуры</x:v>
      </x:c>
      <x:c r="F180" s="28" t="str">
        <x:v>кислота усиливает слюноотделение</x:v>
      </x:c>
      <x:c r="G180" s="28" t="str">
        <x:v>сок — водная кислая фаза; цедра — гидрофобное эфирное масло</x:v>
      </x:c>
      <x:c r="H180" s="28" t="str">
        <x:v>Сок определяется цитралем и кислотностью, цедра — лимоненом и терпенами.</x:v>
      </x:c>
      <x:c r="I180" s="28" t="n">
        <x:f>COUNTIF('Все сочетания'!$C:$C,A180)+COUNTIF('Все сочетания'!$F:$F,A180)</x:f>
        <x:v>12</x:v>
      </x:c>
    </x:row>
    <x:row r="181" ht="46" customHeight="1">
      <x:c r="A181" s="28" t="str">
        <x:v>лисичка</x:v>
      </x:c>
      <x:c r="B181" s="28" t="str">
        <x:v>Прочее</x:v>
      </x:c>
      <x:c r="C181" s="28" t="str">
        <x:v>нейтральный/специфический</x:v>
      </x:c>
      <x:c r="D181" s="28" t="str">
        <x:v>нужен профиль конкретного продукта</x:v>
      </x:c>
      <x:c r="E181" s="28" t="str">
        <x:v>зависит от продукта</x:v>
      </x:c>
      <x:c r="F181" s="28" t="str">
        <x:v>нет данных</x:v>
      </x:c>
      <x:c r="G181" s="28" t="str">
        <x:v>зависит от формы продукта</x:v>
      </x:c>
      <x:c r="H181" s="28" t="str">
        <x:v>Для точного молекулярного вывода нужен профиль конкретного ингредиента и способа обработки.</x:v>
      </x:c>
      <x:c r="I181" s="28" t="n">
        <x:f>COUNTIF('Все сочетания'!$C:$C,A181)+COUNTIF('Все сочетания'!$F:$F,A181)</x:f>
        <x:v>1</x:v>
      </x:c>
    </x:row>
    <x:row r="182" ht="46" customHeight="1">
      <x:c r="A182" s="28" t="str">
        <x:v>лист кафир-лайма</x:v>
      </x:c>
      <x:c r="B182" s="28" t="str">
        <x:v>Цитрусовые</x:v>
      </x:c>
      <x:c r="C182" s="28" t="str">
        <x:v>цитрусовый, зелёный, травяной, камфорный</x:v>
      </x:c>
      <x:c r="D182" s="28" t="str">
        <x:v>лимонен, гамма-терпинен, цитраль, бета-пинен, линалол</x:v>
      </x:c>
      <x:c r="E182" s="28" t="str">
        <x:v>кислый, слабо горький</x:v>
      </x:c>
      <x:c r="F182" s="28" t="str">
        <x:v>кислота усиливает слюноотделение; зелёные терпены создают ощущение прохлады</x:v>
      </x:c>
      <x:c r="G182" s="28" t="str">
        <x:v>сок — водная кислая фаза; цедра — масляная терпеновая</x:v>
      </x:c>
      <x:c r="H182" s="28" t="str">
        <x:v>Лаймовые цитрусы дают более зелёный и камфорный профиль, чем сладкий апельсин.</x:v>
      </x:c>
      <x:c r="I182" s="28" t="n">
        <x:f>COUNTIF('Все сочетания'!$C:$C,A182)+COUNTIF('Все сочетания'!$F:$F,A182)</x:f>
        <x:v>1</x:v>
      </x:c>
    </x:row>
    <x:row r="183" ht="46" customHeight="1">
      <x:c r="A183" s="28" t="str">
        <x:v>лист лайма</x:v>
      </x:c>
      <x:c r="B183" s="28" t="str">
        <x:v>Цитрусовые</x:v>
      </x:c>
      <x:c r="C183" s="28" t="str">
        <x:v>цитрусовый, зелёный, травяной, камфорный</x:v>
      </x:c>
      <x:c r="D183" s="28" t="str">
        <x:v>лимонен, гамма-терпинен, цитраль, бета-пинен, линалол</x:v>
      </x:c>
      <x:c r="E183" s="28" t="str">
        <x:v>кислый, слабо горький</x:v>
      </x:c>
      <x:c r="F183" s="28" t="str">
        <x:v>кислота усиливает слюноотделение; зелёные терпены создают ощущение прохлады</x:v>
      </x:c>
      <x:c r="G183" s="28" t="str">
        <x:v>сок — водная кислая фаза; цедра — масляная терпеновая</x:v>
      </x:c>
      <x:c r="H183" s="28" t="str">
        <x:v>Лаймовые цитрусы дают более зелёный и камфорный профиль, чем сладкий апельсин.</x:v>
      </x:c>
      <x:c r="I183" s="28" t="n">
        <x:f>COUNTIF('Все сочетания'!$C:$C,A183)+COUNTIF('Все сочетания'!$F:$F,A183)</x:f>
        <x:v>1</x:v>
      </x:c>
    </x:row>
    <x:row r="184" ht="46" customHeight="1">
      <x:c r="A184" s="28" t="str">
        <x:v>лист любистока</x:v>
      </x:c>
      <x:c r="B184" s="28" t="str">
        <x:v>Прочее</x:v>
      </x:c>
      <x:c r="C184" s="28" t="str">
        <x:v>нейтральный/специфический</x:v>
      </x:c>
      <x:c r="D184" s="28" t="str">
        <x:v>нужен профиль конкретного продукта</x:v>
      </x:c>
      <x:c r="E184" s="28" t="str">
        <x:v>зависит от продукта</x:v>
      </x:c>
      <x:c r="F184" s="28" t="str">
        <x:v>нет данных</x:v>
      </x:c>
      <x:c r="G184" s="28" t="str">
        <x:v>зависит от формы продукта</x:v>
      </x:c>
      <x:c r="H184" s="28" t="str">
        <x:v>Для точного молекулярного вывода нужен профиль конкретного ингредиента и способа обработки.</x:v>
      </x:c>
      <x:c r="I184" s="28" t="n">
        <x:f>COUNTIF('Все сочетания'!$C:$C,A184)+COUNTIF('Все сочетания'!$F:$F,A184)</x:f>
        <x:v>1</x:v>
      </x:c>
    </x:row>
    <x:row r="185" ht="46" customHeight="1">
      <x:c r="A185" s="28" t="str">
        <x:v>лист макрут-лайма</x:v>
      </x:c>
      <x:c r="B185" s="28" t="str">
        <x:v>Цитрусовые</x:v>
      </x:c>
      <x:c r="C185" s="28" t="str">
        <x:v>цитрусовый, зелёный, травяной, камфорный</x:v>
      </x:c>
      <x:c r="D185" s="28" t="str">
        <x:v>лимонен, гамма-терпинен, цитраль, бета-пинен, линалол</x:v>
      </x:c>
      <x:c r="E185" s="28" t="str">
        <x:v>кислый, слабо горький</x:v>
      </x:c>
      <x:c r="F185" s="28" t="str">
        <x:v>кислота усиливает слюноотделение; зелёные терпены создают ощущение прохлады</x:v>
      </x:c>
      <x:c r="G185" s="28" t="str">
        <x:v>сок — водная кислая фаза; цедра — масляная терпеновая</x:v>
      </x:c>
      <x:c r="H185" s="28" t="str">
        <x:v>Лаймовые цитрусы дают более зелёный и камфорный профиль, чем сладкий апельсин.</x:v>
      </x:c>
      <x:c r="I185" s="28" t="n">
        <x:f>COUNTIF('Все сочетания'!$C:$C,A185)+COUNTIF('Все сочетания'!$F:$F,A185)</x:f>
        <x:v>7</x:v>
      </x:c>
    </x:row>
    <x:row r="186" ht="46" customHeight="1">
      <x:c r="A186" s="28" t="str">
        <x:v>лист манжетки</x:v>
      </x:c>
      <x:c r="B186" s="28" t="str">
        <x:v>Прочее</x:v>
      </x:c>
      <x:c r="C186" s="28" t="str">
        <x:v>нейтральный/специфический</x:v>
      </x:c>
      <x:c r="D186" s="28" t="str">
        <x:v>нужен профиль конкретного продукта</x:v>
      </x:c>
      <x:c r="E186" s="28" t="str">
        <x:v>зависит от продукта</x:v>
      </x:c>
      <x:c r="F186" s="28" t="str">
        <x:v>нет данных</x:v>
      </x:c>
      <x:c r="G186" s="28" t="str">
        <x:v>зависит от формы продукта</x:v>
      </x:c>
      <x:c r="H186" s="28" t="str">
        <x:v>Для точного молекулярного вывода нужен профиль конкретного ингредиента и способа обработки.</x:v>
      </x:c>
      <x:c r="I186" s="28" t="n">
        <x:f>COUNTIF('Все сочетания'!$C:$C,A186)+COUNTIF('Все сочетания'!$F:$F,A186)</x:f>
        <x:v>1</x:v>
      </x:c>
    </x:row>
    <x:row r="187" ht="46" customHeight="1">
      <x:c r="A187" s="28" t="str">
        <x:v>лист муфла</x:v>
      </x:c>
      <x:c r="B187" s="28" t="str">
        <x:v>Прочее</x:v>
      </x:c>
      <x:c r="C187" s="28" t="str">
        <x:v>нейтральный/специфический</x:v>
      </x:c>
      <x:c r="D187" s="28" t="str">
        <x:v>нужен профиль конкретного продукта</x:v>
      </x:c>
      <x:c r="E187" s="28" t="str">
        <x:v>зависит от продукта</x:v>
      </x:c>
      <x:c r="F187" s="28" t="str">
        <x:v>нет данных</x:v>
      </x:c>
      <x:c r="G187" s="28" t="str">
        <x:v>зависит от формы продукта</x:v>
      </x:c>
      <x:c r="H187" s="28" t="str">
        <x:v>Для точного молекулярного вывода нужен профиль конкретного ингредиента и способа обработки.</x:v>
      </x:c>
      <x:c r="I187" s="28" t="n">
        <x:f>COUNTIF('Все сочетания'!$C:$C,A187)+COUNTIF('Все сочетания'!$F:$F,A187)</x:f>
        <x:v>1</x:v>
      </x:c>
    </x:row>
    <x:row r="188" ht="46" customHeight="1">
      <x:c r="A188" s="28" t="str">
        <x:v>листья кафир-лайма</x:v>
      </x:c>
      <x:c r="B188" s="28" t="str">
        <x:v>Цитрусовые</x:v>
      </x:c>
      <x:c r="C188" s="28" t="str">
        <x:v>цитрусовый, зелёный, травяной, камфорный</x:v>
      </x:c>
      <x:c r="D188" s="28" t="str">
        <x:v>лимонен, гамма-терпинен, цитраль, бета-пинен, линалол</x:v>
      </x:c>
      <x:c r="E188" s="28" t="str">
        <x:v>кислый, слабо горький</x:v>
      </x:c>
      <x:c r="F188" s="28" t="str">
        <x:v>кислота усиливает слюноотделение; зелёные терпены создают ощущение прохлады</x:v>
      </x:c>
      <x:c r="G188" s="28" t="str">
        <x:v>сок — водная кислая фаза; цедра — масляная терпеновая</x:v>
      </x:c>
      <x:c r="H188" s="28" t="str">
        <x:v>Лаймовые цитрусы дают более зелёный и камфорный профиль, чем сладкий апельсин.</x:v>
      </x:c>
      <x:c r="I188" s="28" t="n">
        <x:f>COUNTIF('Все сочетания'!$C:$C,A188)+COUNTIF('Все сочетания'!$F:$F,A188)</x:f>
        <x:v>2</x:v>
      </x:c>
    </x:row>
    <x:row r="189" ht="46" customHeight="1">
      <x:c r="A189" s="28" t="str">
        <x:v>листья кинзы</x:v>
      </x:c>
      <x:c r="B189" s="28" t="str">
        <x:v>Травы/пряности</x:v>
      </x:c>
      <x:c r="C189" s="28" t="str">
        <x:v>цитрусовый, зелёный, цветочный</x:v>
      </x:c>
      <x:c r="D189" s="28" t="str">
        <x:v>линалол, деканаль, додеканаль</x:v>
      </x:c>
      <x:c r="E189" s="28" t="str">
        <x:v>травяной, слегка горький</x:v>
      </x:c>
      <x:c r="F189" s="28" t="str">
        <x:v>нет выраженного</x:v>
      </x:c>
      <x:c r="G189" s="28" t="str">
        <x:v>листья чувствительны к нагреву; семена устойчивее и слаще</x:v>
      </x:c>
      <x:c r="H189" s="28" t="str">
        <x:v>Линалоол создаёт прямой ароматический мост с цитрусами.</x:v>
      </x:c>
      <x:c r="I189" s="28" t="n">
        <x:f>COUNTIF('Все сочетания'!$C:$C,A189)+COUNTIF('Все сочетания'!$F:$F,A189)</x:f>
        <x:v>1</x:v>
      </x:c>
    </x:row>
    <x:row r="190" ht="46" customHeight="1">
      <x:c r="A190" s="28" t="str">
        <x:v>листья кориандра</x:v>
      </x:c>
      <x:c r="B190" s="28" t="str">
        <x:v>Травы/пряности</x:v>
      </x:c>
      <x:c r="C190" s="28" t="str">
        <x:v>цитрусовый, зелёный, цветочный</x:v>
      </x:c>
      <x:c r="D190" s="28" t="str">
        <x:v>линалол, деканаль, додеканаль</x:v>
      </x:c>
      <x:c r="E190" s="28" t="str">
        <x:v>травяной, слегка горький</x:v>
      </x:c>
      <x:c r="F190" s="28" t="str">
        <x:v>нет выраженного</x:v>
      </x:c>
      <x:c r="G190" s="28" t="str">
        <x:v>листья чувствительны к нагреву; семена устойчивее и слаще</x:v>
      </x:c>
      <x:c r="H190" s="28" t="str">
        <x:v>Линалоол создаёт прямой ароматический мост с цитрусами.</x:v>
      </x:c>
      <x:c r="I190" s="28" t="n">
        <x:f>COUNTIF('Все сочетания'!$C:$C,A190)+COUNTIF('Все сочетания'!$F:$F,A190)</x:f>
        <x:v>3</x:v>
      </x:c>
    </x:row>
    <x:row r="191" ht="46" customHeight="1">
      <x:c r="A191" s="28" t="str">
        <x:v>личи</x:v>
      </x:c>
      <x:c r="B191" s="28" t="str">
        <x:v>Тропические фрукты</x:v>
      </x:c>
      <x:c r="C191" s="28" t="str">
        <x:v>фруктовый, тропический, цветочный, сливочный</x:v>
      </x:c>
      <x:c r="D191" s="28" t="str">
        <x:v>этилбутират, гексилацетат, лактоны, сернистые тиолы (у части фруктов)</x:v>
      </x:c>
      <x:c r="E191" s="28" t="str">
        <x:v>сладкий, умеренно кислый</x:v>
      </x:c>
      <x:c r="F191" s="28" t="str">
        <x:v>нет выраженного</x:v>
      </x:c>
      <x:c r="G191" s="28" t="str">
        <x:v>сочная или кремовая фруктовая матрица</x:v>
      </x:c>
      <x:c r="H191" s="28" t="str">
        <x:v>Цитрус снижает ощущение приторности и усиливает летучие фруктовые эфиры.</x:v>
      </x:c>
      <x:c r="I191" s="28" t="n">
        <x:f>COUNTIF('Все сочетания'!$C:$C,A191)+COUNTIF('Все сочетания'!$F:$F,A191)</x:f>
        <x:v>3</x:v>
      </x:c>
    </x:row>
    <x:row r="192" ht="46" customHeight="1">
      <x:c r="A192" s="28" t="str">
        <x:v>лонган</x:v>
      </x:c>
      <x:c r="B192" s="28" t="str">
        <x:v>Тропические фрукты</x:v>
      </x:c>
      <x:c r="C192" s="28" t="str">
        <x:v>фруктовый, тропический, цветочный, сливочный</x:v>
      </x:c>
      <x:c r="D192" s="28" t="str">
        <x:v>этилбутират, гексилацетат, лактоны, сернистые тиолы (у части фруктов)</x:v>
      </x:c>
      <x:c r="E192" s="28" t="str">
        <x:v>сладкий, умеренно кислый</x:v>
      </x:c>
      <x:c r="F192" s="28" t="str">
        <x:v>нет выраженного</x:v>
      </x:c>
      <x:c r="G192" s="28" t="str">
        <x:v>сочная или кремовая фруктовая матрица</x:v>
      </x:c>
      <x:c r="H192" s="28" t="str">
        <x:v>Цитрус снижает ощущение приторности и усиливает летучие фруктовые эфиры.</x:v>
      </x:c>
      <x:c r="I192" s="28" t="n">
        <x:f>COUNTIF('Все сочетания'!$C:$C,A192)+COUNTIF('Все сочетания'!$F:$F,A192)</x:f>
        <x:v>3</x:v>
      </x:c>
    </x:row>
    <x:row r="193" ht="46" customHeight="1">
      <x:c r="A193" s="28" t="str">
        <x:v>лук</x:v>
      </x:c>
      <x:c r="B193" s="28" t="str">
        <x:v>Прочее</x:v>
      </x:c>
      <x:c r="C193" s="28" t="str">
        <x:v>нейтральный/специфический</x:v>
      </x:c>
      <x:c r="D193" s="28" t="str">
        <x:v>нужен профиль конкретного продукта</x:v>
      </x:c>
      <x:c r="E193" s="28" t="str">
        <x:v>зависит от продукта</x:v>
      </x:c>
      <x:c r="F193" s="28" t="str">
        <x:v>нет данных</x:v>
      </x:c>
      <x:c r="G193" s="28" t="str">
        <x:v>зависит от формы продукта</x:v>
      </x:c>
      <x:c r="H193" s="28" t="str">
        <x:v>Для точного молекулярного вывода нужен профиль конкретного ингредиента и способа обработки.</x:v>
      </x:c>
      <x:c r="I193" s="28" t="n">
        <x:f>COUNTIF('Все сочетания'!$C:$C,A193)+COUNTIF('Все сочетания'!$F:$F,A193)</x:f>
        <x:v>1</x:v>
      </x:c>
    </x:row>
    <x:row r="194" ht="46" customHeight="1">
      <x:c r="A194" s="28" t="str">
        <x:v>лук-порей на пару</x:v>
      </x:c>
      <x:c r="B194" s="28" t="str">
        <x:v>Овощи</x:v>
      </x:c>
      <x:c r="C194" s="28" t="str">
        <x:v>зелёный, землистый, растительный, иногда сернистый</x:v>
      </x:c>
      <x:c r="D194" s="28" t="str">
        <x:v>C6-альдегиды, метоксипиразины, геосмин (землистые), сернистые соединения</x:v>
      </x:c>
      <x:c r="E194" s="28" t="str">
        <x:v>сладковатый, горьковатый, умами</x:v>
      </x:c>
      <x:c r="F194" s="28" t="str">
        <x:v>нет выраженного</x:v>
      </x:c>
      <x:c r="G194" s="28" t="str">
        <x:v>водная/крахмальная матрица; масло помогает распределить цедру</x:v>
      </x:c>
      <x:c r="H194" s="28" t="str">
        <x:v>Кислота подчёркивает сладость овощей и сокращает землистое или сернистое послевкусие.</x:v>
      </x:c>
      <x:c r="I194" s="28" t="n">
        <x:f>COUNTIF('Все сочетания'!$C:$C,A194)+COUNTIF('Все сочетания'!$F:$F,A194)</x:f>
        <x:v>1</x:v>
      </x:c>
    </x:row>
    <x:row r="195" ht="46" customHeight="1">
      <x:c r="A195" s="28" t="str">
        <x:v>мадера Боал 10 лет</x:v>
      </x:c>
      <x:c r="B195" s="28" t="str">
        <x:v>Алкогольные напитки</x:v>
      </x:c>
      <x:c r="C195" s="28" t="str">
        <x:v>зависит от основы, эфирный, древесный/пряный</x:v>
      </x:c>
      <x:c r="D195" s="28" t="str">
        <x:v>этанол, эфиры, терпены/дубовые соединения</x:v>
      </x:c>
      <x:c r="E195" s="28" t="str">
        <x:v>горький, сладкий или сухой</x:v>
      </x:c>
      <x:c r="F195" s="28" t="str">
        <x:v>этанол усиливает тепло и летучесть аромата</x:v>
      </x:c>
      <x:c r="G195" s="28" t="str">
        <x:v>этанол — хороший растворитель гидрофобных эфирных масел</x:v>
      </x:c>
      <x:c r="H195" s="28" t="str">
        <x:v>Спирт извлекает цедру и усиливает ретроназальный выход терпенов; сахар и разбавление меняют баланс.</x:v>
      </x:c>
      <x:c r="I195" s="28" t="n">
        <x:f>COUNTIF('Все сочетания'!$C:$C,A195)+COUNTIF('Все сочетания'!$F:$F,A195)</x:f>
        <x:v>1</x:v>
      </x:c>
    </x:row>
    <x:row r="196" ht="46" customHeight="1">
      <x:c r="A196" s="28" t="str">
        <x:v>мак</x:v>
      </x:c>
      <x:c r="B196" s="28" t="str">
        <x:v>Прочее</x:v>
      </x:c>
      <x:c r="C196" s="28" t="str">
        <x:v>нейтральный/специфический</x:v>
      </x:c>
      <x:c r="D196" s="28" t="str">
        <x:v>нужен профиль конкретного продукта</x:v>
      </x:c>
      <x:c r="E196" s="28" t="str">
        <x:v>зависит от продукта</x:v>
      </x:c>
      <x:c r="F196" s="28" t="str">
        <x:v>нет данных</x:v>
      </x:c>
      <x:c r="G196" s="28" t="str">
        <x:v>зависит от формы продукта</x:v>
      </x:c>
      <x:c r="H196" s="28" t="str">
        <x:v>Для точного молекулярного вывода нужен профиль конкретного ингредиента и способа обработки.</x:v>
      </x:c>
      <x:c r="I196" s="28" t="n">
        <x:f>COUNTIF('Все сочетания'!$C:$C,A196)+COUNTIF('Все сочетания'!$F:$F,A196)</x:f>
        <x:v>1</x:v>
      </x:c>
    </x:row>
    <x:row r="197" ht="46" customHeight="1">
      <x:c r="A197" s="28" t="str">
        <x:v>макадамия</x:v>
      </x:c>
      <x:c r="B197" s="28" t="str">
        <x:v>Орехи и семена</x:v>
      </x:c>
      <x:c r="C197" s="28" t="str">
        <x:v>ореховый, обжаренный, жирный, зелёный</x:v>
      </x:c>
      <x:c r="D197" s="28" t="str">
        <x:v>пиразины, альдегиды окисления жиров, бензальдегид (миндаль)</x:v>
      </x:c>
      <x:c r="E197" s="28" t="str">
        <x:v>сладковатый, горьковатый</x:v>
      </x:c>
      <x:c r="F197" s="28" t="str">
        <x:v>нет выраженного</x:v>
      </x:c>
      <x:c r="G197" s="28" t="str">
        <x:v>высокая жирность растворяет терпеновые масла цитруса</x:v>
      </x:c>
      <x:c r="H197" s="28" t="str">
        <x:v>Кислота режет жирность, а цедра связывается с обжаренными и цветочными нотами.</x:v>
      </x:c>
      <x:c r="I197" s="28" t="n">
        <x:f>COUNTIF('Все сочетания'!$C:$C,A197)+COUNTIF('Все сочетания'!$F:$F,A197)</x:f>
        <x:v>1</x:v>
      </x:c>
    </x:row>
    <x:row r="198" ht="46" customHeight="1">
      <x:c r="A198" s="28" t="str">
        <x:v>макрут-лайм</x:v>
      </x:c>
      <x:c r="B198" s="28" t="str">
        <x:v>Цитрусовые</x:v>
      </x:c>
      <x:c r="C198" s="28" t="str">
        <x:v>цитрусовый, зелёный, травяной, камфорный</x:v>
      </x:c>
      <x:c r="D198" s="28" t="str">
        <x:v>лимонен, гамма-терпинен, цитраль, бета-пинен, линалол</x:v>
      </x:c>
      <x:c r="E198" s="28" t="str">
        <x:v>кислый, слабо горький</x:v>
      </x:c>
      <x:c r="F198" s="28" t="str">
        <x:v>кислота усиливает слюноотделение; зелёные терпены создают ощущение прохлады</x:v>
      </x:c>
      <x:c r="G198" s="28" t="str">
        <x:v>сок — водная кислая фаза; цедра — масляная терпеновая</x:v>
      </x:c>
      <x:c r="H198" s="28" t="str">
        <x:v>Лаймовые цитрусы дают более зелёный и камфорный профиль, чем сладкий апельсин.</x:v>
      </x:c>
      <x:c r="I198" s="28" t="n">
        <x:f>COUNTIF('Все сочетания'!$C:$C,A198)+COUNTIF('Все сочетания'!$F:$F,A198)</x:f>
        <x:v>1</x:v>
      </x:c>
    </x:row>
    <x:row r="199" ht="46" customHeight="1">
      <x:c r="A199" s="28" t="str">
        <x:v>малина</x:v>
      </x:c>
      <x:c r="B199" s="28" t="str">
        <x:v>Ягоды/косточковые</x:v>
      </x:c>
      <x:c r="C199" s="28" t="str">
        <x:v>фруктовый, цветочный, зелёный, винный</x:v>
      </x:c>
      <x:c r="D199" s="28" t="str">
        <x:v>иононы, дамасценон, эфиры, бензальдегид (для косточковых)</x:v>
      </x:c>
      <x:c r="E199" s="28" t="str">
        <x:v>кисло-сладкий, иногда терпкий</x:v>
      </x:c>
      <x:c r="F199" s="28" t="str">
        <x:v>нет выраженного</x:v>
      </x:c>
      <x:c r="G199" s="28" t="str">
        <x:v>водная матрица с антоцианами и полифенолами</x:v>
      </x:c>
      <x:c r="H199" s="28" t="str">
        <x:v>Цитрус усиливает кислотный контур, а цветочные терпены поддерживают ягодный аромат.</x:v>
      </x:c>
      <x:c r="I199" s="28" t="n">
        <x:f>COUNTIF('Все сочетания'!$C:$C,A199)+COUNTIF('Все сочетания'!$F:$F,A199)</x:f>
        <x:v>3</x:v>
      </x:c>
    </x:row>
    <x:row r="200" ht="46" customHeight="1">
      <x:c r="A200" s="28" t="str">
        <x:v>манго</x:v>
      </x:c>
      <x:c r="B200" s="28" t="str">
        <x:v>Тропические фрукты</x:v>
      </x:c>
      <x:c r="C200" s="28" t="str">
        <x:v>фруктовый, тропический, цветочный, сливочный</x:v>
      </x:c>
      <x:c r="D200" s="28" t="str">
        <x:v>этилбутират, гексилацетат, лактоны, сернистые тиолы (у части фруктов)</x:v>
      </x:c>
      <x:c r="E200" s="28" t="str">
        <x:v>сладкий, умеренно кислый</x:v>
      </x:c>
      <x:c r="F200" s="28" t="str">
        <x:v>нет выраженного</x:v>
      </x:c>
      <x:c r="G200" s="28" t="str">
        <x:v>сочная или кремовая фруктовая матрица</x:v>
      </x:c>
      <x:c r="H200" s="28" t="str">
        <x:v>Цитрус снижает ощущение приторности и усиливает летучие фруктовые эфиры.</x:v>
      </x:c>
      <x:c r="I200" s="28" t="n">
        <x:f>COUNTIF('Все сочетания'!$C:$C,A200)+COUNTIF('Все сочетания'!$F:$F,A200)</x:f>
        <x:v>6</x:v>
      </x:c>
    </x:row>
    <x:row r="201" ht="46" customHeight="1">
      <x:c r="A201" s="28" t="str">
        <x:v>манго Альфонсо</x:v>
      </x:c>
      <x:c r="B201" s="28" t="str">
        <x:v>Тропические фрукты</x:v>
      </x:c>
      <x:c r="C201" s="28" t="str">
        <x:v>фруктовый, тропический, цветочный, сливочный</x:v>
      </x:c>
      <x:c r="D201" s="28" t="str">
        <x:v>этилбутират, гексилацетат, лактоны, сернистые тиолы (у части фруктов)</x:v>
      </x:c>
      <x:c r="E201" s="28" t="str">
        <x:v>сладкий, умеренно кислый</x:v>
      </x:c>
      <x:c r="F201" s="28" t="str">
        <x:v>нет выраженного</x:v>
      </x:c>
      <x:c r="G201" s="28" t="str">
        <x:v>сочная или кремовая фруктовая матрица</x:v>
      </x:c>
      <x:c r="H201" s="28" t="str">
        <x:v>Цитрус снижает ощущение приторности и усиливает летучие фруктовые эфиры.</x:v>
      </x:c>
      <x:c r="I201" s="28" t="n">
        <x:f>COUNTIF('Все сочетания'!$C:$C,A201)+COUNTIF('Все сочетания'!$F:$F,A201)</x:f>
        <x:v>3</x:v>
      </x:c>
    </x:row>
    <x:row r="202" ht="46" customHeight="1">
      <x:c r="A202" s="28" t="str">
        <x:v>манго Кейтт</x:v>
      </x:c>
      <x:c r="B202" s="28" t="str">
        <x:v>Тропические фрукты</x:v>
      </x:c>
      <x:c r="C202" s="28" t="str">
        <x:v>фруктовый, тропический, цветочный, сливочный</x:v>
      </x:c>
      <x:c r="D202" s="28" t="str">
        <x:v>этилбутират, гексилацетат, лактоны, сернистые тиолы (у части фруктов)</x:v>
      </x:c>
      <x:c r="E202" s="28" t="str">
        <x:v>сладкий, умеренно кислый</x:v>
      </x:c>
      <x:c r="F202" s="28" t="str">
        <x:v>нет выраженного</x:v>
      </x:c>
      <x:c r="G202" s="28" t="str">
        <x:v>сочная или кремовая фруктовая матрица</x:v>
      </x:c>
      <x:c r="H202" s="28" t="str">
        <x:v>Цитрус снижает ощущение приторности и усиливает летучие фруктовые эфиры.</x:v>
      </x:c>
      <x:c r="I202" s="28" t="n">
        <x:f>COUNTIF('Все сочетания'!$C:$C,A202)+COUNTIF('Все сочетания'!$F:$F,A202)</x:f>
        <x:v>2</x:v>
      </x:c>
    </x:row>
    <x:row r="203" ht="46" customHeight="1">
      <x:c r="A203" s="28" t="str">
        <x:v>мандарин</x:v>
      </x:c>
      <x:c r="B203" s="28" t="str">
        <x:v>Цитрусовые</x:v>
      </x:c>
      <x:c r="C203" s="28" t="str">
        <x:v>цитрусовый, фруктовый, цветочный, пряный</x:v>
      </x:c>
      <x:c r="D203" s="28" t="str">
        <x:v>лимонен, гамма-терпинен, метил-N-метилантранилат, линалол</x:v>
      </x:c>
      <x:c r="E203" s="28" t="str">
        <x:v>кисло-сладкий, лёгкая горечь кожуры</x:v>
      </x:c>
      <x:c r="F203" s="28" t="str">
        <x:v>нет выраженного</x:v>
      </x:c>
      <x:c r="G203" s="28" t="str">
        <x:v>сок водный; кожура богата эфирным маслом</x:v>
      </x:c>
      <x:c r="H203" s="28" t="str">
        <x:v>Мандариновая группа мягче по кислотности и выраженнее по сладко-цветочным нотам.</x:v>
      </x:c>
      <x:c r="I203" s="28" t="n">
        <x:f>COUNTIF('Все сочетания'!$C:$C,A203)+COUNTIF('Все сочетания'!$F:$F,A203)</x:f>
        <x:v>38</x:v>
      </x:c>
    </x:row>
    <x:row r="204" ht="46" customHeight="1">
      <x:c r="A204" s="28" t="str">
        <x:v>мандариновое пюре</x:v>
      </x:c>
      <x:c r="B204" s="28" t="str">
        <x:v>Цитрусовые</x:v>
      </x:c>
      <x:c r="C204" s="28" t="str">
        <x:v>цитрусовый, фруктовый, цветочный, пряный</x:v>
      </x:c>
      <x:c r="D204" s="28" t="str">
        <x:v>лимонен, гамма-терпинен, метил-N-метилантранилат, линалол</x:v>
      </x:c>
      <x:c r="E204" s="28" t="str">
        <x:v>кисло-сладкий, лёгкая горечь кожуры</x:v>
      </x:c>
      <x:c r="F204" s="28" t="str">
        <x:v>нет выраженного</x:v>
      </x:c>
      <x:c r="G204" s="28" t="str">
        <x:v>сок водный; кожура богата эфирным маслом</x:v>
      </x:c>
      <x:c r="H204" s="28" t="str">
        <x:v>Мандариновая группа мягче по кислотности и выраженнее по сладко-цветочным нотам.</x:v>
      </x:c>
      <x:c r="I204" s="28" t="n">
        <x:f>COUNTIF('Все сочетания'!$C:$C,A204)+COUNTIF('Все сочетания'!$F:$F,A204)</x:f>
        <x:v>1</x:v>
      </x:c>
    </x:row>
    <x:row r="205" ht="46" customHeight="1">
      <x:c r="A205" s="28" t="str">
        <x:v>маракуйя</x:v>
      </x:c>
      <x:c r="B205" s="28" t="str">
        <x:v>Тропические фрукты</x:v>
      </x:c>
      <x:c r="C205" s="28" t="str">
        <x:v>фруктовый, тропический, цветочный, сливочный</x:v>
      </x:c>
      <x:c r="D205" s="28" t="str">
        <x:v>этилбутират, гексилацетат, лактоны, сернистые тиолы (у части фруктов)</x:v>
      </x:c>
      <x:c r="E205" s="28" t="str">
        <x:v>сладкий, умеренно кислый</x:v>
      </x:c>
      <x:c r="F205" s="28" t="str">
        <x:v>нет выраженного</x:v>
      </x:c>
      <x:c r="G205" s="28" t="str">
        <x:v>сочная или кремовая фруктовая матрица</x:v>
      </x:c>
      <x:c r="H205" s="28" t="str">
        <x:v>Цитрус снижает ощущение приторности и усиливает летучие фруктовые эфиры.</x:v>
      </x:c>
      <x:c r="I205" s="28" t="n">
        <x:f>COUNTIF('Все сочетания'!$C:$C,A205)+COUNTIF('Все сочетания'!$F:$F,A205)</x:f>
        <x:v>3</x:v>
      </x:c>
    </x:row>
    <x:row r="206" ht="46" customHeight="1">
      <x:c r="A206" s="28" t="str">
        <x:v>маринованный огурец</x:v>
      </x:c>
      <x:c r="B206" s="28" t="str">
        <x:v>Овощи</x:v>
      </x:c>
      <x:c r="C206" s="28" t="str">
        <x:v>зелёный, землистый, растительный, иногда сернистый</x:v>
      </x:c>
      <x:c r="D206" s="28" t="str">
        <x:v>C6-альдегиды, метоксипиразины, геосмин (землистые), сернистые соединения</x:v>
      </x:c>
      <x:c r="E206" s="28" t="str">
        <x:v>сладковатый, горьковатый, умами</x:v>
      </x:c>
      <x:c r="F206" s="28" t="str">
        <x:v>нет выраженного</x:v>
      </x:c>
      <x:c r="G206" s="28" t="str">
        <x:v>водная/крахмальная матрица; масло помогает распределить цедру</x:v>
      </x:c>
      <x:c r="H206" s="28" t="str">
        <x:v>Кислота подчёркивает сладость овощей и сокращает землистое или сернистое послевкусие.</x:v>
      </x:c>
      <x:c r="I206" s="28" t="n">
        <x:f>COUNTIF('Все сочетания'!$C:$C,A206)+COUNTIF('Все сочетания'!$F:$F,A206)</x:f>
        <x:v>1</x:v>
      </x:c>
    </x:row>
    <x:row r="207" ht="46" customHeight="1">
      <x:c r="A207" s="28" t="str">
        <x:v>марокканское оливковое масло</x:v>
      </x:c>
      <x:c r="B207" s="28" t="str">
        <x:v>Молочные продукты</x:v>
      </x:c>
      <x:c r="C207" s="28" t="str">
        <x:v>сливочный, молочный, масляный, иногда животный</x:v>
      </x:c>
      <x:c r="D207" s="28" t="str">
        <x:v>диацетил, молочные лактоны, свободные жирные кислоты</x:v>
      </x:c>
      <x:c r="E207" s="28" t="str">
        <x:v>жирный, солёный/умами, кислый у ферментированных</x:v>
      </x:c>
      <x:c r="F207" s="28" t="str">
        <x:v>нет выраженного</x:v>
      </x:c>
      <x:c r="G207" s="28" t="str">
        <x:v>жир растворяет терпены; кислота цитруса может коагулировать молочный белок</x:v>
      </x:c>
      <x:c r="H207" s="28" t="str">
        <x:v>Цитрус режет жирность и освежает, а молочная матрица смягчает кислотность.</x:v>
      </x:c>
      <x:c r="I207" s="28" t="n">
        <x:f>COUNTIF('Все сочетания'!$C:$C,A207)+COUNTIF('Все сочетания'!$F:$F,A207)</x:f>
        <x:v>1</x:v>
      </x:c>
    </x:row>
    <x:row r="208" ht="46" customHeight="1">
      <x:c r="A208" s="28" t="str">
        <x:v>масло фундука</x:v>
      </x:c>
      <x:c r="B208" s="28" t="str">
        <x:v>Орехи и семена</x:v>
      </x:c>
      <x:c r="C208" s="28" t="str">
        <x:v>ореховый, обжаренный, жирный, зелёный</x:v>
      </x:c>
      <x:c r="D208" s="28" t="str">
        <x:v>пиразины, альдегиды окисления жиров, бензальдегид (миндаль)</x:v>
      </x:c>
      <x:c r="E208" s="28" t="str">
        <x:v>сладковатый, горьковатый</x:v>
      </x:c>
      <x:c r="F208" s="28" t="str">
        <x:v>нет выраженного</x:v>
      </x:c>
      <x:c r="G208" s="28" t="str">
        <x:v>высокая жирность растворяет терпеновые масла цитруса</x:v>
      </x:c>
      <x:c r="H208" s="28" t="str">
        <x:v>Кислота режет жирность, а цедра связывается с обжаренными и цветочными нотами.</x:v>
      </x:c>
      <x:c r="I208" s="28" t="n">
        <x:f>COUNTIF('Все сочетания'!$C:$C,A208)+COUNTIF('Все сочетания'!$F:$F,A208)</x:f>
        <x:v>1</x:v>
      </x:c>
    </x:row>
    <x:row r="209" ht="46" customHeight="1">
      <x:c r="A209" s="28" t="str">
        <x:v>мёд</x:v>
      </x:c>
      <x:c r="B209" s="28" t="str">
        <x:v>Подсластители</x:v>
      </x:c>
      <x:c r="C209" s="28" t="str">
        <x:v>медовый, цветочный, карамельный</x:v>
      </x:c>
      <x:c r="D209" s="28" t="str">
        <x:v>фенилуксусные соединения, фураны, норизопреноиды</x:v>
      </x:c>
      <x:c r="E209" s="28" t="str">
        <x:v>сладкий</x:v>
      </x:c>
      <x:c r="F209" s="28" t="str">
        <x:v>нет выраженного</x:v>
      </x:c>
      <x:c r="G209" s="28" t="str">
        <x:v>сахар повышает вязкость и снижает воспринимаемую кислотность</x:v>
      </x:c>
      <x:c r="H209" s="28" t="str">
        <x:v>Сладость балансирует кислоту и горечь кожуры; цветочные компоненты могут поддерживать цитрус.</x:v>
      </x:c>
      <x:c r="I209" s="28" t="n">
        <x:f>COUNTIF('Все сочетания'!$C:$C,A209)+COUNTIF('Все сочетания'!$F:$F,A209)</x:f>
        <x:v>8</x:v>
      </x:c>
    </x:row>
    <x:row r="210" ht="46" customHeight="1">
      <x:c r="A210" s="28" t="str">
        <x:v>мелисса</x:v>
      </x:c>
      <x:c r="B210" s="28" t="str">
        <x:v>Прочее</x:v>
      </x:c>
      <x:c r="C210" s="28" t="str">
        <x:v>нейтральный/специфический</x:v>
      </x:c>
      <x:c r="D210" s="28" t="str">
        <x:v>нужен профиль конкретного продукта</x:v>
      </x:c>
      <x:c r="E210" s="28" t="str">
        <x:v>зависит от продукта</x:v>
      </x:c>
      <x:c r="F210" s="28" t="str">
        <x:v>нет данных</x:v>
      </x:c>
      <x:c r="G210" s="28" t="str">
        <x:v>зависит от формы продукта</x:v>
      </x:c>
      <x:c r="H210" s="28" t="str">
        <x:v>Для точного молекулярного вывода нужен профиль конкретного ингредиента и способа обработки.</x:v>
      </x:c>
      <x:c r="I210" s="28" t="n">
        <x:f>COUNTIF('Все сочетания'!$C:$C,A210)+COUNTIF('Все сочетания'!$F:$F,A210)</x:f>
        <x:v>1</x:v>
      </x:c>
    </x:row>
    <x:row r="211" ht="46" customHeight="1">
      <x:c r="A211" s="28" t="str">
        <x:v>миндаль</x:v>
      </x:c>
      <x:c r="B211" s="28" t="str">
        <x:v>Орехи и семена</x:v>
      </x:c>
      <x:c r="C211" s="28" t="str">
        <x:v>ореховый, обжаренный, жирный, зелёный</x:v>
      </x:c>
      <x:c r="D211" s="28" t="str">
        <x:v>пиразины, альдегиды окисления жиров, бензальдегид (миндаль)</x:v>
      </x:c>
      <x:c r="E211" s="28" t="str">
        <x:v>сладковатый, горьковатый</x:v>
      </x:c>
      <x:c r="F211" s="28" t="str">
        <x:v>нет выраженного</x:v>
      </x:c>
      <x:c r="G211" s="28" t="str">
        <x:v>высокая жирность растворяет терпеновые масла цитруса</x:v>
      </x:c>
      <x:c r="H211" s="28" t="str">
        <x:v>Кислота режет жирность, а цедра связывается с обжаренными и цветочными нотами.</x:v>
      </x:c>
      <x:c r="I211" s="28" t="n">
        <x:f>COUNTIF('Все сочетания'!$C:$C,A211)+COUNTIF('Все сочетания'!$F:$F,A211)</x:f>
        <x:v>4</x:v>
      </x:c>
    </x:row>
    <x:row r="212" ht="46" customHeight="1">
      <x:c r="A212" s="28" t="str">
        <x:v>можжевельник</x:v>
      </x:c>
      <x:c r="B212" s="28" t="str">
        <x:v>Прочее</x:v>
      </x:c>
      <x:c r="C212" s="28" t="str">
        <x:v>нейтральный/специфический</x:v>
      </x:c>
      <x:c r="D212" s="28" t="str">
        <x:v>нужен профиль конкретного продукта</x:v>
      </x:c>
      <x:c r="E212" s="28" t="str">
        <x:v>зависит от продукта</x:v>
      </x:c>
      <x:c r="F212" s="28" t="str">
        <x:v>нет данных</x:v>
      </x:c>
      <x:c r="G212" s="28" t="str">
        <x:v>зависит от формы продукта</x:v>
      </x:c>
      <x:c r="H212" s="28" t="str">
        <x:v>Для точного молекулярного вывода нужен профиль конкретного ингредиента и способа обработки.</x:v>
      </x:c>
      <x:c r="I212" s="28" t="n">
        <x:f>COUNTIF('Все сочетания'!$C:$C,A212)+COUNTIF('Все сочетания'!$F:$F,A212)</x:f>
        <x:v>5</x:v>
      </x:c>
    </x:row>
    <x:row r="213" ht="46" customHeight="1">
      <x:c r="A213" s="28" t="str">
        <x:v>моллюски</x:v>
      </x:c>
      <x:c r="B213" s="28" t="str">
        <x:v>Прочее</x:v>
      </x:c>
      <x:c r="C213" s="28" t="str">
        <x:v>нейтральный/специфический</x:v>
      </x:c>
      <x:c r="D213" s="28" t="str">
        <x:v>нужен профиль конкретного продукта</x:v>
      </x:c>
      <x:c r="E213" s="28" t="str">
        <x:v>зависит от продукта</x:v>
      </x:c>
      <x:c r="F213" s="28" t="str">
        <x:v>нет данных</x:v>
      </x:c>
      <x:c r="G213" s="28" t="str">
        <x:v>зависит от формы продукта</x:v>
      </x:c>
      <x:c r="H213" s="28" t="str">
        <x:v>Для точного молекулярного вывода нужен профиль конкретного ингредиента и способа обработки.</x:v>
      </x:c>
      <x:c r="I213" s="28" t="n">
        <x:f>COUNTIF('Все сочетания'!$C:$C,A213)+COUNTIF('Все сочетания'!$F:$F,A213)</x:f>
        <x:v>3</x:v>
      </x:c>
    </x:row>
    <x:row r="214" ht="46" customHeight="1">
      <x:c r="A214" s="28" t="str">
        <x:v>молодой чеддер</x:v>
      </x:c>
      <x:c r="B214" s="28" t="str">
        <x:v>Молочные продукты</x:v>
      </x:c>
      <x:c r="C214" s="28" t="str">
        <x:v>сливочный, молочный, масляный, иногда животный</x:v>
      </x:c>
      <x:c r="D214" s="28" t="str">
        <x:v>диацетил, молочные лактоны, свободные жирные кислоты</x:v>
      </x:c>
      <x:c r="E214" s="28" t="str">
        <x:v>жирный, солёный/умами, кислый у ферментированных</x:v>
      </x:c>
      <x:c r="F214" s="28" t="str">
        <x:v>нет выраженного</x:v>
      </x:c>
      <x:c r="G214" s="28" t="str">
        <x:v>жир растворяет терпены; кислота цитруса может коагулировать молочный белок</x:v>
      </x:c>
      <x:c r="H214" s="28" t="str">
        <x:v>Цитрус режет жирность и освежает, а молочная матрица смягчает кислотность.</x:v>
      </x:c>
      <x:c r="I214" s="28" t="n">
        <x:f>COUNTIF('Все сочетания'!$C:$C,A214)+COUNTIF('Все сочетания'!$F:$F,A214)</x:f>
        <x:v>1</x:v>
      </x:c>
    </x:row>
    <x:row r="215" ht="46" customHeight="1">
      <x:c r="A215" s="28" t="str">
        <x:v>молотый чёрный перец</x:v>
      </x:c>
      <x:c r="B215" s="28" t="str">
        <x:v>Пряности</x:v>
      </x:c>
      <x:c r="C215" s="28" t="str">
        <x:v>пряный, древесный, цитрусовый</x:v>
      </x:c>
      <x:c r="D215" s="28" t="str">
        <x:v>пиперин, лимонен, сабинен, бета-кариофиллен</x:v>
      </x:c>
      <x:c r="E215" s="28" t="str">
        <x:v>острый, горьковатый</x:v>
      </x:c>
      <x:c r="F215" s="28" t="str">
        <x:v>пиперин создаёт длительное тепло; сычуаньский перец — покалывание</x:v>
      </x:c>
      <x:c r="G215" s="28" t="str">
        <x:v>ароматические масла и пиперин лучше раскрываются в жире/спирте</x:v>
      </x:c>
      <x:c r="H215" s="28" t="str">
        <x:v>Перец добавляет сухую пряность и усиливает яркость цедры.</x:v>
      </x:c>
      <x:c r="I215" s="28" t="n">
        <x:f>COUNTIF('Все сочетания'!$C:$C,A215)+COUNTIF('Все сочетания'!$F:$F,A215)</x:f>
        <x:v>1</x:v>
      </x:c>
    </x:row>
    <x:row r="216" ht="46" customHeight="1">
      <x:c r="A216" s="28" t="str">
        <x:v>морковь</x:v>
      </x:c>
      <x:c r="B216" s="28" t="str">
        <x:v>Овощи</x:v>
      </x:c>
      <x:c r="C216" s="28" t="str">
        <x:v>зелёный, землистый, растительный, иногда сернистый</x:v>
      </x:c>
      <x:c r="D216" s="28" t="str">
        <x:v>C6-альдегиды, метоксипиразины, геосмин (землистые), сернистые соединения</x:v>
      </x:c>
      <x:c r="E216" s="28" t="str">
        <x:v>сладковатый, горьковатый, умами</x:v>
      </x:c>
      <x:c r="F216" s="28" t="str">
        <x:v>нет выраженного</x:v>
      </x:c>
      <x:c r="G216" s="28" t="str">
        <x:v>водная/крахмальная матрица; масло помогает распределить цедру</x:v>
      </x:c>
      <x:c r="H216" s="28" t="str">
        <x:v>Кислота подчёркивает сладость овощей и сокращает землистое или сернистое послевкусие.</x:v>
      </x:c>
      <x:c r="I216" s="28" t="n">
        <x:f>COUNTIF('Все сочетания'!$C:$C,A216)+COUNTIF('Все сочетания'!$F:$F,A216)</x:f>
        <x:v>3</x:v>
      </x:c>
    </x:row>
    <x:row r="217" ht="46" customHeight="1">
      <x:c r="A217" s="28" t="str">
        <x:v>морошка</x:v>
      </x:c>
      <x:c r="B217" s="28" t="str">
        <x:v>Прочее</x:v>
      </x:c>
      <x:c r="C217" s="28" t="str">
        <x:v>нейтральный/специфический</x:v>
      </x:c>
      <x:c r="D217" s="28" t="str">
        <x:v>нужен профиль конкретного продукта</x:v>
      </x:c>
      <x:c r="E217" s="28" t="str">
        <x:v>зависит от продукта</x:v>
      </x:c>
      <x:c r="F217" s="28" t="str">
        <x:v>нет данных</x:v>
      </x:c>
      <x:c r="G217" s="28" t="str">
        <x:v>зависит от формы продукта</x:v>
      </x:c>
      <x:c r="H217" s="28" t="str">
        <x:v>Для точного молекулярного вывода нужен профиль конкретного ингредиента и способа обработки.</x:v>
      </x:c>
      <x:c r="I217" s="28" t="n">
        <x:f>COUNTIF('Все сочетания'!$C:$C,A217)+COUNTIF('Все сочетания'!$F:$F,A217)</x:f>
        <x:v>3</x:v>
      </x:c>
    </x:row>
    <x:row r="218" ht="46" customHeight="1">
      <x:c r="A218" s="28" t="str">
        <x:v>морские водоросли</x:v>
      </x:c>
      <x:c r="B218" s="28" t="str">
        <x:v>Рыба и морепродукты</x:v>
      </x:c>
      <x:c r="C218" s="28" t="str">
        <x:v>морской, йодистый, зелёный, жирный</x:v>
      </x:c>
      <x:c r="D218" s="28" t="str">
        <x:v>альдегиды окисления липидов, бромфенолы, диметилсульфид, умами-соединения</x:v>
      </x:c>
      <x:c r="E218" s="28" t="str">
        <x:v>солёный, умами, жирный</x:v>
      </x:c>
      <x:c r="F218" s="28" t="str">
        <x:v>нет выраженного</x:v>
      </x:c>
      <x:c r="G218" s="28" t="str">
        <x:v>кислота может денатурировать поверхностные белки; жир рыбы удерживает терпены</x:v>
      </x:c>
      <x:c r="H218" s="28" t="str">
        <x:v>Цитрус уменьшает восприятие жирности и рыбных нот, усиливая свежесть и слюноотделение.</x:v>
      </x:c>
      <x:c r="I218" s="28" t="n">
        <x:f>COUNTIF('Все сочетания'!$C:$C,A218)+COUNTIF('Все сочетания'!$F:$F,A218)</x:f>
        <x:v>1</x:v>
      </x:c>
    </x:row>
    <x:row r="219" ht="46" customHeight="1">
      <x:c r="A219" s="28" t="str">
        <x:v>морской ёж</x:v>
      </x:c>
      <x:c r="B219" s="28" t="str">
        <x:v>Рыба и морепродукты</x:v>
      </x:c>
      <x:c r="C219" s="28" t="str">
        <x:v>морской, йодистый, зелёный, жирный</x:v>
      </x:c>
      <x:c r="D219" s="28" t="str">
        <x:v>альдегиды окисления липидов, бромфенолы, диметилсульфид, умами-соединения</x:v>
      </x:c>
      <x:c r="E219" s="28" t="str">
        <x:v>солёный, умами, жирный</x:v>
      </x:c>
      <x:c r="F219" s="28" t="str">
        <x:v>нет выраженного</x:v>
      </x:c>
      <x:c r="G219" s="28" t="str">
        <x:v>кислота может денатурировать поверхностные белки; жир рыбы удерживает терпены</x:v>
      </x:c>
      <x:c r="H219" s="28" t="str">
        <x:v>Цитрус уменьшает восприятие жирности и рыбных нот, усиливая свежесть и слюноотделение.</x:v>
      </x:c>
      <x:c r="I219" s="28" t="n">
        <x:f>COUNTIF('Все сочетания'!$C:$C,A219)+COUNTIF('Все сочетания'!$F:$F,A219)</x:f>
        <x:v>2</x:v>
      </x:c>
    </x:row>
    <x:row r="220" ht="46" customHeight="1">
      <x:c r="A220" s="28" t="str">
        <x:v>морской фенхель</x:v>
      </x:c>
      <x:c r="B220" s="28" t="str">
        <x:v>Пряности/травы</x:v>
      </x:c>
      <x:c r="C220" s="28" t="str">
        <x:v>анисовый, сладко-пряный, зелёный</x:v>
      </x:c>
      <x:c r="D220" s="28" t="str">
        <x:v>транс-анетол, фенхон, эстрагол</x:v>
      </x:c>
      <x:c r="E220" s="28" t="str">
        <x:v>сладковатый, слегка горький</x:v>
      </x:c>
      <x:c r="F220" s="28" t="str">
        <x:v>анетол создаёт охлаждающе-сладкое впечатление</x:v>
      </x:c>
      <x:c r="G220" s="28" t="str">
        <x:v>анетол гидрофобен и мутнеет при разбавлении спиртовых настоев водой</x:v>
      </x:c>
      <x:c r="H220" s="28" t="str">
        <x:v>Анисовые соединения дают сильный ароматический мост с цветочными и цитрусовыми терпенами.</x:v>
      </x:c>
      <x:c r="I220" s="28" t="n">
        <x:f>COUNTIF('Все сочетания'!$C:$C,A220)+COUNTIF('Все сочетания'!$F:$F,A220)</x:f>
        <x:v>1</x:v>
      </x:c>
    </x:row>
    <x:row r="221" ht="46" customHeight="1">
      <x:c r="A221" s="28" t="str">
        <x:v>моцарелла из буйволиного молока</x:v>
      </x:c>
      <x:c r="B221" s="28" t="str">
        <x:v>Молочные продукты</x:v>
      </x:c>
      <x:c r="C221" s="28" t="str">
        <x:v>сливочный, молочный, масляный, иногда животный</x:v>
      </x:c>
      <x:c r="D221" s="28" t="str">
        <x:v>диацетил, молочные лактоны, свободные жирные кислоты</x:v>
      </x:c>
      <x:c r="E221" s="28" t="str">
        <x:v>жирный, солёный/умами, кислый у ферментированных</x:v>
      </x:c>
      <x:c r="F221" s="28" t="str">
        <x:v>нет выраженного</x:v>
      </x:c>
      <x:c r="G221" s="28" t="str">
        <x:v>жир растворяет терпены; кислота цитруса может коагулировать молочный белок</x:v>
      </x:c>
      <x:c r="H221" s="28" t="str">
        <x:v>Цитрус режет жирность и освежает, а молочная матрица смягчает кислотность.</x:v>
      </x:c>
      <x:c r="I221" s="28" t="n">
        <x:f>COUNTIF('Все сочетания'!$C:$C,A221)+COUNTIF('Все сочетания'!$F:$F,A221)</x:f>
        <x:v>2</x:v>
      </x:c>
    </x:row>
    <x:row r="222" ht="46" customHeight="1">
      <x:c r="A222" s="28" t="str">
        <x:v>мускатный орех</x:v>
      </x:c>
      <x:c r="B222" s="28" t="str">
        <x:v>Орехи и семена</x:v>
      </x:c>
      <x:c r="C222" s="28" t="str">
        <x:v>ореховый, обжаренный, жирный, зелёный</x:v>
      </x:c>
      <x:c r="D222" s="28" t="str">
        <x:v>пиразины, альдегиды окисления жиров, бензальдегид (миндаль)</x:v>
      </x:c>
      <x:c r="E222" s="28" t="str">
        <x:v>сладковатый, горьковатый</x:v>
      </x:c>
      <x:c r="F222" s="28" t="str">
        <x:v>нет выраженного</x:v>
      </x:c>
      <x:c r="G222" s="28" t="str">
        <x:v>высокая жирность растворяет терпеновые масла цитруса</x:v>
      </x:c>
      <x:c r="H222" s="28" t="str">
        <x:v>Кислота режет жирность, а цедра связывается с обжаренными и цветочными нотами.</x:v>
      </x:c>
      <x:c r="I222" s="28" t="n">
        <x:f>COUNTIF('Все сочетания'!$C:$C,A222)+COUNTIF('Все сочетания'!$F:$F,A222)</x:f>
        <x:v>8</x:v>
      </x:c>
    </x:row>
    <x:row r="223" ht="46" customHeight="1">
      <x:c r="A223" s="28" t="str">
        <x:v>мушмула (loquat)</x:v>
      </x:c>
      <x:c r="B223" s="28" t="str">
        <x:v>Прочее</x:v>
      </x:c>
      <x:c r="C223" s="28" t="str">
        <x:v>нейтральный/специфический</x:v>
      </x:c>
      <x:c r="D223" s="28" t="str">
        <x:v>нужен профиль конкретного продукта</x:v>
      </x:c>
      <x:c r="E223" s="28" t="str">
        <x:v>зависит от продукта</x:v>
      </x:c>
      <x:c r="F223" s="28" t="str">
        <x:v>нет данных</x:v>
      </x:c>
      <x:c r="G223" s="28" t="str">
        <x:v>зависит от формы продукта</x:v>
      </x:c>
      <x:c r="H223" s="28" t="str">
        <x:v>Для точного молекулярного вывода нужен профиль конкретного ингредиента и способа обработки.</x:v>
      </x:c>
      <x:c r="I223" s="28" t="n">
        <x:f>COUNTIF('Все сочетания'!$C:$C,A223)+COUNTIF('Все сочетания'!$F:$F,A223)</x:f>
        <x:v>1</x:v>
      </x:c>
    </x:row>
    <x:row r="224" ht="46" customHeight="1">
      <x:c r="A224" s="28" t="str">
        <x:v>мята</x:v>
      </x:c>
      <x:c r="B224" s="28" t="str">
        <x:v>Травы</x:v>
      </x:c>
      <x:c r="C224" s="28" t="str">
        <x:v>мятный, зелёный, свежий</x:v>
      </x:c>
      <x:c r="D224" s="28" t="str">
        <x:v>ментол, ментон, 1,8-цинеол</x:v>
      </x:c>
      <x:c r="E224" s="28" t="str">
        <x:v>свежий, слегка горький</x:v>
      </x:c>
      <x:c r="F224" s="28" t="str">
        <x:v>ментол активирует TRPM8 и создаёт охлаждение</x:v>
      </x:c>
      <x:c r="G224" s="28" t="str">
        <x:v>эфирные масла извлекаются спиртом; длительный нагрев снижает свежесть</x:v>
      </x:c>
      <x:c r="H224" s="28" t="str">
        <x:v>Мята усиливает воспринимаемую прохладу и кислотную свежесть.</x:v>
      </x:c>
      <x:c r="I224" s="28" t="n">
        <x:f>COUNTIF('Все сочетания'!$C:$C,A224)+COUNTIF('Все сочетания'!$F:$F,A224)</x:f>
        <x:v>9</x:v>
      </x:c>
    </x:row>
    <x:row r="225" ht="46" customHeight="1">
      <x:c r="A225" s="28" t="str">
        <x:v>нацумкан</x:v>
      </x:c>
      <x:c r="B225" s="28" t="str">
        <x:v>Прочее</x:v>
      </x:c>
      <x:c r="C225" s="28" t="str">
        <x:v>нейтральный/специфический</x:v>
      </x:c>
      <x:c r="D225" s="28" t="str">
        <x:v>нужен профиль конкретного продукта</x:v>
      </x:c>
      <x:c r="E225" s="28" t="str">
        <x:v>зависит от продукта</x:v>
      </x:c>
      <x:c r="F225" s="28" t="str">
        <x:v>нет данных</x:v>
      </x:c>
      <x:c r="G225" s="28" t="str">
        <x:v>зависит от формы продукта</x:v>
      </x:c>
      <x:c r="H225" s="28" t="str">
        <x:v>Для точного молекулярного вывода нужен профиль конкретного ингредиента и способа обработки.</x:v>
      </x:c>
      <x:c r="I225" s="28" t="n">
        <x:f>COUNTIF('Все сочетания'!$C:$C,A225)+COUNTIF('Все сочетания'!$F:$F,A225)</x:f>
        <x:v>2</x:v>
      </x:c>
    </x:row>
    <x:row r="226" ht="46" customHeight="1">
      <x:c r="A226" s="28" t="str">
        <x:v>нектарин</x:v>
      </x:c>
      <x:c r="B226" s="28" t="str">
        <x:v>Косточковые фрукты</x:v>
      </x:c>
      <x:c r="C226" s="28" t="str">
        <x:v>фруктовый, цветочный, сливочный, миндальный</x:v>
      </x:c>
      <x:c r="D226" s="28" t="str">
        <x:v>гамма- и дельта-лактоны, бензальдегид, дамасценон</x:v>
      </x:c>
      <x:c r="E226" s="28" t="str">
        <x:v>сладкий, умеренно кислый</x:v>
      </x:c>
      <x:c r="F226" s="28" t="str">
        <x:v>нет выраженного</x:v>
      </x:c>
      <x:c r="G226" s="28" t="str">
        <x:v>сочная матрица; лактоны лучше ощущаются в жирной/сливочной среде</x:v>
      </x:c>
      <x:c r="H226" s="28" t="str">
        <x:v>Цитрус добавляет кислотность, а лактоны смягчают его резкость.</x:v>
      </x:c>
      <x:c r="I226" s="28" t="n">
        <x:f>COUNTIF('Все сочетания'!$C:$C,A226)+COUNTIF('Все сочетания'!$F:$F,A226)</x:f>
        <x:v>2</x:v>
      </x:c>
    </x:row>
    <x:row r="227" ht="46" customHeight="1">
      <x:c r="A227" s="28" t="str">
        <x:v>нефильтрованная водка Belvedere</x:v>
      </x:c>
      <x:c r="B227" s="28" t="str">
        <x:v>Алкогольные напитки</x:v>
      </x:c>
      <x:c r="C227" s="28" t="str">
        <x:v>зависит от основы, эфирный, древесный/пряный</x:v>
      </x:c>
      <x:c r="D227" s="28" t="str">
        <x:v>этанол, эфиры, терпены/дубовые соединения</x:v>
      </x:c>
      <x:c r="E227" s="28" t="str">
        <x:v>горький, сладкий или сухой</x:v>
      </x:c>
      <x:c r="F227" s="28" t="str">
        <x:v>этанол усиливает тепло и летучесть аромата</x:v>
      </x:c>
      <x:c r="G227" s="28" t="str">
        <x:v>этанол — хороший растворитель гидрофобных эфирных масел</x:v>
      </x:c>
      <x:c r="H227" s="28" t="str">
        <x:v>Спирт извлекает цедру и усиливает ретроназальный выход терпенов; сахар и разбавление меняют баланс.</x:v>
      </x:c>
      <x:c r="I227" s="28" t="n">
        <x:f>COUNTIF('Все сочетания'!$C:$C,A227)+COUNTIF('Все сочетания'!$F:$F,A227)</x:f>
        <x:v>1</x:v>
      </x:c>
    </x:row>
    <x:row r="228" ht="46" customHeight="1">
      <x:c r="A228" s="28" t="str">
        <x:v>нони</x:v>
      </x:c>
      <x:c r="B228" s="28" t="str">
        <x:v>Прочее</x:v>
      </x:c>
      <x:c r="C228" s="28" t="str">
        <x:v>нейтральный/специфический</x:v>
      </x:c>
      <x:c r="D228" s="28" t="str">
        <x:v>нужен профиль конкретного продукта</x:v>
      </x:c>
      <x:c r="E228" s="28" t="str">
        <x:v>зависит от продукта</x:v>
      </x:c>
      <x:c r="F228" s="28" t="str">
        <x:v>нет данных</x:v>
      </x:c>
      <x:c r="G228" s="28" t="str">
        <x:v>зависит от формы продукта</x:v>
      </x:c>
      <x:c r="H228" s="28" t="str">
        <x:v>Для точного молекулярного вывода нужен профиль конкретного ингредиента и способа обработки.</x:v>
      </x:c>
      <x:c r="I228" s="28" t="n">
        <x:f>COUNTIF('Все сочетания'!$C:$C,A228)+COUNTIF('Все сочетания'!$F:$F,A228)</x:f>
        <x:v>2</x:v>
      </x:c>
    </x:row>
    <x:row r="229" ht="46" customHeight="1">
      <x:c r="A229" s="28" t="str">
        <x:v>обжаренная свёкла</x:v>
      </x:c>
      <x:c r="B229" s="28" t="str">
        <x:v>Овощи</x:v>
      </x:c>
      <x:c r="C229" s="28" t="str">
        <x:v>зелёный, землистый, растительный, иногда сернистый</x:v>
      </x:c>
      <x:c r="D229" s="28" t="str">
        <x:v>C6-альдегиды, метоксипиразины, геосмин (землистые), сернистые соединения</x:v>
      </x:c>
      <x:c r="E229" s="28" t="str">
        <x:v>сладковатый, горьковатый, умами</x:v>
      </x:c>
      <x:c r="F229" s="28" t="str">
        <x:v>нет выраженного</x:v>
      </x:c>
      <x:c r="G229" s="28" t="str">
        <x:v>водная/крахмальная матрица; масло помогает распределить цедру</x:v>
      </x:c>
      <x:c r="H229" s="28" t="str">
        <x:v>Кислота подчёркивает сладость овощей и сокращает землистое или сернистое послевкусие.</x:v>
      </x:c>
      <x:c r="I229" s="28" t="n">
        <x:f>COUNTIF('Все сочетания'!$C:$C,A229)+COUNTIF('Все сочетания'!$F:$F,A229)</x:f>
        <x:v>2</x:v>
      </x:c>
    </x:row>
    <x:row r="230" ht="46" customHeight="1">
      <x:c r="A230" s="28" t="str">
        <x:v>обжаренная утиная фуа-гра</x:v>
      </x:c>
      <x:c r="B230" s="28" t="str">
        <x:v>Прочее</x:v>
      </x:c>
      <x:c r="C230" s="28" t="str">
        <x:v>нейтральный/специфический</x:v>
      </x:c>
      <x:c r="D230" s="28" t="str">
        <x:v>нужен профиль конкретного продукта</x:v>
      </x:c>
      <x:c r="E230" s="28" t="str">
        <x:v>зависит от продукта</x:v>
      </x:c>
      <x:c r="F230" s="28" t="str">
        <x:v>нет данных</x:v>
      </x:c>
      <x:c r="G230" s="28" t="str">
        <x:v>зависит от формы продукта</x:v>
      </x:c>
      <x:c r="H230" s="28" t="str">
        <x:v>Для точного молекулярного вывода нужен профиль конкретного ингредиента и способа обработки.</x:v>
      </x:c>
      <x:c r="I230" s="28" t="n">
        <x:f>COUNTIF('Все сочетания'!$C:$C,A230)+COUNTIF('Все сочетания'!$F:$F,A230)</x:f>
        <x:v>1</x:v>
      </x:c>
    </x:row>
    <x:row r="231" ht="46" customHeight="1">
      <x:c r="A231" s="28" t="str">
        <x:v>обжаренные семечки подсолнечника</x:v>
      </x:c>
      <x:c r="B231" s="28" t="str">
        <x:v>Прочее</x:v>
      </x:c>
      <x:c r="C231" s="28" t="str">
        <x:v>нейтральный/специфический</x:v>
      </x:c>
      <x:c r="D231" s="28" t="str">
        <x:v>нужен профиль конкретного продукта</x:v>
      </x:c>
      <x:c r="E231" s="28" t="str">
        <x:v>зависит от продукта</x:v>
      </x:c>
      <x:c r="F231" s="28" t="str">
        <x:v>нет данных</x:v>
      </x:c>
      <x:c r="G231" s="28" t="str">
        <x:v>зависит от формы продукта</x:v>
      </x:c>
      <x:c r="H231" s="28" t="str">
        <x:v>Для точного молекулярного вывода нужен профиль конкретного ингредиента и способа обработки.</x:v>
      </x:c>
      <x:c r="I231" s="28" t="n">
        <x:f>COUNTIF('Все сочетания'!$C:$C,A231)+COUNTIF('Все сочетания'!$F:$F,A231)</x:f>
        <x:v>2</x:v>
      </x:c>
    </x:row>
    <x:row r="232" ht="46" customHeight="1">
      <x:c r="A232" s="28" t="str">
        <x:v>обжаренные телячьи железы</x:v>
      </x:c>
      <x:c r="B232" s="28" t="str">
        <x:v>Мясо и птица</x:v>
      </x:c>
      <x:c r="C232" s="28" t="str">
        <x:v>жареный, мясной, сернистый, жирный</x:v>
      </x:c>
      <x:c r="D232" s="28" t="str">
        <x:v>пиразины, тиазолы, альдегиды жиров, сернистые соединения</x:v>
      </x:c>
      <x:c r="E232" s="28" t="str">
        <x:v>умами, солёный, жирный</x:v>
      </x:c>
      <x:c r="F232" s="28" t="str">
        <x:v>нет выраженного</x:v>
      </x:c>
      <x:c r="G232" s="28" t="str">
        <x:v>жир удерживает терпеновые масла; кислота снижает ощущение жирности</x:v>
      </x:c>
      <x:c r="H232" s="28" t="str">
        <x:v>Цитрус создаёт контраст с реакциями Майяра и освежает мясную матрицу.</x:v>
      </x:c>
      <x:c r="I232" s="28" t="n">
        <x:f>COUNTIF('Все сочетания'!$C:$C,A232)+COUNTIF('Все сочетания'!$F:$F,A232)</x:f>
        <x:v>1</x:v>
      </x:c>
    </x:row>
    <x:row r="233" ht="46" customHeight="1">
      <x:c r="A233" s="28" t="str">
        <x:v>обжаренный бекон</x:v>
      </x:c>
      <x:c r="B233" s="28" t="str">
        <x:v>Мясо и птица</x:v>
      </x:c>
      <x:c r="C233" s="28" t="str">
        <x:v>жареный, мясной, сернистый, жирный</x:v>
      </x:c>
      <x:c r="D233" s="28" t="str">
        <x:v>пиразины, тиазолы, альдегиды жиров, сернистые соединения</x:v>
      </x:c>
      <x:c r="E233" s="28" t="str">
        <x:v>умами, солёный, жирный</x:v>
      </x:c>
      <x:c r="F233" s="28" t="str">
        <x:v>нет выраженного</x:v>
      </x:c>
      <x:c r="G233" s="28" t="str">
        <x:v>жир удерживает терпеновые масла; кислота снижает ощущение жирности</x:v>
      </x:c>
      <x:c r="H233" s="28" t="str">
        <x:v>Цитрус создаёт контраст с реакциями Майяра и освежает мясную матрицу.</x:v>
      </x:c>
      <x:c r="I233" s="28" t="n">
        <x:f>COUNTIF('Все сочетания'!$C:$C,A233)+COUNTIF('Все сочетания'!$F:$F,A233)</x:f>
        <x:v>1</x:v>
      </x:c>
    </x:row>
    <x:row r="234" ht="46" customHeight="1">
      <x:c r="A234" s="28" t="str">
        <x:v>обжаренный бразильский орех</x:v>
      </x:c>
      <x:c r="B234" s="28" t="str">
        <x:v>Орехи и семена</x:v>
      </x:c>
      <x:c r="C234" s="28" t="str">
        <x:v>ореховый, обжаренный, жирный, зелёный</x:v>
      </x:c>
      <x:c r="D234" s="28" t="str">
        <x:v>пиразины, альдегиды окисления жиров, бензальдегид (миндаль)</x:v>
      </x:c>
      <x:c r="E234" s="28" t="str">
        <x:v>сладковатый, горьковатый</x:v>
      </x:c>
      <x:c r="F234" s="28" t="str">
        <x:v>нет выраженного</x:v>
      </x:c>
      <x:c r="G234" s="28" t="str">
        <x:v>высокая жирность растворяет терпеновые масла цитруса</x:v>
      </x:c>
      <x:c r="H234" s="28" t="str">
        <x:v>Кислота режет жирность, а цедра связывается с обжаренными и цветочными нотами.</x:v>
      </x:c>
      <x:c r="I234" s="28" t="n">
        <x:f>COUNTIF('Все сочетания'!$C:$C,A234)+COUNTIF('Все сочетания'!$F:$F,A234)</x:f>
        <x:v>1</x:v>
      </x:c>
    </x:row>
    <x:row r="235" ht="46" customHeight="1">
      <x:c r="A235" s="28" t="str">
        <x:v>обжаренный страус</x:v>
      </x:c>
      <x:c r="B235" s="28" t="str">
        <x:v>Мясо и птица</x:v>
      </x:c>
      <x:c r="C235" s="28" t="str">
        <x:v>жареный, мясной, сернистый, жирный</x:v>
      </x:c>
      <x:c r="D235" s="28" t="str">
        <x:v>пиразины, тиазолы, альдегиды жиров, сернистые соединения</x:v>
      </x:c>
      <x:c r="E235" s="28" t="str">
        <x:v>умами, солёный, жирный</x:v>
      </x:c>
      <x:c r="F235" s="28" t="str">
        <x:v>нет выраженного</x:v>
      </x:c>
      <x:c r="G235" s="28" t="str">
        <x:v>жир удерживает терпеновые масла; кислота снижает ощущение жирности</x:v>
      </x:c>
      <x:c r="H235" s="28" t="str">
        <x:v>Цитрус создаёт контраст с реакциями Майяра и освежает мясную матрицу.</x:v>
      </x:c>
      <x:c r="I235" s="28" t="n">
        <x:f>COUNTIF('Все сочетания'!$C:$C,A235)+COUNTIF('Все сочетания'!$F:$F,A235)</x:f>
        <x:v>1</x:v>
      </x:c>
    </x:row>
    <x:row r="236" ht="46" customHeight="1">
      <x:c r="A236" s="28" t="str">
        <x:v>обжаренный фундук</x:v>
      </x:c>
      <x:c r="B236" s="28" t="str">
        <x:v>Орехи и семена</x:v>
      </x:c>
      <x:c r="C236" s="28" t="str">
        <x:v>ореховый, обжаренный, жирный, зелёный</x:v>
      </x:c>
      <x:c r="D236" s="28" t="str">
        <x:v>пиразины, альдегиды окисления жиров, бензальдегид (миндаль)</x:v>
      </x:c>
      <x:c r="E236" s="28" t="str">
        <x:v>сладковатый, горьковатый</x:v>
      </x:c>
      <x:c r="F236" s="28" t="str">
        <x:v>нет выраженного</x:v>
      </x:c>
      <x:c r="G236" s="28" t="str">
        <x:v>высокая жирность растворяет терпеновые масла цитруса</x:v>
      </x:c>
      <x:c r="H236" s="28" t="str">
        <x:v>Кислота режет жирность, а цедра связывается с обжаренными и цветочными нотами.</x:v>
      </x:c>
      <x:c r="I236" s="28" t="n">
        <x:f>COUNTIF('Все сочетания'!$C:$C,A236)+COUNTIF('Все сочетания'!$F:$F,A236)</x:f>
        <x:v>1</x:v>
      </x:c>
    </x:row>
    <x:row r="237" ht="46" customHeight="1">
      <x:c r="A237" s="28" t="str">
        <x:v>облепиховый ликёр</x:v>
      </x:c>
      <x:c r="B237" s="28" t="str">
        <x:v>Алкогольные напитки</x:v>
      </x:c>
      <x:c r="C237" s="28" t="str">
        <x:v>зависит от основы, эфирный, древесный/пряный</x:v>
      </x:c>
      <x:c r="D237" s="28" t="str">
        <x:v>этанол, эфиры, терпены/дубовые соединения</x:v>
      </x:c>
      <x:c r="E237" s="28" t="str">
        <x:v>горький, сладкий или сухой</x:v>
      </x:c>
      <x:c r="F237" s="28" t="str">
        <x:v>этанол усиливает тепло и летучесть аромата</x:v>
      </x:c>
      <x:c r="G237" s="28" t="str">
        <x:v>этанол — хороший растворитель гидрофобных эфирных масел</x:v>
      </x:c>
      <x:c r="H237" s="28" t="str">
        <x:v>Спирт извлекает цедру и усиливает ретроназальный выход терпенов; сахар и разбавление меняют баланс.</x:v>
      </x:c>
      <x:c r="I237" s="28" t="n">
        <x:f>COUNTIF('Все сочетания'!$C:$C,A237)+COUNTIF('Все сочетания'!$F:$F,A237)</x:f>
        <x:v>1</x:v>
      </x:c>
    </x:row>
    <x:row r="238" ht="46" customHeight="1">
      <x:c r="A238" s="28" t="str">
        <x:v>огурец</x:v>
      </x:c>
      <x:c r="B238" s="28" t="str">
        <x:v>Овощи</x:v>
      </x:c>
      <x:c r="C238" s="28" t="str">
        <x:v>зелёный, землистый, растительный, иногда сернистый</x:v>
      </x:c>
      <x:c r="D238" s="28" t="str">
        <x:v>C6-альдегиды, метоксипиразины, геосмин (землистые), сернистые соединения</x:v>
      </x:c>
      <x:c r="E238" s="28" t="str">
        <x:v>сладковатый, горьковатый, умами</x:v>
      </x:c>
      <x:c r="F238" s="28" t="str">
        <x:v>нет выраженного</x:v>
      </x:c>
      <x:c r="G238" s="28" t="str">
        <x:v>водная/крахмальная матрица; масло помогает распределить цедру</x:v>
      </x:c>
      <x:c r="H238" s="28" t="str">
        <x:v>Кислота подчёркивает сладость овощей и сокращает землистое или сернистое послевкусие.</x:v>
      </x:c>
      <x:c r="I238" s="28" t="n">
        <x:f>COUNTIF('Все сочетания'!$C:$C,A238)+COUNTIF('Все сочетания'!$F:$F,A238)</x:f>
        <x:v>3</x:v>
      </x:c>
    </x:row>
    <x:row r="239" ht="46" customHeight="1">
      <x:c r="A239" s="28" t="str">
        <x:v>одуванчик</x:v>
      </x:c>
      <x:c r="B239" s="28" t="str">
        <x:v>Прочее</x:v>
      </x:c>
      <x:c r="C239" s="28" t="str">
        <x:v>нейтральный/специфический</x:v>
      </x:c>
      <x:c r="D239" s="28" t="str">
        <x:v>нужен профиль конкретного продукта</x:v>
      </x:c>
      <x:c r="E239" s="28" t="str">
        <x:v>зависит от продукта</x:v>
      </x:c>
      <x:c r="F239" s="28" t="str">
        <x:v>нет данных</x:v>
      </x:c>
      <x:c r="G239" s="28" t="str">
        <x:v>зависит от формы продукта</x:v>
      </x:c>
      <x:c r="H239" s="28" t="str">
        <x:v>Для точного молекулярного вывода нужен профиль конкретного ингредиента и способа обработки.</x:v>
      </x:c>
      <x:c r="I239" s="28" t="n">
        <x:f>COUNTIF('Все сочетания'!$C:$C,A239)+COUNTIF('Все сочетания'!$F:$F,A239)</x:f>
        <x:v>3</x:v>
      </x:c>
    </x:row>
    <x:row r="240" ht="46" customHeight="1">
      <x:c r="A240" s="28" t="str">
        <x:v>олива</x:v>
      </x:c>
      <x:c r="B240" s="28" t="str">
        <x:v>Прочее</x:v>
      </x:c>
      <x:c r="C240" s="28" t="str">
        <x:v>нейтральный/специфический</x:v>
      </x:c>
      <x:c r="D240" s="28" t="str">
        <x:v>нужен профиль конкретного продукта</x:v>
      </x:c>
      <x:c r="E240" s="28" t="str">
        <x:v>зависит от продукта</x:v>
      </x:c>
      <x:c r="F240" s="28" t="str">
        <x:v>нет данных</x:v>
      </x:c>
      <x:c r="G240" s="28" t="str">
        <x:v>зависит от формы продукта</x:v>
      </x:c>
      <x:c r="H240" s="28" t="str">
        <x:v>Для точного молекулярного вывода нужен профиль конкретного ингредиента и способа обработки.</x:v>
      </x:c>
      <x:c r="I240" s="28" t="n">
        <x:f>COUNTIF('Все сочетания'!$C:$C,A240)+COUNTIF('Все сочетания'!$F:$F,A240)</x:f>
        <x:v>3</x:v>
      </x:c>
    </x:row>
    <x:row r="241" ht="46" customHeight="1">
      <x:c r="A241" s="28" t="str">
        <x:v>оливки</x:v>
      </x:c>
      <x:c r="B241" s="28" t="str">
        <x:v>Прочее</x:v>
      </x:c>
      <x:c r="C241" s="28" t="str">
        <x:v>нейтральный/специфический</x:v>
      </x:c>
      <x:c r="D241" s="28" t="str">
        <x:v>нужен профиль конкретного продукта</x:v>
      </x:c>
      <x:c r="E241" s="28" t="str">
        <x:v>зависит от продукта</x:v>
      </x:c>
      <x:c r="F241" s="28" t="str">
        <x:v>нет данных</x:v>
      </x:c>
      <x:c r="G241" s="28" t="str">
        <x:v>зависит от формы продукта</x:v>
      </x:c>
      <x:c r="H241" s="28" t="str">
        <x:v>Для точного молекулярного вывода нужен профиль конкретного ингредиента и способа обработки.</x:v>
      </x:c>
      <x:c r="I241" s="28" t="n">
        <x:f>COUNTIF('Все сочетания'!$C:$C,A241)+COUNTIF('Все сочетания'!$F:$F,A241)</x:f>
        <x:v>2</x:v>
      </x:c>
    </x:row>
    <x:row r="242" ht="46" customHeight="1">
      <x:c r="A242" s="28" t="str">
        <x:v>оливковое масло Пикуаль extra virgin</x:v>
      </x:c>
      <x:c r="B242" s="28" t="str">
        <x:v>Молочные продукты</x:v>
      </x:c>
      <x:c r="C242" s="28" t="str">
        <x:v>сливочный, молочный, масляный, иногда животный</x:v>
      </x:c>
      <x:c r="D242" s="28" t="str">
        <x:v>диацетил, молочные лактоны, свободные жирные кислоты</x:v>
      </x:c>
      <x:c r="E242" s="28" t="str">
        <x:v>жирный, солёный/умами, кислый у ферментированных</x:v>
      </x:c>
      <x:c r="F242" s="28" t="str">
        <x:v>нет выраженного</x:v>
      </x:c>
      <x:c r="G242" s="28" t="str">
        <x:v>жир растворяет терпены; кислота цитруса может коагулировать молочный белок</x:v>
      </x:c>
      <x:c r="H242" s="28" t="str">
        <x:v>Цитрус режет жирность и освежает, а молочная матрица смягчает кислотность.</x:v>
      </x:c>
      <x:c r="I242" s="28" t="n">
        <x:f>COUNTIF('Все сочетания'!$C:$C,A242)+COUNTIF('Все сочетания'!$F:$F,A242)</x:f>
        <x:v>1</x:v>
      </x:c>
    </x:row>
    <x:row r="243" ht="46" customHeight="1">
      <x:c r="A243" s="28" t="str">
        <x:v>отварная морковь</x:v>
      </x:c>
      <x:c r="B243" s="28" t="str">
        <x:v>Овощи</x:v>
      </x:c>
      <x:c r="C243" s="28" t="str">
        <x:v>зелёный, землистый, растительный, иногда сернистый</x:v>
      </x:c>
      <x:c r="D243" s="28" t="str">
        <x:v>C6-альдегиды, метоксипиразины, геосмин (землистые), сернистые соединения</x:v>
      </x:c>
      <x:c r="E243" s="28" t="str">
        <x:v>сладковатый, горьковатый, умами</x:v>
      </x:c>
      <x:c r="F243" s="28" t="str">
        <x:v>нет выраженного</x:v>
      </x:c>
      <x:c r="G243" s="28" t="str">
        <x:v>водная/крахмальная матрица; масло помогает распределить цедру</x:v>
      </x:c>
      <x:c r="H243" s="28" t="str">
        <x:v>Кислота подчёркивает сладость овощей и сокращает землистое или сернистое послевкусие.</x:v>
      </x:c>
      <x:c r="I243" s="28" t="n">
        <x:f>COUNTIF('Все сочетания'!$C:$C,A243)+COUNTIF('Все сочетания'!$F:$F,A243)</x:f>
        <x:v>1</x:v>
      </x:c>
    </x:row>
    <x:row r="244" ht="46" customHeight="1">
      <x:c r="A244" s="28" t="str">
        <x:v>отварная очищенная свёкла</x:v>
      </x:c>
      <x:c r="B244" s="28" t="str">
        <x:v>Овощи</x:v>
      </x:c>
      <x:c r="C244" s="28" t="str">
        <x:v>зелёный, землистый, растительный, иногда сернистый</x:v>
      </x:c>
      <x:c r="D244" s="28" t="str">
        <x:v>C6-альдегиды, метоксипиразины, геосмин (землистые), сернистые соединения</x:v>
      </x:c>
      <x:c r="E244" s="28" t="str">
        <x:v>сладковатый, горьковатый, умами</x:v>
      </x:c>
      <x:c r="F244" s="28" t="str">
        <x:v>нет выраженного</x:v>
      </x:c>
      <x:c r="G244" s="28" t="str">
        <x:v>водная/крахмальная матрица; масло помогает распределить цедру</x:v>
      </x:c>
      <x:c r="H244" s="28" t="str">
        <x:v>Кислота подчёркивает сладость овощей и сокращает землистое или сернистое послевкусие.</x:v>
      </x:c>
      <x:c r="I244" s="28" t="n">
        <x:f>COUNTIF('Все сочетания'!$C:$C,A244)+COUNTIF('Все сочетания'!$F:$F,A244)</x:f>
        <x:v>1</x:v>
      </x:c>
    </x:row>
    <x:row r="245" ht="46" customHeight="1">
      <x:c r="A245" s="28" t="str">
        <x:v>отварная цветная капуста</x:v>
      </x:c>
      <x:c r="B245" s="28" t="str">
        <x:v>Овощи</x:v>
      </x:c>
      <x:c r="C245" s="28" t="str">
        <x:v>зелёный, землистый, растительный, иногда сернистый</x:v>
      </x:c>
      <x:c r="D245" s="28" t="str">
        <x:v>C6-альдегиды, метоксипиразины, геосмин (землистые), сернистые соединения</x:v>
      </x:c>
      <x:c r="E245" s="28" t="str">
        <x:v>сладковатый, горьковатый, умами</x:v>
      </x:c>
      <x:c r="F245" s="28" t="str">
        <x:v>нет выраженного</x:v>
      </x:c>
      <x:c r="G245" s="28" t="str">
        <x:v>водная/крахмальная матрица; масло помогает распределить цедру</x:v>
      </x:c>
      <x:c r="H245" s="28" t="str">
        <x:v>Кислота подчёркивает сладость овощей и сокращает землистое или сернистое послевкусие.</x:v>
      </x:c>
      <x:c r="I245" s="28" t="n">
        <x:f>COUNTIF('Все сочетания'!$C:$C,A245)+COUNTIF('Все сочетания'!$F:$F,A245)</x:f>
        <x:v>1</x:v>
      </x:c>
    </x:row>
    <x:row r="246" ht="46" customHeight="1">
      <x:c r="A246" s="28" t="str">
        <x:v>отварное мясо краба</x:v>
      </x:c>
      <x:c r="B246" s="28" t="str">
        <x:v>Рыба и морепродукты</x:v>
      </x:c>
      <x:c r="C246" s="28" t="str">
        <x:v>морской, йодистый, зелёный, жирный</x:v>
      </x:c>
      <x:c r="D246" s="28" t="str">
        <x:v>альдегиды окисления липидов, бромфенолы, диметилсульфид, умами-соединения</x:v>
      </x:c>
      <x:c r="E246" s="28" t="str">
        <x:v>солёный, умами, жирный</x:v>
      </x:c>
      <x:c r="F246" s="28" t="str">
        <x:v>нет выраженного</x:v>
      </x:c>
      <x:c r="G246" s="28" t="str">
        <x:v>кислота может денатурировать поверхностные белки; жир рыбы удерживает терпены</x:v>
      </x:c>
      <x:c r="H246" s="28" t="str">
        <x:v>Цитрус уменьшает восприятие жирности и рыбных нот, усиливая свежесть и слюноотделение.</x:v>
      </x:c>
      <x:c r="I246" s="28" t="n">
        <x:f>COUNTIF('Все сочетания'!$C:$C,A246)+COUNTIF('Все сочетания'!$F:$F,A246)</x:f>
        <x:v>1</x:v>
      </x:c>
    </x:row>
    <x:row r="247" ht="46" customHeight="1">
      <x:c r="A247" s="28" t="str">
        <x:v>отварной горох</x:v>
      </x:c>
      <x:c r="B247" s="28" t="str">
        <x:v>Овощи</x:v>
      </x:c>
      <x:c r="C247" s="28" t="str">
        <x:v>зелёный, землистый, растительный, иногда сернистый</x:v>
      </x:c>
      <x:c r="D247" s="28" t="str">
        <x:v>C6-альдегиды, метоксипиразины, геосмин (землистые), сернистые соединения</x:v>
      </x:c>
      <x:c r="E247" s="28" t="str">
        <x:v>сладковатый, горьковатый, умами</x:v>
      </x:c>
      <x:c r="F247" s="28" t="str">
        <x:v>нет выраженного</x:v>
      </x:c>
      <x:c r="G247" s="28" t="str">
        <x:v>водная/крахмальная матрица; масло помогает распределить цедру</x:v>
      </x:c>
      <x:c r="H247" s="28" t="str">
        <x:v>Кислота подчёркивает сладость овощей и сокращает землистое или сернистое послевкусие.</x:v>
      </x:c>
      <x:c r="I247" s="28" t="n">
        <x:f>COUNTIF('Все сочетания'!$C:$C,A247)+COUNTIF('Все сочетания'!$F:$F,A247)</x:f>
        <x:v>1</x:v>
      </x:c>
    </x:row>
    <x:row r="248" ht="46" customHeight="1">
      <x:c r="A248" s="28" t="str">
        <x:v>отварной кабачок</x:v>
      </x:c>
      <x:c r="B248" s="28" t="str">
        <x:v>Овощи</x:v>
      </x:c>
      <x:c r="C248" s="28" t="str">
        <x:v>зелёный, землистый, растительный, иногда сернистый</x:v>
      </x:c>
      <x:c r="D248" s="28" t="str">
        <x:v>C6-альдегиды, метоксипиразины, геосмин (землистые), сернистые соединения</x:v>
      </x:c>
      <x:c r="E248" s="28" t="str">
        <x:v>сладковатый, горьковатый, умами</x:v>
      </x:c>
      <x:c r="F248" s="28" t="str">
        <x:v>нет выраженного</x:v>
      </x:c>
      <x:c r="G248" s="28" t="str">
        <x:v>водная/крахмальная матрица; масло помогает распределить цедру</x:v>
      </x:c>
      <x:c r="H248" s="28" t="str">
        <x:v>Кислота подчёркивает сладость овощей и сокращает землистое или сернистое послевкусие.</x:v>
      </x:c>
      <x:c r="I248" s="28" t="n">
        <x:f>COUNTIF('Все сочетания'!$C:$C,A248)+COUNTIF('Все сочетания'!$F:$F,A248)</x:f>
        <x:v>1</x:v>
      </x:c>
    </x:row>
    <x:row r="249" ht="46" customHeight="1">
      <x:c r="A249" s="28" t="str">
        <x:v>отварной пастернак</x:v>
      </x:c>
      <x:c r="B249" s="28" t="str">
        <x:v>Овощи</x:v>
      </x:c>
      <x:c r="C249" s="28" t="str">
        <x:v>зелёный, землистый, растительный, иногда сернистый</x:v>
      </x:c>
      <x:c r="D249" s="28" t="str">
        <x:v>C6-альдегиды, метоксипиразины, геосмин (землистые), сернистые соединения</x:v>
      </x:c>
      <x:c r="E249" s="28" t="str">
        <x:v>сладковатый, горьковатый, умами</x:v>
      </x:c>
      <x:c r="F249" s="28" t="str">
        <x:v>нет выраженного</x:v>
      </x:c>
      <x:c r="G249" s="28" t="str">
        <x:v>водная/крахмальная матрица; масло помогает распределить цедру</x:v>
      </x:c>
      <x:c r="H249" s="28" t="str">
        <x:v>Кислота подчёркивает сладость овощей и сокращает землистое или сернистое послевкусие.</x:v>
      </x:c>
      <x:c r="I249" s="28" t="n">
        <x:f>COUNTIF('Все сочетания'!$C:$C,A249)+COUNTIF('Все сочетания'!$F:$F,A249)</x:f>
        <x:v>2</x:v>
      </x:c>
    </x:row>
    <x:row r="250" ht="46" customHeight="1">
      <x:c r="A250" s="28" t="str">
        <x:v>отварной топинамбур</x:v>
      </x:c>
      <x:c r="B250" s="28" t="str">
        <x:v>Прочее</x:v>
      </x:c>
      <x:c r="C250" s="28" t="str">
        <x:v>нейтральный/специфический</x:v>
      </x:c>
      <x:c r="D250" s="28" t="str">
        <x:v>нужен профиль конкретного продукта</x:v>
      </x:c>
      <x:c r="E250" s="28" t="str">
        <x:v>зависит от продукта</x:v>
      </x:c>
      <x:c r="F250" s="28" t="str">
        <x:v>нет данных</x:v>
      </x:c>
      <x:c r="G250" s="28" t="str">
        <x:v>зависит от формы продукта</x:v>
      </x:c>
      <x:c r="H250" s="28" t="str">
        <x:v>Для точного молекулярного вывода нужен профиль конкретного ингредиента и способа обработки.</x:v>
      </x:c>
      <x:c r="I250" s="28" t="n">
        <x:f>COUNTIF('Все сочетания'!$C:$C,A250)+COUNTIF('Все сочетания'!$F:$F,A250)</x:f>
        <x:v>1</x:v>
      </x:c>
    </x:row>
    <x:row r="251" ht="46" customHeight="1">
      <x:c r="A251" s="28" t="str">
        <x:v>отварной чайот</x:v>
      </x:c>
      <x:c r="B251" s="28" t="str">
        <x:v>Чай и настои</x:v>
      </x:c>
      <x:c r="C251" s="28" t="str">
        <x:v>травяной, цветочный, танинный, иногда обжаренный</x:v>
      </x:c>
      <x:c r="D251" s="28" t="str">
        <x:v>линалол, гераниол, иононы, катехины</x:v>
      </x:c>
      <x:c r="E251" s="28" t="str">
        <x:v>горький, вяжущий</x:v>
      </x:c>
      <x:c r="F251" s="28" t="str">
        <x:v>нет выраженного</x:v>
      </x:c>
      <x:c r="G251" s="28" t="str">
        <x:v>вода извлекает полифенолы; эфирные масла лучше добавлять после заваривания</x:v>
      </x:c>
      <x:c r="H251" s="28" t="str">
        <x:v>Цитрус связывается с цветочными терпенами чая и снижает ощущение вяжущей сухости при наличии сахара.</x:v>
      </x:c>
      <x:c r="I251" s="28" t="n">
        <x:f>COUNTIF('Все сочетания'!$C:$C,A251)+COUNTIF('Все сочетания'!$F:$F,A251)</x:f>
        <x:v>2</x:v>
      </x:c>
    </x:row>
    <x:row r="252" ht="46" customHeight="1">
      <x:c r="A252" s="28" t="str">
        <x:v>пальчиковый лайм</x:v>
      </x:c>
      <x:c r="B252" s="28" t="str">
        <x:v>Цитрусовые</x:v>
      </x:c>
      <x:c r="C252" s="28" t="str">
        <x:v>цитрусовый, зелёный, травяной, камфорный</x:v>
      </x:c>
      <x:c r="D252" s="28" t="str">
        <x:v>лимонен, гамма-терпинен, цитраль, бета-пинен, линалол</x:v>
      </x:c>
      <x:c r="E252" s="28" t="str">
        <x:v>кислый, слабо горький</x:v>
      </x:c>
      <x:c r="F252" s="28" t="str">
        <x:v>кислота усиливает слюноотделение; зелёные терпены создают ощущение прохлады</x:v>
      </x:c>
      <x:c r="G252" s="28" t="str">
        <x:v>сок — водная кислая фаза; цедра — масляная терпеновая</x:v>
      </x:c>
      <x:c r="H252" s="28" t="str">
        <x:v>Лаймовые цитрусы дают более зелёный и камфорный профиль, чем сладкий апельсин.</x:v>
      </x:c>
      <x:c r="I252" s="28" t="n">
        <x:f>COUNTIF('Все сочетания'!$C:$C,A252)+COUNTIF('Все сочетания'!$F:$F,A252)</x:f>
        <x:v>10</x:v>
      </x:c>
    </x:row>
    <x:row r="253" ht="46" customHeight="1">
      <x:c r="A253" s="28" t="str">
        <x:v>папайя</x:v>
      </x:c>
      <x:c r="B253" s="28" t="str">
        <x:v>Тропические фрукты</x:v>
      </x:c>
      <x:c r="C253" s="28" t="str">
        <x:v>фруктовый, тропический, цветочный, сливочный</x:v>
      </x:c>
      <x:c r="D253" s="28" t="str">
        <x:v>этилбутират, гексилацетат, лактоны, сернистые тиолы (у части фруктов)</x:v>
      </x:c>
      <x:c r="E253" s="28" t="str">
        <x:v>сладкий, умеренно кислый</x:v>
      </x:c>
      <x:c r="F253" s="28" t="str">
        <x:v>нет выраженного</x:v>
      </x:c>
      <x:c r="G253" s="28" t="str">
        <x:v>сочная или кремовая фруктовая матрица</x:v>
      </x:c>
      <x:c r="H253" s="28" t="str">
        <x:v>Цитрус снижает ощущение приторности и усиливает летучие фруктовые эфиры.</x:v>
      </x:c>
      <x:c r="I253" s="28" t="n">
        <x:f>COUNTIF('Все сочетания'!$C:$C,A253)+COUNTIF('Все сочетания'!$F:$F,A253)</x:f>
        <x:v>5</x:v>
      </x:c>
    </x:row>
    <x:row r="254" ht="46" customHeight="1">
      <x:c r="A254" s="28" t="str">
        <x:v>пармиджано-реджано</x:v>
      </x:c>
      <x:c r="B254" s="28" t="str">
        <x:v>Прочее</x:v>
      </x:c>
      <x:c r="C254" s="28" t="str">
        <x:v>нейтральный/специфический</x:v>
      </x:c>
      <x:c r="D254" s="28" t="str">
        <x:v>нужен профиль конкретного продукта</x:v>
      </x:c>
      <x:c r="E254" s="28" t="str">
        <x:v>зависит от продукта</x:v>
      </x:c>
      <x:c r="F254" s="28" t="str">
        <x:v>нет данных</x:v>
      </x:c>
      <x:c r="G254" s="28" t="str">
        <x:v>зависит от формы продукта</x:v>
      </x:c>
      <x:c r="H254" s="28" t="str">
        <x:v>Для точного молекулярного вывода нужен профиль конкретного ингредиента и способа обработки.</x:v>
      </x:c>
      <x:c r="I254" s="28" t="n">
        <x:f>COUNTIF('Все сочетания'!$C:$C,A254)+COUNTIF('Все сочетания'!$F:$F,A254)</x:f>
        <x:v>1</x:v>
      </x:c>
    </x:row>
    <x:row r="255" ht="46" customHeight="1">
      <x:c r="A255" s="28" t="str">
        <x:v>паста карри мадрас</x:v>
      </x:c>
      <x:c r="B255" s="28" t="str">
        <x:v>Соусы и ферментированные продукты</x:v>
      </x:c>
      <x:c r="C255" s="28" t="str">
        <x:v>кислый, умами, ферментированный, пряный</x:v>
      </x:c>
      <x:c r="D255" s="28" t="str">
        <x:v>уксусная/молочная кислота, эфиры ферментации, пептиды умами</x:v>
      </x:c>
      <x:c r="E255" s="28" t="str">
        <x:v>кислый, солёный, умами</x:v>
      </x:c>
      <x:c r="F255" s="28" t="str">
        <x:v>в пряных соусах возможен капсаициновый жар</x:v>
      </x:c>
      <x:c r="G255" s="28" t="str">
        <x:v>водная солёно-кислая матрица</x:v>
      </x:c>
      <x:c r="H255" s="28" t="str">
        <x:v>Цитрус добавляет верхние ноты и может заменить часть уксуса, но избыток кислоты нарушит баланс.</x:v>
      </x:c>
      <x:c r="I255" s="28" t="n">
        <x:f>COUNTIF('Все сочетания'!$C:$C,A255)+COUNTIF('Все сочетания'!$F:$F,A255)</x:f>
        <x:v>1</x:v>
      </x:c>
    </x:row>
    <x:row r="256" ht="46" customHeight="1">
      <x:c r="A256" s="28" t="str">
        <x:v>паста тикка масала</x:v>
      </x:c>
      <x:c r="B256" s="28" t="str">
        <x:v>Прочее</x:v>
      </x:c>
      <x:c r="C256" s="28" t="str">
        <x:v>нейтральный/специфический</x:v>
      </x:c>
      <x:c r="D256" s="28" t="str">
        <x:v>нужен профиль конкретного продукта</x:v>
      </x:c>
      <x:c r="E256" s="28" t="str">
        <x:v>зависит от продукта</x:v>
      </x:c>
      <x:c r="F256" s="28" t="str">
        <x:v>нет данных</x:v>
      </x:c>
      <x:c r="G256" s="28" t="str">
        <x:v>зависит от формы продукта</x:v>
      </x:c>
      <x:c r="H256" s="28" t="str">
        <x:v>Для точного молекулярного вывода нужен профиль конкретного ингредиента и способа обработки.</x:v>
      </x:c>
      <x:c r="I256" s="28" t="n">
        <x:f>COUNTIF('Все сочетания'!$C:$C,A256)+COUNTIF('Все сочетания'!$F:$F,A256)</x:f>
        <x:v>1</x:v>
      </x:c>
    </x:row>
    <x:row r="257" ht="46" customHeight="1">
      <x:c r="A257" s="28" t="str">
        <x:v>пастернак</x:v>
      </x:c>
      <x:c r="B257" s="28" t="str">
        <x:v>Овощи</x:v>
      </x:c>
      <x:c r="C257" s="28" t="str">
        <x:v>зелёный, землистый, растительный, иногда сернистый</x:v>
      </x:c>
      <x:c r="D257" s="28" t="str">
        <x:v>C6-альдегиды, метоксипиразины, геосмин (землистые), сернистые соединения</x:v>
      </x:c>
      <x:c r="E257" s="28" t="str">
        <x:v>сладковатый, горьковатый, умами</x:v>
      </x:c>
      <x:c r="F257" s="28" t="str">
        <x:v>нет выраженного</x:v>
      </x:c>
      <x:c r="G257" s="28" t="str">
        <x:v>водная/крахмальная матрица; масло помогает распределить цедру</x:v>
      </x:c>
      <x:c r="H257" s="28" t="str">
        <x:v>Кислота подчёркивает сладость овощей и сокращает землистое или сернистое послевкусие.</x:v>
      </x:c>
      <x:c r="I257" s="28" t="n">
        <x:f>COUNTIF('Все сочетания'!$C:$C,A257)+COUNTIF('Все сочетания'!$F:$F,A257)</x:f>
        <x:v>1</x:v>
      </x:c>
    </x:row>
    <x:row r="258" ht="46" customHeight="1">
      <x:c r="A258" s="28" t="str">
        <x:v>пекан</x:v>
      </x:c>
      <x:c r="B258" s="28" t="str">
        <x:v>Орехи и семена</x:v>
      </x:c>
      <x:c r="C258" s="28" t="str">
        <x:v>ореховый, обжаренный, жирный, зелёный</x:v>
      </x:c>
      <x:c r="D258" s="28" t="str">
        <x:v>пиразины, альдегиды окисления жиров, бензальдегид (миндаль)</x:v>
      </x:c>
      <x:c r="E258" s="28" t="str">
        <x:v>сладковатый, горьковатый</x:v>
      </x:c>
      <x:c r="F258" s="28" t="str">
        <x:v>нет выраженного</x:v>
      </x:c>
      <x:c r="G258" s="28" t="str">
        <x:v>высокая жирность растворяет терпеновые масла цитруса</x:v>
      </x:c>
      <x:c r="H258" s="28" t="str">
        <x:v>Кислота режет жирность, а цедра связывается с обжаренными и цветочными нотами.</x:v>
      </x:c>
      <x:c r="I258" s="28" t="n">
        <x:f>COUNTIF('Все сочетания'!$C:$C,A258)+COUNTIF('Все сочетания'!$F:$F,A258)</x:f>
        <x:v>3</x:v>
      </x:c>
    </x:row>
    <x:row r="259" ht="46" customHeight="1">
      <x:c r="A259" s="28" t="str">
        <x:v>перец</x:v>
      </x:c>
      <x:c r="B259" s="28" t="str">
        <x:v>Пряности</x:v>
      </x:c>
      <x:c r="C259" s="28" t="str">
        <x:v>пряный, древесный, цитрусовый</x:v>
      </x:c>
      <x:c r="D259" s="28" t="str">
        <x:v>пиперин, лимонен, сабинен, бета-кариофиллен</x:v>
      </x:c>
      <x:c r="E259" s="28" t="str">
        <x:v>острый, горьковатый</x:v>
      </x:c>
      <x:c r="F259" s="28" t="str">
        <x:v>пиперин создаёт длительное тепло; сычуаньский перец — покалывание</x:v>
      </x:c>
      <x:c r="G259" s="28" t="str">
        <x:v>ароматические масла и пиперин лучше раскрываются в жире/спирте</x:v>
      </x:c>
      <x:c r="H259" s="28" t="str">
        <x:v>Перец добавляет сухую пряность и усиливает яркость цедры.</x:v>
      </x:c>
      <x:c r="I259" s="28" t="n">
        <x:f>COUNTIF('Все сочетания'!$C:$C,A259)+COUNTIF('Все сочетания'!$F:$F,A259)</x:f>
        <x:v>2</x:v>
      </x:c>
    </x:row>
    <x:row r="260" ht="46" customHeight="1">
      <x:c r="A260" s="28" t="str">
        <x:v>перец горошком</x:v>
      </x:c>
      <x:c r="B260" s="28" t="str">
        <x:v>Пряности</x:v>
      </x:c>
      <x:c r="C260" s="28" t="str">
        <x:v>пряный, древесный, цитрусовый</x:v>
      </x:c>
      <x:c r="D260" s="28" t="str">
        <x:v>пиперин, лимонен, сабинен, бета-кариофиллен</x:v>
      </x:c>
      <x:c r="E260" s="28" t="str">
        <x:v>острый, горьковатый</x:v>
      </x:c>
      <x:c r="F260" s="28" t="str">
        <x:v>пиперин создаёт длительное тепло; сычуаньский перец — покалывание</x:v>
      </x:c>
      <x:c r="G260" s="28" t="str">
        <x:v>ароматические масла и пиперин лучше раскрываются в жире/спирте</x:v>
      </x:c>
      <x:c r="H260" s="28" t="str">
        <x:v>Перец добавляет сухую пряность и усиливает яркость цедры.</x:v>
      </x:c>
      <x:c r="I260" s="28" t="n">
        <x:f>COUNTIF('Все сочетания'!$C:$C,A260)+COUNTIF('Все сочетания'!$F:$F,A260)</x:f>
        <x:v>1</x:v>
      </x:c>
    </x:row>
    <x:row r="261" ht="46" customHeight="1">
      <x:c r="A261" s="28" t="str">
        <x:v>персик</x:v>
      </x:c>
      <x:c r="B261" s="28" t="str">
        <x:v>Косточковые фрукты</x:v>
      </x:c>
      <x:c r="C261" s="28" t="str">
        <x:v>фруктовый, цветочный, сливочный, миндальный</x:v>
      </x:c>
      <x:c r="D261" s="28" t="str">
        <x:v>гамма- и дельта-лактоны, бензальдегид, дамасценон</x:v>
      </x:c>
      <x:c r="E261" s="28" t="str">
        <x:v>сладкий, умеренно кислый</x:v>
      </x:c>
      <x:c r="F261" s="28" t="str">
        <x:v>нет выраженного</x:v>
      </x:c>
      <x:c r="G261" s="28" t="str">
        <x:v>сочная матрица; лактоны лучше ощущаются в жирной/сливочной среде</x:v>
      </x:c>
      <x:c r="H261" s="28" t="str">
        <x:v>Цитрус добавляет кислотность, а лактоны смягчают его резкость.</x:v>
      </x:c>
      <x:c r="I261" s="28" t="n">
        <x:f>COUNTIF('Все сочетания'!$C:$C,A261)+COUNTIF('Все сочетания'!$F:$F,A261)</x:f>
        <x:v>4</x:v>
      </x:c>
    </x:row>
    <x:row r="262" ht="46" customHeight="1">
      <x:c r="A262" s="28" t="str">
        <x:v>петрушка</x:v>
      </x:c>
      <x:c r="B262" s="28" t="str">
        <x:v>Прочее</x:v>
      </x:c>
      <x:c r="C262" s="28" t="str">
        <x:v>нейтральный/специфический</x:v>
      </x:c>
      <x:c r="D262" s="28" t="str">
        <x:v>нужен профиль конкретного продукта</x:v>
      </x:c>
      <x:c r="E262" s="28" t="str">
        <x:v>зависит от продукта</x:v>
      </x:c>
      <x:c r="F262" s="28" t="str">
        <x:v>нет данных</x:v>
      </x:c>
      <x:c r="G262" s="28" t="str">
        <x:v>зависит от формы продукта</x:v>
      </x:c>
      <x:c r="H262" s="28" t="str">
        <x:v>Для точного молекулярного вывода нужен профиль конкретного ингредиента и способа обработки.</x:v>
      </x:c>
      <x:c r="I262" s="28" t="n">
        <x:f>COUNTIF('Все сочетания'!$C:$C,A262)+COUNTIF('Все сочетания'!$F:$F,A262)</x:f>
        <x:v>2</x:v>
      </x:c>
    </x:row>
    <x:row r="263" ht="46" customHeight="1">
      <x:c r="A263" s="28" t="str">
        <x:v>питахайя (dragon fruit)</x:v>
      </x:c>
      <x:c r="B263" s="28" t="str">
        <x:v>Прочее</x:v>
      </x:c>
      <x:c r="C263" s="28" t="str">
        <x:v>нейтральный/специфический</x:v>
      </x:c>
      <x:c r="D263" s="28" t="str">
        <x:v>нужен профиль конкретного продукта</x:v>
      </x:c>
      <x:c r="E263" s="28" t="str">
        <x:v>зависит от продукта</x:v>
      </x:c>
      <x:c r="F263" s="28" t="str">
        <x:v>нет данных</x:v>
      </x:c>
      <x:c r="G263" s="28" t="str">
        <x:v>зависит от формы продукта</x:v>
      </x:c>
      <x:c r="H263" s="28" t="str">
        <x:v>Для точного молекулярного вывода нужен профиль конкретного ингредиента и способа обработки.</x:v>
      </x:c>
      <x:c r="I263" s="28" t="n">
        <x:f>COUNTIF('Все сочетания'!$C:$C,A263)+COUNTIF('Все сочетания'!$F:$F,A263)</x:f>
        <x:v>2</x:v>
      </x:c>
    </x:row>
    <x:row r="264" ht="46" customHeight="1">
      <x:c r="A264" s="28" t="str">
        <x:v>плимутский джин</x:v>
      </x:c>
      <x:c r="B264" s="28" t="str">
        <x:v>Алкогольные напитки</x:v>
      </x:c>
      <x:c r="C264" s="28" t="str">
        <x:v>зависит от основы, эфирный, древесный/пряный</x:v>
      </x:c>
      <x:c r="D264" s="28" t="str">
        <x:v>этанол, эфиры, терпены/дубовые соединения</x:v>
      </x:c>
      <x:c r="E264" s="28" t="str">
        <x:v>горький, сладкий или сухой</x:v>
      </x:c>
      <x:c r="F264" s="28" t="str">
        <x:v>этанол усиливает тепло и летучесть аромата</x:v>
      </x:c>
      <x:c r="G264" s="28" t="str">
        <x:v>этанол — хороший растворитель гидрофобных эфирных масел</x:v>
      </x:c>
      <x:c r="H264" s="28" t="str">
        <x:v>Спирт извлекает цедру и усиливает ретроназальный выход терпенов; сахар и разбавление меняют баланс.</x:v>
      </x:c>
      <x:c r="I264" s="28" t="n">
        <x:f>COUNTIF('Все сочетания'!$C:$C,A264)+COUNTIF('Все сочетания'!$F:$F,A264)</x:f>
        <x:v>1</x:v>
      </x:c>
    </x:row>
    <x:row r="265" ht="46" customHeight="1">
      <x:c r="A265" s="28" t="str">
        <x:v>плумкот</x:v>
      </x:c>
      <x:c r="B265" s="28" t="str">
        <x:v>Прочее</x:v>
      </x:c>
      <x:c r="C265" s="28" t="str">
        <x:v>нейтральный/специфический</x:v>
      </x:c>
      <x:c r="D265" s="28" t="str">
        <x:v>нужен профиль конкретного продукта</x:v>
      </x:c>
      <x:c r="E265" s="28" t="str">
        <x:v>зависит от продукта</x:v>
      </x:c>
      <x:c r="F265" s="28" t="str">
        <x:v>нет данных</x:v>
      </x:c>
      <x:c r="G265" s="28" t="str">
        <x:v>зависит от формы продукта</x:v>
      </x:c>
      <x:c r="H265" s="28" t="str">
        <x:v>Для точного молекулярного вывода нужен профиль конкретного ингредиента и способа обработки.</x:v>
      </x:c>
      <x:c r="I265" s="28" t="n">
        <x:f>COUNTIF('Все сочетания'!$C:$C,A265)+COUNTIF('Все сочетания'!$F:$F,A265)</x:f>
        <x:v>1</x:v>
      </x:c>
    </x:row>
    <x:row r="266" ht="46" customHeight="1">
      <x:c r="A266" s="28" t="str">
        <x:v>польский голубой сыр</x:v>
      </x:c>
      <x:c r="B266" s="28" t="str">
        <x:v>Молочные продукты</x:v>
      </x:c>
      <x:c r="C266" s="28" t="str">
        <x:v>сливочный, молочный, масляный, иногда животный</x:v>
      </x:c>
      <x:c r="D266" s="28" t="str">
        <x:v>диацетил, молочные лактоны, свободные жирные кислоты</x:v>
      </x:c>
      <x:c r="E266" s="28" t="str">
        <x:v>жирный, солёный/умами, кислый у ферментированных</x:v>
      </x:c>
      <x:c r="F266" s="28" t="str">
        <x:v>нет выраженного</x:v>
      </x:c>
      <x:c r="G266" s="28" t="str">
        <x:v>жир растворяет терпены; кислота цитруса может коагулировать молочный белок</x:v>
      </x:c>
      <x:c r="H266" s="28" t="str">
        <x:v>Цитрус режет жирность и освежает, а молочная матрица смягчает кислотность.</x:v>
      </x:c>
      <x:c r="I266" s="28" t="n">
        <x:f>COUNTIF('Все сочетания'!$C:$C,A266)+COUNTIF('Все сочетания'!$F:$F,A266)</x:f>
        <x:v>1</x:v>
      </x:c>
    </x:row>
    <x:row r="267" ht="46" customHeight="1">
      <x:c r="A267" s="28" t="str">
        <x:v>помело</x:v>
      </x:c>
      <x:c r="B267" s="28" t="str">
        <x:v>Цитрусовые</x:v>
      </x:c>
      <x:c r="C267" s="28" t="str">
        <x:v>цитрусовый, горький, свежий, сернистый</x:v>
      </x:c>
      <x:c r="D267" s="28" t="str">
        <x:v>лимонен, нооткатон, грейпфрутовые тиолы, нарингин</x:v>
      </x:c>
      <x:c r="E267" s="28" t="str">
        <x:v>кислый, горький, умеренно сладкий</x:v>
      </x:c>
      <x:c r="F267" s="28" t="str">
        <x:v>нет выраженного; кислота усиливает слюноотделение</x:v>
      </x:c>
      <x:c r="G267" s="28" t="str">
        <x:v>водная фаза сока + гидрофобные масла кожуры</x:v>
      </x:c>
      <x:c r="H267" s="28" t="str">
        <x:v>Горечь задают флавоноиды, аромат кожуры — терпены и следовые тиолы.</x:v>
      </x:c>
      <x:c r="I267" s="28" t="n">
        <x:f>COUNTIF('Все сочетания'!$C:$C,A267)+COUNTIF('Все сочетания'!$F:$F,A267)</x:f>
        <x:v>17</x:v>
      </x:c>
    </x:row>
    <x:row r="268" ht="46" customHeight="1">
      <x:c r="A268" s="28" t="str">
        <x:v>попкорн</x:v>
      </x:c>
      <x:c r="B268" s="28" t="str">
        <x:v>Злаки и хлеб</x:v>
      </x:c>
      <x:c r="C268" s="28" t="str">
        <x:v>зерновой, обжаренный, ореховый, дрожжевой</x:v>
      </x:c>
      <x:c r="D268" s="28" t="str">
        <x:v>пиразины, мальтол, фураны, эфиры брожения</x:v>
      </x:c>
      <x:c r="E268" s="28" t="str">
        <x:v>сладковатый, умами</x:v>
      </x:c>
      <x:c r="F268" s="28" t="str">
        <x:v>нет выраженного</x:v>
      </x:c>
      <x:c r="G268" s="28" t="str">
        <x:v>крахмал смягчает кислотность; жир/масло помогает аромату цедры</x:v>
      </x:c>
      <x:c r="H268" s="28" t="str">
        <x:v>Цитрус освежает зерновой профиль и создаёт контраст с обжаренными нотами.</x:v>
      </x:c>
      <x:c r="I268" s="28" t="n">
        <x:f>COUNTIF('Все сочетания'!$C:$C,A268)+COUNTIF('Все сочетания'!$F:$F,A268)</x:f>
        <x:v>2</x:v>
      </x:c>
    </x:row>
    <x:row r="269" ht="46" customHeight="1">
      <x:c r="A269" s="28" t="str">
        <x:v>приготовленная зелёная чечевица</x:v>
      </x:c>
      <x:c r="B269" s="28" t="str">
        <x:v>Овощи</x:v>
      </x:c>
      <x:c r="C269" s="28" t="str">
        <x:v>зелёный, землистый, растительный, иногда сернистый</x:v>
      </x:c>
      <x:c r="D269" s="28" t="str">
        <x:v>C6-альдегиды, метоксипиразины, геосмин (землистые), сернистые соединения</x:v>
      </x:c>
      <x:c r="E269" s="28" t="str">
        <x:v>сладковатый, горьковатый, умами</x:v>
      </x:c>
      <x:c r="F269" s="28" t="str">
        <x:v>нет выраженного</x:v>
      </x:c>
      <x:c r="G269" s="28" t="str">
        <x:v>водная/крахмальная матрица; масло помогает распределить цедру</x:v>
      </x:c>
      <x:c r="H269" s="28" t="str">
        <x:v>Кислота подчёркивает сладость овощей и сокращает землистое или сернистое послевкусие.</x:v>
      </x:c>
      <x:c r="I269" s="28" t="n">
        <x:f>COUNTIF('Все сочетания'!$C:$C,A269)+COUNTIF('Все сочетания'!$F:$F,A269)</x:f>
        <x:v>2</x:v>
      </x:c>
    </x:row>
    <x:row r="270" ht="46" customHeight="1">
      <x:c r="A270" s="28" t="str">
        <x:v>приготовленный бурый рис</x:v>
      </x:c>
      <x:c r="B270" s="28" t="str">
        <x:v>Злаки и хлеб</x:v>
      </x:c>
      <x:c r="C270" s="28" t="str">
        <x:v>зерновой, обжаренный, ореховый, дрожжевой</x:v>
      </x:c>
      <x:c r="D270" s="28" t="str">
        <x:v>пиразины, мальтол, фураны, эфиры брожения</x:v>
      </x:c>
      <x:c r="E270" s="28" t="str">
        <x:v>сладковатый, умами</x:v>
      </x:c>
      <x:c r="F270" s="28" t="str">
        <x:v>нет выраженного</x:v>
      </x:c>
      <x:c r="G270" s="28" t="str">
        <x:v>крахмал смягчает кислотность; жир/масло помогает аромату цедры</x:v>
      </x:c>
      <x:c r="H270" s="28" t="str">
        <x:v>Цитрус освежает зерновой профиль и создаёт контраст с обжаренными нотами.</x:v>
      </x:c>
      <x:c r="I270" s="28" t="n">
        <x:f>COUNTIF('Все сочетания'!$C:$C,A270)+COUNTIF('Все сочетания'!$F:$F,A270)</x:f>
        <x:v>3</x:v>
      </x:c>
    </x:row>
    <x:row r="271" ht="46" customHeight="1">
      <x:c r="A271" s="28" t="str">
        <x:v>приготовленный длиннозёрный рис</x:v>
      </x:c>
      <x:c r="B271" s="28" t="str">
        <x:v>Злаки и хлеб</x:v>
      </x:c>
      <x:c r="C271" s="28" t="str">
        <x:v>зерновой, обжаренный, ореховый, дрожжевой</x:v>
      </x:c>
      <x:c r="D271" s="28" t="str">
        <x:v>пиразины, мальтол, фураны, эфиры брожения</x:v>
      </x:c>
      <x:c r="E271" s="28" t="str">
        <x:v>сладковатый, умами</x:v>
      </x:c>
      <x:c r="F271" s="28" t="str">
        <x:v>нет выраженного</x:v>
      </x:c>
      <x:c r="G271" s="28" t="str">
        <x:v>крахмал смягчает кислотность; жир/масло помогает аромату цедры</x:v>
      </x:c>
      <x:c r="H271" s="28" t="str">
        <x:v>Цитрус освежает зерновой профиль и создаёт контраст с обжаренными нотами.</x:v>
      </x:c>
      <x:c r="I271" s="28" t="n">
        <x:f>COUNTIF('Все сочетания'!$C:$C,A271)+COUNTIF('Все сочетания'!$F:$F,A271)</x:f>
        <x:v>1</x:v>
      </x:c>
    </x:row>
    <x:row r="272" ht="46" customHeight="1">
      <x:c r="A272" s="28" t="str">
        <x:v>приготовленный скорцонер</x:v>
      </x:c>
      <x:c r="B272" s="28" t="str">
        <x:v>Прочее</x:v>
      </x:c>
      <x:c r="C272" s="28" t="str">
        <x:v>нейтральный/специфический</x:v>
      </x:c>
      <x:c r="D272" s="28" t="str">
        <x:v>нужен профиль конкретного продукта</x:v>
      </x:c>
      <x:c r="E272" s="28" t="str">
        <x:v>зависит от продукта</x:v>
      </x:c>
      <x:c r="F272" s="28" t="str">
        <x:v>нет данных</x:v>
      </x:c>
      <x:c r="G272" s="28" t="str">
        <x:v>зависит от формы продукта</x:v>
      </x:c>
      <x:c r="H272" s="28" t="str">
        <x:v>Для точного молекулярного вывода нужен профиль конкретного ингредиента и способа обработки.</x:v>
      </x:c>
      <x:c r="I272" s="28" t="n">
        <x:f>COUNTIF('Все сочетания'!$C:$C,A272)+COUNTIF('Все сочетания'!$F:$F,A272)</x:f>
        <x:v>2</x:v>
      </x:c>
    </x:row>
    <x:row r="273" ht="46" customHeight="1">
      <x:c r="A273" s="28" t="str">
        <x:v>приготовленный фрике</x:v>
      </x:c>
      <x:c r="B273" s="28" t="str">
        <x:v>Злаки и хлеб</x:v>
      </x:c>
      <x:c r="C273" s="28" t="str">
        <x:v>зерновой, обжаренный, ореховый, дрожжевой</x:v>
      </x:c>
      <x:c r="D273" s="28" t="str">
        <x:v>пиразины, мальтол, фураны, эфиры брожения</x:v>
      </x:c>
      <x:c r="E273" s="28" t="str">
        <x:v>сладковатый, умами</x:v>
      </x:c>
      <x:c r="F273" s="28" t="str">
        <x:v>нет выраженного</x:v>
      </x:c>
      <x:c r="G273" s="28" t="str">
        <x:v>крахмал смягчает кислотность; жир/масло помогает аромату цедры</x:v>
      </x:c>
      <x:c r="H273" s="28" t="str">
        <x:v>Цитрус освежает зерновой профиль и создаёт контраст с обжаренными нотами.</x:v>
      </x:c>
      <x:c r="I273" s="28" t="n">
        <x:f>COUNTIF('Все сочетания'!$C:$C,A273)+COUNTIF('Все сочетания'!$F:$F,A273)</x:f>
        <x:v>1</x:v>
      </x:c>
    </x:row>
    <x:row r="274" ht="46" customHeight="1">
      <x:c r="A274" s="28" t="str">
        <x:v>приготовленный чёрный рис</x:v>
      </x:c>
      <x:c r="B274" s="28" t="str">
        <x:v>Злаки и хлеб</x:v>
      </x:c>
      <x:c r="C274" s="28" t="str">
        <x:v>зерновой, обжаренный, ореховый, дрожжевой</x:v>
      </x:c>
      <x:c r="D274" s="28" t="str">
        <x:v>пиразины, мальтол, фураны, эфиры брожения</x:v>
      </x:c>
      <x:c r="E274" s="28" t="str">
        <x:v>сладковатый, умами</x:v>
      </x:c>
      <x:c r="F274" s="28" t="str">
        <x:v>нет выраженного</x:v>
      </x:c>
      <x:c r="G274" s="28" t="str">
        <x:v>крахмал смягчает кислотность; жир/масло помогает аромату цедры</x:v>
      </x:c>
      <x:c r="H274" s="28" t="str">
        <x:v>Цитрус освежает зерновой профиль и создаёт контраст с обжаренными нотами.</x:v>
      </x:c>
      <x:c r="I274" s="28" t="n">
        <x:f>COUNTIF('Все сочетания'!$C:$C,A274)+COUNTIF('Все сочетания'!$F:$F,A274)</x:f>
        <x:v>2</x:v>
      </x:c>
    </x:row>
    <x:row r="275" ht="46" customHeight="1">
      <x:c r="A275" s="28" t="str">
        <x:v>припущенная барабулька</x:v>
      </x:c>
      <x:c r="B275" s="28" t="str">
        <x:v>Рыба и морепродукты</x:v>
      </x:c>
      <x:c r="C275" s="28" t="str">
        <x:v>морской, йодистый, зелёный, жирный</x:v>
      </x:c>
      <x:c r="D275" s="28" t="str">
        <x:v>альдегиды окисления липидов, бромфенолы, диметилсульфид, умами-соединения</x:v>
      </x:c>
      <x:c r="E275" s="28" t="str">
        <x:v>солёный, умами, жирный</x:v>
      </x:c>
      <x:c r="F275" s="28" t="str">
        <x:v>нет выраженного</x:v>
      </x:c>
      <x:c r="G275" s="28" t="str">
        <x:v>кислота может денатурировать поверхностные белки; жир рыбы удерживает терпены</x:v>
      </x:c>
      <x:c r="H275" s="28" t="str">
        <x:v>Цитрус уменьшает восприятие жирности и рыбных нот, усиливая свежесть и слюноотделение.</x:v>
      </x:c>
      <x:c r="I275" s="28" t="n">
        <x:f>COUNTIF('Все сочетания'!$C:$C,A275)+COUNTIF('Все сочетания'!$F:$F,A275)</x:f>
        <x:v>1</x:v>
      </x:c>
    </x:row>
    <x:row r="276" ht="46" customHeight="1">
      <x:c r="A276" s="28" t="str">
        <x:v>припущенная лиманда</x:v>
      </x:c>
      <x:c r="B276" s="28" t="str">
        <x:v>Прочее</x:v>
      </x:c>
      <x:c r="C276" s="28" t="str">
        <x:v>нейтральный/специфический</x:v>
      </x:c>
      <x:c r="D276" s="28" t="str">
        <x:v>нужен профиль конкретного продукта</x:v>
      </x:c>
      <x:c r="E276" s="28" t="str">
        <x:v>зависит от продукта</x:v>
      </x:c>
      <x:c r="F276" s="28" t="str">
        <x:v>нет данных</x:v>
      </x:c>
      <x:c r="G276" s="28" t="str">
        <x:v>зависит от формы продукта</x:v>
      </x:c>
      <x:c r="H276" s="28" t="str">
        <x:v>Для точного молекулярного вывода нужен профиль конкретного ингредиента и способа обработки.</x:v>
      </x:c>
      <x:c r="I276" s="28" t="n">
        <x:f>COUNTIF('Все сочетания'!$C:$C,A276)+COUNTIF('Все сочетания'!$F:$F,A276)</x:f>
        <x:v>1</x:v>
      </x:c>
    </x:row>
    <x:row r="277" ht="46" customHeight="1">
      <x:c r="A277" s="28" t="str">
        <x:v>припущенное филе атлантического лосося</x:v>
      </x:c>
      <x:c r="B277" s="28" t="str">
        <x:v>Рыба и морепродукты</x:v>
      </x:c>
      <x:c r="C277" s="28" t="str">
        <x:v>морской, йодистый, зелёный, жирный</x:v>
      </x:c>
      <x:c r="D277" s="28" t="str">
        <x:v>альдегиды окисления липидов, бромфенолы, диметилсульфид, умами-соединения</x:v>
      </x:c>
      <x:c r="E277" s="28" t="str">
        <x:v>солёный, умами, жирный</x:v>
      </x:c>
      <x:c r="F277" s="28" t="str">
        <x:v>нет выраженного</x:v>
      </x:c>
      <x:c r="G277" s="28" t="str">
        <x:v>кислота может денатурировать поверхностные белки; жир рыбы удерживает терпены</x:v>
      </x:c>
      <x:c r="H277" s="28" t="str">
        <x:v>Цитрус уменьшает восприятие жирности и рыбных нот, усиливая свежесть и слюноотделение.</x:v>
      </x:c>
      <x:c r="I277" s="28" t="n">
        <x:f>COUNTIF('Все сочетания'!$C:$C,A277)+COUNTIF('Все сочетания'!$F:$F,A277)</x:f>
        <x:v>2</x:v>
      </x:c>
    </x:row>
    <x:row r="278" ht="46" customHeight="1">
      <x:c r="A278" s="28" t="str">
        <x:v>припущенное филе трески</x:v>
      </x:c>
      <x:c r="B278" s="28" t="str">
        <x:v>Рыба и морепродукты</x:v>
      </x:c>
      <x:c r="C278" s="28" t="str">
        <x:v>морской, йодистый, зелёный, жирный</x:v>
      </x:c>
      <x:c r="D278" s="28" t="str">
        <x:v>альдегиды окисления липидов, бромфенолы, диметилсульфид, умами-соединения</x:v>
      </x:c>
      <x:c r="E278" s="28" t="str">
        <x:v>солёный, умами, жирный</x:v>
      </x:c>
      <x:c r="F278" s="28" t="str">
        <x:v>нет выраженного</x:v>
      </x:c>
      <x:c r="G278" s="28" t="str">
        <x:v>кислота может денатурировать поверхностные белки; жир рыбы удерживает терпены</x:v>
      </x:c>
      <x:c r="H278" s="28" t="str">
        <x:v>Цитрус уменьшает восприятие жирности и рыбных нот, усиливая свежесть и слюноотделение.</x:v>
      </x:c>
      <x:c r="I278" s="28" t="n">
        <x:f>COUNTIF('Все сочетания'!$C:$C,A278)+COUNTIF('Все сочетания'!$F:$F,A278)</x:f>
        <x:v>2</x:v>
      </x:c>
    </x:row>
    <x:row r="279" ht="46" customHeight="1">
      <x:c r="A279" s="28" t="str">
        <x:v>пшеничные крутоны</x:v>
      </x:c>
      <x:c r="B279" s="28" t="str">
        <x:v>Прочее</x:v>
      </x:c>
      <x:c r="C279" s="28" t="str">
        <x:v>нейтральный/специфический</x:v>
      </x:c>
      <x:c r="D279" s="28" t="str">
        <x:v>нужен профиль конкретного продукта</x:v>
      </x:c>
      <x:c r="E279" s="28" t="str">
        <x:v>зависит от продукта</x:v>
      </x:c>
      <x:c r="F279" s="28" t="str">
        <x:v>нет данных</x:v>
      </x:c>
      <x:c r="G279" s="28" t="str">
        <x:v>зависит от формы продукта</x:v>
      </x:c>
      <x:c r="H279" s="28" t="str">
        <x:v>Для точного молекулярного вывода нужен профиль конкретного ингредиента и способа обработки.</x:v>
      </x:c>
      <x:c r="I279" s="28" t="n">
        <x:f>COUNTIF('Все сочетания'!$C:$C,A279)+COUNTIF('Все сочетания'!$F:$F,A279)</x:f>
        <x:v>2</x:v>
      </x:c>
    </x:row>
    <x:row r="280" ht="46" customHeight="1">
      <x:c r="A280" s="28" t="str">
        <x:v>пюре из обжаренного фундука</x:v>
      </x:c>
      <x:c r="B280" s="28" t="str">
        <x:v>Орехи и семена</x:v>
      </x:c>
      <x:c r="C280" s="28" t="str">
        <x:v>ореховый, обжаренный, жирный, зелёный</x:v>
      </x:c>
      <x:c r="D280" s="28" t="str">
        <x:v>пиразины, альдегиды окисления жиров, бензальдегид (миндаль)</x:v>
      </x:c>
      <x:c r="E280" s="28" t="str">
        <x:v>сладковатый, горьковатый</x:v>
      </x:c>
      <x:c r="F280" s="28" t="str">
        <x:v>нет выраженного</x:v>
      </x:c>
      <x:c r="G280" s="28" t="str">
        <x:v>высокая жирность растворяет терпеновые масла цитруса</x:v>
      </x:c>
      <x:c r="H280" s="28" t="str">
        <x:v>Кислота режет жирность, а цедра связывается с обжаренными и цветочными нотами.</x:v>
      </x:c>
      <x:c r="I280" s="28" t="n">
        <x:f>COUNTIF('Все сочетания'!$C:$C,A280)+COUNTIF('Все сочетания'!$F:$F,A280)</x:f>
        <x:v>1</x:v>
      </x:c>
    </x:row>
    <x:row r="281" ht="46" customHeight="1">
      <x:c r="A281" s="28" t="str">
        <x:v>пюре юдзу</x:v>
      </x:c>
      <x:c r="B281" s="28" t="str">
        <x:v>Цитрусовые</x:v>
      </x:c>
      <x:c r="C281" s="28" t="str">
        <x:v>цитрусовый, зелёный, травяной, камфорный</x:v>
      </x:c>
      <x:c r="D281" s="28" t="str">
        <x:v>лимонен, гамма-терпинен, цитраль, бета-пинен, линалол</x:v>
      </x:c>
      <x:c r="E281" s="28" t="str">
        <x:v>кислый, слабо горький</x:v>
      </x:c>
      <x:c r="F281" s="28" t="str">
        <x:v>кислота усиливает слюноотделение; зелёные терпены создают ощущение прохлады</x:v>
      </x:c>
      <x:c r="G281" s="28" t="str">
        <x:v>сок — водная кислая фаза; цедра — масляная терпеновая</x:v>
      </x:c>
      <x:c r="H281" s="28" t="str">
        <x:v>Лаймовые цитрусы дают более зелёный и камфорный профиль, чем сладкий апельсин.</x:v>
      </x:c>
      <x:c r="I281" s="28" t="n">
        <x:f>COUNTIF('Все сочетания'!$C:$C,A281)+COUNTIF('Все сочетания'!$F:$F,A281)</x:f>
        <x:v>1</x:v>
      </x:c>
    </x:row>
    <x:row r="282" ht="46" customHeight="1">
      <x:c r="A282" s="28" t="str">
        <x:v>рамбутан</x:v>
      </x:c>
      <x:c r="B282" s="28" t="str">
        <x:v>Прочее</x:v>
      </x:c>
      <x:c r="C282" s="28" t="str">
        <x:v>нейтральный/специфический</x:v>
      </x:c>
      <x:c r="D282" s="28" t="str">
        <x:v>нужен профиль конкретного продукта</x:v>
      </x:c>
      <x:c r="E282" s="28" t="str">
        <x:v>зависит от продукта</x:v>
      </x:c>
      <x:c r="F282" s="28" t="str">
        <x:v>нет данных</x:v>
      </x:c>
      <x:c r="G282" s="28" t="str">
        <x:v>зависит от формы продукта</x:v>
      </x:c>
      <x:c r="H282" s="28" t="str">
        <x:v>Для точного молекулярного вывода нужен профиль конкретного ингредиента и способа обработки.</x:v>
      </x:c>
      <x:c r="I282" s="28" t="n">
        <x:f>COUNTIF('Все сочетания'!$C:$C,A282)+COUNTIF('Все сочетания'!$F:$F,A282)</x:f>
        <x:v>2</x:v>
      </x:c>
    </x:row>
    <x:row r="283" ht="46" customHeight="1">
      <x:c r="A283" s="28" t="str">
        <x:v>рапсовое масло</x:v>
      </x:c>
      <x:c r="B283" s="28" t="str">
        <x:v>Молочные продукты</x:v>
      </x:c>
      <x:c r="C283" s="28" t="str">
        <x:v>сливочный, молочный, масляный, иногда животный</x:v>
      </x:c>
      <x:c r="D283" s="28" t="str">
        <x:v>диацетил, молочные лактоны, свободные жирные кислоты</x:v>
      </x:c>
      <x:c r="E283" s="28" t="str">
        <x:v>жирный, солёный/умами, кислый у ферментированных</x:v>
      </x:c>
      <x:c r="F283" s="28" t="str">
        <x:v>нет выраженного</x:v>
      </x:c>
      <x:c r="G283" s="28" t="str">
        <x:v>жир растворяет терпены; кислота цитруса может коагулировать молочный белок</x:v>
      </x:c>
      <x:c r="H283" s="28" t="str">
        <x:v>Цитрус режет жирность и освежает, а молочная матрица смягчает кислотность.</x:v>
      </x:c>
      <x:c r="I283" s="28" t="n">
        <x:f>COUNTIF('Все сочетания'!$C:$C,A283)+COUNTIF('Все сочетания'!$F:$F,A283)</x:f>
        <x:v>2</x:v>
      </x:c>
    </x:row>
    <x:row r="284" ht="46" customHeight="1">
      <x:c r="A284" s="28" t="str">
        <x:v>рапсовый мёд</x:v>
      </x:c>
      <x:c r="B284" s="28" t="str">
        <x:v>Подсластители</x:v>
      </x:c>
      <x:c r="C284" s="28" t="str">
        <x:v>медовый, цветочный, карамельный</x:v>
      </x:c>
      <x:c r="D284" s="28" t="str">
        <x:v>фенилуксусные соединения, фураны, норизопреноиды</x:v>
      </x:c>
      <x:c r="E284" s="28" t="str">
        <x:v>сладкий</x:v>
      </x:c>
      <x:c r="F284" s="28" t="str">
        <x:v>нет выраженного</x:v>
      </x:c>
      <x:c r="G284" s="28" t="str">
        <x:v>сахар повышает вязкость и снижает воспринимаемую кислотность</x:v>
      </x:c>
      <x:c r="H284" s="28" t="str">
        <x:v>Сладость балансирует кислоту и горечь кожуры; цветочные компоненты могут поддерживать цитрус.</x:v>
      </x:c>
      <x:c r="I284" s="28" t="n">
        <x:f>COUNTIF('Все сочетания'!$C:$C,A284)+COUNTIF('Все сочетания'!$F:$F,A284)</x:f>
        <x:v>1</x:v>
      </x:c>
    </x:row>
    <x:row r="285" ht="46" customHeight="1">
      <x:c r="A285" s="28" t="str">
        <x:v>ревень</x:v>
      </x:c>
      <x:c r="B285" s="28" t="str">
        <x:v>Прочее</x:v>
      </x:c>
      <x:c r="C285" s="28" t="str">
        <x:v>нейтральный/специфический</x:v>
      </x:c>
      <x:c r="D285" s="28" t="str">
        <x:v>нужен профиль конкретного продукта</x:v>
      </x:c>
      <x:c r="E285" s="28" t="str">
        <x:v>зависит от продукта</x:v>
      </x:c>
      <x:c r="F285" s="28" t="str">
        <x:v>нет данных</x:v>
      </x:c>
      <x:c r="G285" s="28" t="str">
        <x:v>зависит от формы продукта</x:v>
      </x:c>
      <x:c r="H285" s="28" t="str">
        <x:v>Для точного молекулярного вывода нужен профиль конкретного ингредиента и способа обработки.</x:v>
      </x:c>
      <x:c r="I285" s="28" t="n">
        <x:f>COUNTIF('Все сочетания'!$C:$C,A285)+COUNTIF('Все сочетания'!$F:$F,A285)</x:f>
        <x:v>3</x:v>
      </x:c>
    </x:row>
    <x:row r="286" ht="46" customHeight="1">
      <x:c r="A286" s="28" t="str">
        <x:v>ржаной хлеб на закваске</x:v>
      </x:c>
      <x:c r="B286" s="28" t="str">
        <x:v>Злаки и хлеб</x:v>
      </x:c>
      <x:c r="C286" s="28" t="str">
        <x:v>зерновой, обжаренный, ореховый, дрожжевой</x:v>
      </x:c>
      <x:c r="D286" s="28" t="str">
        <x:v>пиразины, мальтол, фураны, эфиры брожения</x:v>
      </x:c>
      <x:c r="E286" s="28" t="str">
        <x:v>сладковатый, умами</x:v>
      </x:c>
      <x:c r="F286" s="28" t="str">
        <x:v>нет выраженного</x:v>
      </x:c>
      <x:c r="G286" s="28" t="str">
        <x:v>крахмал смягчает кислотность; жир/масло помогает аромату цедры</x:v>
      </x:c>
      <x:c r="H286" s="28" t="str">
        <x:v>Цитрус освежает зерновой профиль и создаёт контраст с обжаренными нотами.</x:v>
      </x:c>
      <x:c r="I286" s="28" t="n">
        <x:f>COUNTIF('Все сочетания'!$C:$C,A286)+COUNTIF('Все сочетания'!$F:$F,A286)</x:f>
        <x:v>1</x:v>
      </x:c>
    </x:row>
    <x:row r="287" ht="46" customHeight="1">
      <x:c r="A287" s="28" t="str">
        <x:v>роза</x:v>
      </x:c>
      <x:c r="B287" s="28" t="str">
        <x:v>Прочее</x:v>
      </x:c>
      <x:c r="C287" s="28" t="str">
        <x:v>нейтральный/специфический</x:v>
      </x:c>
      <x:c r="D287" s="28" t="str">
        <x:v>нужен профиль конкретного продукта</x:v>
      </x:c>
      <x:c r="E287" s="28" t="str">
        <x:v>зависит от продукта</x:v>
      </x:c>
      <x:c r="F287" s="28" t="str">
        <x:v>нет данных</x:v>
      </x:c>
      <x:c r="G287" s="28" t="str">
        <x:v>зависит от формы продукта</x:v>
      </x:c>
      <x:c r="H287" s="28" t="str">
        <x:v>Для точного молекулярного вывода нужен профиль конкретного ингредиента и способа обработки.</x:v>
      </x:c>
      <x:c r="I287" s="28" t="n">
        <x:f>COUNTIF('Все сочетания'!$C:$C,A287)+COUNTIF('Все сочетания'!$F:$F,A287)</x:f>
        <x:v>3</x:v>
      </x:c>
    </x:row>
    <x:row r="288" ht="46" customHeight="1">
      <x:c r="A288" s="28" t="str">
        <x:v>розмарин</x:v>
      </x:c>
      <x:c r="B288" s="28" t="str">
        <x:v>Травы</x:v>
      </x:c>
      <x:c r="C288" s="28" t="str">
        <x:v>травяной, хвойный, камфорный, древесный</x:v>
      </x:c>
      <x:c r="D288" s="28" t="str">
        <x:v>1,8-цинеол, камфора, тимол/карвакрол, альфа-пинен</x:v>
      </x:c>
      <x:c r="E288" s="28" t="str">
        <x:v>горьковатый, пряный</x:v>
      </x:c>
      <x:c r="F288" s="28" t="str">
        <x:v>камфора и цинеол дают прохладно-камфорное ощущение</x:v>
      </x:c>
      <x:c r="G288" s="28" t="str">
        <x:v>эфирные масла лучше раскрываются в жире и спирте</x:v>
      </x:c>
      <x:c r="H288" s="28" t="str">
        <x:v>Хвойно-терпеновый профиль способен продолжить цитрусовую цедру.</x:v>
      </x:c>
      <x:c r="I288" s="28" t="n">
        <x:f>COUNTIF('Все сочетания'!$C:$C,A288)+COUNTIF('Все сочетания'!$F:$F,A288)</x:f>
        <x:v>9</x:v>
      </x:c>
    </x:row>
    <x:row r="289" ht="46" customHeight="1">
      <x:c r="A289" s="28" t="str">
        <x:v>розовая вода</x:v>
      </x:c>
      <x:c r="B289" s="28" t="str">
        <x:v>Прочее</x:v>
      </x:c>
      <x:c r="C289" s="28" t="str">
        <x:v>нейтральный/специфический</x:v>
      </x:c>
      <x:c r="D289" s="28" t="str">
        <x:v>нужен профиль конкретного продукта</x:v>
      </x:c>
      <x:c r="E289" s="28" t="str">
        <x:v>зависит от продукта</x:v>
      </x:c>
      <x:c r="F289" s="28" t="str">
        <x:v>нет данных</x:v>
      </x:c>
      <x:c r="G289" s="28" t="str">
        <x:v>зависит от формы продукта</x:v>
      </x:c>
      <x:c r="H289" s="28" t="str">
        <x:v>Для точного молекулярного вывода нужен профиль конкретного ингредиента и способа обработки.</x:v>
      </x:c>
      <x:c r="I289" s="28" t="n">
        <x:f>COUNTIF('Все сочетания'!$C:$C,A289)+COUNTIF('Все сочетания'!$F:$F,A289)</x:f>
        <x:v>2</x:v>
      </x:c>
    </x:row>
    <x:row r="290" ht="46" customHeight="1">
      <x:c r="A290" s="28" t="str">
        <x:v>ромашка</x:v>
      </x:c>
      <x:c r="B290" s="28" t="str">
        <x:v>Алкогольные напитки</x:v>
      </x:c>
      <x:c r="C290" s="28" t="str">
        <x:v>зависит от основы, эфирный, древесный/пряный</x:v>
      </x:c>
      <x:c r="D290" s="28" t="str">
        <x:v>этанол, эфиры, терпены/дубовые соединения</x:v>
      </x:c>
      <x:c r="E290" s="28" t="str">
        <x:v>горький, сладкий или сухой</x:v>
      </x:c>
      <x:c r="F290" s="28" t="str">
        <x:v>этанол усиливает тепло и летучесть аромата</x:v>
      </x:c>
      <x:c r="G290" s="28" t="str">
        <x:v>этанол — хороший растворитель гидрофобных эфирных масел</x:v>
      </x:c>
      <x:c r="H290" s="28" t="str">
        <x:v>Спирт извлекает цедру и усиливает ретроназальный выход терпенов; сахар и разбавление меняют баланс.</x:v>
      </x:c>
      <x:c r="I290" s="28" t="n">
        <x:f>COUNTIF('Все сочетания'!$C:$C,A290)+COUNTIF('Все сочетания'!$F:$F,A290)</x:f>
        <x:v>3</x:v>
      </x:c>
    </x:row>
    <x:row r="291" ht="46" customHeight="1">
      <x:c r="A291" s="28" t="str">
        <x:v>ростбиф</x:v>
      </x:c>
      <x:c r="B291" s="28" t="str">
        <x:v>Прочее</x:v>
      </x:c>
      <x:c r="C291" s="28" t="str">
        <x:v>нейтральный/специфический</x:v>
      </x:c>
      <x:c r="D291" s="28" t="str">
        <x:v>нужен профиль конкретного продукта</x:v>
      </x:c>
      <x:c r="E291" s="28" t="str">
        <x:v>зависит от продукта</x:v>
      </x:c>
      <x:c r="F291" s="28" t="str">
        <x:v>нет данных</x:v>
      </x:c>
      <x:c r="G291" s="28" t="str">
        <x:v>зависит от формы продукта</x:v>
      </x:c>
      <x:c r="H291" s="28" t="str">
        <x:v>Для точного молекулярного вывода нужен профиль конкретного ингредиента и способа обработки.</x:v>
      </x:c>
      <x:c r="I291" s="28" t="n">
        <x:f>COUNTIF('Все сочетания'!$C:$C,A291)+COUNTIF('Все сочетания'!$F:$F,A291)</x:f>
        <x:v>1</x:v>
      </x:c>
    </x:row>
    <x:row r="292" ht="46" customHeight="1">
      <x:c r="A292" s="28" t="str">
        <x:v>саусеп (soursop)</x:v>
      </x:c>
      <x:c r="B292" s="28" t="str">
        <x:v>Прочее</x:v>
      </x:c>
      <x:c r="C292" s="28" t="str">
        <x:v>нейтральный/специфический</x:v>
      </x:c>
      <x:c r="D292" s="28" t="str">
        <x:v>нужен профиль конкретного продукта</x:v>
      </x:c>
      <x:c r="E292" s="28" t="str">
        <x:v>зависит от продукта</x:v>
      </x:c>
      <x:c r="F292" s="28" t="str">
        <x:v>нет данных</x:v>
      </x:c>
      <x:c r="G292" s="28" t="str">
        <x:v>зависит от формы продукта</x:v>
      </x:c>
      <x:c r="H292" s="28" t="str">
        <x:v>Для точного молекулярного вывода нужен профиль конкретного ингредиента и способа обработки.</x:v>
      </x:c>
      <x:c r="I292" s="28" t="n">
        <x:f>COUNTIF('Все сочетания'!$C:$C,A292)+COUNTIF('Все сочетания'!$F:$F,A292)</x:f>
        <x:v>2</x:v>
      </x:c>
    </x:row>
    <x:row r="293" ht="46" customHeight="1">
      <x:c r="A293" s="28" t="str">
        <x:v>свежие лепестки розы</x:v>
      </x:c>
      <x:c r="B293" s="28" t="str">
        <x:v>Прочее</x:v>
      </x:c>
      <x:c r="C293" s="28" t="str">
        <x:v>нейтральный/специфический</x:v>
      </x:c>
      <x:c r="D293" s="28" t="str">
        <x:v>нужен профиль конкретного продукта</x:v>
      </x:c>
      <x:c r="E293" s="28" t="str">
        <x:v>зависит от продукта</x:v>
      </x:c>
      <x:c r="F293" s="28" t="str">
        <x:v>нет данных</x:v>
      </x:c>
      <x:c r="G293" s="28" t="str">
        <x:v>зависит от формы продукта</x:v>
      </x:c>
      <x:c r="H293" s="28" t="str">
        <x:v>Для точного молекулярного вывода нужен профиль конкретного ингредиента и способа обработки.</x:v>
      </x:c>
      <x:c r="I293" s="28" t="n">
        <x:f>COUNTIF('Все сочетания'!$C:$C,A293)+COUNTIF('Все сочетания'!$F:$F,A293)</x:f>
        <x:v>1</x:v>
      </x:c>
    </x:row>
    <x:row r="294" ht="46" customHeight="1">
      <x:c r="A294" s="28" t="str">
        <x:v>свежие цветы лаванды</x:v>
      </x:c>
      <x:c r="B294" s="28" t="str">
        <x:v>Прочее</x:v>
      </x:c>
      <x:c r="C294" s="28" t="str">
        <x:v>нейтральный/специфический</x:v>
      </x:c>
      <x:c r="D294" s="28" t="str">
        <x:v>нужен профиль конкретного продукта</x:v>
      </x:c>
      <x:c r="E294" s="28" t="str">
        <x:v>зависит от продукта</x:v>
      </x:c>
      <x:c r="F294" s="28" t="str">
        <x:v>нет данных</x:v>
      </x:c>
      <x:c r="G294" s="28" t="str">
        <x:v>зависит от формы продукта</x:v>
      </x:c>
      <x:c r="H294" s="28" t="str">
        <x:v>Для точного молекулярного вывода нужен профиль конкретного ингредиента и способа обработки.</x:v>
      </x:c>
      <x:c r="I294" s="28" t="n">
        <x:f>COUNTIF('Все сочетания'!$C:$C,A294)+COUNTIF('Все сочетания'!$F:$F,A294)</x:f>
        <x:v>2</x:v>
      </x:c>
    </x:row>
    <x:row r="295" ht="46" customHeight="1">
      <x:c r="A295" s="28" t="str">
        <x:v>свежий корень имбиря</x:v>
      </x:c>
      <x:c r="B295" s="28" t="str">
        <x:v>Пряности</x:v>
      </x:c>
      <x:c r="C295" s="28" t="str">
        <x:v>цитрусовый, пряный, древесный, тёплый</x:v>
      </x:c>
      <x:c r="D295" s="28" t="str">
        <x:v>зингиберен, цитраль, гераниол, гингеролы/шогаолы</x:v>
      </x:c>
      <x:c r="E295" s="28" t="str">
        <x:v>острый, слегка сладкий</x:v>
      </x:c>
      <x:c r="F295" s="28" t="str">
        <x:v>гингеролы и шогаолы активируют TRPV1 и дают тепло</x:v>
      </x:c>
      <x:c r="G295" s="28" t="str">
        <x:v>ароматические терпены лучше извлекаются этанолом и жиром</x:v>
      </x:c>
      <x:c r="H295" s="28" t="str">
        <x:v>Свежий имбирь более цитрусовый, нагретый и сушёный — более тёплый и жгучий.</x:v>
      </x:c>
      <x:c r="I295" s="28" t="n">
        <x:f>COUNTIF('Все сочетания'!$C:$C,A295)+COUNTIF('Все сочетания'!$F:$F,A295)</x:f>
        <x:v>2</x:v>
      </x:c>
    </x:row>
    <x:row r="296" ht="46" customHeight="1">
      <x:c r="A296" s="28" t="str">
        <x:v>свекла</x:v>
      </x:c>
      <x:c r="B296" s="28" t="str">
        <x:v>Овощи</x:v>
      </x:c>
      <x:c r="C296" s="28" t="str">
        <x:v>зелёный, землистый, растительный, иногда сернистый</x:v>
      </x:c>
      <x:c r="D296" s="28" t="str">
        <x:v>C6-альдегиды, метоксипиразины, геосмин (землистые), сернистые соединения</x:v>
      </x:c>
      <x:c r="E296" s="28" t="str">
        <x:v>сладковатый, горьковатый, умами</x:v>
      </x:c>
      <x:c r="F296" s="28" t="str">
        <x:v>нет выраженного</x:v>
      </x:c>
      <x:c r="G296" s="28" t="str">
        <x:v>водная/крахмальная матрица; масло помогает распределить цедру</x:v>
      </x:c>
      <x:c r="H296" s="28" t="str">
        <x:v>Кислота подчёркивает сладость овощей и сокращает землистое или сернистое послевкусие.</x:v>
      </x:c>
      <x:c r="I296" s="28" t="n">
        <x:f>COUNTIF('Все сочетания'!$C:$C,A296)+COUNTIF('Все сочетания'!$F:$F,A296)</x:f>
        <x:v>1</x:v>
      </x:c>
    </x:row>
    <x:row r="297" ht="46" customHeight="1">
      <x:c r="A297" s="28" t="str">
        <x:v>светлый соевый соус широ</x:v>
      </x:c>
      <x:c r="B297" s="28" t="str">
        <x:v>Соусы и ферментированные продукты</x:v>
      </x:c>
      <x:c r="C297" s="28" t="str">
        <x:v>кислый, умами, ферментированный, пряный</x:v>
      </x:c>
      <x:c r="D297" s="28" t="str">
        <x:v>уксусная/молочная кислота, эфиры ферментации, пептиды умами</x:v>
      </x:c>
      <x:c r="E297" s="28" t="str">
        <x:v>кислый, солёный, умами</x:v>
      </x:c>
      <x:c r="F297" s="28" t="str">
        <x:v>в пряных соусах возможен капсаициновый жар</x:v>
      </x:c>
      <x:c r="G297" s="28" t="str">
        <x:v>водная солёно-кислая матрица</x:v>
      </x:c>
      <x:c r="H297" s="28" t="str">
        <x:v>Цитрус добавляет верхние ноты и может заменить часть уксуса, но избыток кислоты нарушит баланс.</x:v>
      </x:c>
      <x:c r="I297" s="28" t="n">
        <x:f>COUNTIF('Все сочетания'!$C:$C,A297)+COUNTIF('Все сочетания'!$F:$F,A297)</x:f>
        <x:v>1</x:v>
      </x:c>
    </x:row>
    <x:row r="298" ht="46" customHeight="1">
      <x:c r="A298" s="28" t="str">
        <x:v>свинина</x:v>
      </x:c>
      <x:c r="B298" s="28" t="str">
        <x:v>Мясо и птица</x:v>
      </x:c>
      <x:c r="C298" s="28" t="str">
        <x:v>жареный, мясной, сернистый, жирный</x:v>
      </x:c>
      <x:c r="D298" s="28" t="str">
        <x:v>пиразины, тиазолы, альдегиды жиров, сернистые соединения</x:v>
      </x:c>
      <x:c r="E298" s="28" t="str">
        <x:v>умами, солёный, жирный</x:v>
      </x:c>
      <x:c r="F298" s="28" t="str">
        <x:v>нет выраженного</x:v>
      </x:c>
      <x:c r="G298" s="28" t="str">
        <x:v>жир удерживает терпеновые масла; кислота снижает ощущение жирности</x:v>
      </x:c>
      <x:c r="H298" s="28" t="str">
        <x:v>Цитрус создаёт контраст с реакциями Майяра и освежает мясную матрицу.</x:v>
      </x:c>
      <x:c r="I298" s="28" t="n">
        <x:f>COUNTIF('Все сочетания'!$C:$C,A298)+COUNTIF('Все сочетания'!$F:$F,A298)</x:f>
        <x:v>1</x:v>
      </x:c>
    </x:row>
    <x:row r="299" ht="46" customHeight="1">
      <x:c r="A299" s="28" t="str">
        <x:v>семена зиры</x:v>
      </x:c>
      <x:c r="B299" s="28" t="str">
        <x:v>Орехи и семена</x:v>
      </x:c>
      <x:c r="C299" s="28" t="str">
        <x:v>ореховый, обжаренный, жирный, зелёный</x:v>
      </x:c>
      <x:c r="D299" s="28" t="str">
        <x:v>пиразины, альдегиды окисления жиров, бензальдегид (миндаль)</x:v>
      </x:c>
      <x:c r="E299" s="28" t="str">
        <x:v>сладковатый, горьковатый</x:v>
      </x:c>
      <x:c r="F299" s="28" t="str">
        <x:v>нет выраженного</x:v>
      </x:c>
      <x:c r="G299" s="28" t="str">
        <x:v>высокая жирность растворяет терпеновые масла цитруса</x:v>
      </x:c>
      <x:c r="H299" s="28" t="str">
        <x:v>Кислота режет жирность, а цедра связывается с обжаренными и цветочными нотами.</x:v>
      </x:c>
      <x:c r="I299" s="28" t="n">
        <x:f>COUNTIF('Все сочетания'!$C:$C,A299)+COUNTIF('Все сочетания'!$F:$F,A299)</x:f>
        <x:v>1</x:v>
      </x:c>
    </x:row>
    <x:row r="300" ht="46" customHeight="1">
      <x:c r="A300" s="28" t="str">
        <x:v>семена кардамона</x:v>
      </x:c>
      <x:c r="B300" s="28" t="str">
        <x:v>Пряности</x:v>
      </x:c>
      <x:c r="C300" s="28" t="str">
        <x:v>цитрусовый, камфорный, цветочный, эвкалиптовый</x:v>
      </x:c>
      <x:c r="D300" s="28" t="str">
        <x:v>1,8-цинеол, альфа-терпинилацетат, линалол, лимонен</x:v>
      </x:c>
      <x:c r="E300" s="28" t="str">
        <x:v>пряный, слегка горький</x:v>
      </x:c>
      <x:c r="F300" s="28" t="str">
        <x:v>1,8-цинеол создаёт прохладно-камфорное ощущение</x:v>
      </x:c>
      <x:c r="G300" s="28" t="str">
        <x:v>эфирные масла гидрофобны, хорошо переходят в жир и спирт</x:v>
      </x:c>
      <x:c r="H300" s="28" t="str">
        <x:v>Кардамон часто служит мостом между цитрусом, цветами и древесными нотами.</x:v>
      </x:c>
      <x:c r="I300" s="28" t="n">
        <x:f>COUNTIF('Все сочетания'!$C:$C,A300)+COUNTIF('Все сочетания'!$F:$F,A300)</x:f>
        <x:v>1</x:v>
      </x:c>
    </x:row>
    <x:row r="301" ht="46" customHeight="1">
      <x:c r="A301" s="28" t="str">
        <x:v>семена кориандра</x:v>
      </x:c>
      <x:c r="B301" s="28" t="str">
        <x:v>Травы/пряности</x:v>
      </x:c>
      <x:c r="C301" s="28" t="str">
        <x:v>цитрусовый, зелёный, цветочный</x:v>
      </x:c>
      <x:c r="D301" s="28" t="str">
        <x:v>линалол, деканаль, додеканаль</x:v>
      </x:c>
      <x:c r="E301" s="28" t="str">
        <x:v>травяной, слегка горький</x:v>
      </x:c>
      <x:c r="F301" s="28" t="str">
        <x:v>нет выраженного</x:v>
      </x:c>
      <x:c r="G301" s="28" t="str">
        <x:v>листья чувствительны к нагреву; семена устойчивее и слаще</x:v>
      </x:c>
      <x:c r="H301" s="28" t="str">
        <x:v>Линалоол создаёт прямой ароматический мост с цитрусами.</x:v>
      </x:c>
      <x:c r="I301" s="28" t="n">
        <x:f>COUNTIF('Все сочетания'!$C:$C,A301)+COUNTIF('Все сочетания'!$F:$F,A301)</x:f>
        <x:v>2</x:v>
      </x:c>
    </x:row>
    <x:row r="302" ht="46" customHeight="1">
      <x:c r="A302" s="28" t="str">
        <x:v>семена льна</x:v>
      </x:c>
      <x:c r="B302" s="28" t="str">
        <x:v>Орехи и семена</x:v>
      </x:c>
      <x:c r="C302" s="28" t="str">
        <x:v>ореховый, обжаренный, жирный, зелёный</x:v>
      </x:c>
      <x:c r="D302" s="28" t="str">
        <x:v>пиразины, альдегиды окисления жиров, бензальдегид (миндаль)</x:v>
      </x:c>
      <x:c r="E302" s="28" t="str">
        <x:v>сладковатый, горьковатый</x:v>
      </x:c>
      <x:c r="F302" s="28" t="str">
        <x:v>нет выраженного</x:v>
      </x:c>
      <x:c r="G302" s="28" t="str">
        <x:v>высокая жирность растворяет терпеновые масла цитруса</x:v>
      </x:c>
      <x:c r="H302" s="28" t="str">
        <x:v>Кислота режет жирность, а цедра связывается с обжаренными и цветочными нотами.</x:v>
      </x:c>
      <x:c r="I302" s="28" t="n">
        <x:f>COUNTIF('Все сочетания'!$C:$C,A302)+COUNTIF('Все сочетания'!$F:$F,A302)</x:f>
        <x:v>1</x:v>
      </x:c>
    </x:row>
    <x:row r="303" ht="46" customHeight="1">
      <x:c r="A303" s="28" t="str">
        <x:v>семена укропа</x:v>
      </x:c>
      <x:c r="B303" s="28" t="str">
        <x:v>Орехи и семена</x:v>
      </x:c>
      <x:c r="C303" s="28" t="str">
        <x:v>ореховый, обжаренный, жирный, зелёный</x:v>
      </x:c>
      <x:c r="D303" s="28" t="str">
        <x:v>пиразины, альдегиды окисления жиров, бензальдегид (миндаль)</x:v>
      </x:c>
      <x:c r="E303" s="28" t="str">
        <x:v>сладковатый, горьковатый</x:v>
      </x:c>
      <x:c r="F303" s="28" t="str">
        <x:v>нет выраженного</x:v>
      </x:c>
      <x:c r="G303" s="28" t="str">
        <x:v>высокая жирность растворяет терпеновые масла цитруса</x:v>
      </x:c>
      <x:c r="H303" s="28" t="str">
        <x:v>Кислота режет жирность, а цедра связывается с обжаренными и цветочными нотами.</x:v>
      </x:c>
      <x:c r="I303" s="28" t="n">
        <x:f>COUNTIF('Все сочетания'!$C:$C,A303)+COUNTIF('Все сочетания'!$F:$F,A303)</x:f>
        <x:v>1</x:v>
      </x:c>
    </x:row>
    <x:row r="304" ht="46" customHeight="1">
      <x:c r="A304" s="28" t="str">
        <x:v>семена чёрного тмина</x:v>
      </x:c>
      <x:c r="B304" s="28" t="str">
        <x:v>Орехи и семена</x:v>
      </x:c>
      <x:c r="C304" s="28" t="str">
        <x:v>ореховый, обжаренный, жирный, зелёный</x:v>
      </x:c>
      <x:c r="D304" s="28" t="str">
        <x:v>пиразины, альдегиды окисления жиров, бензальдегид (миндаль)</x:v>
      </x:c>
      <x:c r="E304" s="28" t="str">
        <x:v>сладковатый, горьковатый</x:v>
      </x:c>
      <x:c r="F304" s="28" t="str">
        <x:v>нет выраженного</x:v>
      </x:c>
      <x:c r="G304" s="28" t="str">
        <x:v>высокая жирность растворяет терпеновые масла цитруса</x:v>
      </x:c>
      <x:c r="H304" s="28" t="str">
        <x:v>Кислота режет жирность, а цедра связывается с обжаренными и цветочными нотами.</x:v>
      </x:c>
      <x:c r="I304" s="28" t="n">
        <x:f>COUNTIF('Все сочетания'!$C:$C,A304)+COUNTIF('Все сочетания'!$F:$F,A304)</x:f>
        <x:v>4</x:v>
      </x:c>
    </x:row>
    <x:row r="305" ht="46" customHeight="1">
      <x:c r="A305" s="28" t="str">
        <x:v>сено</x:v>
      </x:c>
      <x:c r="B305" s="28" t="str">
        <x:v>Прочее</x:v>
      </x:c>
      <x:c r="C305" s="28" t="str">
        <x:v>нейтральный/специфический</x:v>
      </x:c>
      <x:c r="D305" s="28" t="str">
        <x:v>нужен профиль конкретного продукта</x:v>
      </x:c>
      <x:c r="E305" s="28" t="str">
        <x:v>зависит от продукта</x:v>
      </x:c>
      <x:c r="F305" s="28" t="str">
        <x:v>нет данных</x:v>
      </x:c>
      <x:c r="G305" s="28" t="str">
        <x:v>зависит от формы продукта</x:v>
      </x:c>
      <x:c r="H305" s="28" t="str">
        <x:v>Для точного молекулярного вывода нужен профиль конкретного ингредиента и способа обработки.</x:v>
      </x:c>
      <x:c r="I305" s="28" t="n">
        <x:f>COUNTIF('Все сочетания'!$C:$C,A305)+COUNTIF('Все сочетания'!$F:$F,A305)</x:f>
        <x:v>1</x:v>
      </x:c>
    </x:row>
    <x:row r="306" ht="46" customHeight="1">
      <x:c r="A306" s="28" t="str">
        <x:v>скрэмбл</x:v>
      </x:c>
      <x:c r="B306" s="28" t="str">
        <x:v>Прочее</x:v>
      </x:c>
      <x:c r="C306" s="28" t="str">
        <x:v>нейтральный/специфический</x:v>
      </x:c>
      <x:c r="D306" s="28" t="str">
        <x:v>нужен профиль конкретного продукта</x:v>
      </x:c>
      <x:c r="E306" s="28" t="str">
        <x:v>зависит от продукта</x:v>
      </x:c>
      <x:c r="F306" s="28" t="str">
        <x:v>нет данных</x:v>
      </x:c>
      <x:c r="G306" s="28" t="str">
        <x:v>зависит от формы продукта</x:v>
      </x:c>
      <x:c r="H306" s="28" t="str">
        <x:v>Для точного молекулярного вывода нужен профиль конкретного ингредиента и способа обработки.</x:v>
      </x:c>
      <x:c r="I306" s="28" t="n">
        <x:f>COUNTIF('Все сочетания'!$C:$C,A306)+COUNTIF('Все сочетания'!$F:$F,A306)</x:f>
        <x:v>2</x:v>
      </x:c>
    </x:row>
    <x:row r="307" ht="46" customHeight="1">
      <x:c r="A307" s="28" t="str">
        <x:v>слива</x:v>
      </x:c>
      <x:c r="B307" s="28" t="str">
        <x:v>Косточковые фрукты</x:v>
      </x:c>
      <x:c r="C307" s="28" t="str">
        <x:v>фруктовый, цветочный, сливочный, миндальный</x:v>
      </x:c>
      <x:c r="D307" s="28" t="str">
        <x:v>гамма- и дельта-лактоны, бензальдегид, дамасценон</x:v>
      </x:c>
      <x:c r="E307" s="28" t="str">
        <x:v>сладкий, умеренно кислый</x:v>
      </x:c>
      <x:c r="F307" s="28" t="str">
        <x:v>нет выраженного</x:v>
      </x:c>
      <x:c r="G307" s="28" t="str">
        <x:v>сочная матрица; лактоны лучше ощущаются в жирной/сливочной среде</x:v>
      </x:c>
      <x:c r="H307" s="28" t="str">
        <x:v>Цитрус добавляет кислотность, а лактоны смягчают его резкость.</x:v>
      </x:c>
      <x:c r="I307" s="28" t="n">
        <x:f>COUNTIF('Все сочетания'!$C:$C,A307)+COUNTIF('Все сочетания'!$F:$F,A307)</x:f>
        <x:v>2</x:v>
      </x:c>
    </x:row>
    <x:row r="308" ht="46" customHeight="1">
      <x:c r="A308" s="28" t="str">
        <x:v>сметана</x:v>
      </x:c>
      <x:c r="B308" s="28" t="str">
        <x:v>Прочее</x:v>
      </x:c>
      <x:c r="C308" s="28" t="str">
        <x:v>нейтральный/специфический</x:v>
      </x:c>
      <x:c r="D308" s="28" t="str">
        <x:v>нужен профиль конкретного продукта</x:v>
      </x:c>
      <x:c r="E308" s="28" t="str">
        <x:v>зависит от продукта</x:v>
      </x:c>
      <x:c r="F308" s="28" t="str">
        <x:v>нет данных</x:v>
      </x:c>
      <x:c r="G308" s="28" t="str">
        <x:v>зависит от формы продукта</x:v>
      </x:c>
      <x:c r="H308" s="28" t="str">
        <x:v>Для точного молекулярного вывода нужен профиль конкретного ингредиента и способа обработки.</x:v>
      </x:c>
      <x:c r="I308" s="28" t="n">
        <x:f>COUNTIF('Все сочетания'!$C:$C,A308)+COUNTIF('Все сочетания'!$F:$F,A308)</x:f>
        <x:v>3</x:v>
      </x:c>
    </x:row>
    <x:row r="309" ht="46" customHeight="1">
      <x:c r="A309" s="28" t="str">
        <x:v>смородина</x:v>
      </x:c>
      <x:c r="B309" s="28" t="str">
        <x:v>Ягоды/косточковые</x:v>
      </x:c>
      <x:c r="C309" s="28" t="str">
        <x:v>фруктовый, цветочный, зелёный, винный</x:v>
      </x:c>
      <x:c r="D309" s="28" t="str">
        <x:v>иононы, дамасценон, эфиры, бензальдегид (для косточковых)</x:v>
      </x:c>
      <x:c r="E309" s="28" t="str">
        <x:v>кисло-сладкий, иногда терпкий</x:v>
      </x:c>
      <x:c r="F309" s="28" t="str">
        <x:v>нет выраженного</x:v>
      </x:c>
      <x:c r="G309" s="28" t="str">
        <x:v>водная матрица с антоцианами и полифенолами</x:v>
      </x:c>
      <x:c r="H309" s="28" t="str">
        <x:v>Цитрус усиливает кислотный контур, а цветочные терпены поддерживают ягодный аромат.</x:v>
      </x:c>
      <x:c r="I309" s="28" t="n">
        <x:f>COUNTIF('Все сочетания'!$C:$C,A309)+COUNTIF('Все сочетания'!$F:$F,A309)</x:f>
        <x:v>1</x:v>
      </x:c>
    </x:row>
    <x:row r="310" ht="46" customHeight="1">
      <x:c r="A310" s="28" t="str">
        <x:v>соевый йогурт</x:v>
      </x:c>
      <x:c r="B310" s="28" t="str">
        <x:v>Молочные продукты</x:v>
      </x:c>
      <x:c r="C310" s="28" t="str">
        <x:v>сливочный, молочный, масляный, иногда животный</x:v>
      </x:c>
      <x:c r="D310" s="28" t="str">
        <x:v>диацетил, молочные лактоны, свободные жирные кислоты</x:v>
      </x:c>
      <x:c r="E310" s="28" t="str">
        <x:v>жирный, солёный/умами, кислый у ферментированных</x:v>
      </x:c>
      <x:c r="F310" s="28" t="str">
        <x:v>нет выраженного</x:v>
      </x:c>
      <x:c r="G310" s="28" t="str">
        <x:v>жир растворяет терпены; кислота цитруса может коагулировать молочный белок</x:v>
      </x:c>
      <x:c r="H310" s="28" t="str">
        <x:v>Цитрус режет жирность и освежает, а молочная матрица смягчает кислотность.</x:v>
      </x:c>
      <x:c r="I310" s="28" t="n">
        <x:f>COUNTIF('Все сочетания'!$C:$C,A310)+COUNTIF('Все сочетания'!$F:$F,A310)</x:f>
        <x:v>1</x:v>
      </x:c>
    </x:row>
    <x:row r="311" ht="46" customHeight="1">
      <x:c r="A311" s="28" t="str">
        <x:v>сок бузины</x:v>
      </x:c>
      <x:c r="B311" s="28" t="str">
        <x:v>Прочее</x:v>
      </x:c>
      <x:c r="C311" s="28" t="str">
        <x:v>нейтральный/специфический</x:v>
      </x:c>
      <x:c r="D311" s="28" t="str">
        <x:v>нужен профиль конкретного продукта</x:v>
      </x:c>
      <x:c r="E311" s="28" t="str">
        <x:v>зависит от продукта</x:v>
      </x:c>
      <x:c r="F311" s="28" t="str">
        <x:v>нет данных</x:v>
      </x:c>
      <x:c r="G311" s="28" t="str">
        <x:v>зависит от формы продукта</x:v>
      </x:c>
      <x:c r="H311" s="28" t="str">
        <x:v>Для точного молекулярного вывода нужен профиль конкретного ингредиента и способа обработки.</x:v>
      </x:c>
      <x:c r="I311" s="28" t="n">
        <x:f>COUNTIF('Все сочетания'!$C:$C,A311)+COUNTIF('Все сочетания'!$F:$F,A311)</x:f>
        <x:v>1</x:v>
      </x:c>
    </x:row>
    <x:row r="312" ht="46" customHeight="1">
      <x:c r="A312" s="28" t="str">
        <x:v>сок лайма</x:v>
      </x:c>
      <x:c r="B312" s="28" t="str">
        <x:v>Цитрусовые</x:v>
      </x:c>
      <x:c r="C312" s="28" t="str">
        <x:v>цитрусовый, зелёный, травяной, камфорный</x:v>
      </x:c>
      <x:c r="D312" s="28" t="str">
        <x:v>лимонен, гамма-терпинен, цитраль, бета-пинен, линалол</x:v>
      </x:c>
      <x:c r="E312" s="28" t="str">
        <x:v>кислый, слабо горький</x:v>
      </x:c>
      <x:c r="F312" s="28" t="str">
        <x:v>кислота усиливает слюноотделение; зелёные терпены создают ощущение прохлады</x:v>
      </x:c>
      <x:c r="G312" s="28" t="str">
        <x:v>сок — водная кислая фаза; цедра — масляная терпеновая</x:v>
      </x:c>
      <x:c r="H312" s="28" t="str">
        <x:v>Лаймовые цитрусы дают более зелёный и камфорный профиль, чем сладкий апельсин.</x:v>
      </x:c>
      <x:c r="I312" s="28" t="n">
        <x:f>COUNTIF('Все сочетания'!$C:$C,A312)+COUNTIF('Все сочетания'!$F:$F,A312)</x:f>
        <x:v>14</x:v>
      </x:c>
    </x:row>
    <x:row r="313" ht="46" customHeight="1">
      <x:c r="A313" s="28" t="str">
        <x:v>соус чили</x:v>
      </x:c>
      <x:c r="B313" s="28" t="str">
        <x:v>Пряности</x:v>
      </x:c>
      <x:c r="C313" s="28" t="str">
        <x:v>зелёный, фруктовый, пряный</x:v>
      </x:c>
      <x:c r="D313" s="28" t="str">
        <x:v>капсаицин, пиразины, эфиры</x:v>
      </x:c>
      <x:c r="E313" s="28" t="str">
        <x:v>острый, слегка сладкий</x:v>
      </x:c>
      <x:c r="F313" s="28" t="str">
        <x:v>капсаицин активирует TRPV1 и создаёт жжение</x:v>
      </x:c>
      <x:c r="G313" s="28" t="str">
        <x:v>капсаицин жирорастворим; кислота не нейтрализует жжение, но усиливает слюноотделение</x:v>
      </x:c>
      <x:c r="H313" s="28" t="str">
        <x:v>Фруктовые чили могут поддерживать цитрусовые эфиры, но острота требует баланса.</x:v>
      </x:c>
      <x:c r="I313" s="28" t="n">
        <x:f>COUNTIF('Все сочетания'!$C:$C,A313)+COUNTIF('Все сочетания'!$F:$F,A313)</x:f>
        <x:v>2</x:v>
      </x:c>
    </x:row>
    <x:row r="314" ht="46" customHeight="1">
      <x:c r="A314" s="28" t="str">
        <x:v>спаржа</x:v>
      </x:c>
      <x:c r="B314" s="28" t="str">
        <x:v>Овощи</x:v>
      </x:c>
      <x:c r="C314" s="28" t="str">
        <x:v>зелёный, землистый, растительный, иногда сернистый</x:v>
      </x:c>
      <x:c r="D314" s="28" t="str">
        <x:v>C6-альдегиды, метоксипиразины, геосмин (землистые), сернистые соединения</x:v>
      </x:c>
      <x:c r="E314" s="28" t="str">
        <x:v>сладковатый, горьковатый, умами</x:v>
      </x:c>
      <x:c r="F314" s="28" t="str">
        <x:v>нет выраженного</x:v>
      </x:c>
      <x:c r="G314" s="28" t="str">
        <x:v>водная/крахмальная матрица; масло помогает распределить цедру</x:v>
      </x:c>
      <x:c r="H314" s="28" t="str">
        <x:v>Кислота подчёркивает сладость овощей и сокращает землистое или сернистое послевкусие.</x:v>
      </x:c>
      <x:c r="I314" s="28" t="n">
        <x:f>COUNTIF('Все сочетания'!$C:$C,A314)+COUNTIF('Все сочетания'!$F:$F,A314)</x:f>
        <x:v>2</x:v>
      </x:c>
    </x:row>
    <x:row r="315" ht="46" customHeight="1">
      <x:c r="A315" s="28" t="str">
        <x:v>сумах</x:v>
      </x:c>
      <x:c r="B315" s="28" t="str">
        <x:v>Прочее</x:v>
      </x:c>
      <x:c r="C315" s="28" t="str">
        <x:v>нейтральный/специфический</x:v>
      </x:c>
      <x:c r="D315" s="28" t="str">
        <x:v>нужен профиль конкретного продукта</x:v>
      </x:c>
      <x:c r="E315" s="28" t="str">
        <x:v>зависит от продукта</x:v>
      </x:c>
      <x:c r="F315" s="28" t="str">
        <x:v>нет данных</x:v>
      </x:c>
      <x:c r="G315" s="28" t="str">
        <x:v>зависит от формы продукта</x:v>
      </x:c>
      <x:c r="H315" s="28" t="str">
        <x:v>Для точного молекулярного вывода нужен профиль конкретного ингредиента и способа обработки.</x:v>
      </x:c>
      <x:c r="I315" s="28" t="n">
        <x:f>COUNTIF('Все сочетания'!$C:$C,A315)+COUNTIF('Все сочетания'!$F:$F,A315)</x:f>
        <x:v>2</x:v>
      </x:c>
    </x:row>
    <x:row r="316" ht="46" customHeight="1">
      <x:c r="A316" s="28" t="str">
        <x:v>сушёная вешенка</x:v>
      </x:c>
      <x:c r="B316" s="28" t="str">
        <x:v>Прочее</x:v>
      </x:c>
      <x:c r="C316" s="28" t="str">
        <x:v>нейтральный/специфический</x:v>
      </x:c>
      <x:c r="D316" s="28" t="str">
        <x:v>нужен профиль конкретного продукта</x:v>
      </x:c>
      <x:c r="E316" s="28" t="str">
        <x:v>зависит от продукта</x:v>
      </x:c>
      <x:c r="F316" s="28" t="str">
        <x:v>нет данных</x:v>
      </x:c>
      <x:c r="G316" s="28" t="str">
        <x:v>зависит от формы продукта</x:v>
      </x:c>
      <x:c r="H316" s="28" t="str">
        <x:v>Для точного молекулярного вывода нужен профиль конкретного ингредиента и способа обработки.</x:v>
      </x:c>
      <x:c r="I316" s="28" t="n">
        <x:f>COUNTIF('Все сочетания'!$C:$C,A316)+COUNTIF('Все сочетания'!$F:$F,A316)</x:f>
        <x:v>1</x:v>
      </x:c>
    </x:row>
    <x:row r="317" ht="46" customHeight="1">
      <x:c r="A317" s="28" t="str">
        <x:v>сушёная припприока</x:v>
      </x:c>
      <x:c r="B317" s="28" t="str">
        <x:v>Прочее</x:v>
      </x:c>
      <x:c r="C317" s="28" t="str">
        <x:v>нейтральный/специфический</x:v>
      </x:c>
      <x:c r="D317" s="28" t="str">
        <x:v>нужен профиль конкретного продукта</x:v>
      </x:c>
      <x:c r="E317" s="28" t="str">
        <x:v>зависит от продукта</x:v>
      </x:c>
      <x:c r="F317" s="28" t="str">
        <x:v>нет данных</x:v>
      </x:c>
      <x:c r="G317" s="28" t="str">
        <x:v>зависит от формы продукта</x:v>
      </x:c>
      <x:c r="H317" s="28" t="str">
        <x:v>Для точного молекулярного вывода нужен профиль конкретного ингредиента и способа обработки.</x:v>
      </x:c>
      <x:c r="I317" s="28" t="n">
        <x:f>COUNTIF('Все сочетания'!$C:$C,A317)+COUNTIF('Все сочетания'!$F:$F,A317)</x:f>
        <x:v>1</x:v>
      </x:c>
    </x:row>
    <x:row r="318" ht="46" customHeight="1">
      <x:c r="A318" s="28" t="str">
        <x:v>сушёные листья тмина</x:v>
      </x:c>
      <x:c r="B318" s="28" t="str">
        <x:v>Прочее</x:v>
      </x:c>
      <x:c r="C318" s="28" t="str">
        <x:v>нейтральный/специфический</x:v>
      </x:c>
      <x:c r="D318" s="28" t="str">
        <x:v>нужен профиль конкретного продукта</x:v>
      </x:c>
      <x:c r="E318" s="28" t="str">
        <x:v>зависит от продукта</x:v>
      </x:c>
      <x:c r="F318" s="28" t="str">
        <x:v>нет данных</x:v>
      </x:c>
      <x:c r="G318" s="28" t="str">
        <x:v>зависит от формы продукта</x:v>
      </x:c>
      <x:c r="H318" s="28" t="str">
        <x:v>Для точного молекулярного вывода нужен профиль конкретного ингредиента и способа обработки.</x:v>
      </x:c>
      <x:c r="I318" s="28" t="n">
        <x:f>COUNTIF('Все сочетания'!$C:$C,A318)+COUNTIF('Все сочетания'!$F:$F,A318)</x:f>
        <x:v>1</x:v>
      </x:c>
    </x:row>
    <x:row r="319" ht="46" customHeight="1">
      <x:c r="A319" s="28" t="str">
        <x:v>сушёные листья эвкалипта</x:v>
      </x:c>
      <x:c r="B319" s="28" t="str">
        <x:v>Прочее</x:v>
      </x:c>
      <x:c r="C319" s="28" t="str">
        <x:v>нейтральный/специфический</x:v>
      </x:c>
      <x:c r="D319" s="28" t="str">
        <x:v>нужен профиль конкретного продукта</x:v>
      </x:c>
      <x:c r="E319" s="28" t="str">
        <x:v>зависит от продукта</x:v>
      </x:c>
      <x:c r="F319" s="28" t="str">
        <x:v>нет данных</x:v>
      </x:c>
      <x:c r="G319" s="28" t="str">
        <x:v>зависит от формы продукта</x:v>
      </x:c>
      <x:c r="H319" s="28" t="str">
        <x:v>Для точного молекулярного вывода нужен профиль конкретного ингредиента и способа обработки.</x:v>
      </x:c>
      <x:c r="I319" s="28" t="n">
        <x:f>COUNTIF('Все сочетания'!$C:$C,A319)+COUNTIF('Все сочетания'!$F:$F,A319)</x:f>
        <x:v>2</x:v>
      </x:c>
    </x:row>
    <x:row r="320" ht="46" customHeight="1">
      <x:c r="A320" s="28" t="str">
        <x:v>сушёные семена сельдерея</x:v>
      </x:c>
      <x:c r="B320" s="28" t="str">
        <x:v>Орехи и семена</x:v>
      </x:c>
      <x:c r="C320" s="28" t="str">
        <x:v>ореховый, обжаренный, жирный, зелёный</x:v>
      </x:c>
      <x:c r="D320" s="28" t="str">
        <x:v>пиразины, альдегиды окисления жиров, бензальдегид (миндаль)</x:v>
      </x:c>
      <x:c r="E320" s="28" t="str">
        <x:v>сладковатый, горьковатый</x:v>
      </x:c>
      <x:c r="F320" s="28" t="str">
        <x:v>нет выраженного</x:v>
      </x:c>
      <x:c r="G320" s="28" t="str">
        <x:v>высокая жирность растворяет терпеновые масла цитруса</x:v>
      </x:c>
      <x:c r="H320" s="28" t="str">
        <x:v>Кислота режет жирность, а цедра связывается с обжаренными и цветочными нотами.</x:v>
      </x:c>
      <x:c r="I320" s="28" t="n">
        <x:f>COUNTIF('Все сочетания'!$C:$C,A320)+COUNTIF('Все сочетания'!$F:$F,A320)</x:f>
        <x:v>1</x:v>
      </x:c>
    </x:row>
    <x:row r="321" ht="46" customHeight="1">
      <x:c r="A321" s="28" t="str">
        <x:v>сушёные ягоды годжи</x:v>
      </x:c>
      <x:c r="B321" s="28" t="str">
        <x:v>Ягоды/косточковые</x:v>
      </x:c>
      <x:c r="C321" s="28" t="str">
        <x:v>фруктовый, цветочный, зелёный, винный</x:v>
      </x:c>
      <x:c r="D321" s="28" t="str">
        <x:v>иононы, дамасценон, эфиры, бензальдегид (для косточковых)</x:v>
      </x:c>
      <x:c r="E321" s="28" t="str">
        <x:v>кисло-сладкий, иногда терпкий</x:v>
      </x:c>
      <x:c r="F321" s="28" t="str">
        <x:v>нет выраженного</x:v>
      </x:c>
      <x:c r="G321" s="28" t="str">
        <x:v>водная матрица с антоцианами и полифенолами</x:v>
      </x:c>
      <x:c r="H321" s="28" t="str">
        <x:v>Цитрус усиливает кислотный контур, а цветочные терпены поддерживают ягодный аромат.</x:v>
      </x:c>
      <x:c r="I321" s="28" t="n">
        <x:f>COUNTIF('Все сочетания'!$C:$C,A321)+COUNTIF('Все сочетания'!$F:$F,A321)</x:f>
        <x:v>1</x:v>
      </x:c>
    </x:row>
    <x:row r="322" ht="46" customHeight="1">
      <x:c r="A322" s="28" t="str">
        <x:v>сушёные ягоды можжевельника</x:v>
      </x:c>
      <x:c r="B322" s="28" t="str">
        <x:v>Ягоды/косточковые</x:v>
      </x:c>
      <x:c r="C322" s="28" t="str">
        <x:v>фруктовый, цветочный, зелёный, винный</x:v>
      </x:c>
      <x:c r="D322" s="28" t="str">
        <x:v>иононы, дамасценон, эфиры, бензальдегид (для косточковых)</x:v>
      </x:c>
      <x:c r="E322" s="28" t="str">
        <x:v>кисло-сладкий, иногда терпкий</x:v>
      </x:c>
      <x:c r="F322" s="28" t="str">
        <x:v>нет выраженного</x:v>
      </x:c>
      <x:c r="G322" s="28" t="str">
        <x:v>водная матрица с антоцианами и полифенолами</x:v>
      </x:c>
      <x:c r="H322" s="28" t="str">
        <x:v>Цитрус усиливает кислотный контур, а цветочные терпены поддерживают ягодный аромат.</x:v>
      </x:c>
      <x:c r="I322" s="28" t="n">
        <x:f>COUNTIF('Все сочетания'!$C:$C,A322)+COUNTIF('Все сочетания'!$F:$F,A322)</x:f>
        <x:v>1</x:v>
      </x:c>
    </x:row>
    <x:row r="323" ht="46" customHeight="1">
      <x:c r="A323" s="28" t="str">
        <x:v>сушёный барбарис</x:v>
      </x:c>
      <x:c r="B323" s="28" t="str">
        <x:v>Злаки и хлеб</x:v>
      </x:c>
      <x:c r="C323" s="28" t="str">
        <x:v>зерновой, обжаренный, ореховый, дрожжевой</x:v>
      </x:c>
      <x:c r="D323" s="28" t="str">
        <x:v>пиразины, мальтол, фураны, эфиры брожения</x:v>
      </x:c>
      <x:c r="E323" s="28" t="str">
        <x:v>сладковатый, умами</x:v>
      </x:c>
      <x:c r="F323" s="28" t="str">
        <x:v>нет выраженного</x:v>
      </x:c>
      <x:c r="G323" s="28" t="str">
        <x:v>крахмал смягчает кислотность; жир/масло помогает аромату цедры</x:v>
      </x:c>
      <x:c r="H323" s="28" t="str">
        <x:v>Цитрус освежает зерновой профиль и создаёт контраст с обжаренными нотами.</x:v>
      </x:c>
      <x:c r="I323" s="28" t="n">
        <x:f>COUNTIF('Все сочетания'!$C:$C,A323)+COUNTIF('Все сочетания'!$F:$F,A323)</x:f>
        <x:v>1</x:v>
      </x:c>
    </x:row>
    <x:row r="324" ht="46" customHeight="1">
      <x:c r="A324" s="28" t="str">
        <x:v>сушёный гибискус</x:v>
      </x:c>
      <x:c r="B324" s="28" t="str">
        <x:v>Прочее</x:v>
      </x:c>
      <x:c r="C324" s="28" t="str">
        <x:v>нейтральный/специфический</x:v>
      </x:c>
      <x:c r="D324" s="28" t="str">
        <x:v>нужен профиль конкретного продукта</x:v>
      </x:c>
      <x:c r="E324" s="28" t="str">
        <x:v>зависит от продукта</x:v>
      </x:c>
      <x:c r="F324" s="28" t="str">
        <x:v>нет данных</x:v>
      </x:c>
      <x:c r="G324" s="28" t="str">
        <x:v>зависит от формы продукта</x:v>
      </x:c>
      <x:c r="H324" s="28" t="str">
        <x:v>Для точного молекулярного вывода нужен профиль конкретного ингредиента и способа обработки.</x:v>
      </x:c>
      <x:c r="I324" s="28" t="n">
        <x:f>COUNTIF('Все сочетания'!$C:$C,A324)+COUNTIF('Все сочетания'!$F:$F,A324)</x:f>
        <x:v>2</x:v>
      </x:c>
    </x:row>
    <x:row r="325" ht="46" customHeight="1">
      <x:c r="A325" s="28" t="str">
        <x:v>сушёный корень дягиля</x:v>
      </x:c>
      <x:c r="B325" s="28" t="str">
        <x:v>Прочее</x:v>
      </x:c>
      <x:c r="C325" s="28" t="str">
        <x:v>нейтральный/специфический</x:v>
      </x:c>
      <x:c r="D325" s="28" t="str">
        <x:v>нужен профиль конкретного продукта</x:v>
      </x:c>
      <x:c r="E325" s="28" t="str">
        <x:v>зависит от продукта</x:v>
      </x:c>
      <x:c r="F325" s="28" t="str">
        <x:v>нет данных</x:v>
      </x:c>
      <x:c r="G325" s="28" t="str">
        <x:v>зависит от формы продукта</x:v>
      </x:c>
      <x:c r="H325" s="28" t="str">
        <x:v>Для точного молекулярного вывода нужен профиль конкретного ингредиента и способа обработки.</x:v>
      </x:c>
      <x:c r="I325" s="28" t="n">
        <x:f>COUNTIF('Все сочетания'!$C:$C,A325)+COUNTIF('Все сочетания'!$F:$F,A325)</x:f>
        <x:v>1</x:v>
      </x:c>
    </x:row>
    <x:row r="326" ht="46" customHeight="1">
      <x:c r="A326" s="28" t="str">
        <x:v>сушёный лавровый лист</x:v>
      </x:c>
      <x:c r="B326" s="28" t="str">
        <x:v>Прочее</x:v>
      </x:c>
      <x:c r="C326" s="28" t="str">
        <x:v>нейтральный/специфический</x:v>
      </x:c>
      <x:c r="D326" s="28" t="str">
        <x:v>нужен профиль конкретного продукта</x:v>
      </x:c>
      <x:c r="E326" s="28" t="str">
        <x:v>зависит от продукта</x:v>
      </x:c>
      <x:c r="F326" s="28" t="str">
        <x:v>нет данных</x:v>
      </x:c>
      <x:c r="G326" s="28" t="str">
        <x:v>зависит от формы продукта</x:v>
      </x:c>
      <x:c r="H326" s="28" t="str">
        <x:v>Для точного молекулярного вывода нужен профиль конкретного ингредиента и способа обработки.</x:v>
      </x:c>
      <x:c r="I326" s="28" t="n">
        <x:f>COUNTIF('Все сочетания'!$C:$C,A326)+COUNTIF('Все сочетания'!$F:$F,A326)</x:f>
        <x:v>1</x:v>
      </x:c>
    </x:row>
    <x:row r="327" ht="46" customHeight="1">
      <x:c r="A327" s="28" t="str">
        <x:v>сушёный лимонный мирт</x:v>
      </x:c>
      <x:c r="B327" s="28" t="str">
        <x:v>Прочее</x:v>
      </x:c>
      <x:c r="C327" s="28" t="str">
        <x:v>нейтральный/специфический</x:v>
      </x:c>
      <x:c r="D327" s="28" t="str">
        <x:v>нужен профиль конкретного продукта</x:v>
      </x:c>
      <x:c r="E327" s="28" t="str">
        <x:v>зависит от продукта</x:v>
      </x:c>
      <x:c r="F327" s="28" t="str">
        <x:v>нет данных</x:v>
      </x:c>
      <x:c r="G327" s="28" t="str">
        <x:v>зависит от формы продукта</x:v>
      </x:c>
      <x:c r="H327" s="28" t="str">
        <x:v>Для точного молекулярного вывода нужен профиль конкретного ингредиента и способа обработки.</x:v>
      </x:c>
      <x:c r="I327" s="28" t="n">
        <x:f>COUNTIF('Все сочетания'!$C:$C,A327)+COUNTIF('Все сочетания'!$F:$F,A327)</x:f>
        <x:v>1</x:v>
      </x:c>
    </x:row>
    <x:row r="328" ht="46" customHeight="1">
      <x:c r="A328" s="28" t="str">
        <x:v>сушёный лист макрут-лайма</x:v>
      </x:c>
      <x:c r="B328" s="28" t="str">
        <x:v>Цитрусовые</x:v>
      </x:c>
      <x:c r="C328" s="28" t="str">
        <x:v>цитрусовый, зелёный, травяной, камфорный</x:v>
      </x:c>
      <x:c r="D328" s="28" t="str">
        <x:v>лимонен, гамма-терпинен, цитраль, бета-пинен, линалол</x:v>
      </x:c>
      <x:c r="E328" s="28" t="str">
        <x:v>кислый, слабо горький</x:v>
      </x:c>
      <x:c r="F328" s="28" t="str">
        <x:v>кислота усиливает слюноотделение; зелёные терпены создают ощущение прохлады</x:v>
      </x:c>
      <x:c r="G328" s="28" t="str">
        <x:v>сок — водная кислая фаза; цедра — масляная терпеновая</x:v>
      </x:c>
      <x:c r="H328" s="28" t="str">
        <x:v>Лаймовые цитрусы дают более зелёный и камфорный профиль, чем сладкий апельсин.</x:v>
      </x:c>
      <x:c r="I328" s="28" t="n">
        <x:f>COUNTIF('Все сочетания'!$C:$C,A328)+COUNTIF('Все сочетания'!$F:$F,A328)</x:f>
        <x:v>1</x:v>
      </x:c>
    </x:row>
    <x:row r="329" ht="46" customHeight="1">
      <x:c r="A329" s="28" t="str">
        <x:v>сушёный орегано</x:v>
      </x:c>
      <x:c r="B329" s="28" t="str">
        <x:v>Травы</x:v>
      </x:c>
      <x:c r="C329" s="28" t="str">
        <x:v>травяной, хвойный, камфорный, древесный</x:v>
      </x:c>
      <x:c r="D329" s="28" t="str">
        <x:v>1,8-цинеол, камфора, тимол/карвакрол, альфа-пинен</x:v>
      </x:c>
      <x:c r="E329" s="28" t="str">
        <x:v>горьковатый, пряный</x:v>
      </x:c>
      <x:c r="F329" s="28" t="str">
        <x:v>камфора и цинеол дают прохладно-камфорное ощущение</x:v>
      </x:c>
      <x:c r="G329" s="28" t="str">
        <x:v>эфирные масла лучше раскрываются в жире и спирте</x:v>
      </x:c>
      <x:c r="H329" s="28" t="str">
        <x:v>Хвойно-терпеновый профиль способен продолжить цитрусовую цедру.</x:v>
      </x:c>
      <x:c r="I329" s="28" t="n">
        <x:f>COUNTIF('Все сочетания'!$C:$C,A329)+COUNTIF('Все сочетания'!$F:$F,A329)</x:f>
        <x:v>3</x:v>
      </x:c>
    </x:row>
    <x:row r="330" ht="46" customHeight="1">
      <x:c r="A330" s="28" t="str">
        <x:v>сыр Bouton de Culotte</x:v>
      </x:c>
      <x:c r="B330" s="28" t="str">
        <x:v>Молочные продукты</x:v>
      </x:c>
      <x:c r="C330" s="28" t="str">
        <x:v>сливочный, молочный, масляный, иногда животный</x:v>
      </x:c>
      <x:c r="D330" s="28" t="str">
        <x:v>диацетил, молочные лактоны, свободные жирные кислоты</x:v>
      </x:c>
      <x:c r="E330" s="28" t="str">
        <x:v>жирный, солёный/умами, кислый у ферментированных</x:v>
      </x:c>
      <x:c r="F330" s="28" t="str">
        <x:v>нет выраженного</x:v>
      </x:c>
      <x:c r="G330" s="28" t="str">
        <x:v>жир растворяет терпены; кислота цитруса может коагулировать молочный белок</x:v>
      </x:c>
      <x:c r="H330" s="28" t="str">
        <x:v>Цитрус режет жирность и освежает, а молочная матрица смягчает кислотность.</x:v>
      </x:c>
      <x:c r="I330" s="28" t="n">
        <x:f>COUNTIF('Все сочетания'!$C:$C,A330)+COUNTIF('Все сочетания'!$F:$F,A330)</x:f>
        <x:v>1</x:v>
      </x:c>
    </x:row>
    <x:row r="331" ht="46" customHeight="1">
      <x:c r="A331" s="28" t="str">
        <x:v>сыр романо</x:v>
      </x:c>
      <x:c r="B331" s="28" t="str">
        <x:v>Молочные продукты</x:v>
      </x:c>
      <x:c r="C331" s="28" t="str">
        <x:v>сливочный, молочный, масляный, иногда животный</x:v>
      </x:c>
      <x:c r="D331" s="28" t="str">
        <x:v>диацетил, молочные лактоны, свободные жирные кислоты</x:v>
      </x:c>
      <x:c r="E331" s="28" t="str">
        <x:v>жирный, солёный/умами, кислый у ферментированных</x:v>
      </x:c>
      <x:c r="F331" s="28" t="str">
        <x:v>нет выраженного</x:v>
      </x:c>
      <x:c r="G331" s="28" t="str">
        <x:v>жир растворяет терпены; кислота цитруса может коагулировать молочный белок</x:v>
      </x:c>
      <x:c r="H331" s="28" t="str">
        <x:v>Цитрус режет жирность и освежает, а молочная матрица смягчает кислотность.</x:v>
      </x:c>
      <x:c r="I331" s="28" t="n">
        <x:f>COUNTIF('Все сочетания'!$C:$C,A331)+COUNTIF('Все сочетания'!$F:$F,A331)</x:f>
        <x:v>1</x:v>
      </x:c>
    </x:row>
    <x:row r="332" ht="46" customHeight="1">
      <x:c r="A332" s="28" t="str">
        <x:v>сыровяленая ветчина Цзиньхуа</x:v>
      </x:c>
      <x:c r="B332" s="28" t="str">
        <x:v>Молочные продукты</x:v>
      </x:c>
      <x:c r="C332" s="28" t="str">
        <x:v>сливочный, молочный, масляный, иногда животный</x:v>
      </x:c>
      <x:c r="D332" s="28" t="str">
        <x:v>диацетил, молочные лактоны, свободные жирные кислоты</x:v>
      </x:c>
      <x:c r="E332" s="28" t="str">
        <x:v>жирный, солёный/умами, кислый у ферментированных</x:v>
      </x:c>
      <x:c r="F332" s="28" t="str">
        <x:v>нет выраженного</x:v>
      </x:c>
      <x:c r="G332" s="28" t="str">
        <x:v>жир растворяет терпены; кислота цитруса может коагулировать молочный белок</x:v>
      </x:c>
      <x:c r="H332" s="28" t="str">
        <x:v>Цитрус режет жирность и освежает, а молочная матрица смягчает кислотность.</x:v>
      </x:c>
      <x:c r="I332" s="28" t="n">
        <x:f>COUNTIF('Все сочетания'!$C:$C,A332)+COUNTIF('Все сочетания'!$F:$F,A332)</x:f>
        <x:v>1</x:v>
      </x:c>
    </x:row>
    <x:row r="333" ht="46" customHeight="1">
      <x:c r="A333" s="28" t="str">
        <x:v>тайская красная паста карри</x:v>
      </x:c>
      <x:c r="B333" s="28" t="str">
        <x:v>Соусы и ферментированные продукты</x:v>
      </x:c>
      <x:c r="C333" s="28" t="str">
        <x:v>кислый, умами, ферментированный, пряный</x:v>
      </x:c>
      <x:c r="D333" s="28" t="str">
        <x:v>уксусная/молочная кислота, эфиры ферментации, пептиды умами</x:v>
      </x:c>
      <x:c r="E333" s="28" t="str">
        <x:v>кислый, солёный, умами</x:v>
      </x:c>
      <x:c r="F333" s="28" t="str">
        <x:v>в пряных соусах возможен капсаициновый жар</x:v>
      </x:c>
      <x:c r="G333" s="28" t="str">
        <x:v>водная солёно-кислая матрица</x:v>
      </x:c>
      <x:c r="H333" s="28" t="str">
        <x:v>Цитрус добавляет верхние ноты и может заменить часть уксуса, но избыток кислоты нарушит баланс.</x:v>
      </x:c>
      <x:c r="I333" s="28" t="n">
        <x:f>COUNTIF('Все сочетания'!$C:$C,A333)+COUNTIF('Все сочетания'!$F:$F,A333)</x:f>
        <x:v>1</x:v>
      </x:c>
    </x:row>
    <x:row r="334" ht="46" customHeight="1">
      <x:c r="A334" s="28" t="str">
        <x:v>танжерин</x:v>
      </x:c>
      <x:c r="B334" s="28" t="str">
        <x:v>Цитрусовые</x:v>
      </x:c>
      <x:c r="C334" s="28" t="str">
        <x:v>цитрусовый, фруктовый, цветочный, пряный</x:v>
      </x:c>
      <x:c r="D334" s="28" t="str">
        <x:v>лимонен, гамма-терпинен, метил-N-метилантранилат, линалол</x:v>
      </x:c>
      <x:c r="E334" s="28" t="str">
        <x:v>кисло-сладкий, лёгкая горечь кожуры</x:v>
      </x:c>
      <x:c r="F334" s="28" t="str">
        <x:v>нет выраженного</x:v>
      </x:c>
      <x:c r="G334" s="28" t="str">
        <x:v>сок водный; кожура богата эфирным маслом</x:v>
      </x:c>
      <x:c r="H334" s="28" t="str">
        <x:v>Мандариновая группа мягче по кислотности и выраженнее по сладко-цветочным нотам.</x:v>
      </x:c>
      <x:c r="I334" s="28" t="n">
        <x:f>COUNTIF('Все сочетания'!$C:$C,A334)+COUNTIF('Все сочетания'!$F:$F,A334)</x:f>
        <x:v>20</x:v>
      </x:c>
    </x:row>
    <x:row r="335" ht="46" customHeight="1">
      <x:c r="A335" s="28" t="str">
        <x:v>танжерин (tangerine)</x:v>
      </x:c>
      <x:c r="B335" s="28" t="str">
        <x:v>Цитрусовые</x:v>
      </x:c>
      <x:c r="C335" s="28" t="str">
        <x:v>цитрусовый, фруктовый, цветочный, пряный</x:v>
      </x:c>
      <x:c r="D335" s="28" t="str">
        <x:v>лимонен, гамма-терпинен, метил-N-метилантранилат, линалол</x:v>
      </x:c>
      <x:c r="E335" s="28" t="str">
        <x:v>кисло-сладкий, лёгкая горечь кожуры</x:v>
      </x:c>
      <x:c r="F335" s="28" t="str">
        <x:v>нет выраженного</x:v>
      </x:c>
      <x:c r="G335" s="28" t="str">
        <x:v>сок водный; кожура богата эфирным маслом</x:v>
      </x:c>
      <x:c r="H335" s="28" t="str">
        <x:v>Мандариновая группа мягче по кислотности и выраженнее по сладко-цветочным нотам.</x:v>
      </x:c>
      <x:c r="I335" s="28" t="n">
        <x:f>COUNTIF('Все сочетания'!$C:$C,A335)+COUNTIF('Все сочетания'!$F:$F,A335)</x:f>
        <x:v>12</x:v>
      </x:c>
    </x:row>
    <x:row r="336" ht="46" customHeight="1">
      <x:c r="A336" s="28" t="str">
        <x:v>тархун</x:v>
      </x:c>
      <x:c r="B336" s="28" t="str">
        <x:v>Прочее</x:v>
      </x:c>
      <x:c r="C336" s="28" t="str">
        <x:v>нейтральный/специфический</x:v>
      </x:c>
      <x:c r="D336" s="28" t="str">
        <x:v>нужен профиль конкретного продукта</x:v>
      </x:c>
      <x:c r="E336" s="28" t="str">
        <x:v>зависит от продукта</x:v>
      </x:c>
      <x:c r="F336" s="28" t="str">
        <x:v>нет данных</x:v>
      </x:c>
      <x:c r="G336" s="28" t="str">
        <x:v>зависит от формы продукта</x:v>
      </x:c>
      <x:c r="H336" s="28" t="str">
        <x:v>Для точного молекулярного вывода нужен профиль конкретного ингредиента и способа обработки.</x:v>
      </x:c>
      <x:c r="I336" s="28" t="n">
        <x:f>COUNTIF('Все сочетания'!$C:$C,A336)+COUNTIF('Все сочетания'!$F:$F,A336)</x:f>
        <x:v>4</x:v>
      </x:c>
    </x:row>
    <x:row r="337" ht="46" customHeight="1">
      <x:c r="A337" s="28" t="str">
        <x:v>твердый сыр</x:v>
      </x:c>
      <x:c r="B337" s="28" t="str">
        <x:v>Молочные продукты</x:v>
      </x:c>
      <x:c r="C337" s="28" t="str">
        <x:v>сливочный, молочный, масляный, иногда животный</x:v>
      </x:c>
      <x:c r="D337" s="28" t="str">
        <x:v>диацетил, молочные лактоны, свободные жирные кислоты</x:v>
      </x:c>
      <x:c r="E337" s="28" t="str">
        <x:v>жирный, солёный/умами, кислый у ферментированных</x:v>
      </x:c>
      <x:c r="F337" s="28" t="str">
        <x:v>нет выраженного</x:v>
      </x:c>
      <x:c r="G337" s="28" t="str">
        <x:v>жир растворяет терпены; кислота цитруса может коагулировать молочный белок</x:v>
      </x:c>
      <x:c r="H337" s="28" t="str">
        <x:v>Цитрус режет жирность и освежает, а молочная матрица смягчает кислотность.</x:v>
      </x:c>
      <x:c r="I337" s="28" t="n">
        <x:f>COUNTIF('Все сочетания'!$C:$C,A337)+COUNTIF('Все сочетания'!$F:$F,A337)</x:f>
        <x:v>1</x:v>
      </x:c>
    </x:row>
    <x:row r="338" ht="46" customHeight="1">
      <x:c r="A338" s="28" t="str">
        <x:v>телячий бульон</x:v>
      </x:c>
      <x:c r="B338" s="28" t="str">
        <x:v>Мясо и птица</x:v>
      </x:c>
      <x:c r="C338" s="28" t="str">
        <x:v>жареный, мясной, сернистый, жирный</x:v>
      </x:c>
      <x:c r="D338" s="28" t="str">
        <x:v>пиразины, тиазолы, альдегиды жиров, сернистые соединения</x:v>
      </x:c>
      <x:c r="E338" s="28" t="str">
        <x:v>умами, солёный, жирный</x:v>
      </x:c>
      <x:c r="F338" s="28" t="str">
        <x:v>нет выраженного</x:v>
      </x:c>
      <x:c r="G338" s="28" t="str">
        <x:v>жир удерживает терпеновые масла; кислота снижает ощущение жирности</x:v>
      </x:c>
      <x:c r="H338" s="28" t="str">
        <x:v>Цитрус создаёт контраст с реакциями Майяра и освежает мясную матрицу.</x:v>
      </x:c>
      <x:c r="I338" s="28" t="n">
        <x:f>COUNTIF('Все сочетания'!$C:$C,A338)+COUNTIF('Все сочетания'!$F:$F,A338)</x:f>
        <x:v>1</x:v>
      </x:c>
    </x:row>
    <x:row r="339" ht="46" customHeight="1">
      <x:c r="A339" s="28" t="str">
        <x:v>тёмный шоколад</x:v>
      </x:c>
      <x:c r="B339" s="28" t="str">
        <x:v>Шоколад/обжаренное</x:v>
      </x:c>
      <x:c r="C339" s="28" t="str">
        <x:v>обжаренный, какао, ореховый, карамельный</x:v>
      </x:c>
      <x:c r="D339" s="28" t="str">
        <x:v>пиразины, фураны, фенилуксусная кислота, ванилин</x:v>
      </x:c>
      <x:c r="E339" s="28" t="str">
        <x:v>горький, сладкий</x:v>
      </x:c>
      <x:c r="F339" s="28" t="str">
        <x:v>нет выраженного</x:v>
      </x:c>
      <x:c r="G339" s="28" t="str">
        <x:v>жир какао удерживает гидрофобные терпены</x:v>
      </x:c>
      <x:c r="H339" s="28" t="str">
        <x:v>Цитрус даёт высокую свежую ноту на фоне тёмных жареных соединений.</x:v>
      </x:c>
      <x:c r="I339" s="28" t="n">
        <x:f>COUNTIF('Все сочетания'!$C:$C,A339)+COUNTIF('Все сочетания'!$F:$F,A339)</x:f>
        <x:v>2</x:v>
      </x:c>
    </x:row>
    <x:row r="340" ht="46" customHeight="1">
      <x:c r="A340" s="28" t="str">
        <x:v>тимьян</x:v>
      </x:c>
      <x:c r="B340" s="28" t="str">
        <x:v>Травы</x:v>
      </x:c>
      <x:c r="C340" s="28" t="str">
        <x:v>травяной, хвойный, камфорный, древесный</x:v>
      </x:c>
      <x:c r="D340" s="28" t="str">
        <x:v>1,8-цинеол, камфора, тимол/карвакрол, альфа-пинен</x:v>
      </x:c>
      <x:c r="E340" s="28" t="str">
        <x:v>горьковатый, пряный</x:v>
      </x:c>
      <x:c r="F340" s="28" t="str">
        <x:v>камфора и цинеол дают прохладно-камфорное ощущение</x:v>
      </x:c>
      <x:c r="G340" s="28" t="str">
        <x:v>эфирные масла лучше раскрываются в жире и спирте</x:v>
      </x:c>
      <x:c r="H340" s="28" t="str">
        <x:v>Хвойно-терпеновый профиль способен продолжить цитрусовую цедру.</x:v>
      </x:c>
      <x:c r="I340" s="28" t="n">
        <x:f>COUNTIF('Все сочетания'!$C:$C,A340)+COUNTIF('Все сочетания'!$F:$F,A340)</x:f>
        <x:v>6</x:v>
      </x:c>
    </x:row>
    <x:row r="341" ht="46" customHeight="1">
      <x:c r="A341" s="28" t="str">
        <x:v>тмин</x:v>
      </x:c>
      <x:c r="B341" s="28" t="str">
        <x:v>Прочее</x:v>
      </x:c>
      <x:c r="C341" s="28" t="str">
        <x:v>нейтральный/специфический</x:v>
      </x:c>
      <x:c r="D341" s="28" t="str">
        <x:v>нужен профиль конкретного продукта</x:v>
      </x:c>
      <x:c r="E341" s="28" t="str">
        <x:v>зависит от продукта</x:v>
      </x:c>
      <x:c r="F341" s="28" t="str">
        <x:v>нет данных</x:v>
      </x:c>
      <x:c r="G341" s="28" t="str">
        <x:v>зависит от формы продукта</x:v>
      </x:c>
      <x:c r="H341" s="28" t="str">
        <x:v>Для точного молекулярного вывода нужен профиль конкретного ингредиента и способа обработки.</x:v>
      </x:c>
      <x:c r="I341" s="28" t="n">
        <x:f>COUNTIF('Все сочетания'!$C:$C,A341)+COUNTIF('Все сочетания'!$F:$F,A341)</x:f>
        <x:v>2</x:v>
      </x:c>
    </x:row>
    <x:row r="342" ht="46" customHeight="1">
      <x:c r="A342" s="28" t="str">
        <x:v>томат</x:v>
      </x:c>
      <x:c r="B342" s="28" t="str">
        <x:v>Овощи</x:v>
      </x:c>
      <x:c r="C342" s="28" t="str">
        <x:v>зелёный, землистый, растительный, иногда сернистый</x:v>
      </x:c>
      <x:c r="D342" s="28" t="str">
        <x:v>C6-альдегиды, метоксипиразины, геосмин (землистые), сернистые соединения</x:v>
      </x:c>
      <x:c r="E342" s="28" t="str">
        <x:v>сладковатый, горьковатый, умами</x:v>
      </x:c>
      <x:c r="F342" s="28" t="str">
        <x:v>нет выраженного</x:v>
      </x:c>
      <x:c r="G342" s="28" t="str">
        <x:v>водная/крахмальная матрица; масло помогает распределить цедру</x:v>
      </x:c>
      <x:c r="H342" s="28" t="str">
        <x:v>Кислота подчёркивает сладость овощей и сокращает землистое или сернистое послевкусие.</x:v>
      </x:c>
      <x:c r="I342" s="28" t="n">
        <x:f>COUNTIF('Все сочетания'!$C:$C,A342)+COUNTIF('Все сочетания'!$F:$F,A342)</x:f>
        <x:v>2</x:v>
      </x:c>
    </x:row>
    <x:row r="343" ht="46" customHeight="1">
      <x:c r="A343" s="28" t="str">
        <x:v>томатильо</x:v>
      </x:c>
      <x:c r="B343" s="28" t="str">
        <x:v>Овощи</x:v>
      </x:c>
      <x:c r="C343" s="28" t="str">
        <x:v>зелёный, землистый, растительный, иногда сернистый</x:v>
      </x:c>
      <x:c r="D343" s="28" t="str">
        <x:v>C6-альдегиды, метоксипиразины, геосмин (землистые), сернистые соединения</x:v>
      </x:c>
      <x:c r="E343" s="28" t="str">
        <x:v>сладковатый, горьковатый, умами</x:v>
      </x:c>
      <x:c r="F343" s="28" t="str">
        <x:v>нет выраженного</x:v>
      </x:c>
      <x:c r="G343" s="28" t="str">
        <x:v>водная/крахмальная матрица; масло помогает распределить цедру</x:v>
      </x:c>
      <x:c r="H343" s="28" t="str">
        <x:v>Кислота подчёркивает сладость овощей и сокращает землистое или сернистое послевкусие.</x:v>
      </x:c>
      <x:c r="I343" s="28" t="n">
        <x:f>COUNTIF('Все сочетания'!$C:$C,A343)+COUNTIF('Все сочетания'!$F:$F,A343)</x:f>
        <x:v>2</x:v>
      </x:c>
    </x:row>
    <x:row r="344" ht="46" customHeight="1">
      <x:c r="A344" s="28" t="str">
        <x:v>томатный кетчуп</x:v>
      </x:c>
      <x:c r="B344" s="28" t="str">
        <x:v>Овощи</x:v>
      </x:c>
      <x:c r="C344" s="28" t="str">
        <x:v>зелёный, землистый, растительный, иногда сернистый</x:v>
      </x:c>
      <x:c r="D344" s="28" t="str">
        <x:v>C6-альдегиды, метоксипиразины, геосмин (землистые), сернистые соединения</x:v>
      </x:c>
      <x:c r="E344" s="28" t="str">
        <x:v>сладковатый, горьковатый, умами</x:v>
      </x:c>
      <x:c r="F344" s="28" t="str">
        <x:v>нет выраженного</x:v>
      </x:c>
      <x:c r="G344" s="28" t="str">
        <x:v>водная/крахмальная матрица; масло помогает распределить цедру</x:v>
      </x:c>
      <x:c r="H344" s="28" t="str">
        <x:v>Кислота подчёркивает сладость овощей и сокращает землистое или сернистое послевкусие.</x:v>
      </x:c>
      <x:c r="I344" s="28" t="n">
        <x:f>COUNTIF('Все сочетания'!$C:$C,A344)+COUNTIF('Все сочетания'!$F:$F,A344)</x:f>
        <x:v>1</x:v>
      </x:c>
    </x:row>
    <x:row r="345" ht="46" customHeight="1">
      <x:c r="A345" s="28" t="str">
        <x:v>томаты</x:v>
      </x:c>
      <x:c r="B345" s="28" t="str">
        <x:v>Овощи</x:v>
      </x:c>
      <x:c r="C345" s="28" t="str">
        <x:v>зелёный, землистый, растительный, иногда сернистый</x:v>
      </x:c>
      <x:c r="D345" s="28" t="str">
        <x:v>C6-альдегиды, метоксипиразины, геосмин (землистые), сернистые соединения</x:v>
      </x:c>
      <x:c r="E345" s="28" t="str">
        <x:v>сладковатый, горьковатый, умами</x:v>
      </x:c>
      <x:c r="F345" s="28" t="str">
        <x:v>нет выраженного</x:v>
      </x:c>
      <x:c r="G345" s="28" t="str">
        <x:v>водная/крахмальная матрица; масло помогает распределить цедру</x:v>
      </x:c>
      <x:c r="H345" s="28" t="str">
        <x:v>Кислота подчёркивает сладость овощей и сокращает землистое или сернистое послевкусие.</x:v>
      </x:c>
      <x:c r="I345" s="28" t="n">
        <x:f>COUNTIF('Все сочетания'!$C:$C,A345)+COUNTIF('Все сочетания'!$F:$F,A345)</x:f>
        <x:v>2</x:v>
      </x:c>
    </x:row>
    <x:row r="346" ht="46" customHeight="1">
      <x:c r="A346" s="28" t="str">
        <x:v>трипл-сек</x:v>
      </x:c>
      <x:c r="B346" s="28" t="str">
        <x:v>Цитрусовые</x:v>
      </x:c>
      <x:c r="C346" s="28" t="str">
        <x:v>цитрусовый, сладко-фруктовый, цветочный, восковой</x:v>
      </x:c>
      <x:c r="D346" s="28" t="str">
        <x:v>лимонен, линалол, деканаль, октаналь, мирцен</x:v>
      </x:c>
      <x:c r="E346" s="28" t="str">
        <x:v>кисло-сладкий, горечь кожуры</x:v>
      </x:c>
      <x:c r="F346" s="28" t="str">
        <x:v>нет выраженного</x:v>
      </x:c>
      <x:c r="G346" s="28" t="str">
        <x:v>сок водный; цедра и ликёры несут гидрофобные эфирные масла</x:v>
      </x:c>
      <x:c r="H346" s="28" t="str">
        <x:v>Апельсиновый профиль строится на лимонене и альдегидах с восково-сладкой нотой.</x:v>
      </x:c>
      <x:c r="I346" s="28" t="n">
        <x:f>COUNTIF('Все сочетания'!$C:$C,A346)+COUNTIF('Все сочетания'!$F:$F,A346)</x:f>
        <x:v>3</x:v>
      </x:c>
    </x:row>
    <x:row r="347" ht="46" customHeight="1">
      <x:c r="A347" s="28" t="str">
        <x:v>тропические фрукты</x:v>
      </x:c>
      <x:c r="B347" s="28" t="str">
        <x:v>Прочее</x:v>
      </x:c>
      <x:c r="C347" s="28" t="str">
        <x:v>нейтральный/специфический</x:v>
      </x:c>
      <x:c r="D347" s="28" t="str">
        <x:v>нужен профиль конкретного продукта</x:v>
      </x:c>
      <x:c r="E347" s="28" t="str">
        <x:v>зависит от продукта</x:v>
      </x:c>
      <x:c r="F347" s="28" t="str">
        <x:v>нет данных</x:v>
      </x:c>
      <x:c r="G347" s="28" t="str">
        <x:v>зависит от формы продукта</x:v>
      </x:c>
      <x:c r="H347" s="28" t="str">
        <x:v>Для точного молекулярного вывода нужен профиль конкретного ингредиента и способа обработки.</x:v>
      </x:c>
      <x:c r="I347" s="28" t="n">
        <x:f>COUNTIF('Все сочетания'!$C:$C,A347)+COUNTIF('Все сочетания'!$F:$F,A347)</x:f>
        <x:v>1</x:v>
      </x:c>
    </x:row>
    <x:row r="348" ht="46" customHeight="1">
      <x:c r="A348" s="28" t="str">
        <x:v>тыква</x:v>
      </x:c>
      <x:c r="B348" s="28" t="str">
        <x:v>Овощи</x:v>
      </x:c>
      <x:c r="C348" s="28" t="str">
        <x:v>зелёный, землистый, растительный, иногда сернистый</x:v>
      </x:c>
      <x:c r="D348" s="28" t="str">
        <x:v>C6-альдегиды, метоксипиразины, геосмин (землистые), сернистые соединения</x:v>
      </x:c>
      <x:c r="E348" s="28" t="str">
        <x:v>сладковатый, горьковатый, умами</x:v>
      </x:c>
      <x:c r="F348" s="28" t="str">
        <x:v>нет выраженного</x:v>
      </x:c>
      <x:c r="G348" s="28" t="str">
        <x:v>водная/крахмальная матрица; масло помогает распределить цедру</x:v>
      </x:c>
      <x:c r="H348" s="28" t="str">
        <x:v>Кислота подчёркивает сладость овощей и сокращает землистое или сернистое послевкусие.</x:v>
      </x:c>
      <x:c r="I348" s="28" t="n">
        <x:f>COUNTIF('Все сочетания'!$C:$C,A348)+COUNTIF('Все сочетания'!$F:$F,A348)</x:f>
        <x:v>4</x:v>
      </x:c>
    </x:row>
    <x:row r="349" ht="46" customHeight="1">
      <x:c r="A349" s="28" t="str">
        <x:v>тыква баттернат</x:v>
      </x:c>
      <x:c r="B349" s="28" t="str">
        <x:v>Овощи</x:v>
      </x:c>
      <x:c r="C349" s="28" t="str">
        <x:v>зелёный, землистый, растительный, иногда сернистый</x:v>
      </x:c>
      <x:c r="D349" s="28" t="str">
        <x:v>C6-альдегиды, метоксипиразины, геосмин (землистые), сернистые соединения</x:v>
      </x:c>
      <x:c r="E349" s="28" t="str">
        <x:v>сладковатый, горьковатый, умами</x:v>
      </x:c>
      <x:c r="F349" s="28" t="str">
        <x:v>нет выраженного</x:v>
      </x:c>
      <x:c r="G349" s="28" t="str">
        <x:v>водная/крахмальная матрица; масло помогает распределить цедру</x:v>
      </x:c>
      <x:c r="H349" s="28" t="str">
        <x:v>Кислота подчёркивает сладость овощей и сокращает землистое или сернистое послевкусие.</x:v>
      </x:c>
      <x:c r="I349" s="28" t="n">
        <x:f>COUNTIF('Все сочетания'!$C:$C,A349)+COUNTIF('Все сочетания'!$F:$F,A349)</x:f>
        <x:v>1</x:v>
      </x:c>
    </x:row>
    <x:row r="350" ht="46" customHeight="1">
      <x:c r="A350" s="28" t="str">
        <x:v>тюрбо на гриле</x:v>
      </x:c>
      <x:c r="B350" s="28" t="str">
        <x:v>Прочее</x:v>
      </x:c>
      <x:c r="C350" s="28" t="str">
        <x:v>нейтральный/специфический</x:v>
      </x:c>
      <x:c r="D350" s="28" t="str">
        <x:v>нужен профиль конкретного продукта</x:v>
      </x:c>
      <x:c r="E350" s="28" t="str">
        <x:v>зависит от продукта</x:v>
      </x:c>
      <x:c r="F350" s="28" t="str">
        <x:v>нет данных</x:v>
      </x:c>
      <x:c r="G350" s="28" t="str">
        <x:v>зависит от формы продукта</x:v>
      </x:c>
      <x:c r="H350" s="28" t="str">
        <x:v>Для точного молекулярного вывода нужен профиль конкретного ингредиента и способа обработки.</x:v>
      </x:c>
      <x:c r="I350" s="28" t="n">
        <x:f>COUNTIF('Все сочетания'!$C:$C,A350)+COUNTIF('Все сочетания'!$F:$F,A350)</x:f>
        <x:v>1</x:v>
      </x:c>
    </x:row>
    <x:row r="351" ht="46" customHeight="1">
      <x:c r="A351" s="28" t="str">
        <x:v>укроп</x:v>
      </x:c>
      <x:c r="B351" s="28" t="str">
        <x:v>Прочее</x:v>
      </x:c>
      <x:c r="C351" s="28" t="str">
        <x:v>нейтральный/специфический</x:v>
      </x:c>
      <x:c r="D351" s="28" t="str">
        <x:v>нужен профиль конкретного продукта</x:v>
      </x:c>
      <x:c r="E351" s="28" t="str">
        <x:v>зависит от продукта</x:v>
      </x:c>
      <x:c r="F351" s="28" t="str">
        <x:v>нет данных</x:v>
      </x:c>
      <x:c r="G351" s="28" t="str">
        <x:v>зависит от формы продукта</x:v>
      </x:c>
      <x:c r="H351" s="28" t="str">
        <x:v>Для точного молекулярного вывода нужен профиль конкретного ингредиента и способа обработки.</x:v>
      </x:c>
      <x:c r="I351" s="28" t="n">
        <x:f>COUNTIF('Все сочетания'!$C:$C,A351)+COUNTIF('Все сочетания'!$F:$F,A351)</x:f>
        <x:v>3</x:v>
      </x:c>
    </x:row>
    <x:row r="352" ht="46" customHeight="1">
      <x:c r="A352" s="28" t="str">
        <x:v>умэсю</x:v>
      </x:c>
      <x:c r="B352" s="28" t="str">
        <x:v>Алкогольные напитки</x:v>
      </x:c>
      <x:c r="C352" s="28" t="str">
        <x:v>зависит от основы, эфирный, древесный/пряный</x:v>
      </x:c>
      <x:c r="D352" s="28" t="str">
        <x:v>этанол, эфиры, терпены/дубовые соединения</x:v>
      </x:c>
      <x:c r="E352" s="28" t="str">
        <x:v>горький, сладкий или сухой</x:v>
      </x:c>
      <x:c r="F352" s="28" t="str">
        <x:v>этанол усиливает тепло и летучесть аромата</x:v>
      </x:c>
      <x:c r="G352" s="28" t="str">
        <x:v>этанол — хороший растворитель гидрофобных эфирных масел</x:v>
      </x:c>
      <x:c r="H352" s="28" t="str">
        <x:v>Спирт извлекает цедру и усиливает ретроназальный выход терпенов; сахар и разбавление меняют баланс.</x:v>
      </x:c>
      <x:c r="I352" s="28" t="n">
        <x:f>COUNTIF('Все сочетания'!$C:$C,A352)+COUNTIF('Все сочетания'!$F:$F,A352)</x:f>
        <x:v>1</x:v>
      </x:c>
    </x:row>
    <x:row r="353" ht="46" customHeight="1">
      <x:c r="A353" s="28" t="str">
        <x:v>устрица</x:v>
      </x:c>
      <x:c r="B353" s="28" t="str">
        <x:v>Рыба и морепродукты</x:v>
      </x:c>
      <x:c r="C353" s="28" t="str">
        <x:v>морской, йодистый, зелёный, жирный</x:v>
      </x:c>
      <x:c r="D353" s="28" t="str">
        <x:v>альдегиды окисления липидов, бромфенолы, диметилсульфид, умами-соединения</x:v>
      </x:c>
      <x:c r="E353" s="28" t="str">
        <x:v>солёный, умами, жирный</x:v>
      </x:c>
      <x:c r="F353" s="28" t="str">
        <x:v>нет выраженного</x:v>
      </x:c>
      <x:c r="G353" s="28" t="str">
        <x:v>кислота может денатурировать поверхностные белки; жир рыбы удерживает терпены</x:v>
      </x:c>
      <x:c r="H353" s="28" t="str">
        <x:v>Цитрус уменьшает восприятие жирности и рыбных нот, усиливая свежесть и слюноотделение.</x:v>
      </x:c>
      <x:c r="I353" s="28" t="n">
        <x:f>COUNTIF('Все сочетания'!$C:$C,A353)+COUNTIF('Все сочетания'!$F:$F,A353)</x:f>
        <x:v>2</x:v>
      </x:c>
    </x:row>
    <x:row r="354" ht="46" customHeight="1">
      <x:c r="A354" s="28" t="str">
        <x:v>устрицы</x:v>
      </x:c>
      <x:c r="B354" s="28" t="str">
        <x:v>Рыба и морепродукты</x:v>
      </x:c>
      <x:c r="C354" s="28" t="str">
        <x:v>морской, йодистый, зелёный, жирный</x:v>
      </x:c>
      <x:c r="D354" s="28" t="str">
        <x:v>альдегиды окисления липидов, бромфенолы, диметилсульфид, умами-соединения</x:v>
      </x:c>
      <x:c r="E354" s="28" t="str">
        <x:v>солёный, умами, жирный</x:v>
      </x:c>
      <x:c r="F354" s="28" t="str">
        <x:v>нет выраженного</x:v>
      </x:c>
      <x:c r="G354" s="28" t="str">
        <x:v>кислота может денатурировать поверхностные белки; жир рыбы удерживает терпены</x:v>
      </x:c>
      <x:c r="H354" s="28" t="str">
        <x:v>Цитрус уменьшает восприятие жирности и рыбных нот, усиливая свежесть и слюноотделение.</x:v>
      </x:c>
      <x:c r="I354" s="28" t="n">
        <x:f>COUNTIF('Все сочетания'!$C:$C,A354)+COUNTIF('Все сочетания'!$F:$F,A354)</x:f>
        <x:v>1</x:v>
      </x:c>
    </x:row>
    <x:row r="355" ht="46" customHeight="1">
      <x:c r="A355" s="28" t="str">
        <x:v>устричный лист</x:v>
      </x:c>
      <x:c r="B355" s="28" t="str">
        <x:v>Прочее</x:v>
      </x:c>
      <x:c r="C355" s="28" t="str">
        <x:v>нейтральный/специфический</x:v>
      </x:c>
      <x:c r="D355" s="28" t="str">
        <x:v>нужен профиль конкретного продукта</x:v>
      </x:c>
      <x:c r="E355" s="28" t="str">
        <x:v>зависит от продукта</x:v>
      </x:c>
      <x:c r="F355" s="28" t="str">
        <x:v>нет данных</x:v>
      </x:c>
      <x:c r="G355" s="28" t="str">
        <x:v>зависит от формы продукта</x:v>
      </x:c>
      <x:c r="H355" s="28" t="str">
        <x:v>Для точного молекулярного вывода нужен профиль конкретного ингредиента и способа обработки.</x:v>
      </x:c>
      <x:c r="I355" s="28" t="n">
        <x:f>COUNTIF('Все сочетания'!$C:$C,A355)+COUNTIF('Все сочетания'!$F:$F,A355)</x:f>
        <x:v>2</x:v>
      </x:c>
    </x:row>
    <x:row r="356" ht="46" customHeight="1">
      <x:c r="A356" s="28" t="str">
        <x:v>фенхель</x:v>
      </x:c>
      <x:c r="B356" s="28" t="str">
        <x:v>Пряности/травы</x:v>
      </x:c>
      <x:c r="C356" s="28" t="str">
        <x:v>анисовый, сладко-пряный, зелёный</x:v>
      </x:c>
      <x:c r="D356" s="28" t="str">
        <x:v>транс-анетол, фенхон, эстрагол</x:v>
      </x:c>
      <x:c r="E356" s="28" t="str">
        <x:v>сладковатый, слегка горький</x:v>
      </x:c>
      <x:c r="F356" s="28" t="str">
        <x:v>анетол создаёт охлаждающе-сладкое впечатление</x:v>
      </x:c>
      <x:c r="G356" s="28" t="str">
        <x:v>анетол гидрофобен и мутнеет при разбавлении спиртовых настоев водой</x:v>
      </x:c>
      <x:c r="H356" s="28" t="str">
        <x:v>Анисовые соединения дают сильный ароматический мост с цветочными и цитрусовыми терпенами.</x:v>
      </x:c>
      <x:c r="I356" s="28" t="n">
        <x:f>COUNTIF('Все сочетания'!$C:$C,A356)+COUNTIF('Все сочетания'!$F:$F,A356)</x:f>
        <x:v>2</x:v>
      </x:c>
    </x:row>
    <x:row r="357" ht="46" customHeight="1">
      <x:c r="A357" s="28" t="str">
        <x:v>фиалка</x:v>
      </x:c>
      <x:c r="B357" s="28" t="str">
        <x:v>Прочее</x:v>
      </x:c>
      <x:c r="C357" s="28" t="str">
        <x:v>нейтральный/специфический</x:v>
      </x:c>
      <x:c r="D357" s="28" t="str">
        <x:v>нужен профиль конкретного продукта</x:v>
      </x:c>
      <x:c r="E357" s="28" t="str">
        <x:v>зависит от продукта</x:v>
      </x:c>
      <x:c r="F357" s="28" t="str">
        <x:v>нет данных</x:v>
      </x:c>
      <x:c r="G357" s="28" t="str">
        <x:v>зависит от формы продукта</x:v>
      </x:c>
      <x:c r="H357" s="28" t="str">
        <x:v>Для точного молекулярного вывода нужен профиль конкретного ингредиента и способа обработки.</x:v>
      </x:c>
      <x:c r="I357" s="28" t="n">
        <x:f>COUNTIF('Все сочетания'!$C:$C,A357)+COUNTIF('Все сочетания'!$F:$F,A357)</x:f>
        <x:v>1</x:v>
      </x:c>
    </x:row>
    <x:row r="358" ht="46" customHeight="1">
      <x:c r="A358" s="28" t="str">
        <x:v>филе скумбрии</x:v>
      </x:c>
      <x:c r="B358" s="28" t="str">
        <x:v>Рыба и морепродукты</x:v>
      </x:c>
      <x:c r="C358" s="28" t="str">
        <x:v>морской, йодистый, зелёный, жирный</x:v>
      </x:c>
      <x:c r="D358" s="28" t="str">
        <x:v>альдегиды окисления липидов, бромфенолы, диметилсульфид, умами-соединения</x:v>
      </x:c>
      <x:c r="E358" s="28" t="str">
        <x:v>солёный, умами, жирный</x:v>
      </x:c>
      <x:c r="F358" s="28" t="str">
        <x:v>нет выраженного</x:v>
      </x:c>
      <x:c r="G358" s="28" t="str">
        <x:v>кислота может денатурировать поверхностные белки; жир рыбы удерживает терпены</x:v>
      </x:c>
      <x:c r="H358" s="28" t="str">
        <x:v>Цитрус уменьшает восприятие жирности и рыбных нот, усиливая свежесть и слюноотделение.</x:v>
      </x:c>
      <x:c r="I358" s="28" t="n">
        <x:f>COUNTIF('Все сочетания'!$C:$C,A358)+COUNTIF('Все сочетания'!$F:$F,A358)</x:f>
        <x:v>1</x:v>
      </x:c>
    </x:row>
    <x:row r="359" ht="46" customHeight="1">
      <x:c r="A359" s="28" t="str">
        <x:v>финик</x:v>
      </x:c>
      <x:c r="B359" s="28" t="str">
        <x:v>Прочее</x:v>
      </x:c>
      <x:c r="C359" s="28" t="str">
        <x:v>нейтральный/специфический</x:v>
      </x:c>
      <x:c r="D359" s="28" t="str">
        <x:v>нужен профиль конкретного продукта</x:v>
      </x:c>
      <x:c r="E359" s="28" t="str">
        <x:v>зависит от продукта</x:v>
      </x:c>
      <x:c r="F359" s="28" t="str">
        <x:v>нет данных</x:v>
      </x:c>
      <x:c r="G359" s="28" t="str">
        <x:v>зависит от формы продукта</x:v>
      </x:c>
      <x:c r="H359" s="28" t="str">
        <x:v>Для точного молекулярного вывода нужен профиль конкретного ингредиента и способа обработки.</x:v>
      </x:c>
      <x:c r="I359" s="28" t="n">
        <x:f>COUNTIF('Все сочетания'!$C:$C,A359)+COUNTIF('Все сочетания'!$F:$F,A359)</x:f>
        <x:v>4</x:v>
      </x:c>
    </x:row>
    <x:row r="360" ht="46" customHeight="1">
      <x:c r="A360" s="28" t="str">
        <x:v>фисташка</x:v>
      </x:c>
      <x:c r="B360" s="28" t="str">
        <x:v>Орехи и семена</x:v>
      </x:c>
      <x:c r="C360" s="28" t="str">
        <x:v>ореховый, обжаренный, жирный, зелёный</x:v>
      </x:c>
      <x:c r="D360" s="28" t="str">
        <x:v>пиразины, альдегиды окисления жиров, бензальдегид (миндаль)</x:v>
      </x:c>
      <x:c r="E360" s="28" t="str">
        <x:v>сладковатый, горьковатый</x:v>
      </x:c>
      <x:c r="F360" s="28" t="str">
        <x:v>нет выраженного</x:v>
      </x:c>
      <x:c r="G360" s="28" t="str">
        <x:v>высокая жирность растворяет терпеновые масла цитруса</x:v>
      </x:c>
      <x:c r="H360" s="28" t="str">
        <x:v>Кислота режет жирность, а цедра связывается с обжаренными и цветочными нотами.</x:v>
      </x:c>
      <x:c r="I360" s="28" t="n">
        <x:f>COUNTIF('Все сочетания'!$C:$C,A360)+COUNTIF('Все сочетания'!$F:$F,A360)</x:f>
        <x:v>2</x:v>
      </x:c>
    </x:row>
    <x:row r="361" ht="46" customHeight="1">
      <x:c r="A361" s="28" t="str">
        <x:v>фризе</x:v>
      </x:c>
      <x:c r="B361" s="28" t="str">
        <x:v>Прочее</x:v>
      </x:c>
      <x:c r="C361" s="28" t="str">
        <x:v>нейтральный/специфический</x:v>
      </x:c>
      <x:c r="D361" s="28" t="str">
        <x:v>нужен профиль конкретного продукта</x:v>
      </x:c>
      <x:c r="E361" s="28" t="str">
        <x:v>зависит от продукта</x:v>
      </x:c>
      <x:c r="F361" s="28" t="str">
        <x:v>нет данных</x:v>
      </x:c>
      <x:c r="G361" s="28" t="str">
        <x:v>зависит от формы продукта</x:v>
      </x:c>
      <x:c r="H361" s="28" t="str">
        <x:v>Для точного молекулярного вывода нужен профиль конкретного ингредиента и способа обработки.</x:v>
      </x:c>
      <x:c r="I361" s="28" t="n">
        <x:f>COUNTIF('Все сочетания'!$C:$C,A361)+COUNTIF('Все сочетания'!$F:$F,A361)</x:f>
        <x:v>2</x:v>
      </x:c>
    </x:row>
    <x:row r="362" ht="46" customHeight="1">
      <x:c r="A362" s="28" t="str">
        <x:v>фундук</x:v>
      </x:c>
      <x:c r="B362" s="28" t="str">
        <x:v>Орехи и семена</x:v>
      </x:c>
      <x:c r="C362" s="28" t="str">
        <x:v>ореховый, обжаренный, жирный, зелёный</x:v>
      </x:c>
      <x:c r="D362" s="28" t="str">
        <x:v>пиразины, альдегиды окисления жиров, бензальдегид (миндаль)</x:v>
      </x:c>
      <x:c r="E362" s="28" t="str">
        <x:v>сладковатый, горьковатый</x:v>
      </x:c>
      <x:c r="F362" s="28" t="str">
        <x:v>нет выраженного</x:v>
      </x:c>
      <x:c r="G362" s="28" t="str">
        <x:v>высокая жирность растворяет терпеновые масла цитруса</x:v>
      </x:c>
      <x:c r="H362" s="28" t="str">
        <x:v>Кислота режет жирность, а цедра связывается с обжаренными и цветочными нотами.</x:v>
      </x:c>
      <x:c r="I362" s="28" t="n">
        <x:f>COUNTIF('Все сочетания'!$C:$C,A362)+COUNTIF('Все сочетания'!$F:$F,A362)</x:f>
        <x:v>3</x:v>
      </x:c>
    </x:row>
    <x:row r="363" ht="46" customHeight="1">
      <x:c r="A363" s="28" t="str">
        <x:v>хамон иберико</x:v>
      </x:c>
      <x:c r="B363" s="28" t="str">
        <x:v>Прочее</x:v>
      </x:c>
      <x:c r="C363" s="28" t="str">
        <x:v>нейтральный/специфический</x:v>
      </x:c>
      <x:c r="D363" s="28" t="str">
        <x:v>нужен профиль конкретного продукта</x:v>
      </x:c>
      <x:c r="E363" s="28" t="str">
        <x:v>зависит от продукта</x:v>
      </x:c>
      <x:c r="F363" s="28" t="str">
        <x:v>нет данных</x:v>
      </x:c>
      <x:c r="G363" s="28" t="str">
        <x:v>зависит от формы продукта</x:v>
      </x:c>
      <x:c r="H363" s="28" t="str">
        <x:v>Для точного молекулярного вывода нужен профиль конкретного ингредиента и способа обработки.</x:v>
      </x:c>
      <x:c r="I363" s="28" t="n">
        <x:f>COUNTIF('Все сочетания'!$C:$C,A363)+COUNTIF('Все сочетания'!$F:$F,A363)</x:f>
        <x:v>1</x:v>
      </x:c>
    </x:row>
    <x:row r="364" ht="46" customHeight="1">
      <x:c r="A364" s="28" t="str">
        <x:v>хересный уксус</x:v>
      </x:c>
      <x:c r="B364" s="28" t="str">
        <x:v>Соусы и ферментированные продукты</x:v>
      </x:c>
      <x:c r="C364" s="28" t="str">
        <x:v>кислый, умами, ферментированный, пряный</x:v>
      </x:c>
      <x:c r="D364" s="28" t="str">
        <x:v>уксусная/молочная кислота, эфиры ферментации, пептиды умами</x:v>
      </x:c>
      <x:c r="E364" s="28" t="str">
        <x:v>кислый, солёный, умами</x:v>
      </x:c>
      <x:c r="F364" s="28" t="str">
        <x:v>в пряных соусах возможен капсаициновый жар</x:v>
      </x:c>
      <x:c r="G364" s="28" t="str">
        <x:v>водная солёно-кислая матрица</x:v>
      </x:c>
      <x:c r="H364" s="28" t="str">
        <x:v>Цитрус добавляет верхние ноты и может заменить часть уксуса, но избыток кислоты нарушит баланс.</x:v>
      </x:c>
      <x:c r="I364" s="28" t="n">
        <x:f>COUNTIF('Все сочетания'!$C:$C,A364)+COUNTIF('Все сочетания'!$F:$F,A364)</x:f>
        <x:v>1</x:v>
      </x:c>
    </x:row>
    <x:row r="365" ht="46" customHeight="1">
      <x:c r="A365" s="28" t="str">
        <x:v>хлеб на закваске</x:v>
      </x:c>
      <x:c r="B365" s="28" t="str">
        <x:v>Злаки и хлеб</x:v>
      </x:c>
      <x:c r="C365" s="28" t="str">
        <x:v>зерновой, обжаренный, ореховый, дрожжевой</x:v>
      </x:c>
      <x:c r="D365" s="28" t="str">
        <x:v>пиразины, мальтол, фураны, эфиры брожения</x:v>
      </x:c>
      <x:c r="E365" s="28" t="str">
        <x:v>сладковатый, умами</x:v>
      </x:c>
      <x:c r="F365" s="28" t="str">
        <x:v>нет выраженного</x:v>
      </x:c>
      <x:c r="G365" s="28" t="str">
        <x:v>крахмал смягчает кислотность; жир/масло помогает аромату цедры</x:v>
      </x:c>
      <x:c r="H365" s="28" t="str">
        <x:v>Цитрус освежает зерновой профиль и создаёт контраст с обжаренными нотами.</x:v>
      </x:c>
      <x:c r="I365" s="28" t="n">
        <x:f>COUNTIF('Все сочетания'!$C:$C,A365)+COUNTIF('Все сочетания'!$F:$F,A365)</x:f>
        <x:v>1</x:v>
      </x:c>
    </x:row>
    <x:row r="366" ht="46" customHeight="1">
      <x:c r="A366" s="28" t="str">
        <x:v>хурма</x:v>
      </x:c>
      <x:c r="B366" s="28" t="str">
        <x:v>Прочее</x:v>
      </x:c>
      <x:c r="C366" s="28" t="str">
        <x:v>нейтральный/специфический</x:v>
      </x:c>
      <x:c r="D366" s="28" t="str">
        <x:v>нужен профиль конкретного продукта</x:v>
      </x:c>
      <x:c r="E366" s="28" t="str">
        <x:v>зависит от продукта</x:v>
      </x:c>
      <x:c r="F366" s="28" t="str">
        <x:v>нет данных</x:v>
      </x:c>
      <x:c r="G366" s="28" t="str">
        <x:v>зависит от формы продукта</x:v>
      </x:c>
      <x:c r="H366" s="28" t="str">
        <x:v>Для точного молекулярного вывода нужен профиль конкретного ингредиента и способа обработки.</x:v>
      </x:c>
      <x:c r="I366" s="28" t="n">
        <x:f>COUNTIF('Все сочетания'!$C:$C,A366)+COUNTIF('Все сочетания'!$F:$F,A366)</x:f>
        <x:v>4</x:v>
      </x:c>
    </x:row>
    <x:row r="367" ht="46" customHeight="1">
      <x:c r="A367" s="28" t="str">
        <x:v>цветная капуста</x:v>
      </x:c>
      <x:c r="B367" s="28" t="str">
        <x:v>Овощи</x:v>
      </x:c>
      <x:c r="C367" s="28" t="str">
        <x:v>зелёный, землистый, растительный, иногда сернистый</x:v>
      </x:c>
      <x:c r="D367" s="28" t="str">
        <x:v>C6-альдегиды, метоксипиразины, геосмин (землистые), сернистые соединения</x:v>
      </x:c>
      <x:c r="E367" s="28" t="str">
        <x:v>сладковатый, горьковатый, умами</x:v>
      </x:c>
      <x:c r="F367" s="28" t="str">
        <x:v>нет выраженного</x:v>
      </x:c>
      <x:c r="G367" s="28" t="str">
        <x:v>водная/крахмальная матрица; масло помогает распределить цедру</x:v>
      </x:c>
      <x:c r="H367" s="28" t="str">
        <x:v>Кислота подчёркивает сладость овощей и сокращает землистое или сернистое послевкусие.</x:v>
      </x:c>
      <x:c r="I367" s="28" t="n">
        <x:f>COUNTIF('Все сочетания'!$C:$C,A367)+COUNTIF('Все сочетания'!$F:$F,A367)</x:f>
        <x:v>1</x:v>
      </x:c>
    </x:row>
    <x:row r="368" ht="46" customHeight="1">
      <x:c r="A368" s="28" t="str">
        <x:v>цветы</x:v>
      </x:c>
      <x:c r="B368" s="28" t="str">
        <x:v>Прочее</x:v>
      </x:c>
      <x:c r="C368" s="28" t="str">
        <x:v>нейтральный/специфический</x:v>
      </x:c>
      <x:c r="D368" s="28" t="str">
        <x:v>нужен профиль конкретного продукта</x:v>
      </x:c>
      <x:c r="E368" s="28" t="str">
        <x:v>зависит от продукта</x:v>
      </x:c>
      <x:c r="F368" s="28" t="str">
        <x:v>нет данных</x:v>
      </x:c>
      <x:c r="G368" s="28" t="str">
        <x:v>зависит от формы продукта</x:v>
      </x:c>
      <x:c r="H368" s="28" t="str">
        <x:v>Для точного молекулярного вывода нужен профиль конкретного ингредиента и способа обработки.</x:v>
      </x:c>
      <x:c r="I368" s="28" t="n">
        <x:f>COUNTIF('Все сочетания'!$C:$C,A368)+COUNTIF('Все сочетания'!$F:$F,A368)</x:f>
        <x:v>1</x:v>
      </x:c>
    </x:row>
    <x:row r="369" ht="46" customHeight="1">
      <x:c r="A369" s="28" t="str">
        <x:v>цветы агастахе</x:v>
      </x:c>
      <x:c r="B369" s="28" t="str">
        <x:v>Прочее</x:v>
      </x:c>
      <x:c r="C369" s="28" t="str">
        <x:v>нейтральный/специфический</x:v>
      </x:c>
      <x:c r="D369" s="28" t="str">
        <x:v>нужен профиль конкретного продукта</x:v>
      </x:c>
      <x:c r="E369" s="28" t="str">
        <x:v>зависит от продукта</x:v>
      </x:c>
      <x:c r="F369" s="28" t="str">
        <x:v>нет данных</x:v>
      </x:c>
      <x:c r="G369" s="28" t="str">
        <x:v>зависит от формы продукта</x:v>
      </x:c>
      <x:c r="H369" s="28" t="str">
        <x:v>Для точного молекулярного вывода нужен профиль конкретного ингредиента и способа обработки.</x:v>
      </x:c>
      <x:c r="I369" s="28" t="n">
        <x:f>COUNTIF('Все сочетания'!$C:$C,A369)+COUNTIF('Все сочетания'!$F:$F,A369)</x:f>
        <x:v>1</x:v>
      </x:c>
    </x:row>
    <x:row r="370" ht="46" customHeight="1">
      <x:c r="A370" s="28" t="str">
        <x:v>цветы бузины</x:v>
      </x:c>
      <x:c r="B370" s="28" t="str">
        <x:v>Прочее</x:v>
      </x:c>
      <x:c r="C370" s="28" t="str">
        <x:v>нейтральный/специфический</x:v>
      </x:c>
      <x:c r="D370" s="28" t="str">
        <x:v>нужен профиль конкретного продукта</x:v>
      </x:c>
      <x:c r="E370" s="28" t="str">
        <x:v>зависит от продукта</x:v>
      </x:c>
      <x:c r="F370" s="28" t="str">
        <x:v>нет данных</x:v>
      </x:c>
      <x:c r="G370" s="28" t="str">
        <x:v>зависит от формы продукта</x:v>
      </x:c>
      <x:c r="H370" s="28" t="str">
        <x:v>Для точного молекулярного вывода нужен профиль конкретного ингредиента и способа обработки.</x:v>
      </x:c>
      <x:c r="I370" s="28" t="n">
        <x:f>COUNTIF('Все сочетания'!$C:$C,A370)+COUNTIF('Все сочетания'!$F:$F,A370)</x:f>
        <x:v>1</x:v>
      </x:c>
    </x:row>
    <x:row r="371" ht="46" customHeight="1">
      <x:c r="A371" s="28" t="str">
        <x:v>цветы липы</x:v>
      </x:c>
      <x:c r="B371" s="28" t="str">
        <x:v>Прочее</x:v>
      </x:c>
      <x:c r="C371" s="28" t="str">
        <x:v>нейтральный/специфический</x:v>
      </x:c>
      <x:c r="D371" s="28" t="str">
        <x:v>нужен профиль конкретного продукта</x:v>
      </x:c>
      <x:c r="E371" s="28" t="str">
        <x:v>зависит от продукта</x:v>
      </x:c>
      <x:c r="F371" s="28" t="str">
        <x:v>нет данных</x:v>
      </x:c>
      <x:c r="G371" s="28" t="str">
        <x:v>зависит от формы продукта</x:v>
      </x:c>
      <x:c r="H371" s="28" t="str">
        <x:v>Для точного молекулярного вывода нужен профиль конкретного ингредиента и способа обработки.</x:v>
      </x:c>
      <x:c r="I371" s="28" t="n">
        <x:f>COUNTIF('Все сочетания'!$C:$C,A371)+COUNTIF('Все сочетания'!$F:$F,A371)</x:f>
        <x:v>2</x:v>
      </x:c>
    </x:row>
    <x:row r="372" ht="46" customHeight="1">
      <x:c r="A372" s="28" t="str">
        <x:v>цедра сатсумы</x:v>
      </x:c>
      <x:c r="B372" s="28" t="str">
        <x:v>Прочее</x:v>
      </x:c>
      <x:c r="C372" s="28" t="str">
        <x:v>нейтральный/специфический</x:v>
      </x:c>
      <x:c r="D372" s="28" t="str">
        <x:v>нужен профиль конкретного продукта</x:v>
      </x:c>
      <x:c r="E372" s="28" t="str">
        <x:v>зависит от продукта</x:v>
      </x:c>
      <x:c r="F372" s="28" t="str">
        <x:v>нет данных</x:v>
      </x:c>
      <x:c r="G372" s="28" t="str">
        <x:v>зависит от формы продукта</x:v>
      </x:c>
      <x:c r="H372" s="28" t="str">
        <x:v>Для точного молекулярного вывода нужен профиль конкретного ингредиента и способа обработки.</x:v>
      </x:c>
      <x:c r="I372" s="28" t="n">
        <x:f>COUNTIF('Все сочетания'!$C:$C,A372)+COUNTIF('Все сочетания'!$F:$F,A372)</x:f>
        <x:v>1</x:v>
      </x:c>
    </x:row>
    <x:row r="373" ht="46" customHeight="1">
      <x:c r="A373" s="28" t="str">
        <x:v>цедра танжерина</x:v>
      </x:c>
      <x:c r="B373" s="28" t="str">
        <x:v>Цитрусовые</x:v>
      </x:c>
      <x:c r="C373" s="28" t="str">
        <x:v>цитрусовый, фруктовый, цветочный, пряный</x:v>
      </x:c>
      <x:c r="D373" s="28" t="str">
        <x:v>лимонен, гамма-терпинен, метил-N-метилантранилат, линалол</x:v>
      </x:c>
      <x:c r="E373" s="28" t="str">
        <x:v>кисло-сладкий, лёгкая горечь кожуры</x:v>
      </x:c>
      <x:c r="F373" s="28" t="str">
        <x:v>нет выраженного</x:v>
      </x:c>
      <x:c r="G373" s="28" t="str">
        <x:v>сок водный; кожура богата эфирным маслом</x:v>
      </x:c>
      <x:c r="H373" s="28" t="str">
        <x:v>Мандариновая группа мягче по кислотности и выраженнее по сладко-цветочным нотам.</x:v>
      </x:c>
      <x:c r="I373" s="28" t="n">
        <x:f>COUNTIF('Все сочетания'!$C:$C,A373)+COUNTIF('Все сочетания'!$F:$F,A373)</x:f>
        <x:v>12</x:v>
      </x:c>
    </x:row>
    <x:row r="374" ht="46" customHeight="1">
      <x:c r="A374" s="28" t="str">
        <x:v>цитрусовые</x:v>
      </x:c>
      <x:c r="B374" s="28" t="str">
        <x:v>Цитрусовые</x:v>
      </x:c>
      <x:c r="C374" s="28" t="str">
        <x:v>цитрусовый, свежий, цветочный, древесный</x:v>
      </x:c>
      <x:c r="D374" s="28" t="str">
        <x:v>цитраль (гераниаль + нераль), лимонен, гамма-терпинен, бета-пинен</x:v>
      </x:c>
      <x:c r="E374" s="28" t="str">
        <x:v>кислый, лёгкая горечь кожуры</x:v>
      </x:c>
      <x:c r="F374" s="28" t="str">
        <x:v>кислота усиливает слюноотделение</x:v>
      </x:c>
      <x:c r="G374" s="28" t="str">
        <x:v>сок — водная кислая фаза; цедра — гидрофобное эфирное масло</x:v>
      </x:c>
      <x:c r="H374" s="28" t="str">
        <x:v>Сок определяется цитралем и кислотностью, цедра — лимоненом и терпенами.</x:v>
      </x:c>
      <x:c r="I374" s="28" t="n">
        <x:f>COUNTIF('Все сочетания'!$C:$C,A374)+COUNTIF('Все сочетания'!$F:$F,A374)</x:f>
        <x:v>18</x:v>
      </x:c>
    </x:row>
    <x:row r="375" ht="46" customHeight="1">
      <x:c r="A375" s="28" t="str">
        <x:v>цукаты из апельсиновой кожуры</x:v>
      </x:c>
      <x:c r="B375" s="28" t="str">
        <x:v>Цитрусовые</x:v>
      </x:c>
      <x:c r="C375" s="28" t="str">
        <x:v>цитрусовый, сладко-фруктовый, цветочный, восковой</x:v>
      </x:c>
      <x:c r="D375" s="28" t="str">
        <x:v>лимонен, линалол, деканаль, октаналь, мирцен</x:v>
      </x:c>
      <x:c r="E375" s="28" t="str">
        <x:v>кисло-сладкий, горечь кожуры</x:v>
      </x:c>
      <x:c r="F375" s="28" t="str">
        <x:v>нет выраженного</x:v>
      </x:c>
      <x:c r="G375" s="28" t="str">
        <x:v>сок водный; цедра и ликёры несут гидрофобные эфирные масла</x:v>
      </x:c>
      <x:c r="H375" s="28" t="str">
        <x:v>Апельсиновый профиль строится на лимонене и альдегидах с восково-сладкой нотой.</x:v>
      </x:c>
      <x:c r="I375" s="28" t="n">
        <x:f>COUNTIF('Все сочетания'!$C:$C,A375)+COUNTIF('Все сочетания'!$F:$F,A375)</x:f>
        <x:v>12</x:v>
      </x:c>
    </x:row>
    <x:row r="376" ht="46" customHeight="1">
      <x:c r="A376" s="28" t="str">
        <x:v>цукаты из дягиля</x:v>
      </x:c>
      <x:c r="B376" s="28" t="str">
        <x:v>Прочее</x:v>
      </x:c>
      <x:c r="C376" s="28" t="str">
        <x:v>нейтральный/специфический</x:v>
      </x:c>
      <x:c r="D376" s="28" t="str">
        <x:v>нужен профиль конкретного продукта</x:v>
      </x:c>
      <x:c r="E376" s="28" t="str">
        <x:v>зависит от продукта</x:v>
      </x:c>
      <x:c r="F376" s="28" t="str">
        <x:v>нет данных</x:v>
      </x:c>
      <x:c r="G376" s="28" t="str">
        <x:v>зависит от формы продукта</x:v>
      </x:c>
      <x:c r="H376" s="28" t="str">
        <x:v>Для точного молекулярного вывода нужен профиль конкретного ингредиента и способа обработки.</x:v>
      </x:c>
      <x:c r="I376" s="28" t="n">
        <x:f>COUNTIF('Все сочетания'!$C:$C,A376)+COUNTIF('Все сочетания'!$F:$F,A376)</x:f>
        <x:v>4</x:v>
      </x:c>
    </x:row>
    <x:row r="377" ht="46" customHeight="1">
      <x:c r="A377" s="28" t="str">
        <x:v>цукаты из лимонной кожуры</x:v>
      </x:c>
      <x:c r="B377" s="28" t="str">
        <x:v>Цитрусовые</x:v>
      </x:c>
      <x:c r="C377" s="28" t="str">
        <x:v>цитрусовый, свежий, цветочный, древесный</x:v>
      </x:c>
      <x:c r="D377" s="28" t="str">
        <x:v>цитраль (гераниаль + нераль), лимонен, гамма-терпинен, бета-пинен</x:v>
      </x:c>
      <x:c r="E377" s="28" t="str">
        <x:v>кислый, лёгкая горечь кожуры</x:v>
      </x:c>
      <x:c r="F377" s="28" t="str">
        <x:v>кислота усиливает слюноотделение</x:v>
      </x:c>
      <x:c r="G377" s="28" t="str">
        <x:v>сок — водная кислая фаза; цедра — гидрофобное эфирное масло</x:v>
      </x:c>
      <x:c r="H377" s="28" t="str">
        <x:v>Сок определяется цитралем и кислотностью, цедра — лимоненом и терпенами.</x:v>
      </x:c>
      <x:c r="I377" s="28" t="n">
        <x:f>COUNTIF('Все сочетания'!$C:$C,A377)+COUNTIF('Все сочетания'!$F:$F,A377)</x:f>
        <x:v>12</x:v>
      </x:c>
    </x:row>
    <x:row r="378" ht="46" customHeight="1">
      <x:c r="A378" s="28" t="str">
        <x:v>цыпленок</x:v>
      </x:c>
      <x:c r="B378" s="28" t="str">
        <x:v>Прочее</x:v>
      </x:c>
      <x:c r="C378" s="28" t="str">
        <x:v>нейтральный/специфический</x:v>
      </x:c>
      <x:c r="D378" s="28" t="str">
        <x:v>нужен профиль конкретного продукта</x:v>
      </x:c>
      <x:c r="E378" s="28" t="str">
        <x:v>зависит от продукта</x:v>
      </x:c>
      <x:c r="F378" s="28" t="str">
        <x:v>нет данных</x:v>
      </x:c>
      <x:c r="G378" s="28" t="str">
        <x:v>зависит от формы продукта</x:v>
      </x:c>
      <x:c r="H378" s="28" t="str">
        <x:v>Для точного молекулярного вывода нужен профиль конкретного ингредиента и способа обработки.</x:v>
      </x:c>
      <x:c r="I378" s="28" t="n">
        <x:f>COUNTIF('Все сочетания'!$C:$C,A378)+COUNTIF('Все сочетания'!$F:$F,A378)</x:f>
        <x:v>2</x:v>
      </x:c>
    </x:row>
    <x:row r="379" ht="46" customHeight="1">
      <x:c r="A379" s="28" t="str">
        <x:v>чабер</x:v>
      </x:c>
      <x:c r="B379" s="28" t="str">
        <x:v>Прочее</x:v>
      </x:c>
      <x:c r="C379" s="28" t="str">
        <x:v>нейтральный/специфический</x:v>
      </x:c>
      <x:c r="D379" s="28" t="str">
        <x:v>нужен профиль конкретного продукта</x:v>
      </x:c>
      <x:c r="E379" s="28" t="str">
        <x:v>зависит от продукта</x:v>
      </x:c>
      <x:c r="F379" s="28" t="str">
        <x:v>нет данных</x:v>
      </x:c>
      <x:c r="G379" s="28" t="str">
        <x:v>зависит от формы продукта</x:v>
      </x:c>
      <x:c r="H379" s="28" t="str">
        <x:v>Для точного молекулярного вывода нужен профиль конкретного ингредиента и способа обработки.</x:v>
      </x:c>
      <x:c r="I379" s="28" t="n">
        <x:f>COUNTIF('Все сочетания'!$C:$C,A379)+COUNTIF('Все сочетания'!$F:$F,A379)</x:f>
        <x:v>4</x:v>
      </x:c>
    </x:row>
    <x:row r="380" ht="46" customHeight="1">
      <x:c r="A380" s="28" t="str">
        <x:v>чай из фенхеля</x:v>
      </x:c>
      <x:c r="B380" s="28" t="str">
        <x:v>Пряности/травы</x:v>
      </x:c>
      <x:c r="C380" s="28" t="str">
        <x:v>анисовый, сладко-пряный, зелёный</x:v>
      </x:c>
      <x:c r="D380" s="28" t="str">
        <x:v>транс-анетол, фенхон, эстрагол</x:v>
      </x:c>
      <x:c r="E380" s="28" t="str">
        <x:v>сладковатый, слегка горький</x:v>
      </x:c>
      <x:c r="F380" s="28" t="str">
        <x:v>анетол создаёт охлаждающе-сладкое впечатление</x:v>
      </x:c>
      <x:c r="G380" s="28" t="str">
        <x:v>анетол гидрофобен и мутнеет при разбавлении спиртовых настоев водой</x:v>
      </x:c>
      <x:c r="H380" s="28" t="str">
        <x:v>Анисовые соединения дают сильный ароматический мост с цветочными и цитрусовыми терпенами.</x:v>
      </x:c>
      <x:c r="I380" s="28" t="n">
        <x:f>COUNTIF('Все сочетания'!$C:$C,A380)+COUNTIF('Все сочетания'!$F:$F,A380)</x:f>
        <x:v>1</x:v>
      </x:c>
    </x:row>
    <x:row r="381" ht="46" customHeight="1">
      <x:c r="A381" s="28" t="str">
        <x:v>чеддер</x:v>
      </x:c>
      <x:c r="B381" s="28" t="str">
        <x:v>Молочные продукты</x:v>
      </x:c>
      <x:c r="C381" s="28" t="str">
        <x:v>сливочный, молочный, масляный, иногда животный</x:v>
      </x:c>
      <x:c r="D381" s="28" t="str">
        <x:v>диацетил, молочные лактоны, свободные жирные кислоты</x:v>
      </x:c>
      <x:c r="E381" s="28" t="str">
        <x:v>жирный, солёный/умами, кислый у ферментированных</x:v>
      </x:c>
      <x:c r="F381" s="28" t="str">
        <x:v>нет выраженного</x:v>
      </x:c>
      <x:c r="G381" s="28" t="str">
        <x:v>жир растворяет терпены; кислота цитруса может коагулировать молочный белок</x:v>
      </x:c>
      <x:c r="H381" s="28" t="str">
        <x:v>Цитрус режет жирность и освежает, а молочная матрица смягчает кислотность.</x:v>
      </x:c>
      <x:c r="I381" s="28" t="n">
        <x:f>COUNTIF('Все сочетания'!$C:$C,A381)+COUNTIF('Все сочетания'!$F:$F,A381)</x:f>
        <x:v>1</x:v>
      </x:c>
    </x:row>
    <x:row r="382" ht="46" customHeight="1">
      <x:c r="A382" s="28" t="str">
        <x:v>черешня Ренье</x:v>
      </x:c>
      <x:c r="B382" s="28" t="str">
        <x:v>Прочее</x:v>
      </x:c>
      <x:c r="C382" s="28" t="str">
        <x:v>нейтральный/специфический</x:v>
      </x:c>
      <x:c r="D382" s="28" t="str">
        <x:v>нужен профиль конкретного продукта</x:v>
      </x:c>
      <x:c r="E382" s="28" t="str">
        <x:v>зависит от продукта</x:v>
      </x:c>
      <x:c r="F382" s="28" t="str">
        <x:v>нет данных</x:v>
      </x:c>
      <x:c r="G382" s="28" t="str">
        <x:v>зависит от формы продукта</x:v>
      </x:c>
      <x:c r="H382" s="28" t="str">
        <x:v>Для точного молекулярного вывода нужен профиль конкретного ингредиента и способа обработки.</x:v>
      </x:c>
      <x:c r="I382" s="28" t="n">
        <x:f>COUNTIF('Все сочетания'!$C:$C,A382)+COUNTIF('Все сочетания'!$F:$F,A382)</x:f>
        <x:v>1</x:v>
      </x:c>
    </x:row>
    <x:row r="383" ht="46" customHeight="1">
      <x:c r="A383" s="28" t="str">
        <x:v>черимойя</x:v>
      </x:c>
      <x:c r="B383" s="28" t="str">
        <x:v>Прочее</x:v>
      </x:c>
      <x:c r="C383" s="28" t="str">
        <x:v>нейтральный/специфический</x:v>
      </x:c>
      <x:c r="D383" s="28" t="str">
        <x:v>нужен профиль конкретного продукта</x:v>
      </x:c>
      <x:c r="E383" s="28" t="str">
        <x:v>зависит от продукта</x:v>
      </x:c>
      <x:c r="F383" s="28" t="str">
        <x:v>нет данных</x:v>
      </x:c>
      <x:c r="G383" s="28" t="str">
        <x:v>зависит от формы продукта</x:v>
      </x:c>
      <x:c r="H383" s="28" t="str">
        <x:v>Для точного молекулярного вывода нужен профиль конкретного ингредиента и способа обработки.</x:v>
      </x:c>
      <x:c r="I383" s="28" t="n">
        <x:f>COUNTIF('Все сочетания'!$C:$C,A383)+COUNTIF('Все сочетания'!$F:$F,A383)</x:f>
        <x:v>1</x:v>
      </x:c>
    </x:row>
    <x:row r="384" ht="46" customHeight="1">
      <x:c r="A384" s="28" t="str">
        <x:v>черная икра</x:v>
      </x:c>
      <x:c r="B384" s="28" t="str">
        <x:v>Рыба и морепродукты</x:v>
      </x:c>
      <x:c r="C384" s="28" t="str">
        <x:v>морской, йодистый, зелёный, жирный</x:v>
      </x:c>
      <x:c r="D384" s="28" t="str">
        <x:v>альдегиды окисления липидов, бромфенолы, диметилсульфид, умами-соединения</x:v>
      </x:c>
      <x:c r="E384" s="28" t="str">
        <x:v>солёный, умами, жирный</x:v>
      </x:c>
      <x:c r="F384" s="28" t="str">
        <x:v>нет выраженного</x:v>
      </x:c>
      <x:c r="G384" s="28" t="str">
        <x:v>кислота может денатурировать поверхностные белки; жир рыбы удерживает терпены</x:v>
      </x:c>
      <x:c r="H384" s="28" t="str">
        <x:v>Цитрус уменьшает восприятие жирности и рыбных нот, усиливая свежесть и слюноотделение.</x:v>
      </x:c>
      <x:c r="I384" s="28" t="n">
        <x:f>COUNTIF('Все сочетания'!$C:$C,A384)+COUNTIF('Все сочетания'!$F:$F,A384)</x:f>
        <x:v>1</x:v>
      </x:c>
    </x:row>
    <x:row r="385" ht="46" customHeight="1">
      <x:c r="A385" s="28" t="str">
        <x:v>чёрная оливка Пикуаль</x:v>
      </x:c>
      <x:c r="B385" s="28" t="str">
        <x:v>Прочее</x:v>
      </x:c>
      <x:c r="C385" s="28" t="str">
        <x:v>нейтральный/специфический</x:v>
      </x:c>
      <x:c r="D385" s="28" t="str">
        <x:v>нужен профиль конкретного продукта</x:v>
      </x:c>
      <x:c r="E385" s="28" t="str">
        <x:v>зависит от продукта</x:v>
      </x:c>
      <x:c r="F385" s="28" t="str">
        <x:v>нет данных</x:v>
      </x:c>
      <x:c r="G385" s="28" t="str">
        <x:v>зависит от формы продукта</x:v>
      </x:c>
      <x:c r="H385" s="28" t="str">
        <x:v>Для точного молекулярного вывода нужен профиль конкретного ингредиента и способа обработки.</x:v>
      </x:c>
      <x:c r="I385" s="28" t="n">
        <x:f>COUNTIF('Все сочетания'!$C:$C,A385)+COUNTIF('Все сочетания'!$F:$F,A385)</x:f>
        <x:v>1</x:v>
      </x:c>
    </x:row>
    <x:row r="386" ht="46" customHeight="1">
      <x:c r="A386" s="28" t="str">
        <x:v>черника</x:v>
      </x:c>
      <x:c r="B386" s="28" t="str">
        <x:v>Ягоды/косточковые</x:v>
      </x:c>
      <x:c r="C386" s="28" t="str">
        <x:v>фруктовый, цветочный, зелёный, винный</x:v>
      </x:c>
      <x:c r="D386" s="28" t="str">
        <x:v>иононы, дамасценон, эфиры, бензальдегид (для косточковых)</x:v>
      </x:c>
      <x:c r="E386" s="28" t="str">
        <x:v>кисло-сладкий, иногда терпкий</x:v>
      </x:c>
      <x:c r="F386" s="28" t="str">
        <x:v>нет выраженного</x:v>
      </x:c>
      <x:c r="G386" s="28" t="str">
        <x:v>водная матрица с антоцианами и полифенолами</x:v>
      </x:c>
      <x:c r="H386" s="28" t="str">
        <x:v>Цитрус усиливает кислотный контур, а цветочные терпены поддерживают ягодный аромат.</x:v>
      </x:c>
      <x:c r="I386" s="28" t="n">
        <x:f>COUNTIF('Все сочетания'!$C:$C,A386)+COUNTIF('Все сочетания'!$F:$F,A386)</x:f>
        <x:v>2</x:v>
      </x:c>
    </x:row>
    <x:row r="387" ht="46" customHeight="1">
      <x:c r="A387" s="28" t="str">
        <x:v>чернослив</x:v>
      </x:c>
      <x:c r="B387" s="28" t="str">
        <x:v>Косточковые фрукты</x:v>
      </x:c>
      <x:c r="C387" s="28" t="str">
        <x:v>фруктовый, цветочный, сливочный, миндальный</x:v>
      </x:c>
      <x:c r="D387" s="28" t="str">
        <x:v>гамма- и дельта-лактоны, бензальдегид, дамасценон</x:v>
      </x:c>
      <x:c r="E387" s="28" t="str">
        <x:v>сладкий, умеренно кислый</x:v>
      </x:c>
      <x:c r="F387" s="28" t="str">
        <x:v>нет выраженного</x:v>
      </x:c>
      <x:c r="G387" s="28" t="str">
        <x:v>сочная матрица; лактоны лучше ощущаются в жирной/сливочной среде</x:v>
      </x:c>
      <x:c r="H387" s="28" t="str">
        <x:v>Цитрус добавляет кислотность, а лактоны смягчают его резкость.</x:v>
      </x:c>
      <x:c r="I387" s="28" t="n">
        <x:f>COUNTIF('Все сочетания'!$C:$C,A387)+COUNTIF('Все сочетания'!$F:$F,A387)</x:f>
        <x:v>2</x:v>
      </x:c>
    </x:row>
    <x:row r="388" ht="46" customHeight="1">
      <x:c r="A388" s="28" t="str">
        <x:v>чернослив Ажен</x:v>
      </x:c>
      <x:c r="B388" s="28" t="str">
        <x:v>Косточковые фрукты</x:v>
      </x:c>
      <x:c r="C388" s="28" t="str">
        <x:v>фруктовый, цветочный, сливочный, миндальный</x:v>
      </x:c>
      <x:c r="D388" s="28" t="str">
        <x:v>гамма- и дельта-лактоны, бензальдегид, дамасценон</x:v>
      </x:c>
      <x:c r="E388" s="28" t="str">
        <x:v>сладкий, умеренно кислый</x:v>
      </x:c>
      <x:c r="F388" s="28" t="str">
        <x:v>нет выраженного</x:v>
      </x:c>
      <x:c r="G388" s="28" t="str">
        <x:v>сочная матрица; лактоны лучше ощущаются в жирной/сливочной среде</x:v>
      </x:c>
      <x:c r="H388" s="28" t="str">
        <x:v>Цитрус добавляет кислотность, а лактоны смягчают его резкость.</x:v>
      </x:c>
      <x:c r="I388" s="28" t="n">
        <x:f>COUNTIF('Все сочетания'!$C:$C,A388)+COUNTIF('Все сочетания'!$F:$F,A388)</x:f>
        <x:v>2</x:v>
      </x:c>
    </x:row>
    <x:row r="389" ht="46" customHeight="1">
      <x:c r="A389" s="28" t="str">
        <x:v>чёрный перец</x:v>
      </x:c>
      <x:c r="B389" s="28" t="str">
        <x:v>Пряности</x:v>
      </x:c>
      <x:c r="C389" s="28" t="str">
        <x:v>пряный, древесный, цитрусовый</x:v>
      </x:c>
      <x:c r="D389" s="28" t="str">
        <x:v>пиперин, лимонен, сабинен, бета-кариофиллен</x:v>
      </x:c>
      <x:c r="E389" s="28" t="str">
        <x:v>острый, горьковатый</x:v>
      </x:c>
      <x:c r="F389" s="28" t="str">
        <x:v>пиперин создаёт длительное тепло; сычуаньский перец — покалывание</x:v>
      </x:c>
      <x:c r="G389" s="28" t="str">
        <x:v>ароматические масла и пиперин лучше раскрываются в жире/спирте</x:v>
      </x:c>
      <x:c r="H389" s="28" t="str">
        <x:v>Перец добавляет сухую пряность и усиливает яркость цедры.</x:v>
      </x:c>
      <x:c r="I389" s="28" t="n">
        <x:f>COUNTIF('Все сочетания'!$C:$C,A389)+COUNTIF('Все сочетания'!$F:$F,A389)</x:f>
        <x:v>2</x:v>
      </x:c>
    </x:row>
    <x:row r="390" ht="46" customHeight="1">
      <x:c r="A390" s="28" t="str">
        <x:v>чили</x:v>
      </x:c>
      <x:c r="B390" s="28" t="str">
        <x:v>Пряности</x:v>
      </x:c>
      <x:c r="C390" s="28" t="str">
        <x:v>зелёный, фруктовый, пряный</x:v>
      </x:c>
      <x:c r="D390" s="28" t="str">
        <x:v>капсаицин, пиразины, эфиры</x:v>
      </x:c>
      <x:c r="E390" s="28" t="str">
        <x:v>острый, слегка сладкий</x:v>
      </x:c>
      <x:c r="F390" s="28" t="str">
        <x:v>капсаицин активирует TRPV1 и создаёт жжение</x:v>
      </x:c>
      <x:c r="G390" s="28" t="str">
        <x:v>капсаицин жирорастворим; кислота не нейтрализует жжение, но усиливает слюноотделение</x:v>
      </x:c>
      <x:c r="H390" s="28" t="str">
        <x:v>Фруктовые чили могут поддерживать цитрусовые эфиры, но острота требует баланса.</x:v>
      </x:c>
      <x:c r="I390" s="28" t="n">
        <x:f>COUNTIF('Все сочетания'!$C:$C,A390)+COUNTIF('Все сочетания'!$F:$F,A390)</x:f>
        <x:v>3</x:v>
      </x:c>
    </x:row>
    <x:row r="391" ht="46" customHeight="1">
      <x:c r="A391" s="28" t="str">
        <x:v>чили (перцы)</x:v>
      </x:c>
      <x:c r="B391" s="28" t="str">
        <x:v>Пряности</x:v>
      </x:c>
      <x:c r="C391" s="28" t="str">
        <x:v>зелёный, фруктовый, пряный</x:v>
      </x:c>
      <x:c r="D391" s="28" t="str">
        <x:v>капсаицин, пиразины, эфиры</x:v>
      </x:c>
      <x:c r="E391" s="28" t="str">
        <x:v>острый, слегка сладкий</x:v>
      </x:c>
      <x:c r="F391" s="28" t="str">
        <x:v>капсаицин активирует TRPV1 и создаёт жжение</x:v>
      </x:c>
      <x:c r="G391" s="28" t="str">
        <x:v>капсаицин жирорастворим; кислота не нейтрализует жжение, но усиливает слюноотделение</x:v>
      </x:c>
      <x:c r="H391" s="28" t="str">
        <x:v>Фруктовые чили могут поддерживать цитрусовые эфиры, но острота требует баланса.</x:v>
      </x:c>
      <x:c r="I391" s="28" t="n">
        <x:f>COUNTIF('Все сочетания'!$C:$C,A391)+COUNTIF('Все сочетания'!$F:$F,A391)</x:f>
        <x:v>3</x:v>
      </x:c>
    </x:row>
    <x:row r="392" ht="46" customHeight="1">
      <x:c r="A392" s="28" t="str">
        <x:v>чили ахи мирасоль</x:v>
      </x:c>
      <x:c r="B392" s="28" t="str">
        <x:v>Пряности</x:v>
      </x:c>
      <x:c r="C392" s="28" t="str">
        <x:v>зелёный, фруктовый, пряный</x:v>
      </x:c>
      <x:c r="D392" s="28" t="str">
        <x:v>капсаицин, пиразины, эфиры</x:v>
      </x:c>
      <x:c r="E392" s="28" t="str">
        <x:v>острый, слегка сладкий</x:v>
      </x:c>
      <x:c r="F392" s="28" t="str">
        <x:v>капсаицин активирует TRPV1 и создаёт жжение</x:v>
      </x:c>
      <x:c r="G392" s="28" t="str">
        <x:v>капсаицин жирорастворим; кислота не нейтрализует жжение, но усиливает слюноотделение</x:v>
      </x:c>
      <x:c r="H392" s="28" t="str">
        <x:v>Фруктовые чили могут поддерживать цитрусовые эфиры, но острота требует баланса.</x:v>
      </x:c>
      <x:c r="I392" s="28" t="n">
        <x:f>COUNTIF('Все сочетания'!$C:$C,A392)+COUNTIF('Все сочетания'!$F:$F,A392)</x:f>
        <x:v>2</x:v>
      </x:c>
    </x:row>
    <x:row r="393" ht="46" customHeight="1">
      <x:c r="A393" s="28" t="str">
        <x:v>чили – это Диего Ривера и Фрида Кало</x:v>
      </x:c>
      <x:c r="B393" s="28" t="str">
        <x:v>Пряности</x:v>
      </x:c>
      <x:c r="C393" s="28" t="str">
        <x:v>зелёный, фруктовый, пряный</x:v>
      </x:c>
      <x:c r="D393" s="28" t="str">
        <x:v>капсаицин, пиразины, эфиры</x:v>
      </x:c>
      <x:c r="E393" s="28" t="str">
        <x:v>острый, слегка сладкий</x:v>
      </x:c>
      <x:c r="F393" s="28" t="str">
        <x:v>капсаицин активирует TRPV1 и создаёт жжение</x:v>
      </x:c>
      <x:c r="G393" s="28" t="str">
        <x:v>капсаицин жирорастворим; кислота не нейтрализует жжение, но усиливает слюноотделение</x:v>
      </x:c>
      <x:c r="H393" s="28" t="str">
        <x:v>Фруктовые чили могут поддерживать цитрусовые эфиры, но острота требует баланса.</x:v>
      </x:c>
      <x:c r="I393" s="28" t="n">
        <x:f>COUNTIF('Все сочетания'!$C:$C,A393)+COUNTIF('Все сочетания'!$F:$F,A393)</x:f>
        <x:v>1</x:v>
      </x:c>
    </x:row>
    <x:row r="394" ht="46" customHeight="1">
      <x:c r="A394" s="28" t="str">
        <x:v>чипсы из свёклы</x:v>
      </x:c>
      <x:c r="B394" s="28" t="str">
        <x:v>Овощи</x:v>
      </x:c>
      <x:c r="C394" s="28" t="str">
        <x:v>зелёный, землистый, растительный, иногда сернистый</x:v>
      </x:c>
      <x:c r="D394" s="28" t="str">
        <x:v>C6-альдегиды, метоксипиразины, геосмин (землистые), сернистые соединения</x:v>
      </x:c>
      <x:c r="E394" s="28" t="str">
        <x:v>сладковатый, горьковатый, умами</x:v>
      </x:c>
      <x:c r="F394" s="28" t="str">
        <x:v>нет выраженного</x:v>
      </x:c>
      <x:c r="G394" s="28" t="str">
        <x:v>водная/крахмальная матрица; масло помогает распределить цедру</x:v>
      </x:c>
      <x:c r="H394" s="28" t="str">
        <x:v>Кислота подчёркивает сладость овощей и сокращает землистое или сернистое послевкусие.</x:v>
      </x:c>
      <x:c r="I394" s="28" t="n">
        <x:f>COUNTIF('Все сочетания'!$C:$C,A394)+COUNTIF('Все сочетания'!$F:$F,A394)</x:f>
        <x:v>1</x:v>
      </x:c>
    </x:row>
    <x:row r="395" ht="46" customHeight="1">
      <x:c r="A395" s="28" t="str">
        <x:v>шалфей</x:v>
      </x:c>
      <x:c r="B395" s="28" t="str">
        <x:v>Травы</x:v>
      </x:c>
      <x:c r="C395" s="28" t="str">
        <x:v>травяной, хвойный, камфорный, древесный</x:v>
      </x:c>
      <x:c r="D395" s="28" t="str">
        <x:v>1,8-цинеол, камфора, тимол/карвакрол, альфа-пинен</x:v>
      </x:c>
      <x:c r="E395" s="28" t="str">
        <x:v>горьковатый, пряный</x:v>
      </x:c>
      <x:c r="F395" s="28" t="str">
        <x:v>камфора и цинеол дают прохладно-камфорное ощущение</x:v>
      </x:c>
      <x:c r="G395" s="28" t="str">
        <x:v>эфирные масла лучше раскрываются в жире и спирте</x:v>
      </x:c>
      <x:c r="H395" s="28" t="str">
        <x:v>Хвойно-терпеновый профиль способен продолжить цитрусовую цедру.</x:v>
      </x:c>
      <x:c r="I395" s="28" t="n">
        <x:f>COUNTIF('Все сочетания'!$C:$C,A395)+COUNTIF('Все сочетания'!$F:$F,A395)</x:f>
        <x:v>4</x:v>
      </x:c>
    </x:row>
    <x:row r="396" ht="46" customHeight="1">
      <x:c r="A396" s="28" t="str">
        <x:v>шафран</x:v>
      </x:c>
      <x:c r="B396" s="28" t="str">
        <x:v>Пряности</x:v>
      </x:c>
      <x:c r="C396" s="28" t="str">
        <x:v>медовый, сенной, цветочный, кожистый</x:v>
      </x:c>
      <x:c r="D396" s="28" t="str">
        <x:v>сафраналь, пикрокроцин</x:v>
      </x:c>
      <x:c r="E396" s="28" t="str">
        <x:v>горьковатый</x:v>
      </x:c>
      <x:c r="F396" s="28" t="str">
        <x:v>нет выраженного</x:v>
      </x:c>
      <x:c r="G396" s="28" t="str">
        <x:v>сафраналь летуч; небольшая доза достаточна</x:v>
      </x:c>
      <x:c r="H396" s="28" t="str">
        <x:v>Шафран даёт сухую цветочно-медовую глубину.</x:v>
      </x:c>
      <x:c r="I396" s="28" t="n">
        <x:f>COUNTIF('Все сочетания'!$C:$C,A396)+COUNTIF('Все сочетания'!$F:$F,A396)</x:f>
        <x:v>2</x:v>
      </x:c>
    </x:row>
    <x:row r="397" ht="46" customHeight="1">
      <x:c r="A397" s="28" t="str">
        <x:v>шелковица</x:v>
      </x:c>
      <x:c r="B397" s="28" t="str">
        <x:v>Прочее</x:v>
      </x:c>
      <x:c r="C397" s="28" t="str">
        <x:v>нейтральный/специфический</x:v>
      </x:c>
      <x:c r="D397" s="28" t="str">
        <x:v>нужен профиль конкретного продукта</x:v>
      </x:c>
      <x:c r="E397" s="28" t="str">
        <x:v>зависит от продукта</x:v>
      </x:c>
      <x:c r="F397" s="28" t="str">
        <x:v>нет данных</x:v>
      </x:c>
      <x:c r="G397" s="28" t="str">
        <x:v>зависит от формы продукта</x:v>
      </x:c>
      <x:c r="H397" s="28" t="str">
        <x:v>Для точного молекулярного вывода нужен профиль конкретного ингредиента и способа обработки.</x:v>
      </x:c>
      <x:c r="I397" s="28" t="n">
        <x:f>COUNTIF('Все сочетания'!$C:$C,A397)+COUNTIF('Все сочетания'!$F:$F,A397)</x:f>
        <x:v>1</x:v>
      </x:c>
    </x:row>
    <x:row r="398" ht="46" customHeight="1">
      <x:c r="A398" s="28" t="str">
        <x:v>шоколад</x:v>
      </x:c>
      <x:c r="B398" s="28" t="str">
        <x:v>Шоколад/обжаренное</x:v>
      </x:c>
      <x:c r="C398" s="28" t="str">
        <x:v>обжаренный, какао, ореховый, карамельный</x:v>
      </x:c>
      <x:c r="D398" s="28" t="str">
        <x:v>пиразины, фураны, фенилуксусная кислота, ванилин</x:v>
      </x:c>
      <x:c r="E398" s="28" t="str">
        <x:v>горький, сладкий</x:v>
      </x:c>
      <x:c r="F398" s="28" t="str">
        <x:v>нет выраженного</x:v>
      </x:c>
      <x:c r="G398" s="28" t="str">
        <x:v>жир какао удерживает гидрофобные терпены</x:v>
      </x:c>
      <x:c r="H398" s="28" t="str">
        <x:v>Цитрус даёт высокую свежую ноту на фоне тёмных жареных соединений.</x:v>
      </x:c>
      <x:c r="I398" s="28" t="n">
        <x:f>COUNTIF('Все сочетания'!$C:$C,A398)+COUNTIF('Все сочетания'!$F:$F,A398)</x:f>
        <x:v>5</x:v>
      </x:c>
    </x:row>
    <x:row r="399" ht="46" customHeight="1">
      <x:c r="A399" s="28" t="str">
        <x:v>эмменталь</x:v>
      </x:c>
      <x:c r="B399" s="28" t="str">
        <x:v>Прочее</x:v>
      </x:c>
      <x:c r="C399" s="28" t="str">
        <x:v>нейтральный/специфический</x:v>
      </x:c>
      <x:c r="D399" s="28" t="str">
        <x:v>нужен профиль конкретного продукта</x:v>
      </x:c>
      <x:c r="E399" s="28" t="str">
        <x:v>зависит от продукта</x:v>
      </x:c>
      <x:c r="F399" s="28" t="str">
        <x:v>нет данных</x:v>
      </x:c>
      <x:c r="G399" s="28" t="str">
        <x:v>зависит от формы продукта</x:v>
      </x:c>
      <x:c r="H399" s="28" t="str">
        <x:v>Для точного молекулярного вывода нужен профиль конкретного ингредиента и способа обработки.</x:v>
      </x:c>
      <x:c r="I399" s="28" t="n">
        <x:f>COUNTIF('Все сочетания'!$C:$C,A399)+COUNTIF('Все сочетания'!$F:$F,A399)</x:f>
        <x:v>1</x:v>
      </x:c>
    </x:row>
    <x:row r="400" ht="46" customHeight="1">
      <x:c r="A400" s="28" t="str">
        <x:v>юдзу</x:v>
      </x:c>
      <x:c r="B400" s="28" t="str">
        <x:v>Цитрусовые</x:v>
      </x:c>
      <x:c r="C400" s="28" t="str">
        <x:v>цитрусовый, зелёный, травяной, камфорный</x:v>
      </x:c>
      <x:c r="D400" s="28" t="str">
        <x:v>лимонен, гамма-терпинен, цитраль, бета-пинен, линалол</x:v>
      </x:c>
      <x:c r="E400" s="28" t="str">
        <x:v>кислый, слабо горький</x:v>
      </x:c>
      <x:c r="F400" s="28" t="str">
        <x:v>кислота усиливает слюноотделение; зелёные терпены создают ощущение прохлады</x:v>
      </x:c>
      <x:c r="G400" s="28" t="str">
        <x:v>сок — водная кислая фаза; цедра — масляная терпеновая</x:v>
      </x:c>
      <x:c r="H400" s="28" t="str">
        <x:v>Лаймовые цитрусы дают более зелёный и камфорный профиль, чем сладкий апельсин.</x:v>
      </x:c>
      <x:c r="I400" s="28" t="n">
        <x:f>COUNTIF('Все сочетания'!$C:$C,A400)+COUNTIF('Все сочетания'!$F:$F,A400)</x:f>
        <x:v>16</x:v>
      </x:c>
    </x:row>
    <x:row r="401" ht="46" customHeight="1">
      <x:c r="A401" s="28" t="str">
        <x:v>яблоко</x:v>
      </x:c>
      <x:c r="B401" s="28" t="str">
        <x:v>Фрукты</x:v>
      </x:c>
      <x:c r="C401" s="28" t="str">
        <x:v>фруктовый, зелёный, цветочный</x:v>
      </x:c>
      <x:c r="D401" s="28" t="str">
        <x:v>гексилацетат, гексаналь, транс-2-гексеналь, бета-дамасценон</x:v>
      </x:c>
      <x:c r="E401" s="28" t="str">
        <x:v>кисло-сладкий</x:v>
      </x:c>
      <x:c r="F401" s="28" t="str">
        <x:v>нет выраженного</x:v>
      </x:c>
      <x:c r="G401" s="28" t="str">
        <x:v>водная сочная матрица; пектин повышает вязкость</x:v>
      </x:c>
      <x:c r="H401" s="28" t="str">
        <x:v>Яблочные эфиры и зелёные альдегиды хорошо поддерживают свежий цитрус.</x:v>
      </x:c>
      <x:c r="I401" s="28" t="n">
        <x:f>COUNTIF('Все сочетания'!$C:$C,A401)+COUNTIF('Все сочетания'!$F:$F,A401)</x:f>
        <x:v>6</x:v>
      </x:c>
    </x:row>
    <x:row r="402" ht="46" customHeight="1">
      <x:c r="A402" s="28" t="str">
        <x:v>ягоды</x:v>
      </x:c>
      <x:c r="B402" s="28" t="str">
        <x:v>Ягоды/косточковые</x:v>
      </x:c>
      <x:c r="C402" s="28" t="str">
        <x:v>фруктовый, цветочный, зелёный, винный</x:v>
      </x:c>
      <x:c r="D402" s="28" t="str">
        <x:v>иононы, дамасценон, эфиры, бензальдегид (для косточковых)</x:v>
      </x:c>
      <x:c r="E402" s="28" t="str">
        <x:v>кисло-сладкий, иногда терпкий</x:v>
      </x:c>
      <x:c r="F402" s="28" t="str">
        <x:v>нет выраженного</x:v>
      </x:c>
      <x:c r="G402" s="28" t="str">
        <x:v>водная матрица с антоцианами и полифенолами</x:v>
      </x:c>
      <x:c r="H402" s="28" t="str">
        <x:v>Цитрус усиливает кислотный контур, а цветочные терпены поддерживают ягодный аромат.</x:v>
      </x:c>
      <x:c r="I402" s="28" t="n">
        <x:f>COUNTIF('Все сочетания'!$C:$C,A402)+COUNTIF('Все сочетания'!$F:$F,A402)</x:f>
        <x:v>4</x:v>
      </x:c>
    </x:row>
    <x:row r="403" ht="46" customHeight="1">
      <x:c r="A403" s="28" t="str">
        <x:v>ягоды можжевельника</x:v>
      </x:c>
      <x:c r="B403" s="28" t="str">
        <x:v>Ягоды/косточковые</x:v>
      </x:c>
      <x:c r="C403" s="28" t="str">
        <x:v>фруктовый, цветочный, зелёный, винный</x:v>
      </x:c>
      <x:c r="D403" s="28" t="str">
        <x:v>иононы, дамасценон, эфиры, бензальдегид (для косточковых)</x:v>
      </x:c>
      <x:c r="E403" s="28" t="str">
        <x:v>кисло-сладкий, иногда терпкий</x:v>
      </x:c>
      <x:c r="F403" s="28" t="str">
        <x:v>нет выраженного</x:v>
      </x:c>
      <x:c r="G403" s="28" t="str">
        <x:v>водная матрица с антоцианами и полифенолами</x:v>
      </x:c>
      <x:c r="H403" s="28" t="str">
        <x:v>Цитрус усиливает кислотный контур, а цветочные терпены поддерживают ягодный аромат.</x:v>
      </x:c>
      <x:c r="I403" s="28" t="n">
        <x:f>COUNTIF('Все сочетания'!$C:$C,A403)+COUNTIF('Все сочетания'!$F:$F,A403)</x:f>
        <x:v>3</x:v>
      </x:c>
    </x:row>
    <x:row r="404" ht="46" customHeight="1">
      <x:c r="A404" s="28" t="str">
        <x:v>яйца</x:v>
      </x:c>
      <x:c r="B404" s="28" t="str">
        <x:v>Молочные продукты</x:v>
      </x:c>
      <x:c r="C404" s="28" t="str">
        <x:v>сливочный, молочный, масляный, иногда животный</x:v>
      </x:c>
      <x:c r="D404" s="28" t="str">
        <x:v>диацетил, молочные лактоны, свободные жирные кислоты</x:v>
      </x:c>
      <x:c r="E404" s="28" t="str">
        <x:v>жирный, солёный/умами, кислый у ферментированных</x:v>
      </x:c>
      <x:c r="F404" s="28" t="str">
        <x:v>нет выраженного</x:v>
      </x:c>
      <x:c r="G404" s="28" t="str">
        <x:v>жир растворяет терпены; кислота цитруса может коагулировать молочный белок</x:v>
      </x:c>
      <x:c r="H404" s="28" t="str">
        <x:v>Цитрус режет жирность и освежает, а молочная матрица смягчает кислотность.</x:v>
      </x:c>
      <x:c r="I404" s="28" t="n">
        <x:f>COUNTIF('Все сочетания'!$C:$C,A404)+COUNTIF('Все сочетания'!$F:$F,A404)</x:f>
        <x:v>1</x:v>
      </x:c>
    </x:row>
    <x:row r="405" ht="46" customHeight="1">
      <x:c r="A405" s="28" t="str">
        <x:v>японская петрушка</x:v>
      </x:c>
      <x:c r="B405" s="28" t="str">
        <x:v>Прочее</x:v>
      </x:c>
      <x:c r="C405" s="28" t="str">
        <x:v>нейтральный/специфический</x:v>
      </x:c>
      <x:c r="D405" s="28" t="str">
        <x:v>нужен профиль конкретного продукта</x:v>
      </x:c>
      <x:c r="E405" s="28" t="str">
        <x:v>зависит от продукта</x:v>
      </x:c>
      <x:c r="F405" s="28" t="str">
        <x:v>нет данных</x:v>
      </x:c>
      <x:c r="G405" s="28" t="str">
        <x:v>зависит от формы продукта</x:v>
      </x:c>
      <x:c r="H405" s="28" t="str">
        <x:v>Для точного молекулярного вывода нужен профиль конкретного ингредиента и способа обработки.</x:v>
      </x:c>
      <x:c r="I405" s="28" t="n">
        <x:f>COUNTIF('Все сочетания'!$C:$C,A405)+COUNTIF('Все сочетания'!$F:$F,A405)</x:f>
        <x:v>1</x:v>
      </x:c>
    </x:row>
  </x:sheetData>
  <x:pageMargins left="0.7" right="0.7" top="0.75" bottom="0.75" header="0.3" footer="0.3"/>
  <x:tableParts count="1">
    <x:tablePart xmlns:r="http://schemas.openxmlformats.org/officeDocument/2006/relationships" r:id="Ra0cec3b88b934043"/>
  </x:tableParts>
</x:worksheet>
</file>

<file path=xl/worksheets/sheet8.xml><?xml version="1.0" encoding="utf-8"?>
<x:worksheet xmlns:x="http://schemas.openxmlformats.org/spreadsheetml/2006/main">
  <x:sheetFormatPr defaultRowHeight="15"/>
  <x:cols>
    <x:col min="1" max="1" width="28" hidden="0" customWidth="1"/>
    <x:col min="2" max="2" width="27" hidden="0" customWidth="1"/>
    <x:col min="3" max="3" width="38" hidden="0" customWidth="1"/>
    <x:col min="4" max="4" width="50" hidden="0" customWidth="1"/>
    <x:col min="5" max="5" width="55" hidden="0" customWidth="1"/>
    <x:col min="6" max="6" width="43" hidden="0" customWidth="1"/>
  </x:cols>
  <x:sheetData>
    <x:row r="1">
      <x:c r="A1" s="20" t="str">
        <x:v>Соединение / группа</x:v>
      </x:c>
      <x:c r="B1" s="20" t="str">
        <x:v>Класс</x:v>
      </x:c>
      <x:c r="C1" s="20" t="str">
        <x:v>Аромат / эффект</x:v>
      </x:c>
      <x:c r="D1" s="20" t="str">
        <x:v>Поведение и растворимость</x:v>
      </x:c>
      <x:c r="E1" s="20" t="str">
        <x:v>Роль в сочетаниях</x:v>
      </x:c>
      <x:c r="F1" s="20" t="str">
        <x:v>Критическая точка</x:v>
      </x:c>
    </x:row>
    <x:row r="2" ht="48" customHeight="1">
      <x:c r="A2" s="28" t="str">
        <x:v>Лимонен</x:v>
      </x:c>
      <x:c r="B2" s="28" t="str">
        <x:v>Монотерпен</x:v>
      </x:c>
      <x:c r="C2" s="28" t="str">
        <x:v>цитрусовый, апельсиновый, свежий</x:v>
      </x:c>
      <x:c r="D2" s="28" t="str">
        <x:v>Гидрофобен; хорошо извлекается жиром и этанолом, летуч и чувствителен к окислению.</x:v>
      </x:c>
      <x:c r="E2" s="28" t="str">
        <x:v>Основной компонент масел кожуры большинства цитрусовых.</x:v>
      </x:c>
      <x:c r="F2" s="28" t="str">
        <x:v>Окислённое масло теряет свежесть и может давать смолистые ноты.</x:v>
      </x:c>
    </x:row>
    <x:row r="3" ht="48" customHeight="1">
      <x:c r="A3" s="28" t="str">
        <x:v>Цитраль (гераниаль + нераль)</x:v>
      </x:c>
      <x:c r="B3" s="28" t="str">
        <x:v>Терпеноидные альдегиды</x:v>
      </x:c>
      <x:c r="C3" s="28" t="str">
        <x:v>ярко-лимонный</x:v>
      </x:c>
      <x:c r="D3" s="28" t="str">
        <x:v>Летуч; лучше сохраняется при холодной обработке и позднем внесении.</x:v>
      </x:c>
      <x:c r="E3" s="28" t="str">
        <x:v>Ключевой маркер лимонного сока, лемонграсса и части имбирных профилей.</x:v>
      </x:c>
      <x:c r="F3" s="28" t="str">
        <x:v>Длительный нагрев ослабляет свежесть.</x:v>
      </x:c>
    </x:row>
    <x:row r="4" ht="48" customHeight="1">
      <x:c r="A4" s="28" t="str">
        <x:v>Гамма-терпинен</x:v>
      </x:c>
      <x:c r="B4" s="28" t="str">
        <x:v>Монотерпен</x:v>
      </x:c>
      <x:c r="C4" s="28" t="str">
        <x:v>цитрусовый, травяной, слегка древесный</x:v>
      </x:c>
      <x:c r="D4" s="28" t="str">
        <x:v>Гидрофобен, хорошо переходит в цедровые настои.</x:v>
      </x:c>
      <x:c r="E4" s="28" t="str">
        <x:v>Важен для лимона, лайма, мандарина и юдзу.</x:v>
      </x:c>
      <x:c r="F4" s="28" t="str">
        <x:v>Легко окисляется.</x:v>
      </x:c>
    </x:row>
    <x:row r="5" ht="48" customHeight="1">
      <x:c r="A5" s="28" t="str">
        <x:v>Бета-пинен</x:v>
      </x:c>
      <x:c r="B5" s="28" t="str">
        <x:v>Монотерпен</x:v>
      </x:c>
      <x:c r="C5" s="28" t="str">
        <x:v>хвойный, древесный, камфорный</x:v>
      </x:c>
      <x:c r="D5" s="28" t="str">
        <x:v>Жиро- и спирторастворим.</x:v>
      </x:c>
      <x:c r="E5" s="28" t="str">
        <x:v>Связывает цитрус с розмарином, можжевельником и хвойными травами.</x:v>
      </x:c>
      <x:c r="F5" s="28" t="str">
        <x:v>Избыток создаёт смолистость.</x:v>
      </x:c>
    </x:row>
    <x:row r="6" ht="48" customHeight="1">
      <x:c r="A6" s="28" t="str">
        <x:v>Линалоол</x:v>
      </x:c>
      <x:c r="B6" s="28" t="str">
        <x:v>Терпеновый спирт</x:v>
      </x:c>
      <x:c r="C6" s="28" t="str">
        <x:v>цветочный, цитрусовый, лавандовый</x:v>
      </x:c>
      <x:c r="D6" s="28" t="str">
        <x:v>Летуч; хорошо растворяется в этаноле и частично в воде.</x:v>
      </x:c>
      <x:c r="E6" s="28" t="str">
        <x:v>Мост между цитрусами, кориандром, кардамоном, цветами и чаем.</x:v>
      </x:c>
      <x:c r="F6" s="28" t="str">
        <x:v>Длительный нагрев уменьшает цветочную часть.</x:v>
      </x:c>
    </x:row>
    <x:row r="7" ht="48" customHeight="1">
      <x:c r="A7" s="28" t="str">
        <x:v>Линалилацетат</x:v>
      </x:c>
      <x:c r="B7" s="28" t="str">
        <x:v>Терпеновый эфир</x:v>
      </x:c>
      <x:c r="C7" s="28" t="str">
        <x:v>цветочный, сладкий, бергамотовый</x:v>
      </x:c>
      <x:c r="D7" s="28" t="str">
        <x:v>Гидрофобен, хорошо извлекается спиртом.</x:v>
      </x:c>
      <x:c r="E7" s="28" t="str">
        <x:v>Характерен для бергамота и лаванды.</x:v>
      </x:c>
      <x:c r="F7" s="28" t="str">
        <x:v>Теряет свежесть при окислении.</x:v>
      </x:c>
    </x:row>
    <x:row r="8" ht="48" customHeight="1">
      <x:c r="A8" s="28" t="str">
        <x:v>Деканаль</x:v>
      </x:c>
      <x:c r="B8" s="28" t="str">
        <x:v>Алифатический альдегид</x:v>
      </x:c>
      <x:c r="C8" s="28" t="str">
        <x:v>восковой, сладко-апельсиновый</x:v>
      </x:c>
      <x:c r="D8" s="28" t="str">
        <x:v>Летуч и гидрофобен.</x:v>
      </x:c>
      <x:c r="E8" s="28" t="str">
        <x:v>Вносит сладкий восковой оттенок в апельсиновый профиль.</x:v>
      </x:c>
      <x:c r="F8" s="28" t="str">
        <x:v>Высокая концентрация может восприниматься мыльной.</x:v>
      </x:c>
    </x:row>
    <x:row r="9" ht="48" customHeight="1">
      <x:c r="A9" s="28" t="str">
        <x:v>Октаналь</x:v>
      </x:c>
      <x:c r="B9" s="28" t="str">
        <x:v>Алифатический альдегид</x:v>
      </x:c>
      <x:c r="C9" s="28" t="str">
        <x:v>цитрусовый, восковой, зелёный</x:v>
      </x:c>
      <x:c r="D9" s="28" t="str">
        <x:v>Летуч, лучше ощущается в масляной фазе.</x:v>
      </x:c>
      <x:c r="E9" s="28" t="str">
        <x:v>Поддерживает апельсиновые и мандариновые ноты.</x:v>
      </x:c>
      <x:c r="F9" s="28" t="str">
        <x:v>Избыток даёт жирно-восковой оттенок.</x:v>
      </x:c>
    </x:row>
    <x:row r="10" ht="48" customHeight="1">
      <x:c r="A10" s="28" t="str">
        <x:v>Мирцен</x:v>
      </x:c>
      <x:c r="B10" s="28" t="str">
        <x:v>Монотерпен</x:v>
      </x:c>
      <x:c r="C10" s="28" t="str">
        <x:v>зелёный, бальзамический, травяной</x:v>
      </x:c>
      <x:c r="D10" s="28" t="str">
        <x:v>Гидрофобен и легко окисляется.</x:v>
      </x:c>
      <x:c r="E10" s="28" t="str">
        <x:v>Связывает цитрусы с хмелем, травами и тропическими фруктами.</x:v>
      </x:c>
      <x:c r="F10" s="28" t="str">
        <x:v>Окисление даёт тяжёлые смолистые ноты.</x:v>
      </x:c>
    </x:row>
    <x:row r="11" ht="48" customHeight="1">
      <x:c r="A11" s="28" t="str">
        <x:v>Нооткатон</x:v>
      </x:c>
      <x:c r="B11" s="28" t="str">
        <x:v>Сесквитерпеновый кетон</x:v>
      </x:c>
      <x:c r="C11" s="28" t="str">
        <x:v>грейпфрутовый, древесно-горький</x:v>
      </x:c>
      <x:c r="D11" s="28" t="str">
        <x:v>Менее летуч, чем лимонен; устойчивее в матрице.</x:v>
      </x:c>
      <x:c r="E11" s="28" t="str">
        <x:v>Один из ключевых маркеров грейпфрута и помело.</x:v>
      </x:c>
      <x:c r="F11" s="28" t="str">
        <x:v>При высокой дозе усиливает сухую горечь.</x:v>
      </x:c>
    </x:row>
    <x:row r="12" ht="48" customHeight="1">
      <x:c r="A12" s="28" t="str">
        <x:v>Грейпфрутовые тиолы</x:v>
      </x:c>
      <x:c r="B12" s="28" t="str">
        <x:v>Серосодержащие одоранты</x:v>
      </x:c>
      <x:c r="C12" s="28" t="str">
        <x:v>яркий грейпфрут, тропический фрукт</x:v>
      </x:c>
      <x:c r="D12" s="28" t="str">
        <x:v>Активны в следовых концентрациях; чувствительны к окислению.</x:v>
      </x:c>
      <x:c r="E12" s="28" t="str">
        <x:v>Создают характерный свежий аромат грейпфрута.</x:v>
      </x:c>
      <x:c r="F12" s="28" t="str">
        <x:v>Очень низкий порог; передозировка даёт сернистость.</x:v>
      </x:c>
    </x:row>
    <x:row r="13" ht="48" customHeight="1">
      <x:c r="A13" s="28" t="str">
        <x:v>Нарингин</x:v>
      </x:c>
      <x:c r="B13" s="28" t="str">
        <x:v>Флавоноид</x:v>
      </x:c>
      <x:c r="C13" s="28" t="str">
        <x:v>не летуч; выраженная горечь</x:v>
      </x:c>
      <x:c r="D13" s="28" t="str">
        <x:v>Водорастворим в ограниченной степени; остаётся в соке и белой части кожуры.</x:v>
      </x:c>
      <x:c r="E13" s="28" t="str">
        <x:v>Формирует горечь грейпфрута и помело.</x:v>
      </x:c>
      <x:c r="F13" s="28" t="str">
        <x:v>Требует баланса сахаром, солью или жиром.</x:v>
      </x:c>
    </x:row>
    <x:row r="14" ht="48" customHeight="1">
      <x:c r="A14" s="28" t="str">
        <x:v>Метил-N-метилантранилат</x:v>
      </x:c>
      <x:c r="B14" s="28" t="str">
        <x:v>Ароматический эфир</x:v>
      </x:c>
      <x:c r="C14" s="28" t="str">
        <x:v>цветочный, виноградный, мандариновый</x:v>
      </x:c>
      <x:c r="D14" s="28" t="str">
        <x:v>Гидрофобен, хорошо удерживается спиртовой/жировой фазой.</x:v>
      </x:c>
      <x:c r="E14" s="28" t="str">
        <x:v>Поддерживает сладко-цветочный профиль мандарина.</x:v>
      </x:c>
      <x:c r="F14" s="28" t="str">
        <x:v>Избыток может давать парфюмерность.</x:v>
      </x:c>
    </x:row>
    <x:row r="15" ht="48" customHeight="1">
      <x:c r="A15" s="28" t="str">
        <x:v>1,8-Цинеол</x:v>
      </x:c>
      <x:c r="B15" s="28" t="str">
        <x:v>Оксид монотерпена</x:v>
      </x:c>
      <x:c r="C15" s="28" t="str">
        <x:v>эвкалиптовый, камфорный, прохладный</x:v>
      </x:c>
      <x:c r="D15" s="28" t="str">
        <x:v>Гидрофобен и летуч.</x:v>
      </x:c>
      <x:c r="E15" s="28" t="str">
        <x:v>Мост между кардамоном, розмарином, эвкалиптом и зелёным цитрусом.</x:v>
      </x:c>
      <x:c r="F15" s="28" t="str">
        <x:v>Избыток создаёт аптечный оттенок.</x:v>
      </x:c>
    </x:row>
    <x:row r="16" ht="48" customHeight="1">
      <x:c r="A16" s="28" t="str">
        <x:v>Альфа-терпинилацетат</x:v>
      </x:c>
      <x:c r="B16" s="28" t="str">
        <x:v>Терпеновый эфир</x:v>
      </x:c>
      <x:c r="C16" s="28" t="str">
        <x:v>сладко-пряный, травяной, кардамоновый</x:v>
      </x:c>
      <x:c r="D16" s="28" t="str">
        <x:v>Хорошо растворяется в спирте и жире.</x:v>
      </x:c>
      <x:c r="E16" s="28" t="str">
        <x:v>Ключевой для кардамона и его связи с цитрусами.</x:v>
      </x:c>
      <x:c r="F16" s="28" t="str">
        <x:v>Передозировка делает профиль тяжёлым.</x:v>
      </x:c>
    </x:row>
    <x:row r="17" ht="48" customHeight="1">
      <x:c r="A17" s="28" t="str">
        <x:v>Зингиберен</x:v>
      </x:c>
      <x:c r="B17" s="28" t="str">
        <x:v>Сесквитерпен</x:v>
      </x:c>
      <x:c r="C17" s="28" t="str">
        <x:v>имбирный, древесный, пряный</x:v>
      </x:c>
      <x:c r="D17" s="28" t="str">
        <x:v>Гидрофобен; хорошо извлекается этанолом.</x:v>
      </x:c>
      <x:c r="E17" s="28" t="str">
        <x:v>Основной ароматический каркас свежего имбиря.</x:v>
      </x:c>
      <x:c r="F17" s="28" t="str">
        <x:v>При сильном нагреве свежая часть снижается.</x:v>
      </x:c>
    </x:row>
    <x:row r="18" ht="48" customHeight="1">
      <x:c r="A18" s="28" t="str">
        <x:v>Гингеролы и шогаолы</x:v>
      </x:c>
      <x:c r="B18" s="28" t="str">
        <x:v>Фенольные соединения</x:v>
      </x:c>
      <x:c r="C18" s="28" t="str">
        <x:v>пряный; основное действие — жгучесть</x:v>
      </x:c>
      <x:c r="D18" s="28" t="str">
        <x:v>Слабо летучи, лучше растворяются в спирте и жире; шогаолы растут при сушке/нагреве.</x:v>
      </x:c>
      <x:c r="E18" s="28" t="str">
        <x:v>Создают тепловой контраст с цитрусовой свежестью.</x:v>
      </x:c>
      <x:c r="F18" s="28" t="str">
        <x:v>Кислота не нейтрализует жжение.</x:v>
      </x:c>
    </x:row>
    <x:row r="19" ht="48" customHeight="1">
      <x:c r="A19" s="28" t="str">
        <x:v>Эвгенол</x:v>
      </x:c>
      <x:c r="B19" s="28" t="str">
        <x:v>Фенилпропеноид</x:v>
      </x:c>
      <x:c r="C19" s="28" t="str">
        <x:v>гвоздичный, пряный, древесный</x:v>
      </x:c>
      <x:c r="D19" s="28" t="str">
        <x:v>Гидрофобен и хорошо растворяется в этаноле.</x:v>
      </x:c>
      <x:c r="E19" s="28" t="str">
        <x:v>Мост между гвоздикой, корицей, базиликом и частью цитрусовых профилей.</x:v>
      </x:c>
      <x:c r="F19" s="28" t="str">
        <x:v>Передозировка даёт медицинскую/антисептическую ноту.</x:v>
      </x:c>
    </x:row>
    <x:row r="20" ht="48" customHeight="1">
      <x:c r="A20" s="28" t="str">
        <x:v>Транс-анетол</x:v>
      </x:c>
      <x:c r="B20" s="28" t="str">
        <x:v>Фенилпропеноид</x:v>
      </x:c>
      <x:c r="C20" s="28" t="str">
        <x:v>анисовый, сладкий, лакричный</x:v>
      </x:c>
      <x:c r="D20" s="28" t="str">
        <x:v>Гидрофобен; при разбавлении спирта водой может мутнеть.</x:v>
      </x:c>
      <x:c r="E20" s="28" t="str">
        <x:v>Связывает цитрус с анисом, фенхелем и бадьяном.</x:v>
      </x:c>
      <x:c r="F20" s="28" t="str">
        <x:v>Очень доминирующий аромат.</x:v>
      </x:c>
    </x:row>
    <x:row r="21" ht="48" customHeight="1">
      <x:c r="A21" s="28" t="str">
        <x:v>Ментол</x:v>
      </x:c>
      <x:c r="B21" s="28" t="str">
        <x:v>Терпеновый спирт</x:v>
      </x:c>
      <x:c r="C21" s="28" t="str">
        <x:v>мятный</x:v>
      </x:c>
      <x:c r="D21" s="28" t="str">
        <x:v>Активирует холодовой рецептор TRPM8; растворим в спирте и жире.</x:v>
      </x:c>
      <x:c r="E21" s="28" t="str">
        <x:v>Создаёт физический контраст «холод — кислотная свежесть».</x:v>
      </x:c>
      <x:c r="F21" s="28" t="str">
        <x:v>Может подавить тонкие цветочные ноты.</x:v>
      </x:c>
    </x:row>
    <x:row r="22" ht="48" customHeight="1">
      <x:c r="A22" s="28" t="str">
        <x:v>Пиперин</x:v>
      </x:c>
      <x:c r="B22" s="28" t="str">
        <x:v>Алкалоид</x:v>
      </x:c>
      <x:c r="C22" s="28" t="str">
        <x:v>перечный; длительное тепло</x:v>
      </x:c>
      <x:c r="D22" s="28" t="str">
        <x:v>Жирорастворим, мало летуч.</x:v>
      </x:c>
      <x:c r="E22" s="28" t="str">
        <x:v>Добавляет сухое тепло чёрного перца к цитрусовой верхушке.</x:v>
      </x:c>
      <x:c r="F22" s="28" t="str">
        <x:v>Передозировка оставляет грубую жгучесть.</x:v>
      </x:c>
    </x:row>
    <x:row r="23" ht="48" customHeight="1">
      <x:c r="A23" s="28" t="str">
        <x:v>Капсаицин</x:v>
      </x:c>
      <x:c r="B23" s="28" t="str">
        <x:v>Капсаициноид</x:v>
      </x:c>
      <x:c r="C23" s="28" t="str">
        <x:v>почти не летуч; жжение</x:v>
      </x:c>
      <x:c r="D23" s="28" t="str">
        <x:v>Активирует TRPV1, жирорастворим.</x:v>
      </x:c>
      <x:c r="E23" s="28" t="str">
        <x:v>Создаёт контраст с кислотностью и фруктовыми эфирами чили.</x:v>
      </x:c>
      <x:c r="F23" s="28" t="str">
        <x:v>Вода и кислота не снимают жжение; нужен жир/сахар.</x:v>
      </x:c>
    </x:row>
    <x:row r="24" ht="48" customHeight="1">
      <x:c r="A24" s="28" t="str">
        <x:v>Фуранеол</x:v>
      </x:c>
      <x:c r="B24" s="28" t="str">
        <x:v>Фуранон</x:v>
      </x:c>
      <x:c r="C24" s="28" t="str">
        <x:v>карамельный, клубничный, ананасовый</x:v>
      </x:c>
      <x:c r="D24" s="28" t="str">
        <x:v>Умеренно полярен; чувствителен к нагреву и окислению.</x:v>
      </x:c>
      <x:c r="E24" s="28" t="str">
        <x:v>Связывает цитрус с клубникой, ананасом и карамельными нотами.</x:v>
      </x:c>
      <x:c r="F24" s="28" t="str">
        <x:v>Избыток делает аромат вареньевым.</x:v>
      </x:c>
    </x:row>
    <x:row r="25" ht="48" customHeight="1">
      <x:c r="A25" s="28" t="str">
        <x:v>Бензальдегид</x:v>
      </x:c>
      <x:c r="B25" s="28" t="str">
        <x:v>Ароматический альдегид</x:v>
      </x:c>
      <x:c r="C25" s="28" t="str">
        <x:v>горький миндаль, вишнёвая косточка</x:v>
      </x:c>
      <x:c r="D25" s="28" t="str">
        <x:v>Летуч, растворяется в спирте.</x:v>
      </x:c>
      <x:c r="E25" s="28" t="str">
        <x:v>Мост между цитрусом, миндалём и косточковыми фруктами через контраст и цветочность.</x:v>
      </x:c>
      <x:c r="F25" s="28" t="str">
        <x:v>Высокая доза воспринимается синтетически.</x:v>
      </x:c>
    </x:row>
    <x:row r="26" ht="48" customHeight="1">
      <x:c r="A26" s="28" t="str">
        <x:v>Лактоны</x:v>
      </x:c>
      <x:c r="B26" s="28" t="str">
        <x:v>Циклические эфиры</x:v>
      </x:c>
      <x:c r="C26" s="28" t="str">
        <x:v>персиковый, кокосовый, сливочный</x:v>
      </x:c>
      <x:c r="D26" s="28" t="str">
        <x:v>Гидрофобны, хорошо удерживаются жиром.</x:v>
      </x:c>
      <x:c r="E26" s="28" t="str">
        <x:v>Смягчают цитрусовую кислоту в сочетаниях с персиком, кокосом и молочными продуктами.</x:v>
      </x:c>
      <x:c r="F26" s="28" t="str">
        <x:v>Избыток делает профиль тяжёлым и кремовым.</x:v>
      </x:c>
    </x:row>
    <x:row r="27" ht="48" customHeight="1">
      <x:c r="A27" s="28" t="str">
        <x:v>Пиразины</x:v>
      </x:c>
      <x:c r="B27" s="28" t="str">
        <x:v>Гетероциклические соединения</x:v>
      </x:c>
      <x:c r="C27" s="28" t="str">
        <x:v>обжаренный, ореховый, какао</x:v>
      </x:c>
      <x:c r="D27" s="28" t="str">
        <x:v>Возникают при реакциях Майяра; часть очень летуча.</x:v>
      </x:c>
      <x:c r="E27" s="28" t="str">
        <x:v>Создают контраст цитрусовой свежести с кофе, шоколадом, орехами и жареным мясом.</x:v>
      </x:c>
      <x:c r="F27" s="28" t="str">
        <x:v>Слишком тёмная обжарка подавляет цитрус.</x:v>
      </x:c>
    </x:row>
    <x:row r="28" ht="48" customHeight="1">
      <x:c r="A28" s="28" t="str">
        <x:v>Диацетил</x:v>
      </x:c>
      <x:c r="B28" s="28" t="str">
        <x:v>Дикетон</x:v>
      </x:c>
      <x:c r="C28" s="28" t="str">
        <x:v>сливочное масло</x:v>
      </x:c>
      <x:c r="D28" s="28" t="str">
        <x:v>Летуч, хорошо ощущается в молочной матрице.</x:v>
      </x:c>
      <x:c r="E28" s="28" t="str">
        <x:v>Объясняет округление цитруса сливками и частью сыров.</x:v>
      </x:c>
      <x:c r="F28" s="28" t="str">
        <x:v>Высокая концентрация даёт тяжёлую маслянистость.</x:v>
      </x:c>
    </x:row>
    <x:row r="29" ht="48" customHeight="1">
      <x:c r="A29" s="28" t="str">
        <x:v>Ванилин</x:v>
      </x:c>
      <x:c r="B29" s="28" t="str">
        <x:v>Фенольный альдегид</x:v>
      </x:c>
      <x:c r="C29" s="28" t="str">
        <x:v>ванильный, сладкий, древесный</x:v>
      </x:c>
      <x:c r="D29" s="28" t="str">
        <x:v>Растворим в спирте и частично в воде; жир продлевает послевкусие.</x:v>
      </x:c>
      <x:c r="E29" s="28" t="str">
        <x:v>Округляет кислоту и связывает цитрус с десертами.</x:v>
      </x:c>
      <x:c r="F29" s="28" t="str">
        <x:v>Избыток маскирует свежесть.</x:v>
      </x:c>
    </x:row>
    <x:row r="30" ht="48" customHeight="1">
      <x:c r="A30" s="28" t="str">
        <x:v>Геосмин</x:v>
      </x:c>
      <x:c r="B30" s="28" t="str">
        <x:v>Терпеноид</x:v>
      </x:c>
      <x:c r="C30" s="28" t="str">
        <x:v>земля, влажная почва</x:v>
      </x:c>
      <x:c r="D30" s="28" t="str">
        <x:v>Чрезвычайно низкий порог восприятия.</x:v>
      </x:c>
      <x:c r="E30" s="28" t="str">
        <x:v>Цитрус контрастирует с землистыми овощами и свёклой.</x:v>
      </x:c>
      <x:c r="F30" s="28" t="str">
        <x:v>Даже следовые количества могут доминировать.</x:v>
      </x:c>
    </x:row>
    <x:row r="31" ht="48" customHeight="1">
      <x:c r="A31" s="28" t="str">
        <x:v>Катехины</x:v>
      </x:c>
      <x:c r="B31" s="28" t="str">
        <x:v>Полифенолы</x:v>
      </x:c>
      <x:c r="C31" s="28" t="str">
        <x:v>не основной; горечь и вяжущесть</x:v>
      </x:c>
      <x:c r="D31" s="28" t="str">
        <x:v>Водорастворимы, экстракция растёт с температурой и временем.</x:v>
      </x:c>
      <x:c r="E31" s="28" t="str">
        <x:v>Определяют баланс цитруса с чаем.</x:v>
      </x:c>
      <x:c r="F31" s="28" t="str">
        <x:v>Перезаваривание плюс цитрусовая кислота может дать жёсткую сухость.</x:v>
      </x:c>
    </x:row>
    <x:row r="32" ht="48" customHeight="1">
      <x:c r="A32" s="28" t="str">
        <x:v>Этанол</x:v>
      </x:c>
      <x:c r="B32" s="28" t="str">
        <x:v>Спирт</x:v>
      </x:c>
      <x:c r="C32" s="28" t="str">
        <x:v>спиртовой, слегка сладкий</x:v>
      </x:c>
      <x:c r="D32" s="28" t="str">
        <x:v>Растворяет и воду, и значительную часть гидрофобных ароматических веществ; повышает летучесть.</x:v>
      </x:c>
      <x:c r="E32" s="28" t="str">
        <x:v>Ключевой носитель цитрусовых масел в коктейлях, настойках и ликёрах.</x:v>
      </x:c>
      <x:c r="F32" s="28" t="str">
        <x:v>Высокая крепость усиливает жжение и может скрывать кислотный баланс.</x:v>
      </x:c>
    </x:row>
  </x:sheetData>
  <x:pageMargins left="0.7" right="0.7" top="0.75" bottom="0.75" header="0.3" footer="0.3"/>
  <x:tableParts count="1">
    <x:tablePart xmlns:r="http://schemas.openxmlformats.org/officeDocument/2006/relationships" r:id="Rfe9d81604a254183"/>
  </x:tableParts>
</x:worksheet>
</file>

<file path=xl/worksheets/sheet9.xml><?xml version="1.0" encoding="utf-8"?>
<x:worksheet xmlns:x="http://schemas.openxmlformats.org/spreadsheetml/2006/main">
  <x:sheetFormatPr defaultRowHeight="15"/>
  <x:cols>
    <x:col min="1" max="1" width="28" hidden="0" customWidth="1"/>
    <x:col min="2" max="2" width="48" hidden="0" customWidth="1"/>
    <x:col min="3" max="3" width="72" hidden="0" customWidth="1"/>
    <x:col min="4" max="4" width="14" hidden="0" customWidth="1"/>
    <x:col min="5" max="5" width="14" hidden="0" customWidth="1"/>
    <x:col min="6" max="6" width="14" hidden="0" customWidth="1"/>
    <x:col min="7" max="7" width="14" hidden="0" customWidth="1"/>
    <x:col min="8" max="8" width="14" hidden="0" customWidth="1"/>
  </x:cols>
  <x:sheetData>
    <x:row r="1">
      <x:c r="A1" s="4" t="str">
        <x:v>МЕТОДИКА СБОРКИ И ОГРАНИЧЕНИЯ</x:v>
      </x:c>
      <x:c r="B1" s="4"/>
      <x:c r="C1" s="4"/>
      <x:c r="D1" s="4"/>
      <x:c r="E1" s="4"/>
      <x:c r="F1" s="4"/>
      <x:c r="G1" s="4"/>
      <x:c r="H1" s="4"/>
    </x:row>
    <x:row r="2">
      <x:c r="A2" s="4"/>
      <x:c r="B2" s="4"/>
      <x:c r="C2" s="4"/>
      <x:c r="D2" s="4"/>
      <x:c r="E2" s="4"/>
      <x:c r="F2" s="4"/>
      <x:c r="G2" s="4"/>
      <x:c r="H2" s="4"/>
    </x:row>
    <x:row r="4">
      <x:c r="A4" s="20" t="str">
        <x:v>Этап</x:v>
      </x:c>
      <x:c r="B4" s="20" t="str">
        <x:v>Что сделано</x:v>
      </x:c>
    </x:row>
    <x:row r="5" ht="44" customHeight="1">
      <x:c r="A5" s="28" t="str">
        <x:v>1. Извлечение</x:v>
      </x:c>
      <x:c r="B5" s="28" t="str">
        <x:v>Из трёх PDF извлечены текстовые пары, табличные строки и связи из pairing grids.</x:v>
      </x:c>
    </x:row>
    <x:row r="6" ht="44" customHeight="1">
      <x:c r="A6" s="28" t="str">
        <x:v>2. Очистка</x:v>
      </x:c>
      <x:c r="B6" s="28" t="str">
        <x:v>Удалены прямые дубли; направления «A — B» и «B — A» сведены в одну запись.</x:v>
      </x:c>
    </x:row>
    <x:row r="7" ht="44" customHeight="1">
      <x:c r="A7" s="28" t="str">
        <x:v>3. Нормализация</x:v>
      </x:c>
      <x:c r="B7" s="28" t="str">
        <x:v>Русские и английские варианты сведены к рабочим названиям; оригиналы сохранены отдельно.</x:v>
      </x:c>
    </x:row>
    <x:row r="8" ht="44" customHeight="1">
      <x:c r="A8" s="28" t="str">
        <x:v>4. Классификация</x:v>
      </x:c>
      <x:c r="B8" s="28" t="str">
        <x:v>Каждому ингредиенту назначены группа, ароматические семейства, характерные соединения и матричные свойства.</x:v>
      </x:c>
    </x:row>
    <x:row r="9" ht="44" customHeight="1">
      <x:c r="A9" s="28" t="str">
        <x:v>5. Научное объяснение</x:v>
      </x:c>
      <x:c r="B9" s="28" t="str">
        <x:v>Проверены ароматическое сходство, вкус, тройничный эффект, жир/вода/этанол, нагрев и технологические риски.</x:v>
      </x:c>
    </x:row>
    <x:row r="10" ht="44" customHeight="1">
      <x:c r="A10" s="28" t="str">
        <x:v>6. Уверенность</x:v>
      </x:c>
      <x:c r="B10" s="28" t="str">
        <x:v>Оценка зависит от числа источников, наличия развёрнутой статьи и прямой связи в Foodpairing.</x:v>
      </x:c>
    </x:row>
    <x:row r="11" ht="44" customHeight="1">
      <x:c r="A11" s="28" t="str">
        <x:v>7. Практика</x:v>
      </x:c>
      <x:c r="B11" s="28" t="str">
        <x:v>Каждая запись содержит способы применения, ингредиент-мост и критические точки.</x:v>
      </x:c>
    </x:row>
    <x:row r="13">
      <x:c r="A13" s="36" t="str">
        <x:v>ВАЖНО</x:v>
      </x:c>
      <x:c r="B13" s="36"/>
      <x:c r="C13" s="36"/>
      <x:c r="D13" s="36"/>
      <x:c r="E13" s="36"/>
      <x:c r="F13" s="36"/>
      <x:c r="G13" s="36"/>
      <x:c r="H13" s="36"/>
    </x:row>
    <x:row r="14" ht="92" customHeight="1">
      <x:c r="A14" s="43" t="str">
        <x:v>Это рабочая сенсорная энциклопедия, а не количественный GC–MS-анализ конкретной партии продукта. Фраза «характерные соединения» означает типичные маркеры ингредиента по пищевой химии и материалам книг. Она не гарантирует одинаковую концентрацию в каждом сорте. В строках без надёжного общего маркера база не выдумывает молекулу, а объясняет пару через ароматические семейства, кислотность, сладость, горечь, умами, тройничную чувствительность и пищевую матрицу.
Цитрусовая кожура содержит гидрофобные масла, а сок — воду и органические кислоты. Поэтому цедра и сок не взаимозаменяемы: они по-разному ведут себя в спирте, жире, молочных продуктах и при нагреве. Белая часть кожуры способна внести сильную горечь.</x:v>
      </x:c>
      <x:c r="B14" s="43"/>
      <x:c r="C14" s="43"/>
      <x:c r="D14" s="43"/>
      <x:c r="E14" s="43"/>
      <x:c r="F14" s="43"/>
      <x:c r="G14" s="43"/>
      <x:c r="H14" s="43"/>
    </x:row>
    <x:row r="15" ht="92" customHeight="1">
      <x:c r="A15" s="43"/>
      <x:c r="B15" s="43"/>
      <x:c r="C15" s="43"/>
      <x:c r="D15" s="43"/>
      <x:c r="E15" s="43"/>
      <x:c r="F15" s="43"/>
      <x:c r="G15" s="43"/>
      <x:c r="H15" s="43"/>
    </x:row>
    <x:row r="16" ht="92" customHeight="1">
      <x:c r="A16" s="43"/>
      <x:c r="B16" s="43"/>
      <x:c r="C16" s="43"/>
      <x:c r="D16" s="43"/>
      <x:c r="E16" s="43"/>
      <x:c r="F16" s="43"/>
      <x:c r="G16" s="43"/>
      <x:c r="H16" s="43"/>
    </x:row>
    <x:row r="17" ht="92" customHeight="1">
      <x:c r="A17" s="43"/>
      <x:c r="B17" s="43"/>
      <x:c r="C17" s="43"/>
      <x:c r="D17" s="43"/>
      <x:c r="E17" s="43"/>
      <x:c r="F17" s="43"/>
      <x:c r="G17" s="43"/>
      <x:c r="H17" s="43"/>
    </x:row>
    <x:row r="18" ht="92" customHeight="1">
      <x:c r="A18" s="43"/>
      <x:c r="B18" s="43"/>
      <x:c r="C18" s="43"/>
      <x:c r="D18" s="43"/>
      <x:c r="E18" s="43"/>
      <x:c r="F18" s="43"/>
      <x:c r="G18" s="43"/>
      <x:c r="H18" s="43"/>
    </x:row>
    <x:row r="19" ht="92" customHeight="1">
      <x:c r="A19" s="43"/>
      <x:c r="B19" s="43"/>
      <x:c r="C19" s="43"/>
      <x:c r="D19" s="43"/>
      <x:c r="E19" s="43"/>
      <x:c r="F19" s="43"/>
      <x:c r="G19" s="43"/>
      <x:c r="H19" s="43"/>
    </x:row>
    <x:row r="20" ht="92" customHeight="1">
      <x:c r="A20" s="43"/>
      <x:c r="B20" s="43"/>
      <x:c r="C20" s="43"/>
      <x:c r="D20" s="43"/>
      <x:c r="E20" s="43"/>
      <x:c r="F20" s="43"/>
      <x:c r="G20" s="43"/>
      <x:c r="H20" s="43"/>
    </x:row>
    <x:row r="22">
      <x:c r="A22" s="20" t="str">
        <x:v>Источник</x:v>
      </x:c>
      <x:c r="B22" s="20" t="str">
        <x:v>Файл</x:v>
      </x:c>
      <x:c r="C22" s="20" t="str">
        <x:v>Что использовано</x:v>
      </x:c>
    </x:row>
    <x:row r="23">
      <x:c r="A23" s="28" t="str">
        <x:v>Ники Сегнит</x:v>
      </x:c>
      <x:c r="B23" s="28" t="str">
        <x:v>Тезариус вкусов (Ники Сегнит)(1).pdf</x:v>
      </x:c>
      <x:c r="C23" s="28" t="str">
        <x:v>Статьи о парах, примеры блюд, исторические и сенсорные наблюдения</x:v>
      </x:c>
    </x:row>
    <x:row r="24">
      <x:c r="A24" s="28" t="str">
        <x:v>Coucquyt / Lahousse / Langenbick</x:v>
      </x:c>
      <x:c r="B24" s="28" t="str">
        <x:v>The Art &amp; Science of Foodpairing.pdf</x:v>
      </x:c>
      <x:c r="C24" s="28" t="str">
        <x:v>Аромапрофили, ключевые молекулы, прямые и вторичные связи pairing grids</x:v>
      </x:c>
    </x:row>
    <x:row r="25">
      <x:c r="A25" s="28" t="str">
        <x:v>Таблица сочетаний</x:v>
      </x:c>
      <x:c r="B25" s="28" t="str">
        <x:v>Таблица сочетания(1).pdf</x:v>
      </x:c>
      <x:c r="C25" s="28" t="str">
        <x:v>Рекомендованные сочетания по основным ингредиентам</x:v>
      </x:c>
    </x:row>
  </x:sheetData>
  <x:mergeCells>
    <x:mergeCell ref="A1:H2"/>
    <x:mergeCell ref="A13:H13"/>
    <x:mergeCell ref="A14:H20"/>
  </x:mergeCells>
  <x:pageMargins left="0.7" right="0.7" top="0.75" bottom="0.75" header="0.3" footer="0.3"/>
</x:worksheet>
</file>